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Árvore de blocos" sheetId="2" state="visible" r:id="rId4"/>
    <sheet name="Consulta" sheetId="3" state="visible" r:id="rId5"/>
    <sheet name="Blocos" sheetId="4" state="visible" r:id="rId6"/>
    <sheet name="Por bloco" sheetId="5" state="visible" r:id="rId7"/>
    <sheet name="Trechos" sheetId="6" state="visible" r:id="rId8"/>
    <sheet name="Ativo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Q1" authorId="0">
      <text>
        <r>
          <rPr>
            <sz val="10"/>
            <rFont val="Arial"/>
            <family val="2"/>
          </rPr>
          <t xml:space="preserve">Junta as colunas Posterior 1…N. Edite as colunas e o texto se atualiza.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Arial"/>
            <family val="2"/>
          </rPr>
          <t xml:space="preserve">Quanto andar a partir do ativo de referência, seguindo a rede, até o fim deste vão.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" authorId="0">
      <text>
        <r>
          <rPr>
            <sz val="10"/>
            <rFont val="Arial"/>
            <family val="2"/>
          </rPr>
          <t xml:space="preserve">Vãos depois deste ativo, em qualquer bloco. Vazio para chaves 88, que não são ativo de referência.</t>
        </r>
      </text>
    </comment>
  </commentList>
</comments>
</file>

<file path=xl/sharedStrings.xml><?xml version="1.0" encoding="utf-8"?>
<sst xmlns="http://schemas.openxmlformats.org/spreadsheetml/2006/main" count="3133" uniqueCount="453">
  <si>
    <t xml:space="preserve">Zonas, ramais e blocos — EXEMPLO_AL-ILUSTRATIVO</t>
  </si>
  <si>
    <t xml:space="preserve">DADOS DE EXEMPLO</t>
  </si>
  <si>
    <t xml:space="preserve">Circuito ilustrativo. Não é rede real. Serve para validar o formato.</t>
  </si>
  <si>
    <t xml:space="preserve">Zona</t>
  </si>
  <si>
    <t xml:space="preserve">T1 do DJ ao 1º religador (79). Depois de qualquer religador é T2, inclusive religador em ramal: religador nunca cria T3. Depois de uma chave fusível (03) é no mínimo T3; se já estava em T3 ou mais, soma uma.</t>
  </si>
  <si>
    <t xml:space="preserve">Seccionamento</t>
  </si>
  <si>
    <t xml:space="preserve">Chave 03/33/02 com religador depois dela não conta como fusível: não muda a zona e aparece em "Outras chaves no bloco (88…)" como "Chave 03 de seccionamento".</t>
  </si>
  <si>
    <t xml:space="preserve">Tronco</t>
  </si>
  <si>
    <t xml:space="preserve">Caminho DJ → 1º religador → 2º religador e, depois do 2º, até os próximos ativos (religador ou fusível): o trecho entre dois ativos do tronco ainda é tronco. Pontas sem equipamento são ramal. Nunca tem T3. O resto é ramal, com o nome do poste onde sai do tronco.</t>
  </si>
  <si>
    <t xml:space="preserve">Ativo de referência</t>
  </si>
  <si>
    <t xml:space="preserve">Último DJ, 79 ou 03 antes do vão, vindo do DJ. Ele engloba o vão e tudo o que vem depois.</t>
  </si>
  <si>
    <t xml:space="preserve">Ativos posteriores englobados</t>
  </si>
  <si>
    <t xml:space="preserve">Os DJ/79/03 que ficam depois do vão ou do bloco. Se o ativo de referência abrir, todos ficam sem energia.</t>
  </si>
  <si>
    <t xml:space="preserve">Bloco</t>
  </si>
  <si>
    <t xml:space="preserve">Vãos com o mesmo ativo de referência e o mesmo ramal (de um ativo até o próximo). Chaves 88 e outras que não são DJ/79/fusível não dividem bloco: aparecem na coluna "Outras chaves no bloco (88…)". Chaves 02 e 33 contam como fusível.</t>
  </si>
  <si>
    <t xml:space="preserve">Nível 1…N</t>
  </si>
  <si>
    <t xml:space="preserve">Sequência de ativos desde o DJ até o ativo de referência. Filtrar um nível mostra tudo o que fica depois daquele ativo.</t>
  </si>
  <si>
    <t xml:space="preserve">Distâncias</t>
  </si>
  <si>
    <t xml:space="preserve">Calculadas a partir das coordenadas (haversine, raio 6.371 km), seguindo a rede.</t>
  </si>
  <si>
    <t xml:space="preserve">Abas</t>
  </si>
  <si>
    <t xml:space="preserve">Árvore de blocos: visão rápida da sequência, agrupada por tronco e ramal. Consulta: digite um poste e veja onde ele está. Blocos: um bloco por linha, com os ativos posteriores um por coluna e juntos numa coluna só. Por bloco: os vãos agrupados embaixo de cada bloco (botão + à esquerda). Trechos: um vão por linha. Ativos: resumo por ativo.</t>
  </si>
  <si>
    <t xml:space="preserve">Cores das zonas</t>
  </si>
  <si>
    <t xml:space="preserve">T1</t>
  </si>
  <si>
    <t xml:space="preserve">T2</t>
  </si>
  <si>
    <t xml:space="preserve">T3</t>
  </si>
  <si>
    <t xml:space="preserve">T4</t>
  </si>
  <si>
    <t xml:space="preserve">Árvore de blocos — EXEMPLO_AL-ILUSTRATIVO</t>
  </si>
  <si>
    <t xml:space="preserve">Cada linha é um bloco. A célula colorida é o ativo de referência do bloco (cor da zona). As células em cinza à esquerda são os ativos antes dele, desde o DJ.</t>
  </si>
  <si>
    <t xml:space="preserve">Zonas:</t>
  </si>
  <si>
    <t xml:space="preserve">Nível 1</t>
  </si>
  <si>
    <t xml:space="preserve">Nível 2</t>
  </si>
  <si>
    <t xml:space="preserve">Nível 3</t>
  </si>
  <si>
    <t xml:space="preserve">Nível 4</t>
  </si>
  <si>
    <t xml:space="preserve">Nível 5</t>
  </si>
  <si>
    <t xml:space="preserve">De</t>
  </si>
  <si>
    <t xml:space="preserve">Até (próximos ativos)</t>
  </si>
  <si>
    <t xml:space="preserve">Vãos</t>
  </si>
  <si>
    <t xml:space="preserve">Extensão (m)</t>
  </si>
  <si>
    <t xml:space="preserve">Outras chaves no bloco (88…)</t>
  </si>
  <si>
    <t xml:space="preserve">Ativos englobados (depois do bloco)</t>
  </si>
  <si>
    <t xml:space="preserve">TRONCO — do DJ ao 2º religador e até os próximos ativos</t>
  </si>
  <si>
    <t xml:space="preserve">DJ</t>
  </si>
  <si>
    <t xml:space="preserve">RL1</t>
  </si>
  <si>
    <t xml:space="preserve">—</t>
  </si>
  <si>
    <t xml:space="preserve">RL2</t>
  </si>
  <si>
    <t xml:space="preserve">88-A</t>
  </si>
  <si>
    <t xml:space="preserve">RL3 / 03-E</t>
  </si>
  <si>
    <t xml:space="preserve">RAMAL P-102 — sai do tronco no poste P-102</t>
  </si>
  <si>
    <t xml:space="preserve">poste P-102</t>
  </si>
  <si>
    <t xml:space="preserve">RL-A</t>
  </si>
  <si>
    <t xml:space="preserve">03-A</t>
  </si>
  <si>
    <t xml:space="preserve">03-B / fim P-124</t>
  </si>
  <si>
    <t xml:space="preserve">03-B</t>
  </si>
  <si>
    <t xml:space="preserve">fim P-127</t>
  </si>
  <si>
    <t xml:space="preserve">RAMAL P-105 — sai do tronco no poste P-105</t>
  </si>
  <si>
    <t xml:space="preserve">poste P-105</t>
  </si>
  <si>
    <t xml:space="preserve">03-C</t>
  </si>
  <si>
    <t xml:space="preserve">fim P-110</t>
  </si>
  <si>
    <t xml:space="preserve">RAMAL P-131 — sai do tronco no poste P-131</t>
  </si>
  <si>
    <t xml:space="preserve">poste P-131</t>
  </si>
  <si>
    <t xml:space="preserve">03-D</t>
  </si>
  <si>
    <t xml:space="preserve">fim P-135</t>
  </si>
  <si>
    <t xml:space="preserve">RAMAL P-138 — sai do tronco no poste P-138</t>
  </si>
  <si>
    <t xml:space="preserve">poste P-138</t>
  </si>
  <si>
    <t xml:space="preserve">fim P-140</t>
  </si>
  <si>
    <t xml:space="preserve">RAMAL APÓS RL3 — sai do fim do tronco</t>
  </si>
  <si>
    <t xml:space="preserve">RL3</t>
  </si>
  <si>
    <t xml:space="preserve">fim P-171</t>
  </si>
  <si>
    <t xml:space="preserve">RAMAL APÓS 03-E — sai do fim do tronco</t>
  </si>
  <si>
    <t xml:space="preserve">03-E</t>
  </si>
  <si>
    <t xml:space="preserve">03-F / fim P-195</t>
  </si>
  <si>
    <t xml:space="preserve">88-B</t>
  </si>
  <si>
    <t xml:space="preserve">03-F</t>
  </si>
  <si>
    <t xml:space="preserve">fim P-199</t>
  </si>
  <si>
    <t xml:space="preserve">Onde fica este poste?</t>
  </si>
  <si>
    <t xml:space="preserve">Digite o código do poste na célula amarela (o poste no fim do vão). A planilha mostra o vão e a sequência desde o DJ.</t>
  </si>
  <si>
    <t xml:space="preserve">Poste</t>
  </si>
  <si>
    <t xml:space="preserve">P-265</t>
  </si>
  <si>
    <t xml:space="preserve">← exemplo</t>
  </si>
  <si>
    <t xml:space="preserve">Trecho (vão)</t>
  </si>
  <si>
    <t xml:space="preserve">Poste início</t>
  </si>
  <si>
    <t xml:space="preserve">Tronco/Ramal</t>
  </si>
  <si>
    <t xml:space="preserve">Ramal</t>
  </si>
  <si>
    <t xml:space="preserve">Distância do ativo de referência (m)</t>
  </si>
  <si>
    <t xml:space="preserve">Distância do DJ (m)</t>
  </si>
  <si>
    <t xml:space="preserve">Outra chave no fim do vão (88…)</t>
  </si>
  <si>
    <t xml:space="preserve">Caminho desde o DJ</t>
  </si>
  <si>
    <t xml:space="preserve">Latitude</t>
  </si>
  <si>
    <t xml:space="preserve">Longitude</t>
  </si>
  <si>
    <t xml:space="preserve">Próximo ativo 1</t>
  </si>
  <si>
    <t xml:space="preserve">Próximo ativo 2</t>
  </si>
  <si>
    <t xml:space="preserve">Qtd. vãos</t>
  </si>
  <si>
    <t xml:space="preserve">Extensão do bloco (m)</t>
  </si>
  <si>
    <t xml:space="preserve">Qtd. ativos posteriores</t>
  </si>
  <si>
    <t xml:space="preserve">Ativos posteriores (concatenado)</t>
  </si>
  <si>
    <t xml:space="preserve">Posterior 1</t>
  </si>
  <si>
    <t xml:space="preserve">Posterior 2</t>
  </si>
  <si>
    <t xml:space="preserve">Posterior 3</t>
  </si>
  <si>
    <t xml:space="preserve">Posterior 4</t>
  </si>
  <si>
    <t xml:space="preserve">Posterior 5</t>
  </si>
  <si>
    <t xml:space="preserve">Posterior 6</t>
  </si>
  <si>
    <t xml:space="preserve">Posterior 7</t>
  </si>
  <si>
    <t xml:space="preserve">Posterior 8</t>
  </si>
  <si>
    <t xml:space="preserve">Posterior 9</t>
  </si>
  <si>
    <t xml:space="preserve">Posterior 10</t>
  </si>
  <si>
    <t xml:space="preserve">Ramal P-102</t>
  </si>
  <si>
    <t xml:space="preserve">fim P-124</t>
  </si>
  <si>
    <t xml:space="preserve">Ramal P-105</t>
  </si>
  <si>
    <t xml:space="preserve">Ramal P-131</t>
  </si>
  <si>
    <t xml:space="preserve">Ramal P-138</t>
  </si>
  <si>
    <t xml:space="preserve">Ramal após RL3</t>
  </si>
  <si>
    <t xml:space="preserve">Ramal após 03-E</t>
  </si>
  <si>
    <t xml:space="preserve">fim P-195</t>
  </si>
  <si>
    <t xml:space="preserve">TOTAL</t>
  </si>
  <si>
    <t xml:space="preserve">Trecho</t>
  </si>
  <si>
    <t xml:space="preserve">Poste fim</t>
  </si>
  <si>
    <t xml:space="preserve">Distância do ativo de referência até o fim (m)</t>
  </si>
  <si>
    <t xml:space="preserve">Próximos ativos</t>
  </si>
  <si>
    <t xml:space="preserve">Ativos posteriores</t>
  </si>
  <si>
    <t xml:space="preserve">TR-001</t>
  </si>
  <si>
    <t xml:space="preserve">P-201</t>
  </si>
  <si>
    <t xml:space="preserve">P-214</t>
  </si>
  <si>
    <t xml:space="preserve">TR-002</t>
  </si>
  <si>
    <t xml:space="preserve">P-215</t>
  </si>
  <si>
    <t xml:space="preserve">TR-003</t>
  </si>
  <si>
    <t xml:space="preserve">P-216</t>
  </si>
  <si>
    <t xml:space="preserve">TR-004</t>
  </si>
  <si>
    <t xml:space="preserve">P-217</t>
  </si>
  <si>
    <t xml:space="preserve">TR-005</t>
  </si>
  <si>
    <t xml:space="preserve">P-102</t>
  </si>
  <si>
    <t xml:space="preserve">TR-006</t>
  </si>
  <si>
    <t xml:space="preserve">P-218</t>
  </si>
  <si>
    <t xml:space="preserve">TR-007</t>
  </si>
  <si>
    <t xml:space="preserve">P-219</t>
  </si>
  <si>
    <t xml:space="preserve">TR-008</t>
  </si>
  <si>
    <t xml:space="preserve">P-220</t>
  </si>
  <si>
    <t xml:space="preserve">TR-009</t>
  </si>
  <si>
    <t xml:space="preserve">P-221</t>
  </si>
  <si>
    <t xml:space="preserve">TR-010</t>
  </si>
  <si>
    <t xml:space="preserve">P-105</t>
  </si>
  <si>
    <t xml:space="preserve">TR-011</t>
  </si>
  <si>
    <t xml:space="preserve">P-222</t>
  </si>
  <si>
    <t xml:space="preserve">TR-012</t>
  </si>
  <si>
    <t xml:space="preserve">P-223</t>
  </si>
  <si>
    <t xml:space="preserve">TR-013</t>
  </si>
  <si>
    <t xml:space="preserve">P-224</t>
  </si>
  <si>
    <t xml:space="preserve">TR-014</t>
  </si>
  <si>
    <t xml:space="preserve">P-225</t>
  </si>
  <si>
    <t xml:space="preserve">TR-015</t>
  </si>
  <si>
    <t xml:space="preserve">P-202</t>
  </si>
  <si>
    <t xml:space="preserve">TR-016</t>
  </si>
  <si>
    <t xml:space="preserve">P-226</t>
  </si>
  <si>
    <t xml:space="preserve">TR-017</t>
  </si>
  <si>
    <t xml:space="preserve">P-227</t>
  </si>
  <si>
    <t xml:space="preserve">TR-018</t>
  </si>
  <si>
    <t xml:space="preserve">P-228</t>
  </si>
  <si>
    <t xml:space="preserve">TR-019</t>
  </si>
  <si>
    <t xml:space="preserve">P-229</t>
  </si>
  <si>
    <t xml:space="preserve">TR-020</t>
  </si>
  <si>
    <t xml:space="preserve">P-131</t>
  </si>
  <si>
    <t xml:space="preserve">TR-021</t>
  </si>
  <si>
    <t xml:space="preserve">P-230</t>
  </si>
  <si>
    <t xml:space="preserve">TR-022</t>
  </si>
  <si>
    <t xml:space="preserve">P-231</t>
  </si>
  <si>
    <t xml:space="preserve">TR-023</t>
  </si>
  <si>
    <t xml:space="preserve">P-203</t>
  </si>
  <si>
    <t xml:space="preserve">TR-024</t>
  </si>
  <si>
    <t xml:space="preserve">P-232</t>
  </si>
  <si>
    <t xml:space="preserve">TR-025</t>
  </si>
  <si>
    <t xml:space="preserve">P-233</t>
  </si>
  <si>
    <t xml:space="preserve">TR-026</t>
  </si>
  <si>
    <t xml:space="preserve">P-138</t>
  </si>
  <si>
    <t xml:space="preserve">TR-027</t>
  </si>
  <si>
    <t xml:space="preserve">P-234</t>
  </si>
  <si>
    <t xml:space="preserve">TR-028</t>
  </si>
  <si>
    <t xml:space="preserve">P-235</t>
  </si>
  <si>
    <t xml:space="preserve">TR-029</t>
  </si>
  <si>
    <t xml:space="preserve">P-236</t>
  </si>
  <si>
    <t xml:space="preserve">TR-030</t>
  </si>
  <si>
    <t xml:space="preserve">P-237</t>
  </si>
  <si>
    <t xml:space="preserve">TR-031</t>
  </si>
  <si>
    <t xml:space="preserve">P-204</t>
  </si>
  <si>
    <t xml:space="preserve">TR-032</t>
  </si>
  <si>
    <t xml:space="preserve">P-238</t>
  </si>
  <si>
    <t xml:space="preserve">TR-033</t>
  </si>
  <si>
    <t xml:space="preserve">P-239</t>
  </si>
  <si>
    <t xml:space="preserve">TR-034</t>
  </si>
  <si>
    <t xml:space="preserve">P-240</t>
  </si>
  <si>
    <t xml:space="preserve">TR-035</t>
  </si>
  <si>
    <t xml:space="preserve">P-241</t>
  </si>
  <si>
    <t xml:space="preserve">TR-036</t>
  </si>
  <si>
    <t xml:space="preserve">P-242</t>
  </si>
  <si>
    <t xml:space="preserve">TR-037</t>
  </si>
  <si>
    <t xml:space="preserve">P-160</t>
  </si>
  <si>
    <t xml:space="preserve">TR-038</t>
  </si>
  <si>
    <t xml:space="preserve">P-243</t>
  </si>
  <si>
    <t xml:space="preserve">TR-039</t>
  </si>
  <si>
    <t xml:space="preserve">P-244</t>
  </si>
  <si>
    <t xml:space="preserve">TR-040</t>
  </si>
  <si>
    <t xml:space="preserve">P-245</t>
  </si>
  <si>
    <t xml:space="preserve">TR-041</t>
  </si>
  <si>
    <t xml:space="preserve">P-246</t>
  </si>
  <si>
    <t xml:space="preserve">TR-042</t>
  </si>
  <si>
    <t xml:space="preserve">P-205</t>
  </si>
  <si>
    <t xml:space="preserve">TR-043</t>
  </si>
  <si>
    <t xml:space="preserve">P-250</t>
  </si>
  <si>
    <t xml:space="preserve">TR-044</t>
  </si>
  <si>
    <t xml:space="preserve">P-251</t>
  </si>
  <si>
    <t xml:space="preserve">TR-045</t>
  </si>
  <si>
    <t xml:space="preserve">P-252</t>
  </si>
  <si>
    <t xml:space="preserve">TR-046</t>
  </si>
  <si>
    <t xml:space="preserve">P-253</t>
  </si>
  <si>
    <t xml:space="preserve">TR-047</t>
  </si>
  <si>
    <t xml:space="preserve">P-254</t>
  </si>
  <si>
    <t xml:space="preserve">TR-048</t>
  </si>
  <si>
    <t xml:space="preserve">P-206</t>
  </si>
  <si>
    <t xml:space="preserve">TR-049</t>
  </si>
  <si>
    <t xml:space="preserve">P-272</t>
  </si>
  <si>
    <t xml:space="preserve">TR-050</t>
  </si>
  <si>
    <t xml:space="preserve">P-273</t>
  </si>
  <si>
    <t xml:space="preserve">TR-051</t>
  </si>
  <si>
    <t xml:space="preserve">P-274</t>
  </si>
  <si>
    <t xml:space="preserve">TR-052</t>
  </si>
  <si>
    <t xml:space="preserve">P-275</t>
  </si>
  <si>
    <t xml:space="preserve">TR-053</t>
  </si>
  <si>
    <t xml:space="preserve">P-209</t>
  </si>
  <si>
    <t xml:space="preserve">TR-054</t>
  </si>
  <si>
    <t xml:space="preserve">P-276</t>
  </si>
  <si>
    <t xml:space="preserve">TR-055</t>
  </si>
  <si>
    <t xml:space="preserve">P-277</t>
  </si>
  <si>
    <t xml:space="preserve">TR-056</t>
  </si>
  <si>
    <t xml:space="preserve">P-278</t>
  </si>
  <si>
    <t xml:space="preserve">TR-057</t>
  </si>
  <si>
    <t xml:space="preserve">P-279</t>
  </si>
  <si>
    <t xml:space="preserve">TR-058</t>
  </si>
  <si>
    <t xml:space="preserve">P-210</t>
  </si>
  <si>
    <t xml:space="preserve">TR-059</t>
  </si>
  <si>
    <t xml:space="preserve">P-280</t>
  </si>
  <si>
    <t xml:space="preserve">TR-060</t>
  </si>
  <si>
    <t xml:space="preserve">P-281</t>
  </si>
  <si>
    <t xml:space="preserve">TR-061</t>
  </si>
  <si>
    <t xml:space="preserve">P-282</t>
  </si>
  <si>
    <t xml:space="preserve">TR-062</t>
  </si>
  <si>
    <t xml:space="preserve">P-283</t>
  </si>
  <si>
    <t xml:space="preserve">TR-063</t>
  </si>
  <si>
    <t xml:space="preserve">P-120</t>
  </si>
  <si>
    <t xml:space="preserve">TR-064</t>
  </si>
  <si>
    <t xml:space="preserve">P-284</t>
  </si>
  <si>
    <t xml:space="preserve">TR-065</t>
  </si>
  <si>
    <t xml:space="preserve">P-285</t>
  </si>
  <si>
    <t xml:space="preserve">TR-066</t>
  </si>
  <si>
    <t xml:space="preserve">P-286</t>
  </si>
  <si>
    <t xml:space="preserve">TR-067</t>
  </si>
  <si>
    <t xml:space="preserve">P-287</t>
  </si>
  <si>
    <t xml:space="preserve">TR-068</t>
  </si>
  <si>
    <t xml:space="preserve">P-288</t>
  </si>
  <si>
    <t xml:space="preserve">TR-069</t>
  </si>
  <si>
    <t xml:space="preserve">P-211</t>
  </si>
  <si>
    <t xml:space="preserve">TR-070</t>
  </si>
  <si>
    <t xml:space="preserve">P-294</t>
  </si>
  <si>
    <t xml:space="preserve">TR-071</t>
  </si>
  <si>
    <t xml:space="preserve">P-295</t>
  </si>
  <si>
    <t xml:space="preserve">TR-072</t>
  </si>
  <si>
    <t xml:space="preserve">P-296</t>
  </si>
  <si>
    <t xml:space="preserve">TR-073</t>
  </si>
  <si>
    <t xml:space="preserve">P-297</t>
  </si>
  <si>
    <t xml:space="preserve">TR-074</t>
  </si>
  <si>
    <t xml:space="preserve">P-124</t>
  </si>
  <si>
    <t xml:space="preserve">TR-075</t>
  </si>
  <si>
    <t xml:space="preserve">P-289</t>
  </si>
  <si>
    <t xml:space="preserve">TR-076</t>
  </si>
  <si>
    <t xml:space="preserve">P-290</t>
  </si>
  <si>
    <t xml:space="preserve">TR-077</t>
  </si>
  <si>
    <t xml:space="preserve">P-291</t>
  </si>
  <si>
    <t xml:space="preserve">TR-078</t>
  </si>
  <si>
    <t xml:space="preserve">P-292</t>
  </si>
  <si>
    <t xml:space="preserve">TR-079</t>
  </si>
  <si>
    <t xml:space="preserve">P-293</t>
  </si>
  <si>
    <t xml:space="preserve">TR-080</t>
  </si>
  <si>
    <t xml:space="preserve">P-127</t>
  </si>
  <si>
    <t xml:space="preserve">TR-081</t>
  </si>
  <si>
    <t xml:space="preserve">P-298</t>
  </si>
  <si>
    <t xml:space="preserve">TR-082</t>
  </si>
  <si>
    <t xml:space="preserve">P-299</t>
  </si>
  <si>
    <t xml:space="preserve">TR-083</t>
  </si>
  <si>
    <t xml:space="preserve">P-300</t>
  </si>
  <si>
    <t xml:space="preserve">TR-084</t>
  </si>
  <si>
    <t xml:space="preserve">P-301</t>
  </si>
  <si>
    <t xml:space="preserve">TR-085</t>
  </si>
  <si>
    <t xml:space="preserve">P-212</t>
  </si>
  <si>
    <t xml:space="preserve">TR-086</t>
  </si>
  <si>
    <t xml:space="preserve">P-302</t>
  </si>
  <si>
    <t xml:space="preserve">TR-087</t>
  </si>
  <si>
    <t xml:space="preserve">P-303</t>
  </si>
  <si>
    <t xml:space="preserve">TR-088</t>
  </si>
  <si>
    <t xml:space="preserve">P-304</t>
  </si>
  <si>
    <t xml:space="preserve">TR-089</t>
  </si>
  <si>
    <t xml:space="preserve">P-110</t>
  </si>
  <si>
    <t xml:space="preserve">TR-090</t>
  </si>
  <si>
    <t xml:space="preserve">P-305</t>
  </si>
  <si>
    <t xml:space="preserve">TR-091</t>
  </si>
  <si>
    <t xml:space="preserve">P-306</t>
  </si>
  <si>
    <t xml:space="preserve">TR-092</t>
  </si>
  <si>
    <t xml:space="preserve">P-307</t>
  </si>
  <si>
    <t xml:space="preserve">TR-093</t>
  </si>
  <si>
    <t xml:space="preserve">P-308</t>
  </si>
  <si>
    <t xml:space="preserve">TR-094</t>
  </si>
  <si>
    <t xml:space="preserve">P-213</t>
  </si>
  <si>
    <t xml:space="preserve">TR-095</t>
  </si>
  <si>
    <t xml:space="preserve">P-309</t>
  </si>
  <si>
    <t xml:space="preserve">TR-096</t>
  </si>
  <si>
    <t xml:space="preserve">P-310</t>
  </si>
  <si>
    <t xml:space="preserve">TR-097</t>
  </si>
  <si>
    <t xml:space="preserve">P-311</t>
  </si>
  <si>
    <t xml:space="preserve">TR-098</t>
  </si>
  <si>
    <t xml:space="preserve">P-312</t>
  </si>
  <si>
    <t xml:space="preserve">TR-099</t>
  </si>
  <si>
    <t xml:space="preserve">P-135</t>
  </si>
  <si>
    <t xml:space="preserve">TR-100</t>
  </si>
  <si>
    <t xml:space="preserve">P-313</t>
  </si>
  <si>
    <t xml:space="preserve">TR-101</t>
  </si>
  <si>
    <t xml:space="preserve">P-314</t>
  </si>
  <si>
    <t xml:space="preserve">TR-102</t>
  </si>
  <si>
    <t xml:space="preserve">P-315</t>
  </si>
  <si>
    <t xml:space="preserve">TR-103</t>
  </si>
  <si>
    <t xml:space="preserve">P-316</t>
  </si>
  <si>
    <t xml:space="preserve">TR-104</t>
  </si>
  <si>
    <t xml:space="preserve">P-317</t>
  </si>
  <si>
    <t xml:space="preserve">TR-105</t>
  </si>
  <si>
    <t xml:space="preserve">P-318</t>
  </si>
  <si>
    <t xml:space="preserve">TR-106</t>
  </si>
  <si>
    <t xml:space="preserve">P-319</t>
  </si>
  <si>
    <t xml:space="preserve">TR-107</t>
  </si>
  <si>
    <t xml:space="preserve">P-140</t>
  </si>
  <si>
    <t xml:space="preserve">TR-108</t>
  </si>
  <si>
    <t xml:space="preserve">P-247</t>
  </si>
  <si>
    <t xml:space="preserve">TR-109</t>
  </si>
  <si>
    <t xml:space="preserve">P-248</t>
  </si>
  <si>
    <t xml:space="preserve">TR-110</t>
  </si>
  <si>
    <t xml:space="preserve">P-249</t>
  </si>
  <si>
    <t xml:space="preserve">TR-111</t>
  </si>
  <si>
    <t xml:space="preserve">P-171</t>
  </si>
  <si>
    <t xml:space="preserve">TR-112</t>
  </si>
  <si>
    <t xml:space="preserve">P-255</t>
  </si>
  <si>
    <t xml:space="preserve">TR-113</t>
  </si>
  <si>
    <t xml:space="preserve">P-256</t>
  </si>
  <si>
    <t xml:space="preserve">TR-114</t>
  </si>
  <si>
    <t xml:space="preserve">P-257</t>
  </si>
  <si>
    <t xml:space="preserve">TR-115</t>
  </si>
  <si>
    <t xml:space="preserve">P-207</t>
  </si>
  <si>
    <t xml:space="preserve">TR-116</t>
  </si>
  <si>
    <t xml:space="preserve">P-258</t>
  </si>
  <si>
    <t xml:space="preserve">TR-117</t>
  </si>
  <si>
    <t xml:space="preserve">P-190</t>
  </si>
  <si>
    <t xml:space="preserve">TR-118</t>
  </si>
  <si>
    <t xml:space="preserve">P-259</t>
  </si>
  <si>
    <t xml:space="preserve">TR-119</t>
  </si>
  <si>
    <t xml:space="preserve">P-260</t>
  </si>
  <si>
    <t xml:space="preserve">TR-120</t>
  </si>
  <si>
    <t xml:space="preserve">P-261</t>
  </si>
  <si>
    <t xml:space="preserve">TR-121</t>
  </si>
  <si>
    <t xml:space="preserve">P-262</t>
  </si>
  <si>
    <t xml:space="preserve">TR-122</t>
  </si>
  <si>
    <t xml:space="preserve">P-208</t>
  </si>
  <si>
    <t xml:space="preserve">TR-123</t>
  </si>
  <si>
    <t xml:space="preserve">P-266</t>
  </si>
  <si>
    <t xml:space="preserve">TR-124</t>
  </si>
  <si>
    <t xml:space="preserve">P-267</t>
  </si>
  <si>
    <t xml:space="preserve">TR-125</t>
  </si>
  <si>
    <t xml:space="preserve">P-268</t>
  </si>
  <si>
    <t xml:space="preserve">TR-126</t>
  </si>
  <si>
    <t xml:space="preserve">P-269</t>
  </si>
  <si>
    <t xml:space="preserve">TR-127</t>
  </si>
  <si>
    <t xml:space="preserve">P-270</t>
  </si>
  <si>
    <t xml:space="preserve">TR-128</t>
  </si>
  <si>
    <t xml:space="preserve">P-271</t>
  </si>
  <si>
    <t xml:space="preserve">TR-129</t>
  </si>
  <si>
    <t xml:space="preserve">P-195</t>
  </si>
  <si>
    <t xml:space="preserve">TR-130</t>
  </si>
  <si>
    <t xml:space="preserve">P-263</t>
  </si>
  <si>
    <t xml:space="preserve">TR-131</t>
  </si>
  <si>
    <t xml:space="preserve">P-264</t>
  </si>
  <si>
    <t xml:space="preserve">TR-132</t>
  </si>
  <si>
    <t xml:space="preserve">TR-133</t>
  </si>
  <si>
    <t xml:space="preserve">P-199</t>
  </si>
  <si>
    <t xml:space="preserve">Seq</t>
  </si>
  <si>
    <t xml:space="preserve">Trecho no Daimon</t>
  </si>
  <si>
    <t xml:space="preserve">Distância do DJ até o fim (m)</t>
  </si>
  <si>
    <t xml:space="preserve">Tipo do ativo de referência</t>
  </si>
  <si>
    <t xml:space="preserve">Próximo(s) ativo(s)</t>
  </si>
  <si>
    <t xml:space="preserve">Latitude (meio do vão)</t>
  </si>
  <si>
    <t xml:space="preserve">Longitude (meio do vão)</t>
  </si>
  <si>
    <t xml:space="preserve">Mapa</t>
  </si>
  <si>
    <t xml:space="preserve">Chave do caminho (uso das fórmulas)</t>
  </si>
  <si>
    <t xml:space="preserve">Disjuntor (DJ)</t>
  </si>
  <si>
    <t xml:space="preserve">RL1, RL2, RL3, 03-E, 03-F, 03-D, 03-C, RL-A, 03-A, 03-B</t>
  </si>
  <si>
    <t xml:space="preserve">abrir</t>
  </si>
  <si>
    <t xml:space="preserve">|DJ|</t>
  </si>
  <si>
    <t xml:space="preserve">RL1, RL2, RL3, 03-E, 03-F, 03-D, 03-C</t>
  </si>
  <si>
    <t xml:space="preserve">RL1, RL2, RL3, 03-E, 03-F, 03-D</t>
  </si>
  <si>
    <t xml:space="preserve">Religador (79)</t>
  </si>
  <si>
    <t xml:space="preserve">RL2, RL3, 03-E, 03-F, 03-D</t>
  </si>
  <si>
    <t xml:space="preserve">DJ › RL1</t>
  </si>
  <si>
    <t xml:space="preserve">|DJ|RL1|</t>
  </si>
  <si>
    <t xml:space="preserve">RL2, RL3, 03-E, 03-F</t>
  </si>
  <si>
    <t xml:space="preserve">RL3, 03-E, 03-F</t>
  </si>
  <si>
    <t xml:space="preserve">DJ › RL1 › RL2</t>
  </si>
  <si>
    <t xml:space="preserve">|DJ|RL1|RL2|</t>
  </si>
  <si>
    <t xml:space="preserve">03-E, 03-F</t>
  </si>
  <si>
    <t xml:space="preserve">RL-A, 03-A, 03-B</t>
  </si>
  <si>
    <t xml:space="preserve">03-A, 03-B</t>
  </si>
  <si>
    <t xml:space="preserve">DJ › RL-A</t>
  </si>
  <si>
    <t xml:space="preserve">|DJ|RL-A|</t>
  </si>
  <si>
    <t xml:space="preserve">Chave fusível (03)</t>
  </si>
  <si>
    <t xml:space="preserve">DJ › RL-A › 03-A</t>
  </si>
  <si>
    <t xml:space="preserve">|DJ|RL-A|03-A|</t>
  </si>
  <si>
    <t xml:space="preserve">DJ › RL-A › 03-A › 03-B</t>
  </si>
  <si>
    <t xml:space="preserve">|DJ|RL-A|03-A|03-B|</t>
  </si>
  <si>
    <t xml:space="preserve">DJ › 03-C</t>
  </si>
  <si>
    <t xml:space="preserve">|DJ|03-C|</t>
  </si>
  <si>
    <t xml:space="preserve">DJ › RL1 › 03-D</t>
  </si>
  <si>
    <t xml:space="preserve">|DJ|RL1|03-D|</t>
  </si>
  <si>
    <t xml:space="preserve">DJ › RL1 › RL2 › RL3</t>
  </si>
  <si>
    <t xml:space="preserve">|DJ|RL1|RL2|RL3|</t>
  </si>
  <si>
    <t xml:space="preserve">DJ › RL1 › RL2 › 03-E</t>
  </si>
  <si>
    <t xml:space="preserve">|DJ|RL1|RL2|03-E|</t>
  </si>
  <si>
    <t xml:space="preserve">DJ › RL1 › RL2 › 03-E › 03-F</t>
  </si>
  <si>
    <t xml:space="preserve">|DJ|RL1|RL2|03-E|03-F|</t>
  </si>
  <si>
    <t xml:space="preserve">Ativo</t>
  </si>
  <si>
    <t xml:space="preserve">Tipo</t>
  </si>
  <si>
    <t xml:space="preserve">No tronco</t>
  </si>
  <si>
    <t xml:space="preserve">Zona antes</t>
  </si>
  <si>
    <t xml:space="preserve">Zona depois</t>
  </si>
  <si>
    <t xml:space="preserve">Bloco onde está</t>
  </si>
  <si>
    <t xml:space="preserve">Blocos em que é referência</t>
  </si>
  <si>
    <t xml:space="preserve">Vãos em que é a referência</t>
  </si>
  <si>
    <t xml:space="preserve">Extensão em que é a referência (m)</t>
  </si>
  <si>
    <t xml:space="preserve">Vãos englobados (tudo a jusante)</t>
  </si>
  <si>
    <t xml:space="preserve">Extensão englobada (m)</t>
  </si>
  <si>
    <t xml:space="preserve">sim</t>
  </si>
  <si>
    <t xml:space="preserve">1, 4, 8</t>
  </si>
  <si>
    <t xml:space="preserve">2, 10, 12</t>
  </si>
  <si>
    <t xml:space="preserve">Chave 88</t>
  </si>
  <si>
    <t xml:space="preserve">3</t>
  </si>
  <si>
    <t xml:space="preserve">13</t>
  </si>
  <si>
    <t xml:space="preserve">14</t>
  </si>
  <si>
    <t xml:space="preserve">não</t>
  </si>
  <si>
    <t xml:space="preserve">5</t>
  </si>
  <si>
    <t xml:space="preserve">6</t>
  </si>
  <si>
    <t xml:space="preserve">7</t>
  </si>
  <si>
    <t xml:space="preserve">9</t>
  </si>
  <si>
    <t xml:space="preserve">11</t>
  </si>
  <si>
    <t xml:space="preserve">15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</si>
</sst>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color rgb="FFC8102E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8A9096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2"/>
    </font>
    <font>
      <u val="single"/>
      <sz val="10"/>
      <color rgb="FF1F4E9E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BEAFE"/>
        <bgColor rgb="FFDCFCE7"/>
      </patternFill>
    </fill>
    <fill>
      <patternFill patternType="solid">
        <fgColor rgb="FFDCFCE7"/>
        <bgColor rgb="FFCCFFCC"/>
      </patternFill>
    </fill>
    <fill>
      <patternFill patternType="solid">
        <fgColor rgb="FFFEF3C7"/>
        <bgColor rgb="FFFFEDD5"/>
      </patternFill>
    </fill>
    <fill>
      <patternFill patternType="solid">
        <fgColor rgb="FFFFEDD5"/>
        <bgColor rgb="FFFEF3C7"/>
      </patternFill>
    </fill>
    <fill>
      <patternFill patternType="solid">
        <fgColor rgb="FF2B3136"/>
        <bgColor rgb="FF3A4248"/>
      </patternFill>
    </fill>
    <fill>
      <patternFill patternType="solid">
        <fgColor rgb="FF3A4248"/>
        <bgColor rgb="FF2B3136"/>
      </patternFill>
    </fill>
    <fill>
      <patternFill patternType="solid">
        <fgColor rgb="FFFFFF00"/>
        <bgColor rgb="FFFFFF00"/>
      </patternFill>
    </fill>
    <fill>
      <patternFill patternType="solid">
        <fgColor rgb="FFFFE4E6"/>
        <bgColor rgb="FFFFEDD5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9D6"/>
      </bottom>
      <diagonal/>
    </border>
    <border diagonalUp="false" diagonalDown="false">
      <left style="thin">
        <color rgb="FF2B3136"/>
      </left>
      <right style="thin">
        <color rgb="FF2B3136"/>
      </right>
      <top style="thin">
        <color rgb="FF2B3136"/>
      </top>
      <bottom style="thin">
        <color rgb="FF2B313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B313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FFEDD5"/>
          <bgColor rgb="FF000000"/>
        </patternFill>
      </fill>
    </dxf>
    <dxf>
      <fill>
        <patternFill patternType="solid">
          <fgColor rgb="FFFFE4E6"/>
          <bgColor rgb="FF000000"/>
        </patternFill>
      </fill>
    </dxf>
    <dxf>
      <fill>
        <patternFill patternType="solid">
          <fgColor rgb="FF1F4E9E"/>
          <bgColor rgb="FF000000"/>
        </patternFill>
      </fill>
    </dxf>
  </dxf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5D9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CCFFCC"/>
      <rgbColor rgb="FFFFEDD5"/>
      <rgbColor rgb="FF99CCFF"/>
      <rgbColor rgb="FFFF99CC"/>
      <rgbColor rgb="FFCC99FF"/>
      <rgbColor rgb="FFFFE4E6"/>
      <rgbColor rgb="FF3366FF"/>
      <rgbColor rgb="FF33CCCC"/>
      <rgbColor rgb="FF99CC00"/>
      <rgbColor rgb="FFFFCC00"/>
      <rgbColor rgb="FFFF9900"/>
      <rgbColor rgb="FFFF6600"/>
      <rgbColor rgb="FF666666"/>
      <rgbColor rgb="FF8A9096"/>
      <rgbColor rgb="FF003366"/>
      <rgbColor rgb="FF339966"/>
      <rgbColor rgb="FF003300"/>
      <rgbColor rgb="FF3A4248"/>
      <rgbColor rgb="FF993300"/>
      <rgbColor rgb="FF993366"/>
      <rgbColor rgb="FF1F4E9E"/>
      <rgbColor rgb="FF2B31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tivos" displayName="Ativos" ref="A1:Q14" headerRowCount="1" totalsRowCount="0" totalsRowShown="0">
  <autoFilter ref="A1:Q14"/>
  <tableColumns count="17">
    <tableColumn id="1" name="Ativo"/>
    <tableColumn id="2" name="Tipo"/>
    <tableColumn id="3" name="Poste"/>
    <tableColumn id="4" name="No tronco"/>
    <tableColumn id="5" name="Zona antes"/>
    <tableColumn id="6" name="Zona depois"/>
    <tableColumn id="7" name="Bloco onde está"/>
    <tableColumn id="8" name="Blocos em que é referência"/>
    <tableColumn id="9" name="Caminho desde o DJ"/>
    <tableColumn id="10" name="Vãos em que é a referência"/>
    <tableColumn id="11" name="Extensão em que é a referência (m)"/>
    <tableColumn id="12" name="Vãos englobados (tudo a jusante)"/>
    <tableColumn id="13" name="Extensão englobada (m)"/>
    <tableColumn id="14" name="Ativos posteriores englobados"/>
    <tableColumn id="15" name="Latitude"/>
    <tableColumn id="16" name="Longitude"/>
    <tableColumn id="17" name="Mapa"/>
  </tableColumns>
</table>
</file>

<file path=xl/tables/table2.xml><?xml version="1.0" encoding="utf-8"?>
<table xmlns="http://schemas.openxmlformats.org/spreadsheetml/2006/main" id="2" name="Blocos" displayName="Blocos" ref="A1:AB16" headerRowCount="1" totalsRowCount="0" totalsRowShown="0">
  <autoFilter ref="A1:AB16"/>
  <tableColumns count="28">
    <tableColumn id="1" name="Bloco"/>
    <tableColumn id="2" name="Zona"/>
    <tableColumn id="3" name="Tronco/Ramal"/>
    <tableColumn id="4" name="Ramal"/>
    <tableColumn id="5" name="Ativo de referência"/>
    <tableColumn id="6" name="De"/>
    <tableColumn id="7" name="Próximo ativo 1"/>
    <tableColumn id="8" name="Próximo ativo 2"/>
    <tableColumn id="9" name="Nível 1"/>
    <tableColumn id="10" name="Nível 2"/>
    <tableColumn id="11" name="Nível 3"/>
    <tableColumn id="12" name="Nível 4"/>
    <tableColumn id="13" name="Nível 5"/>
    <tableColumn id="14" name="Qtd. vãos"/>
    <tableColumn id="15" name="Extensão do bloco (m)"/>
    <tableColumn id="16" name="Qtd. ativos posteriores"/>
    <tableColumn id="17" name="Ativos posteriores (concatenado)"/>
    <tableColumn id="18" name="Outras chaves no bloco (88…)"/>
    <tableColumn id="19" name="Posterior 1"/>
    <tableColumn id="20" name="Posterior 2"/>
    <tableColumn id="21" name="Posterior 3"/>
    <tableColumn id="22" name="Posterior 4"/>
    <tableColumn id="23" name="Posterior 5"/>
    <tableColumn id="24" name="Posterior 6"/>
    <tableColumn id="25" name="Posterior 7"/>
    <tableColumn id="26" name="Posterior 8"/>
    <tableColumn id="27" name="Posterior 9"/>
    <tableColumn id="28" name="Posterior 10"/>
  </tableColumns>
</table>
</file>

<file path=xl/tables/table3.xml><?xml version="1.0" encoding="utf-8"?>
<table xmlns="http://schemas.openxmlformats.org/spreadsheetml/2006/main" id="3" name="Trechos" displayName="Trechos" ref="A1:AB134" headerRowCount="1" totalsRowCount="0" totalsRowShown="0">
  <autoFilter ref="A1:AB134"/>
  <tableColumns count="28">
    <tableColumn id="1" name="Seq"/>
    <tableColumn id="2" name="Trecho"/>
    <tableColumn id="3" name="Trecho no Daimon"/>
    <tableColumn id="4" name="Poste início"/>
    <tableColumn id="5" name="Poste fim"/>
    <tableColumn id="6" name="Extensão (m)"/>
    <tableColumn id="7" name="Distância do DJ até o fim (m)"/>
    <tableColumn id="8" name="Distância do ativo de referência até o fim (m)"/>
    <tableColumn id="9" name="Zona"/>
    <tableColumn id="10" name="Tronco/Ramal"/>
    <tableColumn id="11" name="Ramal"/>
    <tableColumn id="12" name="Bloco"/>
    <tableColumn id="13" name="Ativo de referência"/>
    <tableColumn id="14" name="Tipo do ativo de referência"/>
    <tableColumn id="15" name="Próximo(s) ativo(s)"/>
    <tableColumn id="16" name="Ativos posteriores englobados"/>
    <tableColumn id="17" name="Qtd. ativos posteriores"/>
    <tableColumn id="18" name="Outra chave no fim do vão (88…)"/>
    <tableColumn id="19" name="Nível 1"/>
    <tableColumn id="20" name="Nível 2"/>
    <tableColumn id="21" name="Nível 3"/>
    <tableColumn id="22" name="Nível 4"/>
    <tableColumn id="23" name="Nível 5"/>
    <tableColumn id="24" name="Caminho desde o DJ"/>
    <tableColumn id="25" name="Latitude (meio do vão)"/>
    <tableColumn id="26" name="Longitude (meio do vão)"/>
    <tableColumn id="27" name="Mapa"/>
    <tableColumn id="28" name="Chave do caminho (uso das fórmulas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https://www.google.com/maps?q=-9.6039526,-48.4487063" TargetMode="External"/><Relationship Id="rId3" Type="http://schemas.openxmlformats.org/officeDocument/2006/relationships/hyperlink" Target="https://www.google.com/maps?q=-9.6039526,-48.4483054" TargetMode="External"/><Relationship Id="rId4" Type="http://schemas.openxmlformats.org/officeDocument/2006/relationships/hyperlink" Target="https://www.google.com/maps?q=-9.6039526,-48.4479045" TargetMode="External"/><Relationship Id="rId5" Type="http://schemas.openxmlformats.org/officeDocument/2006/relationships/hyperlink" Target="https://www.google.com/maps?q=-9.6039526,-48.4475037" TargetMode="External"/><Relationship Id="rId6" Type="http://schemas.openxmlformats.org/officeDocument/2006/relationships/hyperlink" Target="https://www.google.com/maps?q=-9.6039526,-48.4471028" TargetMode="External"/><Relationship Id="rId7" Type="http://schemas.openxmlformats.org/officeDocument/2006/relationships/hyperlink" Target="https://www.google.com/maps?q=-9.6039526,-48.4467019" TargetMode="External"/><Relationship Id="rId8" Type="http://schemas.openxmlformats.org/officeDocument/2006/relationships/hyperlink" Target="https://www.google.com/maps?q=-9.6039526,-48.4463011" TargetMode="External"/><Relationship Id="rId9" Type="http://schemas.openxmlformats.org/officeDocument/2006/relationships/hyperlink" Target="https://www.google.com/maps?q=-9.6039526,-48.4459002" TargetMode="External"/><Relationship Id="rId10" Type="http://schemas.openxmlformats.org/officeDocument/2006/relationships/hyperlink" Target="https://www.google.com/maps?q=-9.6039526,-48.4454993" TargetMode="External"/><Relationship Id="rId11" Type="http://schemas.openxmlformats.org/officeDocument/2006/relationships/hyperlink" Target="https://www.google.com/maps?q=-9.6039526,-48.4450984" TargetMode="External"/><Relationship Id="rId12" Type="http://schemas.openxmlformats.org/officeDocument/2006/relationships/hyperlink" Target="https://www.google.com/maps?q=-9.6039526,-48.4446976" TargetMode="External"/><Relationship Id="rId13" Type="http://schemas.openxmlformats.org/officeDocument/2006/relationships/hyperlink" Target="https://www.google.com/maps?q=-9.6039526,-48.4442967" TargetMode="External"/><Relationship Id="rId14" Type="http://schemas.openxmlformats.org/officeDocument/2006/relationships/hyperlink" Target="https://www.google.com/maps?q=-9.6039526,-48.4438958" TargetMode="External"/><Relationship Id="rId15" Type="http://schemas.openxmlformats.org/officeDocument/2006/relationships/hyperlink" Target="https://www.google.com/maps?q=-9.6039526,-48.4434950" TargetMode="External"/><Relationship Id="rId16" Type="http://schemas.openxmlformats.org/officeDocument/2006/relationships/hyperlink" Target="https://www.google.com/maps?q=-9.6039526,-48.4430941" TargetMode="External"/><Relationship Id="rId17" Type="http://schemas.openxmlformats.org/officeDocument/2006/relationships/hyperlink" Target="https://www.google.com/maps?q=-9.6039526,-48.4426932" TargetMode="External"/><Relationship Id="rId18" Type="http://schemas.openxmlformats.org/officeDocument/2006/relationships/hyperlink" Target="https://www.google.com/maps?q=-9.6039526,-48.4422923" TargetMode="External"/><Relationship Id="rId19" Type="http://schemas.openxmlformats.org/officeDocument/2006/relationships/hyperlink" Target="https://www.google.com/maps?q=-9.6039526,-48.4418915" TargetMode="External"/><Relationship Id="rId20" Type="http://schemas.openxmlformats.org/officeDocument/2006/relationships/hyperlink" Target="https://www.google.com/maps?q=-9.6039526,-48.4414906" TargetMode="External"/><Relationship Id="rId21" Type="http://schemas.openxmlformats.org/officeDocument/2006/relationships/hyperlink" Target="https://www.google.com/maps?q=-9.6039526,-48.4410897" TargetMode="External"/><Relationship Id="rId22" Type="http://schemas.openxmlformats.org/officeDocument/2006/relationships/hyperlink" Target="https://www.google.com/maps?q=-9.6039526,-48.4407223" TargetMode="External"/><Relationship Id="rId23" Type="http://schemas.openxmlformats.org/officeDocument/2006/relationships/hyperlink" Target="https://www.google.com/maps?q=-9.6039526,-48.4403882" TargetMode="External"/><Relationship Id="rId24" Type="http://schemas.openxmlformats.org/officeDocument/2006/relationships/hyperlink" Target="https://www.google.com/maps?q=-9.6039526,-48.4400542" TargetMode="External"/><Relationship Id="rId25" Type="http://schemas.openxmlformats.org/officeDocument/2006/relationships/hyperlink" Target="https://www.google.com/maps?q=-9.6039526,-48.4397201" TargetMode="External"/><Relationship Id="rId26" Type="http://schemas.openxmlformats.org/officeDocument/2006/relationships/hyperlink" Target="https://www.google.com/maps?q=-9.6039526,-48.4393860" TargetMode="External"/><Relationship Id="rId27" Type="http://schemas.openxmlformats.org/officeDocument/2006/relationships/hyperlink" Target="https://www.google.com/maps?q=-9.6039526,-48.4390520" TargetMode="External"/><Relationship Id="rId28" Type="http://schemas.openxmlformats.org/officeDocument/2006/relationships/hyperlink" Target="https://www.google.com/maps?q=-9.6039526,-48.4386845" TargetMode="External"/><Relationship Id="rId29" Type="http://schemas.openxmlformats.org/officeDocument/2006/relationships/hyperlink" Target="https://www.google.com/maps?q=-9.6039526,-48.4382836" TargetMode="External"/><Relationship Id="rId30" Type="http://schemas.openxmlformats.org/officeDocument/2006/relationships/hyperlink" Target="https://www.google.com/maps?q=-9.6039526,-48.4378828" TargetMode="External"/><Relationship Id="rId31" Type="http://schemas.openxmlformats.org/officeDocument/2006/relationships/hyperlink" Target="https://www.google.com/maps?q=-9.6039526,-48.4374819" TargetMode="External"/><Relationship Id="rId32" Type="http://schemas.openxmlformats.org/officeDocument/2006/relationships/hyperlink" Target="https://www.google.com/maps?q=-9.6039526,-48.4370810" TargetMode="External"/><Relationship Id="rId33" Type="http://schemas.openxmlformats.org/officeDocument/2006/relationships/hyperlink" Target="https://www.google.com/maps?q=-9.6039526,-48.4366984" TargetMode="External"/><Relationship Id="rId34" Type="http://schemas.openxmlformats.org/officeDocument/2006/relationships/hyperlink" Target="https://www.google.com/maps?q=-9.6039526,-48.4363340" TargetMode="External"/><Relationship Id="rId35" Type="http://schemas.openxmlformats.org/officeDocument/2006/relationships/hyperlink" Target="https://www.google.com/maps?q=-9.6039526,-48.4359695" TargetMode="External"/><Relationship Id="rId36" Type="http://schemas.openxmlformats.org/officeDocument/2006/relationships/hyperlink" Target="https://www.google.com/maps?q=-9.6039526,-48.4356051" TargetMode="External"/><Relationship Id="rId37" Type="http://schemas.openxmlformats.org/officeDocument/2006/relationships/hyperlink" Target="https://www.google.com/maps?q=-9.6039526,-48.4352407" TargetMode="External"/><Relationship Id="rId38" Type="http://schemas.openxmlformats.org/officeDocument/2006/relationships/hyperlink" Target="https://www.google.com/maps?q=-9.6039526,-48.4348762" TargetMode="External"/><Relationship Id="rId39" Type="http://schemas.openxmlformats.org/officeDocument/2006/relationships/hyperlink" Target="https://www.google.com/maps?q=-9.6037729,-48.4346940" TargetMode="External"/><Relationship Id="rId40" Type="http://schemas.openxmlformats.org/officeDocument/2006/relationships/hyperlink" Target="https://www.google.com/maps?q=-9.6034136,-48.4346940" TargetMode="External"/><Relationship Id="rId41" Type="http://schemas.openxmlformats.org/officeDocument/2006/relationships/hyperlink" Target="https://www.google.com/maps?q=-9.6030543,-48.4346940" TargetMode="External"/><Relationship Id="rId42" Type="http://schemas.openxmlformats.org/officeDocument/2006/relationships/hyperlink" Target="https://www.google.com/maps?q=-9.6026949,-48.4346940" TargetMode="External"/><Relationship Id="rId43" Type="http://schemas.openxmlformats.org/officeDocument/2006/relationships/hyperlink" Target="https://www.google.com/maps?q=-9.6023356,-48.4346940" TargetMode="External"/><Relationship Id="rId44" Type="http://schemas.openxmlformats.org/officeDocument/2006/relationships/hyperlink" Target="https://www.google.com/maps?q=-9.6039526,-48.4345118" TargetMode="External"/><Relationship Id="rId45" Type="http://schemas.openxmlformats.org/officeDocument/2006/relationships/hyperlink" Target="https://www.google.com/maps?q=-9.6039526,-48.4341474" TargetMode="External"/><Relationship Id="rId46" Type="http://schemas.openxmlformats.org/officeDocument/2006/relationships/hyperlink" Target="https://www.google.com/maps?q=-9.6039526,-48.4337830" TargetMode="External"/><Relationship Id="rId47" Type="http://schemas.openxmlformats.org/officeDocument/2006/relationships/hyperlink" Target="https://www.google.com/maps?q=-9.6039526,-48.4334185" TargetMode="External"/><Relationship Id="rId48" Type="http://schemas.openxmlformats.org/officeDocument/2006/relationships/hyperlink" Target="https://www.google.com/maps?q=-9.6039526,-48.4330541" TargetMode="External"/><Relationship Id="rId49" Type="http://schemas.openxmlformats.org/officeDocument/2006/relationships/hyperlink" Target="https://www.google.com/maps?q=-9.6039526,-48.4326897" TargetMode="External"/><Relationship Id="rId50" Type="http://schemas.openxmlformats.org/officeDocument/2006/relationships/hyperlink" Target="https://www.google.com/maps?q=-9.6041322,-48.4469024" TargetMode="External"/><Relationship Id="rId51" Type="http://schemas.openxmlformats.org/officeDocument/2006/relationships/hyperlink" Target="https://www.google.com/maps?q=-9.6044916,-48.4469024" TargetMode="External"/><Relationship Id="rId52" Type="http://schemas.openxmlformats.org/officeDocument/2006/relationships/hyperlink" Target="https://www.google.com/maps?q=-9.6048509,-48.4469024" TargetMode="External"/><Relationship Id="rId53" Type="http://schemas.openxmlformats.org/officeDocument/2006/relationships/hyperlink" Target="https://www.google.com/maps?q=-9.6052102,-48.4469024" TargetMode="External"/><Relationship Id="rId54" Type="http://schemas.openxmlformats.org/officeDocument/2006/relationships/hyperlink" Target="https://www.google.com/maps?q=-9.6055695,-48.4469024" TargetMode="External"/><Relationship Id="rId55" Type="http://schemas.openxmlformats.org/officeDocument/2006/relationships/hyperlink" Target="https://www.google.com/maps?q=-9.6059468,-48.4469024" TargetMode="External"/><Relationship Id="rId56" Type="http://schemas.openxmlformats.org/officeDocument/2006/relationships/hyperlink" Target="https://www.google.com/maps?q=-9.6063421,-48.4469024" TargetMode="External"/><Relationship Id="rId57" Type="http://schemas.openxmlformats.org/officeDocument/2006/relationships/hyperlink" Target="https://www.google.com/maps?q=-9.6067373,-48.4469024" TargetMode="External"/><Relationship Id="rId58" Type="http://schemas.openxmlformats.org/officeDocument/2006/relationships/hyperlink" Target="https://www.google.com/maps?q=-9.6071326,-48.4469024" TargetMode="External"/><Relationship Id="rId59" Type="http://schemas.openxmlformats.org/officeDocument/2006/relationships/hyperlink" Target="https://www.google.com/maps?q=-9.6075278,-48.4469024" TargetMode="External"/><Relationship Id="rId60" Type="http://schemas.openxmlformats.org/officeDocument/2006/relationships/hyperlink" Target="https://www.google.com/maps?q=-9.6079051,-48.4469024" TargetMode="External"/><Relationship Id="rId61" Type="http://schemas.openxmlformats.org/officeDocument/2006/relationships/hyperlink" Target="https://www.google.com/maps?q=-9.6082645,-48.4469024" TargetMode="External"/><Relationship Id="rId62" Type="http://schemas.openxmlformats.org/officeDocument/2006/relationships/hyperlink" Target="https://www.google.com/maps?q=-9.6086238,-48.4469024" TargetMode="External"/><Relationship Id="rId63" Type="http://schemas.openxmlformats.org/officeDocument/2006/relationships/hyperlink" Target="https://www.google.com/maps?q=-9.6089831,-48.4469024" TargetMode="External"/><Relationship Id="rId64" Type="http://schemas.openxmlformats.org/officeDocument/2006/relationships/hyperlink" Target="https://www.google.com/maps?q=-9.6093424,-48.4469024" TargetMode="External"/><Relationship Id="rId65" Type="http://schemas.openxmlformats.org/officeDocument/2006/relationships/hyperlink" Target="https://www.google.com/maps?q=-9.6095221,-48.4467050" TargetMode="External"/><Relationship Id="rId66" Type="http://schemas.openxmlformats.org/officeDocument/2006/relationships/hyperlink" Target="https://www.google.com/maps?q=-9.6095221,-48.4463102" TargetMode="External"/><Relationship Id="rId67" Type="http://schemas.openxmlformats.org/officeDocument/2006/relationships/hyperlink" Target="https://www.google.com/maps?q=-9.6095221,-48.4459154" TargetMode="External"/><Relationship Id="rId68" Type="http://schemas.openxmlformats.org/officeDocument/2006/relationships/hyperlink" Target="https://www.google.com/maps?q=-9.6095221,-48.4455206" TargetMode="External"/><Relationship Id="rId69" Type="http://schemas.openxmlformats.org/officeDocument/2006/relationships/hyperlink" Target="https://www.google.com/maps?q=-9.6095221,-48.4451258" TargetMode="External"/><Relationship Id="rId70" Type="http://schemas.openxmlformats.org/officeDocument/2006/relationships/hyperlink" Target="https://www.google.com/maps?q=-9.6095221,-48.4447310" TargetMode="External"/><Relationship Id="rId71" Type="http://schemas.openxmlformats.org/officeDocument/2006/relationships/hyperlink" Target="https://www.google.com/maps?q=-9.6097018,-48.4469024" TargetMode="External"/><Relationship Id="rId72" Type="http://schemas.openxmlformats.org/officeDocument/2006/relationships/hyperlink" Target="https://www.google.com/maps?q=-9.6100611,-48.4469024" TargetMode="External"/><Relationship Id="rId73" Type="http://schemas.openxmlformats.org/officeDocument/2006/relationships/hyperlink" Target="https://www.google.com/maps?q=-9.6104204,-48.4469024" TargetMode="External"/><Relationship Id="rId74" Type="http://schemas.openxmlformats.org/officeDocument/2006/relationships/hyperlink" Target="https://www.google.com/maps?q=-9.6107797,-48.4469024" TargetMode="External"/><Relationship Id="rId75" Type="http://schemas.openxmlformats.org/officeDocument/2006/relationships/hyperlink" Target="https://www.google.com/maps?q=-9.6111391,-48.4469024" TargetMode="External"/><Relationship Id="rId76" Type="http://schemas.openxmlformats.org/officeDocument/2006/relationships/hyperlink" Target="https://www.google.com/maps?q=-9.6095221,-48.4443514" TargetMode="External"/><Relationship Id="rId77" Type="http://schemas.openxmlformats.org/officeDocument/2006/relationships/hyperlink" Target="https://www.google.com/maps?q=-9.6095221,-48.4439869" TargetMode="External"/><Relationship Id="rId78" Type="http://schemas.openxmlformats.org/officeDocument/2006/relationships/hyperlink" Target="https://www.google.com/maps?q=-9.6095221,-48.4436225" TargetMode="External"/><Relationship Id="rId79" Type="http://schemas.openxmlformats.org/officeDocument/2006/relationships/hyperlink" Target="https://www.google.com/maps?q=-9.6095221,-48.4432581" TargetMode="External"/><Relationship Id="rId80" Type="http://schemas.openxmlformats.org/officeDocument/2006/relationships/hyperlink" Target="https://www.google.com/maps?q=-9.6095221,-48.4428937" TargetMode="External"/><Relationship Id="rId81" Type="http://schemas.openxmlformats.org/officeDocument/2006/relationships/hyperlink" Target="https://www.google.com/maps?q=-9.6095221,-48.4425292" TargetMode="External"/><Relationship Id="rId82" Type="http://schemas.openxmlformats.org/officeDocument/2006/relationships/hyperlink" Target="https://www.google.com/maps?q=-9.6037729,-48.4448980" TargetMode="External"/><Relationship Id="rId83" Type="http://schemas.openxmlformats.org/officeDocument/2006/relationships/hyperlink" Target="https://www.google.com/maps?q=-9.6034136,-48.4448980" TargetMode="External"/><Relationship Id="rId84" Type="http://schemas.openxmlformats.org/officeDocument/2006/relationships/hyperlink" Target="https://www.google.com/maps?q=-9.6030543,-48.4448980" TargetMode="External"/><Relationship Id="rId85" Type="http://schemas.openxmlformats.org/officeDocument/2006/relationships/hyperlink" Target="https://www.google.com/maps?q=-9.6026949,-48.4448980" TargetMode="External"/><Relationship Id="rId86" Type="http://schemas.openxmlformats.org/officeDocument/2006/relationships/hyperlink" Target="https://www.google.com/maps?q=-9.6023356,-48.4448980" TargetMode="External"/><Relationship Id="rId87" Type="http://schemas.openxmlformats.org/officeDocument/2006/relationships/hyperlink" Target="https://www.google.com/maps?q=-9.6019763,-48.4448980" TargetMode="External"/><Relationship Id="rId88" Type="http://schemas.openxmlformats.org/officeDocument/2006/relationships/hyperlink" Target="https://www.google.com/maps?q=-9.6016170,-48.4448980" TargetMode="External"/><Relationship Id="rId89" Type="http://schemas.openxmlformats.org/officeDocument/2006/relationships/hyperlink" Target="https://www.google.com/maps?q=-9.6012576,-48.4448980" TargetMode="External"/><Relationship Id="rId90" Type="http://schemas.openxmlformats.org/officeDocument/2006/relationships/hyperlink" Target="https://www.google.com/maps?q=-9.6008983,-48.4448980" TargetMode="External"/><Relationship Id="rId91" Type="http://schemas.openxmlformats.org/officeDocument/2006/relationships/hyperlink" Target="https://www.google.com/maps?q=-9.6041502,-48.4408893" TargetMode="External"/><Relationship Id="rId92" Type="http://schemas.openxmlformats.org/officeDocument/2006/relationships/hyperlink" Target="https://www.google.com/maps?q=-9.6045455,-48.4408893" TargetMode="External"/><Relationship Id="rId93" Type="http://schemas.openxmlformats.org/officeDocument/2006/relationships/hyperlink" Target="https://www.google.com/maps?q=-9.6049407,-48.4408893" TargetMode="External"/><Relationship Id="rId94" Type="http://schemas.openxmlformats.org/officeDocument/2006/relationships/hyperlink" Target="https://www.google.com/maps?q=-9.6053360,-48.4408893" TargetMode="External"/><Relationship Id="rId95" Type="http://schemas.openxmlformats.org/officeDocument/2006/relationships/hyperlink" Target="https://www.google.com/maps?q=-9.6057312,-48.4408893" TargetMode="External"/><Relationship Id="rId96" Type="http://schemas.openxmlformats.org/officeDocument/2006/relationships/hyperlink" Target="https://www.google.com/maps?q=-9.6061265,-48.4408893" TargetMode="External"/><Relationship Id="rId97" Type="http://schemas.openxmlformats.org/officeDocument/2006/relationships/hyperlink" Target="https://www.google.com/maps?q=-9.6065217,-48.4408893" TargetMode="External"/><Relationship Id="rId98" Type="http://schemas.openxmlformats.org/officeDocument/2006/relationships/hyperlink" Target="https://www.google.com/maps?q=-9.6069170,-48.4408893" TargetMode="External"/><Relationship Id="rId99" Type="http://schemas.openxmlformats.org/officeDocument/2006/relationships/hyperlink" Target="https://www.google.com/maps?q=-9.6073123,-48.4408893" TargetMode="External"/><Relationship Id="rId100" Type="http://schemas.openxmlformats.org/officeDocument/2006/relationships/hyperlink" Target="https://www.google.com/maps?q=-9.6077075,-48.4408893" TargetMode="External"/><Relationship Id="rId101" Type="http://schemas.openxmlformats.org/officeDocument/2006/relationships/hyperlink" Target="https://www.google.com/maps?q=-9.6037729,-48.4388849" TargetMode="External"/><Relationship Id="rId102" Type="http://schemas.openxmlformats.org/officeDocument/2006/relationships/hyperlink" Target="https://www.google.com/maps?q=-9.6034136,-48.4388849" TargetMode="External"/><Relationship Id="rId103" Type="http://schemas.openxmlformats.org/officeDocument/2006/relationships/hyperlink" Target="https://www.google.com/maps?q=-9.6030543,-48.4388849" TargetMode="External"/><Relationship Id="rId104" Type="http://schemas.openxmlformats.org/officeDocument/2006/relationships/hyperlink" Target="https://www.google.com/maps?q=-9.6026949,-48.4388849" TargetMode="External"/><Relationship Id="rId105" Type="http://schemas.openxmlformats.org/officeDocument/2006/relationships/hyperlink" Target="https://www.google.com/maps?q=-9.6023356,-48.4388849" TargetMode="External"/><Relationship Id="rId106" Type="http://schemas.openxmlformats.org/officeDocument/2006/relationships/hyperlink" Target="https://www.google.com/maps?q=-9.6019763,-48.4388849" TargetMode="External"/><Relationship Id="rId107" Type="http://schemas.openxmlformats.org/officeDocument/2006/relationships/hyperlink" Target="https://www.google.com/maps?q=-9.6016170,-48.4388849" TargetMode="External"/><Relationship Id="rId108" Type="http://schemas.openxmlformats.org/officeDocument/2006/relationships/hyperlink" Target="https://www.google.com/maps?q=-9.6012576,-48.4388849" TargetMode="External"/><Relationship Id="rId109" Type="http://schemas.openxmlformats.org/officeDocument/2006/relationships/hyperlink" Target="https://www.google.com/maps?q=-9.6019763,-48.4346940" TargetMode="External"/><Relationship Id="rId110" Type="http://schemas.openxmlformats.org/officeDocument/2006/relationships/hyperlink" Target="https://www.google.com/maps?q=-9.6016170,-48.4346940" TargetMode="External"/><Relationship Id="rId111" Type="http://schemas.openxmlformats.org/officeDocument/2006/relationships/hyperlink" Target="https://www.google.com/maps?q=-9.6012576,-48.4346940" TargetMode="External"/><Relationship Id="rId112" Type="http://schemas.openxmlformats.org/officeDocument/2006/relationships/hyperlink" Target="https://www.google.com/maps?q=-9.6008983,-48.4346940" TargetMode="External"/><Relationship Id="rId113" Type="http://schemas.openxmlformats.org/officeDocument/2006/relationships/hyperlink" Target="https://www.google.com/maps?q=-9.6039526,-48.4323252" TargetMode="External"/><Relationship Id="rId114" Type="http://schemas.openxmlformats.org/officeDocument/2006/relationships/hyperlink" Target="https://www.google.com/maps?q=-9.6039526,-48.4319608" TargetMode="External"/><Relationship Id="rId115" Type="http://schemas.openxmlformats.org/officeDocument/2006/relationships/hyperlink" Target="https://www.google.com/maps?q=-9.6039526,-48.4315964" TargetMode="External"/><Relationship Id="rId116" Type="http://schemas.openxmlformats.org/officeDocument/2006/relationships/hyperlink" Target="https://www.google.com/maps?q=-9.6039526,-48.4312320" TargetMode="External"/><Relationship Id="rId117" Type="http://schemas.openxmlformats.org/officeDocument/2006/relationships/hyperlink" Target="https://www.google.com/maps?q=-9.6039526,-48.4308675" TargetMode="External"/><Relationship Id="rId118" Type="http://schemas.openxmlformats.org/officeDocument/2006/relationships/hyperlink" Target="https://www.google.com/maps?q=-9.6039526,-48.4305031" TargetMode="External"/><Relationship Id="rId119" Type="http://schemas.openxmlformats.org/officeDocument/2006/relationships/hyperlink" Target="https://www.google.com/maps?q=-9.6037729,-48.4303209" TargetMode="External"/><Relationship Id="rId120" Type="http://schemas.openxmlformats.org/officeDocument/2006/relationships/hyperlink" Target="https://www.google.com/maps?q=-9.6034136,-48.4303209" TargetMode="External"/><Relationship Id="rId121" Type="http://schemas.openxmlformats.org/officeDocument/2006/relationships/hyperlink" Target="https://www.google.com/maps?q=-9.6030543,-48.4303209" TargetMode="External"/><Relationship Id="rId122" Type="http://schemas.openxmlformats.org/officeDocument/2006/relationships/hyperlink" Target="https://www.google.com/maps?q=-9.6026949,-48.4303209" TargetMode="External"/><Relationship Id="rId123" Type="http://schemas.openxmlformats.org/officeDocument/2006/relationships/hyperlink" Target="https://www.google.com/maps?q=-9.6023356,-48.4303209" TargetMode="External"/><Relationship Id="rId124" Type="http://schemas.openxmlformats.org/officeDocument/2006/relationships/hyperlink" Target="https://www.google.com/maps?q=-9.6041322,-48.4303209" TargetMode="External"/><Relationship Id="rId125" Type="http://schemas.openxmlformats.org/officeDocument/2006/relationships/hyperlink" Target="https://www.google.com/maps?q=-9.6044916,-48.4303209" TargetMode="External"/><Relationship Id="rId126" Type="http://schemas.openxmlformats.org/officeDocument/2006/relationships/hyperlink" Target="https://www.google.com/maps?q=-9.6048509,-48.4303209" TargetMode="External"/><Relationship Id="rId127" Type="http://schemas.openxmlformats.org/officeDocument/2006/relationships/hyperlink" Target="https://www.google.com/maps?q=-9.6052102,-48.4303209" TargetMode="External"/><Relationship Id="rId128" Type="http://schemas.openxmlformats.org/officeDocument/2006/relationships/hyperlink" Target="https://www.google.com/maps?q=-9.6055695,-48.4303209" TargetMode="External"/><Relationship Id="rId129" Type="http://schemas.openxmlformats.org/officeDocument/2006/relationships/hyperlink" Target="https://www.google.com/maps?q=-9.6059289,-48.4303209" TargetMode="External"/><Relationship Id="rId130" Type="http://schemas.openxmlformats.org/officeDocument/2006/relationships/hyperlink" Target="https://www.google.com/maps?q=-9.6062882,-48.4303209" TargetMode="External"/><Relationship Id="rId131" Type="http://schemas.openxmlformats.org/officeDocument/2006/relationships/hyperlink" Target="https://www.google.com/maps?q=-9.6019763,-48.4303209" TargetMode="External"/><Relationship Id="rId132" Type="http://schemas.openxmlformats.org/officeDocument/2006/relationships/hyperlink" Target="https://www.google.com/maps?q=-9.6016170,-48.4303209" TargetMode="External"/><Relationship Id="rId133" Type="http://schemas.openxmlformats.org/officeDocument/2006/relationships/hyperlink" Target="https://www.google.com/maps?q=-9.6012576,-48.4303209" TargetMode="External"/><Relationship Id="rId134" Type="http://schemas.openxmlformats.org/officeDocument/2006/relationships/hyperlink" Target="https://www.google.com/maps?q=-9.6008983,-48.4303209" TargetMode="External"/><Relationship Id="rId135" Type="http://schemas.openxmlformats.org/officeDocument/2006/relationships/vmlDrawing" Target="../drawings/vmlDrawing2.vml"/><Relationship Id="rId136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hyperlink" Target="https://www.google.com/maps?q=-9.6039526,-48.4489067" TargetMode="External"/><Relationship Id="rId3" Type="http://schemas.openxmlformats.org/officeDocument/2006/relationships/hyperlink" Target="https://www.google.com/maps?q=-9.6039526,-48.4428937" TargetMode="External"/><Relationship Id="rId4" Type="http://schemas.openxmlformats.org/officeDocument/2006/relationships/hyperlink" Target="https://www.google.com/maps?q=-9.6039526,-48.4398871" TargetMode="External"/><Relationship Id="rId5" Type="http://schemas.openxmlformats.org/officeDocument/2006/relationships/hyperlink" Target="https://www.google.com/maps?q=-9.6039526,-48.4368806" TargetMode="External"/><Relationship Id="rId6" Type="http://schemas.openxmlformats.org/officeDocument/2006/relationships/hyperlink" Target="https://www.google.com/maps?q=-9.6021559,-48.4346940" TargetMode="External"/><Relationship Id="rId7" Type="http://schemas.openxmlformats.org/officeDocument/2006/relationships/hyperlink" Target="https://www.google.com/maps?q=-9.6039526,-48.4325075" TargetMode="External"/><Relationship Id="rId8" Type="http://schemas.openxmlformats.org/officeDocument/2006/relationships/hyperlink" Target="https://www.google.com/maps?q=-9.6057492,-48.4469024" TargetMode="External"/><Relationship Id="rId9" Type="http://schemas.openxmlformats.org/officeDocument/2006/relationships/hyperlink" Target="https://www.google.com/maps?q=-9.6077255,-48.4469024" TargetMode="External"/><Relationship Id="rId10" Type="http://schemas.openxmlformats.org/officeDocument/2006/relationships/hyperlink" Target="https://www.google.com/maps?q=-9.6095221,-48.4445336" TargetMode="External"/><Relationship Id="rId11" Type="http://schemas.openxmlformats.org/officeDocument/2006/relationships/hyperlink" Target="https://www.google.com/maps?q=-9.6021559,-48.4448980" TargetMode="External"/><Relationship Id="rId12" Type="http://schemas.openxmlformats.org/officeDocument/2006/relationships/hyperlink" Target="https://www.google.com/maps?q=-9.6059289,-48.4408893" TargetMode="External"/><Relationship Id="rId13" Type="http://schemas.openxmlformats.org/officeDocument/2006/relationships/hyperlink" Target="https://www.google.com/maps?q=-9.6039526,-48.4310497" TargetMode="External"/><Relationship Id="rId14" Type="http://schemas.openxmlformats.org/officeDocument/2006/relationships/hyperlink" Target="https://www.google.com/maps?q=-9.6021559,-48.4303209" TargetMode="External"/><Relationship Id="rId15" Type="http://schemas.openxmlformats.org/officeDocument/2006/relationships/vmlDrawing" Target="../drawings/vmlDrawing3.vml"/><Relationship Id="rId16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4" t="s">
        <v>3</v>
      </c>
      <c r="B4" s="3" t="s">
        <v>4</v>
      </c>
    </row>
    <row r="5" customFormat="false" ht="23.85" hidden="false" customHeight="false" outlineLevel="0" collapsed="false">
      <c r="A5" s="4" t="s">
        <v>5</v>
      </c>
      <c r="B5" s="3" t="s">
        <v>6</v>
      </c>
    </row>
    <row r="6" customFormat="false" ht="23.85" hidden="false" customHeight="false" outlineLevel="0" collapsed="false">
      <c r="A6" s="4" t="s">
        <v>7</v>
      </c>
      <c r="B6" s="3" t="s">
        <v>8</v>
      </c>
    </row>
    <row r="7" customFormat="false" ht="15" hidden="false" customHeight="false" outlineLevel="0" collapsed="false">
      <c r="A7" s="4" t="s">
        <v>9</v>
      </c>
      <c r="B7" s="3" t="s">
        <v>10</v>
      </c>
    </row>
    <row r="8" customFormat="false" ht="15" hidden="false" customHeight="false" outlineLevel="0" collapsed="false">
      <c r="A8" s="4" t="s">
        <v>11</v>
      </c>
      <c r="B8" s="3" t="s">
        <v>12</v>
      </c>
    </row>
    <row r="9" customFormat="false" ht="23.85" hidden="false" customHeight="false" outlineLevel="0" collapsed="false">
      <c r="A9" s="4" t="s">
        <v>13</v>
      </c>
      <c r="B9" s="3" t="s">
        <v>14</v>
      </c>
    </row>
    <row r="10" customFormat="false" ht="15" hidden="false" customHeight="false" outlineLevel="0" collapsed="false">
      <c r="A10" s="4" t="s">
        <v>15</v>
      </c>
      <c r="B10" s="3" t="s">
        <v>16</v>
      </c>
    </row>
    <row r="11" customFormat="false" ht="15" hidden="false" customHeight="false" outlineLevel="0" collapsed="false">
      <c r="A11" s="4" t="s">
        <v>17</v>
      </c>
      <c r="B11" s="3" t="s">
        <v>18</v>
      </c>
    </row>
    <row r="12" customFormat="false" ht="35.05" hidden="false" customHeight="false" outlineLevel="0" collapsed="false">
      <c r="A12" s="4" t="s">
        <v>19</v>
      </c>
      <c r="B12" s="3" t="s">
        <v>20</v>
      </c>
    </row>
    <row r="14" customFormat="false" ht="15" hidden="false" customHeight="false" outlineLevel="0" collapsed="false">
      <c r="A14" s="5" t="s">
        <v>21</v>
      </c>
    </row>
    <row r="15" customFormat="false" ht="15" hidden="false" customHeight="false" outlineLevel="0" collapsed="false">
      <c r="A15" s="6" t="s">
        <v>22</v>
      </c>
    </row>
    <row r="16" customFormat="false" ht="15" hidden="false" customHeight="false" outlineLevel="0" collapsed="false">
      <c r="A16" s="7" t="s">
        <v>23</v>
      </c>
    </row>
    <row r="17" customFormat="false" ht="15" hidden="false" customHeight="false" outlineLevel="0" collapsed="false">
      <c r="A17" s="8" t="s">
        <v>24</v>
      </c>
    </row>
    <row r="18" customFormat="false" ht="15" hidden="false" customHeight="false" outlineLevel="0" collapsed="false">
      <c r="A18" s="9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7" min="3" style="0" width="10"/>
    <col collapsed="false" customWidth="true" hidden="false" outlineLevel="0" max="8" min="8" style="0" width="13"/>
    <col collapsed="false" customWidth="true" hidden="false" outlineLevel="0" max="9" min="9" style="0" width="22"/>
    <col collapsed="false" customWidth="true" hidden="false" outlineLevel="0" max="10" min="10" style="0" width="7"/>
    <col collapsed="false" customWidth="true" hidden="false" outlineLevel="0" max="11" min="11" style="0" width="12"/>
    <col collapsed="false" customWidth="true" hidden="false" outlineLevel="0" max="12" min="12" style="0" width="18"/>
    <col collapsed="false" customWidth="true" hidden="false" outlineLevel="0" max="13" min="13" style="0" width="44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10" t="s">
        <v>27</v>
      </c>
    </row>
    <row r="3" customFormat="false" ht="15" hidden="false" customHeight="false" outlineLevel="0" collapsed="false">
      <c r="A3" s="5" t="s">
        <v>28</v>
      </c>
      <c r="B3" s="11" t="s">
        <v>22</v>
      </c>
      <c r="C3" s="12" t="s">
        <v>23</v>
      </c>
      <c r="D3" s="13" t="s">
        <v>24</v>
      </c>
      <c r="E3" s="14" t="s">
        <v>25</v>
      </c>
    </row>
    <row r="5" customFormat="false" ht="31.5" hidden="false" customHeight="true" outlineLevel="0" collapsed="false">
      <c r="A5" s="15" t="s">
        <v>13</v>
      </c>
      <c r="B5" s="15" t="s">
        <v>3</v>
      </c>
      <c r="C5" s="15" t="s">
        <v>29</v>
      </c>
      <c r="D5" s="15" t="s">
        <v>30</v>
      </c>
      <c r="E5" s="15" t="s">
        <v>31</v>
      </c>
      <c r="F5" s="15" t="s">
        <v>32</v>
      </c>
      <c r="G5" s="15" t="s">
        <v>33</v>
      </c>
      <c r="H5" s="15" t="s">
        <v>34</v>
      </c>
      <c r="I5" s="15" t="s">
        <v>35</v>
      </c>
      <c r="J5" s="15" t="s">
        <v>36</v>
      </c>
      <c r="K5" s="15" t="s">
        <v>37</v>
      </c>
      <c r="L5" s="15" t="s">
        <v>38</v>
      </c>
      <c r="M5" s="15" t="s">
        <v>39</v>
      </c>
    </row>
    <row r="6" customFormat="false" ht="15" hidden="false" customHeight="false" outlineLevel="0" collapsed="false">
      <c r="A6" s="16" t="s">
        <v>40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customFormat="false" ht="15" hidden="false" customHeight="false" outlineLevel="0" collapsed="false">
      <c r="A7" s="17" t="n">
        <v>1</v>
      </c>
      <c r="B7" s="18" t="s">
        <v>22</v>
      </c>
      <c r="C7" s="19" t="s">
        <v>41</v>
      </c>
      <c r="D7" s="20"/>
      <c r="E7" s="20"/>
      <c r="F7" s="20"/>
      <c r="G7" s="20"/>
      <c r="H7" s="21" t="s">
        <v>41</v>
      </c>
      <c r="I7" s="21" t="s">
        <v>42</v>
      </c>
      <c r="J7" s="21" t="n">
        <f aca="false">COUNTIFS(Trechos!$L$2:$L$134,A7)</f>
        <v>15</v>
      </c>
      <c r="K7" s="22" t="n">
        <f aca="false">SUMIFS(Trechos!$F$2:$F$134,Trechos!$L$2:$L$134,A7)</f>
        <v>659.250764571799</v>
      </c>
      <c r="L7" s="21" t="s">
        <v>43</v>
      </c>
      <c r="M7" s="21" t="str">
        <f aca="false">Blocos!Q2</f>
        <v>RL1, RL2, RL3, 03-E, 03-F, 03-D, 03-C, RL-A, 03-A, 03-B</v>
      </c>
    </row>
    <row r="8" customFormat="false" ht="15" hidden="false" customHeight="false" outlineLevel="0" collapsed="false">
      <c r="A8" s="17" t="n">
        <v>2</v>
      </c>
      <c r="B8" s="23" t="s">
        <v>23</v>
      </c>
      <c r="C8" s="24" t="s">
        <v>41</v>
      </c>
      <c r="D8" s="25" t="s">
        <v>42</v>
      </c>
      <c r="E8" s="20"/>
      <c r="F8" s="20"/>
      <c r="G8" s="20"/>
      <c r="H8" s="21" t="s">
        <v>42</v>
      </c>
      <c r="I8" s="21" t="s">
        <v>44</v>
      </c>
      <c r="J8" s="21" t="n">
        <f aca="false">COUNTIFS(Trechos!$L$2:$L$134,A8)</f>
        <v>16</v>
      </c>
      <c r="K8" s="22" t="n">
        <f aca="false">SUMIFS(Trechos!$F$2:$F$134,Trechos!$L$2:$L$134,A8)</f>
        <v>659.250764571803</v>
      </c>
      <c r="L8" s="21" t="s">
        <v>45</v>
      </c>
      <c r="M8" s="21" t="str">
        <f aca="false">Blocos!Q3</f>
        <v>RL2, RL3, 03-E, 03-F, 03-D</v>
      </c>
    </row>
    <row r="9" customFormat="false" ht="15" hidden="false" customHeight="false" outlineLevel="0" collapsed="false">
      <c r="A9" s="17" t="n">
        <v>3</v>
      </c>
      <c r="B9" s="23" t="s">
        <v>23</v>
      </c>
      <c r="C9" s="24" t="s">
        <v>41</v>
      </c>
      <c r="D9" s="24" t="s">
        <v>42</v>
      </c>
      <c r="E9" s="25" t="s">
        <v>44</v>
      </c>
      <c r="F9" s="20"/>
      <c r="G9" s="20"/>
      <c r="H9" s="21" t="s">
        <v>44</v>
      </c>
      <c r="I9" s="21" t="s">
        <v>46</v>
      </c>
      <c r="J9" s="21" t="n">
        <f aca="false">COUNTIFS(Trechos!$L$2:$L$134,A9)</f>
        <v>17</v>
      </c>
      <c r="K9" s="22" t="n">
        <f aca="false">SUMIFS(Trechos!$F$2:$F$134,Trechos!$L$2:$L$134,A9)</f>
        <v>679.23039192074</v>
      </c>
      <c r="L9" s="21" t="s">
        <v>43</v>
      </c>
      <c r="M9" s="21" t="str">
        <f aca="false">Blocos!Q4</f>
        <v>RL3, 03-E, 03-F</v>
      </c>
    </row>
    <row r="10" customFormat="false" ht="15" hidden="false" customHeight="false" outlineLevel="0" collapsed="false">
      <c r="A10" s="16" t="s">
        <v>47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 customFormat="false" ht="15" hidden="false" customHeight="false" outlineLevel="0" collapsed="false">
      <c r="A11" s="17" t="n">
        <v>4</v>
      </c>
      <c r="B11" s="18" t="s">
        <v>22</v>
      </c>
      <c r="C11" s="19" t="s">
        <v>41</v>
      </c>
      <c r="D11" s="20"/>
      <c r="E11" s="20"/>
      <c r="F11" s="20"/>
      <c r="G11" s="20"/>
      <c r="H11" s="21" t="s">
        <v>48</v>
      </c>
      <c r="I11" s="21" t="s">
        <v>49</v>
      </c>
      <c r="J11" s="21" t="n">
        <f aca="false">COUNTIFS(Trechos!$L$2:$L$134,A11)</f>
        <v>5</v>
      </c>
      <c r="K11" s="22" t="n">
        <f aca="false">SUMIFS(Trechos!$F$2:$F$134,Trechos!$L$2:$L$134,A11)</f>
        <v>199.775290414291</v>
      </c>
      <c r="L11" s="21" t="s">
        <v>43</v>
      </c>
      <c r="M11" s="21" t="str">
        <f aca="false">Blocos!Q5</f>
        <v>RL-A, 03-A, 03-B</v>
      </c>
    </row>
    <row r="12" customFormat="false" ht="15" hidden="false" customHeight="false" outlineLevel="0" collapsed="false">
      <c r="A12" s="17" t="n">
        <v>5</v>
      </c>
      <c r="B12" s="23" t="s">
        <v>23</v>
      </c>
      <c r="C12" s="24" t="s">
        <v>41</v>
      </c>
      <c r="D12" s="25" t="s">
        <v>49</v>
      </c>
      <c r="E12" s="20"/>
      <c r="F12" s="20"/>
      <c r="G12" s="20"/>
      <c r="H12" s="21" t="s">
        <v>49</v>
      </c>
      <c r="I12" s="21" t="s">
        <v>50</v>
      </c>
      <c r="J12" s="21" t="n">
        <f aca="false">COUNTIFS(Trechos!$L$2:$L$134,A12)</f>
        <v>5</v>
      </c>
      <c r="K12" s="22" t="n">
        <f aca="false">SUMIFS(Trechos!$F$2:$F$134,Trechos!$L$2:$L$134,A12)</f>
        <v>219.752819455684</v>
      </c>
      <c r="L12" s="21" t="s">
        <v>43</v>
      </c>
      <c r="M12" s="21" t="str">
        <f aca="false">Blocos!Q6</f>
        <v>03-A, 03-B</v>
      </c>
    </row>
    <row r="13" customFormat="false" ht="15" hidden="false" customHeight="false" outlineLevel="0" collapsed="false">
      <c r="A13" s="17" t="n">
        <v>6</v>
      </c>
      <c r="B13" s="26" t="s">
        <v>24</v>
      </c>
      <c r="C13" s="24" t="s">
        <v>41</v>
      </c>
      <c r="D13" s="24" t="s">
        <v>49</v>
      </c>
      <c r="E13" s="27" t="s">
        <v>50</v>
      </c>
      <c r="F13" s="20"/>
      <c r="G13" s="20"/>
      <c r="H13" s="21" t="s">
        <v>50</v>
      </c>
      <c r="I13" s="21" t="s">
        <v>51</v>
      </c>
      <c r="J13" s="21" t="n">
        <f aca="false">COUNTIFS(Trechos!$L$2:$L$134,A13)</f>
        <v>16</v>
      </c>
      <c r="K13" s="22" t="n">
        <f aca="false">SUMIFS(Trechos!$F$2:$F$134,Trechos!$L$2:$L$134,A13)</f>
        <v>659.251154582214</v>
      </c>
      <c r="L13" s="21" t="s">
        <v>43</v>
      </c>
      <c r="M13" s="21" t="str">
        <f aca="false">Blocos!Q7</f>
        <v>03-B</v>
      </c>
    </row>
    <row r="14" customFormat="false" ht="15" hidden="false" customHeight="false" outlineLevel="0" collapsed="false">
      <c r="A14" s="17" t="n">
        <v>7</v>
      </c>
      <c r="B14" s="28" t="s">
        <v>25</v>
      </c>
      <c r="C14" s="24" t="s">
        <v>41</v>
      </c>
      <c r="D14" s="24" t="s">
        <v>49</v>
      </c>
      <c r="E14" s="24" t="s">
        <v>50</v>
      </c>
      <c r="F14" s="29" t="s">
        <v>52</v>
      </c>
      <c r="G14" s="20"/>
      <c r="H14" s="21" t="s">
        <v>52</v>
      </c>
      <c r="I14" s="21" t="s">
        <v>53</v>
      </c>
      <c r="J14" s="21" t="n">
        <f aca="false">COUNTIFS(Trechos!$L$2:$L$134,A14)</f>
        <v>6</v>
      </c>
      <c r="K14" s="22" t="n">
        <f aca="false">SUMIFS(Trechos!$F$2:$F$134,Trechos!$L$2:$L$134,A14)</f>
        <v>239.7236065418</v>
      </c>
      <c r="L14" s="21" t="s">
        <v>43</v>
      </c>
      <c r="M14" s="21" t="str">
        <f aca="false">Blocos!Q8</f>
        <v>—</v>
      </c>
    </row>
    <row r="15" customFormat="false" ht="15" hidden="false" customHeight="false" outlineLevel="0" collapsed="false">
      <c r="A15" s="16" t="s">
        <v>54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 customFormat="false" ht="15" hidden="false" customHeight="false" outlineLevel="0" collapsed="false">
      <c r="A16" s="17" t="n">
        <v>8</v>
      </c>
      <c r="B16" s="18" t="s">
        <v>22</v>
      </c>
      <c r="C16" s="19" t="s">
        <v>41</v>
      </c>
      <c r="D16" s="20"/>
      <c r="E16" s="20"/>
      <c r="F16" s="20"/>
      <c r="G16" s="20"/>
      <c r="H16" s="21" t="s">
        <v>55</v>
      </c>
      <c r="I16" s="21" t="s">
        <v>56</v>
      </c>
      <c r="J16" s="21" t="n">
        <f aca="false">COUNTIFS(Trechos!$L$2:$L$134,A16)</f>
        <v>5</v>
      </c>
      <c r="K16" s="22" t="n">
        <f aca="false">SUMIFS(Trechos!$F$2:$F$134,Trechos!$L$2:$L$134,A16)</f>
        <v>199.775290414114</v>
      </c>
      <c r="L16" s="21" t="s">
        <v>43</v>
      </c>
      <c r="M16" s="21" t="str">
        <f aca="false">Blocos!Q9</f>
        <v>03-C</v>
      </c>
    </row>
    <row r="17" customFormat="false" ht="15" hidden="false" customHeight="false" outlineLevel="0" collapsed="false">
      <c r="A17" s="17" t="n">
        <v>9</v>
      </c>
      <c r="B17" s="26" t="s">
        <v>24</v>
      </c>
      <c r="C17" s="24" t="s">
        <v>41</v>
      </c>
      <c r="D17" s="27" t="s">
        <v>56</v>
      </c>
      <c r="E17" s="20"/>
      <c r="F17" s="20"/>
      <c r="G17" s="20"/>
      <c r="H17" s="21" t="s">
        <v>56</v>
      </c>
      <c r="I17" s="21" t="s">
        <v>57</v>
      </c>
      <c r="J17" s="21" t="n">
        <f aca="false">COUNTIFS(Trechos!$L$2:$L$134,A17)</f>
        <v>4</v>
      </c>
      <c r="K17" s="22" t="n">
        <f aca="false">SUMIFS(Trechos!$F$2:$F$134,Trechos!$L$2:$L$134,A17)</f>
        <v>159.820232331503</v>
      </c>
      <c r="L17" s="21" t="s">
        <v>43</v>
      </c>
      <c r="M17" s="21" t="str">
        <f aca="false">Blocos!Q10</f>
        <v>—</v>
      </c>
    </row>
    <row r="18" customFormat="false" ht="15" hidden="false" customHeight="false" outlineLevel="0" collapsed="false">
      <c r="A18" s="16" t="s">
        <v>58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customFormat="false" ht="15" hidden="false" customHeight="false" outlineLevel="0" collapsed="false">
      <c r="A19" s="17" t="n">
        <v>10</v>
      </c>
      <c r="B19" s="23" t="s">
        <v>23</v>
      </c>
      <c r="C19" s="24" t="s">
        <v>41</v>
      </c>
      <c r="D19" s="25" t="s">
        <v>42</v>
      </c>
      <c r="E19" s="20"/>
      <c r="F19" s="20"/>
      <c r="G19" s="20"/>
      <c r="H19" s="21" t="s">
        <v>59</v>
      </c>
      <c r="I19" s="21" t="s">
        <v>60</v>
      </c>
      <c r="J19" s="21" t="n">
        <f aca="false">COUNTIFS(Trechos!$L$2:$L$134,A19)</f>
        <v>5</v>
      </c>
      <c r="K19" s="22" t="n">
        <f aca="false">SUMIFS(Trechos!$F$2:$F$134,Trechos!$L$2:$L$134,A19)</f>
        <v>219.752819455684</v>
      </c>
      <c r="L19" s="21" t="s">
        <v>43</v>
      </c>
      <c r="M19" s="21" t="str">
        <f aca="false">Blocos!Q11</f>
        <v>03-D</v>
      </c>
    </row>
    <row r="20" customFormat="false" ht="15" hidden="false" customHeight="false" outlineLevel="0" collapsed="false">
      <c r="A20" s="17" t="n">
        <v>11</v>
      </c>
      <c r="B20" s="26" t="s">
        <v>24</v>
      </c>
      <c r="C20" s="24" t="s">
        <v>41</v>
      </c>
      <c r="D20" s="24" t="s">
        <v>42</v>
      </c>
      <c r="E20" s="27" t="s">
        <v>60</v>
      </c>
      <c r="F20" s="20"/>
      <c r="G20" s="20"/>
      <c r="H20" s="21" t="s">
        <v>60</v>
      </c>
      <c r="I20" s="21" t="s">
        <v>61</v>
      </c>
      <c r="J20" s="21" t="n">
        <f aca="false">COUNTIFS(Trechos!$L$2:$L$134,A20)</f>
        <v>5</v>
      </c>
      <c r="K20" s="22" t="n">
        <f aca="false">SUMIFS(Trechos!$F$2:$F$134,Trechos!$L$2:$L$134,A20)</f>
        <v>219.752819455684</v>
      </c>
      <c r="L20" s="21" t="s">
        <v>43</v>
      </c>
      <c r="M20" s="21" t="str">
        <f aca="false">Blocos!Q12</f>
        <v>—</v>
      </c>
    </row>
    <row r="21" customFormat="false" ht="15" hidden="false" customHeight="false" outlineLevel="0" collapsed="false">
      <c r="A21" s="16" t="s">
        <v>62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customFormat="false" ht="15" hidden="false" customHeight="false" outlineLevel="0" collapsed="false">
      <c r="A22" s="17" t="n">
        <v>12</v>
      </c>
      <c r="B22" s="23" t="s">
        <v>23</v>
      </c>
      <c r="C22" s="24" t="s">
        <v>41</v>
      </c>
      <c r="D22" s="25" t="s">
        <v>42</v>
      </c>
      <c r="E22" s="20"/>
      <c r="F22" s="20"/>
      <c r="G22" s="20"/>
      <c r="H22" s="21" t="s">
        <v>63</v>
      </c>
      <c r="I22" s="21" t="s">
        <v>64</v>
      </c>
      <c r="J22" s="21" t="n">
        <f aca="false">COUNTIFS(Trechos!$L$2:$L$134,A22)</f>
        <v>8</v>
      </c>
      <c r="K22" s="22" t="n">
        <f aca="false">SUMIFS(Trechos!$F$2:$F$134,Trechos!$L$2:$L$134,A22)</f>
        <v>319.640464662653</v>
      </c>
      <c r="L22" s="21" t="s">
        <v>43</v>
      </c>
      <c r="M22" s="21" t="str">
        <f aca="false">Blocos!Q13</f>
        <v>—</v>
      </c>
    </row>
    <row r="23" customFormat="false" ht="15" hidden="false" customHeight="false" outlineLevel="0" collapsed="false">
      <c r="A23" s="16" t="s">
        <v>65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</row>
    <row r="24" customFormat="false" ht="15" hidden="false" customHeight="false" outlineLevel="0" collapsed="false">
      <c r="A24" s="17" t="n">
        <v>13</v>
      </c>
      <c r="B24" s="23" t="s">
        <v>23</v>
      </c>
      <c r="C24" s="24" t="s">
        <v>41</v>
      </c>
      <c r="D24" s="24" t="s">
        <v>42</v>
      </c>
      <c r="E24" s="24" t="s">
        <v>44</v>
      </c>
      <c r="F24" s="25" t="s">
        <v>66</v>
      </c>
      <c r="G24" s="20"/>
      <c r="H24" s="21" t="s">
        <v>66</v>
      </c>
      <c r="I24" s="21" t="s">
        <v>67</v>
      </c>
      <c r="J24" s="21" t="n">
        <f aca="false">COUNTIFS(Trechos!$L$2:$L$134,A24)</f>
        <v>4</v>
      </c>
      <c r="K24" s="22" t="n">
        <f aca="false">SUMIFS(Trechos!$F$2:$F$134,Trechos!$L$2:$L$134,A24)</f>
        <v>159.820232331503</v>
      </c>
      <c r="L24" s="21" t="s">
        <v>43</v>
      </c>
      <c r="M24" s="21" t="str">
        <f aca="false">Blocos!Q14</f>
        <v>—</v>
      </c>
    </row>
    <row r="25" customFormat="false" ht="15" hidden="false" customHeight="false" outlineLevel="0" collapsed="false">
      <c r="A25" s="16" t="s">
        <v>68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</row>
    <row r="26" customFormat="false" ht="15" hidden="false" customHeight="false" outlineLevel="0" collapsed="false">
      <c r="A26" s="17" t="n">
        <v>14</v>
      </c>
      <c r="B26" s="26" t="s">
        <v>24</v>
      </c>
      <c r="C26" s="24" t="s">
        <v>41</v>
      </c>
      <c r="D26" s="24" t="s">
        <v>42</v>
      </c>
      <c r="E26" s="24" t="s">
        <v>44</v>
      </c>
      <c r="F26" s="27" t="s">
        <v>69</v>
      </c>
      <c r="G26" s="20"/>
      <c r="H26" s="21" t="s">
        <v>69</v>
      </c>
      <c r="I26" s="21" t="s">
        <v>70</v>
      </c>
      <c r="J26" s="21" t="n">
        <f aca="false">COUNTIFS(Trechos!$L$2:$L$134,A26)</f>
        <v>18</v>
      </c>
      <c r="K26" s="22" t="n">
        <f aca="false">SUMIFS(Trechos!$F$2:$F$134,Trechos!$L$2:$L$134,A26)</f>
        <v>719.188247747292</v>
      </c>
      <c r="L26" s="21" t="s">
        <v>71</v>
      </c>
      <c r="M26" s="21" t="str">
        <f aca="false">Blocos!Q15</f>
        <v>03-F</v>
      </c>
    </row>
    <row r="27" customFormat="false" ht="15" hidden="false" customHeight="false" outlineLevel="0" collapsed="false">
      <c r="A27" s="17" t="n">
        <v>15</v>
      </c>
      <c r="B27" s="28" t="s">
        <v>25</v>
      </c>
      <c r="C27" s="24" t="s">
        <v>41</v>
      </c>
      <c r="D27" s="24" t="s">
        <v>42</v>
      </c>
      <c r="E27" s="24" t="s">
        <v>44</v>
      </c>
      <c r="F27" s="24" t="s">
        <v>69</v>
      </c>
      <c r="G27" s="29" t="s">
        <v>72</v>
      </c>
      <c r="H27" s="21" t="s">
        <v>72</v>
      </c>
      <c r="I27" s="21" t="s">
        <v>73</v>
      </c>
      <c r="J27" s="21" t="n">
        <f aca="false">COUNTIFS(Trechos!$L$2:$L$134,A27)</f>
        <v>4</v>
      </c>
      <c r="K27" s="22" t="n">
        <f aca="false">SUMIFS(Trechos!$F$2:$F$134,Trechos!$L$2:$L$134,A27)</f>
        <v>159.820232331503</v>
      </c>
      <c r="L27" s="21" t="s">
        <v>43</v>
      </c>
      <c r="M27" s="21" t="str">
        <f aca="false">Blocos!Q16</f>
        <v>—</v>
      </c>
    </row>
  </sheetData>
  <mergeCells count="7">
    <mergeCell ref="A6:M6"/>
    <mergeCell ref="A10:M10"/>
    <mergeCell ref="A15:M15"/>
    <mergeCell ref="A18:M18"/>
    <mergeCell ref="A21:M21"/>
    <mergeCell ref="A23:M23"/>
    <mergeCell ref="A25:M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6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" t="s">
        <v>74</v>
      </c>
    </row>
    <row r="2" customFormat="false" ht="15" hidden="false" customHeight="false" outlineLevel="0" collapsed="false">
      <c r="A2" s="10" t="s">
        <v>75</v>
      </c>
    </row>
    <row r="4" customFormat="false" ht="15" hidden="false" customHeight="false" outlineLevel="0" collapsed="false">
      <c r="A4" s="0" t="s">
        <v>76</v>
      </c>
      <c r="B4" s="30" t="s">
        <v>77</v>
      </c>
      <c r="C4" s="31" t="s">
        <v>78</v>
      </c>
    </row>
    <row r="6" customFormat="false" ht="15" hidden="false" customHeight="false" outlineLevel="0" collapsed="false">
      <c r="A6" s="5" t="s">
        <v>79</v>
      </c>
      <c r="B6" s="32" t="str">
        <f aca="false">IFERROR(INDEX(Trechos!$B$2:$B$134,MATCH($B$4,Trechos!$E$2:$E$134,0)),"poste não encontrado")</f>
        <v>TR-132</v>
      </c>
    </row>
    <row r="7" customFormat="false" ht="15" hidden="false" customHeight="false" outlineLevel="0" collapsed="false">
      <c r="A7" s="5" t="s">
        <v>80</v>
      </c>
      <c r="B7" s="32" t="str">
        <f aca="false">IFERROR(INDEX(Trechos!$D$2:$D$134,MATCH($B$4,Trechos!$E$2:$E$134,0)),"poste não encontrado")</f>
        <v>P-264</v>
      </c>
    </row>
    <row r="8" customFormat="false" ht="15" hidden="false" customHeight="false" outlineLevel="0" collapsed="false">
      <c r="A8" s="5" t="s">
        <v>3</v>
      </c>
      <c r="B8" s="32" t="str">
        <f aca="false">IFERROR(INDEX(Trechos!$I$2:$I$134,MATCH($B$4,Trechos!$E$2:$E$134,0)),"poste não encontrado")</f>
        <v>T4</v>
      </c>
    </row>
    <row r="9" customFormat="false" ht="15" hidden="false" customHeight="false" outlineLevel="0" collapsed="false">
      <c r="A9" s="5" t="s">
        <v>81</v>
      </c>
      <c r="B9" s="32" t="str">
        <f aca="false">IFERROR(INDEX(Trechos!$J$2:$J$134,MATCH($B$4,Trechos!$E$2:$E$134,0)),"poste não encontrado")</f>
        <v>Ramal</v>
      </c>
    </row>
    <row r="10" customFormat="false" ht="15" hidden="false" customHeight="false" outlineLevel="0" collapsed="false">
      <c r="A10" s="5" t="s">
        <v>82</v>
      </c>
      <c r="B10" s="32" t="str">
        <f aca="false">IFERROR(INDEX(Trechos!$K$2:$K$134,MATCH($B$4,Trechos!$E$2:$E$134,0)),"poste não encontrado")</f>
        <v>Ramal após 03-E</v>
      </c>
    </row>
    <row r="11" customFormat="false" ht="15" hidden="false" customHeight="false" outlineLevel="0" collapsed="false">
      <c r="A11" s="5" t="s">
        <v>13</v>
      </c>
      <c r="B11" s="32" t="n">
        <f aca="false">IFERROR(INDEX(Trechos!$L$2:$L$134,MATCH($B$4,Trechos!$E$2:$E$134,0)),"poste não encontrado")</f>
        <v>15</v>
      </c>
    </row>
    <row r="12" customFormat="false" ht="15" hidden="false" customHeight="false" outlineLevel="0" collapsed="false">
      <c r="A12" s="5" t="s">
        <v>9</v>
      </c>
      <c r="B12" s="32" t="str">
        <f aca="false">IFERROR(INDEX(Trechos!$M$2:$M$134,MATCH($B$4,Trechos!$E$2:$E$134,0)),"poste não encontrado")</f>
        <v>03-F</v>
      </c>
    </row>
    <row r="13" customFormat="false" ht="15" hidden="false" customHeight="false" outlineLevel="0" collapsed="false">
      <c r="A13" s="5" t="s">
        <v>83</v>
      </c>
      <c r="B13" s="33" t="n">
        <f aca="false">IFERROR(INDEX(Trechos!$H$2:$H$134,MATCH($B$4,Trechos!$E$2:$E$134,0)),"poste não encontrado")</f>
        <v>119.865174248539</v>
      </c>
    </row>
    <row r="14" customFormat="false" ht="15" hidden="false" customHeight="false" outlineLevel="0" collapsed="false">
      <c r="A14" s="5" t="s">
        <v>84</v>
      </c>
      <c r="B14" s="33" t="n">
        <f aca="false">IFERROR(INDEX(Trechos!$G$2:$G$134,MATCH($B$4,Trechos!$E$2:$E$134,0)),"poste não encontrado")</f>
        <v>2357.3246460662</v>
      </c>
    </row>
    <row r="15" customFormat="false" ht="15" hidden="false" customHeight="false" outlineLevel="0" collapsed="false">
      <c r="A15" s="5" t="s">
        <v>11</v>
      </c>
      <c r="B15" s="32" t="str">
        <f aca="false">IFERROR(INDEX(Trechos!$P$2:$P$134,MATCH($B$4,Trechos!$E$2:$E$134,0)),"poste não encontrado")</f>
        <v>—</v>
      </c>
    </row>
    <row r="16" customFormat="false" ht="15" hidden="false" customHeight="false" outlineLevel="0" collapsed="false">
      <c r="A16" s="5" t="s">
        <v>85</v>
      </c>
      <c r="B16" s="32" t="n">
        <f aca="false">IFERROR(INDEX(Trechos!$R$2:$R$134,MATCH($B$4,Trechos!$E$2:$E$134,0)),"poste não encontrado")</f>
        <v>0</v>
      </c>
    </row>
    <row r="17" customFormat="false" ht="15" hidden="false" customHeight="false" outlineLevel="0" collapsed="false">
      <c r="A17" s="5" t="s">
        <v>86</v>
      </c>
      <c r="B17" s="32" t="str">
        <f aca="false">IFERROR(INDEX(Trechos!$X$2:$X$134,MATCH($B$4,Trechos!$E$2:$E$134,0)),"poste não encontrado")</f>
        <v>DJ › RL1 › RL2 › 03-E › 03-F</v>
      </c>
    </row>
    <row r="18" customFormat="false" ht="15" hidden="false" customHeight="false" outlineLevel="0" collapsed="false">
      <c r="A18" s="5" t="s">
        <v>87</v>
      </c>
      <c r="B18" s="32" t="n">
        <f aca="false">IFERROR(INDEX(Trechos!$Y$2:$Y$134,MATCH($B$4,Trechos!$E$2:$E$134,0)),"poste não encontrado")</f>
        <v>-9.6012576</v>
      </c>
    </row>
    <row r="19" customFormat="false" ht="15" hidden="false" customHeight="false" outlineLevel="0" collapsed="false">
      <c r="A19" s="5" t="s">
        <v>88</v>
      </c>
      <c r="B19" s="32" t="n">
        <f aca="false">IFERROR(INDEX(Trechos!$Z$2:$Z$134,MATCH($B$4,Trechos!$E$2:$E$134,0)),"poste não encontrado")</f>
        <v>-48.4303209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13" min="9" style="0" width="8"/>
    <col collapsed="false" customWidth="true" hidden="false" outlineLevel="0" max="14" min="14" style="0" width="9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7" min="17" style="0" width="42"/>
    <col collapsed="false" customWidth="true" hidden="false" outlineLevel="0" max="18" min="18" style="0" width="18"/>
    <col collapsed="false" customWidth="true" hidden="false" outlineLevel="0" max="28" min="19" style="0" width="10"/>
  </cols>
  <sheetData>
    <row r="1" customFormat="false" ht="31.5" hidden="false" customHeight="true" outlineLevel="0" collapsed="false">
      <c r="A1" s="15" t="s">
        <v>13</v>
      </c>
      <c r="B1" s="15" t="s">
        <v>3</v>
      </c>
      <c r="C1" s="15" t="s">
        <v>81</v>
      </c>
      <c r="D1" s="15" t="s">
        <v>82</v>
      </c>
      <c r="E1" s="15" t="s">
        <v>9</v>
      </c>
      <c r="F1" s="15" t="s">
        <v>34</v>
      </c>
      <c r="G1" s="15" t="s">
        <v>89</v>
      </c>
      <c r="H1" s="15" t="s">
        <v>90</v>
      </c>
      <c r="I1" s="15" t="s">
        <v>29</v>
      </c>
      <c r="J1" s="15" t="s">
        <v>30</v>
      </c>
      <c r="K1" s="15" t="s">
        <v>31</v>
      </c>
      <c r="L1" s="15" t="s">
        <v>32</v>
      </c>
      <c r="M1" s="15" t="s">
        <v>33</v>
      </c>
      <c r="N1" s="15" t="s">
        <v>91</v>
      </c>
      <c r="O1" s="15" t="s">
        <v>92</v>
      </c>
      <c r="P1" s="15" t="s">
        <v>93</v>
      </c>
      <c r="Q1" s="15" t="s">
        <v>94</v>
      </c>
      <c r="R1" s="15" t="s">
        <v>38</v>
      </c>
      <c r="S1" s="15" t="s">
        <v>95</v>
      </c>
      <c r="T1" s="15" t="s">
        <v>96</v>
      </c>
      <c r="U1" s="15" t="s">
        <v>97</v>
      </c>
      <c r="V1" s="15" t="s">
        <v>98</v>
      </c>
      <c r="W1" s="15" t="s">
        <v>99</v>
      </c>
      <c r="X1" s="15" t="s">
        <v>100</v>
      </c>
      <c r="Y1" s="15" t="s">
        <v>101</v>
      </c>
      <c r="Z1" s="15" t="s">
        <v>102</v>
      </c>
      <c r="AA1" s="15" t="s">
        <v>103</v>
      </c>
      <c r="AB1" s="15" t="s">
        <v>104</v>
      </c>
    </row>
    <row r="2" customFormat="false" ht="15" hidden="false" customHeight="false" outlineLevel="0" collapsed="false">
      <c r="A2" s="32" t="n">
        <v>1</v>
      </c>
      <c r="B2" s="6" t="s">
        <v>22</v>
      </c>
      <c r="C2" s="32" t="s">
        <v>7</v>
      </c>
      <c r="D2" s="32" t="s">
        <v>7</v>
      </c>
      <c r="E2" s="32" t="s">
        <v>41</v>
      </c>
      <c r="F2" s="32" t="s">
        <v>41</v>
      </c>
      <c r="G2" s="32" t="s">
        <v>42</v>
      </c>
      <c r="H2" s="32"/>
      <c r="I2" s="32" t="s">
        <v>41</v>
      </c>
      <c r="J2" s="32"/>
      <c r="K2" s="32"/>
      <c r="L2" s="32"/>
      <c r="M2" s="32"/>
      <c r="N2" s="32" t="n">
        <f aca="false">COUNTIFS(Trechos!$L$2:$L$134,A2)</f>
        <v>15</v>
      </c>
      <c r="O2" s="33" t="n">
        <f aca="false">SUMIFS(Trechos!$F$2:$F$134,Trechos!$L$2:$L$134,A2)</f>
        <v>659.250764571799</v>
      </c>
      <c r="P2" s="32" t="n">
        <f aca="false">COUNTA(S2:AB2)</f>
        <v>10</v>
      </c>
      <c r="Q2" s="32" t="str">
        <f aca="false">IF(COUNTA(S2:AB2)=0,"—",_xlfn.TEXTJOIN(", ",TRUE(),S2:AB2))</f>
        <v>RL1, RL2, RL3, 03-E, 03-F, 03-D, 03-C, RL-A, 03-A, 03-B</v>
      </c>
      <c r="R2" s="32" t="s">
        <v>43</v>
      </c>
      <c r="S2" s="32" t="s">
        <v>42</v>
      </c>
      <c r="T2" s="32" t="s">
        <v>44</v>
      </c>
      <c r="U2" s="32" t="s">
        <v>66</v>
      </c>
      <c r="V2" s="32" t="s">
        <v>69</v>
      </c>
      <c r="W2" s="32" t="s">
        <v>72</v>
      </c>
      <c r="X2" s="32" t="s">
        <v>60</v>
      </c>
      <c r="Y2" s="32" t="s">
        <v>56</v>
      </c>
      <c r="Z2" s="32" t="s">
        <v>49</v>
      </c>
      <c r="AA2" s="32" t="s">
        <v>50</v>
      </c>
      <c r="AB2" s="32" t="s">
        <v>52</v>
      </c>
    </row>
    <row r="3" customFormat="false" ht="15" hidden="false" customHeight="false" outlineLevel="0" collapsed="false">
      <c r="A3" s="32" t="n">
        <v>2</v>
      </c>
      <c r="B3" s="7" t="s">
        <v>23</v>
      </c>
      <c r="C3" s="32" t="s">
        <v>7</v>
      </c>
      <c r="D3" s="32" t="s">
        <v>7</v>
      </c>
      <c r="E3" s="32" t="s">
        <v>42</v>
      </c>
      <c r="F3" s="32" t="s">
        <v>42</v>
      </c>
      <c r="G3" s="32" t="s">
        <v>44</v>
      </c>
      <c r="H3" s="32"/>
      <c r="I3" s="32" t="s">
        <v>41</v>
      </c>
      <c r="J3" s="32" t="s">
        <v>42</v>
      </c>
      <c r="K3" s="32"/>
      <c r="L3" s="32"/>
      <c r="M3" s="32"/>
      <c r="N3" s="32" t="n">
        <f aca="false">COUNTIFS(Trechos!$L$2:$L$134,A3)</f>
        <v>16</v>
      </c>
      <c r="O3" s="33" t="n">
        <f aca="false">SUMIFS(Trechos!$F$2:$F$134,Trechos!$L$2:$L$134,A3)</f>
        <v>659.250764571803</v>
      </c>
      <c r="P3" s="32" t="n">
        <f aca="false">COUNTA(S3:AB3)</f>
        <v>5</v>
      </c>
      <c r="Q3" s="32" t="str">
        <f aca="false">IF(COUNTA(S3:AB3)=0,"—",_xlfn.TEXTJOIN(", ",TRUE(),S3:AB3))</f>
        <v>RL2, RL3, 03-E, 03-F, 03-D</v>
      </c>
      <c r="R3" s="32" t="s">
        <v>45</v>
      </c>
      <c r="S3" s="32" t="s">
        <v>44</v>
      </c>
      <c r="T3" s="32" t="s">
        <v>66</v>
      </c>
      <c r="U3" s="32" t="s">
        <v>69</v>
      </c>
      <c r="V3" s="32" t="s">
        <v>72</v>
      </c>
      <c r="W3" s="32" t="s">
        <v>60</v>
      </c>
      <c r="X3" s="32"/>
      <c r="Y3" s="32"/>
      <c r="Z3" s="32"/>
      <c r="AA3" s="32"/>
      <c r="AB3" s="32"/>
    </row>
    <row r="4" customFormat="false" ht="15" hidden="false" customHeight="false" outlineLevel="0" collapsed="false">
      <c r="A4" s="32" t="n">
        <v>3</v>
      </c>
      <c r="B4" s="7" t="s">
        <v>23</v>
      </c>
      <c r="C4" s="32" t="s">
        <v>7</v>
      </c>
      <c r="D4" s="32" t="s">
        <v>7</v>
      </c>
      <c r="E4" s="32" t="s">
        <v>44</v>
      </c>
      <c r="F4" s="32" t="s">
        <v>44</v>
      </c>
      <c r="G4" s="32" t="s">
        <v>66</v>
      </c>
      <c r="H4" s="32" t="s">
        <v>69</v>
      </c>
      <c r="I4" s="32" t="s">
        <v>41</v>
      </c>
      <c r="J4" s="32" t="s">
        <v>42</v>
      </c>
      <c r="K4" s="32" t="s">
        <v>44</v>
      </c>
      <c r="L4" s="32"/>
      <c r="M4" s="32"/>
      <c r="N4" s="32" t="n">
        <f aca="false">COUNTIFS(Trechos!$L$2:$L$134,A4)</f>
        <v>17</v>
      </c>
      <c r="O4" s="33" t="n">
        <f aca="false">SUMIFS(Trechos!$F$2:$F$134,Trechos!$L$2:$L$134,A4)</f>
        <v>679.23039192074</v>
      </c>
      <c r="P4" s="32" t="n">
        <f aca="false">COUNTA(S4:AB4)</f>
        <v>3</v>
      </c>
      <c r="Q4" s="32" t="str">
        <f aca="false">IF(COUNTA(S4:AB4)=0,"—",_xlfn.TEXTJOIN(", ",TRUE(),S4:AB4))</f>
        <v>RL3, 03-E, 03-F</v>
      </c>
      <c r="R4" s="32" t="s">
        <v>43</v>
      </c>
      <c r="S4" s="32" t="s">
        <v>66</v>
      </c>
      <c r="T4" s="32" t="s">
        <v>69</v>
      </c>
      <c r="U4" s="32" t="s">
        <v>72</v>
      </c>
      <c r="V4" s="32"/>
      <c r="W4" s="32"/>
      <c r="X4" s="32"/>
      <c r="Y4" s="32"/>
      <c r="Z4" s="32"/>
      <c r="AA4" s="32"/>
      <c r="AB4" s="32"/>
    </row>
    <row r="5" customFormat="false" ht="15" hidden="false" customHeight="false" outlineLevel="0" collapsed="false">
      <c r="A5" s="32" t="n">
        <v>4</v>
      </c>
      <c r="B5" s="6" t="s">
        <v>22</v>
      </c>
      <c r="C5" s="32" t="s">
        <v>82</v>
      </c>
      <c r="D5" s="32" t="s">
        <v>105</v>
      </c>
      <c r="E5" s="32" t="s">
        <v>41</v>
      </c>
      <c r="F5" s="32" t="s">
        <v>48</v>
      </c>
      <c r="G5" s="32" t="s">
        <v>49</v>
      </c>
      <c r="H5" s="32"/>
      <c r="I5" s="32" t="s">
        <v>41</v>
      </c>
      <c r="J5" s="32"/>
      <c r="K5" s="32"/>
      <c r="L5" s="32"/>
      <c r="M5" s="32"/>
      <c r="N5" s="32" t="n">
        <f aca="false">COUNTIFS(Trechos!$L$2:$L$134,A5)</f>
        <v>5</v>
      </c>
      <c r="O5" s="33" t="n">
        <f aca="false">SUMIFS(Trechos!$F$2:$F$134,Trechos!$L$2:$L$134,A5)</f>
        <v>199.775290414291</v>
      </c>
      <c r="P5" s="32" t="n">
        <f aca="false">COUNTA(S5:AB5)</f>
        <v>3</v>
      </c>
      <c r="Q5" s="32" t="str">
        <f aca="false">IF(COUNTA(S5:AB5)=0,"—",_xlfn.TEXTJOIN(", ",TRUE(),S5:AB5))</f>
        <v>RL-A, 03-A, 03-B</v>
      </c>
      <c r="R5" s="32" t="s">
        <v>43</v>
      </c>
      <c r="S5" s="32" t="s">
        <v>49</v>
      </c>
      <c r="T5" s="32" t="s">
        <v>50</v>
      </c>
      <c r="U5" s="32" t="s">
        <v>52</v>
      </c>
      <c r="V5" s="32"/>
      <c r="W5" s="32"/>
      <c r="X5" s="32"/>
      <c r="Y5" s="32"/>
      <c r="Z5" s="32"/>
      <c r="AA5" s="32"/>
      <c r="AB5" s="32"/>
    </row>
    <row r="6" customFormat="false" ht="15" hidden="false" customHeight="false" outlineLevel="0" collapsed="false">
      <c r="A6" s="32" t="n">
        <v>5</v>
      </c>
      <c r="B6" s="7" t="s">
        <v>23</v>
      </c>
      <c r="C6" s="32" t="s">
        <v>82</v>
      </c>
      <c r="D6" s="32" t="s">
        <v>105</v>
      </c>
      <c r="E6" s="32" t="s">
        <v>49</v>
      </c>
      <c r="F6" s="32" t="s">
        <v>49</v>
      </c>
      <c r="G6" s="32" t="s">
        <v>50</v>
      </c>
      <c r="H6" s="32"/>
      <c r="I6" s="32" t="s">
        <v>41</v>
      </c>
      <c r="J6" s="32" t="s">
        <v>49</v>
      </c>
      <c r="K6" s="32"/>
      <c r="L6" s="32"/>
      <c r="M6" s="32"/>
      <c r="N6" s="32" t="n">
        <f aca="false">COUNTIFS(Trechos!$L$2:$L$134,A6)</f>
        <v>5</v>
      </c>
      <c r="O6" s="33" t="n">
        <f aca="false">SUMIFS(Trechos!$F$2:$F$134,Trechos!$L$2:$L$134,A6)</f>
        <v>219.752819455684</v>
      </c>
      <c r="P6" s="32" t="n">
        <f aca="false">COUNTA(S6:AB6)</f>
        <v>2</v>
      </c>
      <c r="Q6" s="32" t="str">
        <f aca="false">IF(COUNTA(S6:AB6)=0,"—",_xlfn.TEXTJOIN(", ",TRUE(),S6:AB6))</f>
        <v>03-A, 03-B</v>
      </c>
      <c r="R6" s="32" t="s">
        <v>43</v>
      </c>
      <c r="S6" s="32" t="s">
        <v>50</v>
      </c>
      <c r="T6" s="32" t="s">
        <v>52</v>
      </c>
      <c r="U6" s="32"/>
      <c r="V6" s="32"/>
      <c r="W6" s="32"/>
      <c r="X6" s="32"/>
      <c r="Y6" s="32"/>
      <c r="Z6" s="32"/>
      <c r="AA6" s="32"/>
      <c r="AB6" s="32"/>
    </row>
    <row r="7" customFormat="false" ht="15" hidden="false" customHeight="false" outlineLevel="0" collapsed="false">
      <c r="A7" s="32" t="n">
        <v>6</v>
      </c>
      <c r="B7" s="8" t="s">
        <v>24</v>
      </c>
      <c r="C7" s="32" t="s">
        <v>82</v>
      </c>
      <c r="D7" s="32" t="s">
        <v>105</v>
      </c>
      <c r="E7" s="32" t="s">
        <v>50</v>
      </c>
      <c r="F7" s="32" t="s">
        <v>50</v>
      </c>
      <c r="G7" s="32" t="s">
        <v>52</v>
      </c>
      <c r="H7" s="32" t="s">
        <v>106</v>
      </c>
      <c r="I7" s="32" t="s">
        <v>41</v>
      </c>
      <c r="J7" s="32" t="s">
        <v>49</v>
      </c>
      <c r="K7" s="32" t="s">
        <v>50</v>
      </c>
      <c r="L7" s="32"/>
      <c r="M7" s="32"/>
      <c r="N7" s="32" t="n">
        <f aca="false">COUNTIFS(Trechos!$L$2:$L$134,A7)</f>
        <v>16</v>
      </c>
      <c r="O7" s="33" t="n">
        <f aca="false">SUMIFS(Trechos!$F$2:$F$134,Trechos!$L$2:$L$134,A7)</f>
        <v>659.251154582214</v>
      </c>
      <c r="P7" s="32" t="n">
        <f aca="false">COUNTA(S7:AB7)</f>
        <v>1</v>
      </c>
      <c r="Q7" s="32" t="str">
        <f aca="false">IF(COUNTA(S7:AB7)=0,"—",_xlfn.TEXTJOIN(", ",TRUE(),S7:AB7))</f>
        <v>03-B</v>
      </c>
      <c r="R7" s="32" t="s">
        <v>43</v>
      </c>
      <c r="S7" s="32" t="s">
        <v>52</v>
      </c>
      <c r="T7" s="32"/>
      <c r="U7" s="32"/>
      <c r="V7" s="32"/>
      <c r="W7" s="32"/>
      <c r="X7" s="32"/>
      <c r="Y7" s="32"/>
      <c r="Z7" s="32"/>
      <c r="AA7" s="32"/>
      <c r="AB7" s="32"/>
    </row>
    <row r="8" customFormat="false" ht="15" hidden="false" customHeight="false" outlineLevel="0" collapsed="false">
      <c r="A8" s="32" t="n">
        <v>7</v>
      </c>
      <c r="B8" s="9" t="s">
        <v>25</v>
      </c>
      <c r="C8" s="32" t="s">
        <v>82</v>
      </c>
      <c r="D8" s="32" t="s">
        <v>105</v>
      </c>
      <c r="E8" s="32" t="s">
        <v>52</v>
      </c>
      <c r="F8" s="32" t="s">
        <v>52</v>
      </c>
      <c r="G8" s="32" t="s">
        <v>53</v>
      </c>
      <c r="H8" s="32"/>
      <c r="I8" s="32" t="s">
        <v>41</v>
      </c>
      <c r="J8" s="32" t="s">
        <v>49</v>
      </c>
      <c r="K8" s="32" t="s">
        <v>50</v>
      </c>
      <c r="L8" s="32" t="s">
        <v>52</v>
      </c>
      <c r="M8" s="32"/>
      <c r="N8" s="32" t="n">
        <f aca="false">COUNTIFS(Trechos!$L$2:$L$134,A8)</f>
        <v>6</v>
      </c>
      <c r="O8" s="33" t="n">
        <f aca="false">SUMIFS(Trechos!$F$2:$F$134,Trechos!$L$2:$L$134,A8)</f>
        <v>239.7236065418</v>
      </c>
      <c r="P8" s="32" t="n">
        <f aca="false">COUNTA(S8:AB8)</f>
        <v>0</v>
      </c>
      <c r="Q8" s="32" t="str">
        <f aca="false">IF(COUNTA(S8:AB8)=0,"—",_xlfn.TEXTJOIN(", ",TRUE(),S8:AB8))</f>
        <v>—</v>
      </c>
      <c r="R8" s="32" t="s">
        <v>43</v>
      </c>
      <c r="S8" s="32"/>
      <c r="T8" s="32"/>
      <c r="U8" s="32"/>
      <c r="V8" s="32"/>
      <c r="W8" s="32"/>
      <c r="X8" s="32"/>
      <c r="Y8" s="32"/>
      <c r="Z8" s="32"/>
      <c r="AA8" s="32"/>
      <c r="AB8" s="32"/>
    </row>
    <row r="9" customFormat="false" ht="15" hidden="false" customHeight="false" outlineLevel="0" collapsed="false">
      <c r="A9" s="32" t="n">
        <v>8</v>
      </c>
      <c r="B9" s="6" t="s">
        <v>22</v>
      </c>
      <c r="C9" s="32" t="s">
        <v>82</v>
      </c>
      <c r="D9" s="32" t="s">
        <v>107</v>
      </c>
      <c r="E9" s="32" t="s">
        <v>41</v>
      </c>
      <c r="F9" s="32" t="s">
        <v>55</v>
      </c>
      <c r="G9" s="32" t="s">
        <v>56</v>
      </c>
      <c r="H9" s="32"/>
      <c r="I9" s="32" t="s">
        <v>41</v>
      </c>
      <c r="J9" s="32"/>
      <c r="K9" s="32"/>
      <c r="L9" s="32"/>
      <c r="M9" s="32"/>
      <c r="N9" s="32" t="n">
        <f aca="false">COUNTIFS(Trechos!$L$2:$L$134,A9)</f>
        <v>5</v>
      </c>
      <c r="O9" s="33" t="n">
        <f aca="false">SUMIFS(Trechos!$F$2:$F$134,Trechos!$L$2:$L$134,A9)</f>
        <v>199.775290414114</v>
      </c>
      <c r="P9" s="32" t="n">
        <f aca="false">COUNTA(S9:AB9)</f>
        <v>1</v>
      </c>
      <c r="Q9" s="32" t="str">
        <f aca="false">IF(COUNTA(S9:AB9)=0,"—",_xlfn.TEXTJOIN(", ",TRUE(),S9:AB9))</f>
        <v>03-C</v>
      </c>
      <c r="R9" s="32" t="s">
        <v>43</v>
      </c>
      <c r="S9" s="32" t="s">
        <v>56</v>
      </c>
      <c r="T9" s="32"/>
      <c r="U9" s="32"/>
      <c r="V9" s="32"/>
      <c r="W9" s="32"/>
      <c r="X9" s="32"/>
      <c r="Y9" s="32"/>
      <c r="Z9" s="32"/>
      <c r="AA9" s="32"/>
      <c r="AB9" s="32"/>
    </row>
    <row r="10" customFormat="false" ht="15" hidden="false" customHeight="false" outlineLevel="0" collapsed="false">
      <c r="A10" s="32" t="n">
        <v>9</v>
      </c>
      <c r="B10" s="8" t="s">
        <v>24</v>
      </c>
      <c r="C10" s="32" t="s">
        <v>82</v>
      </c>
      <c r="D10" s="32" t="s">
        <v>107</v>
      </c>
      <c r="E10" s="32" t="s">
        <v>56</v>
      </c>
      <c r="F10" s="32" t="s">
        <v>56</v>
      </c>
      <c r="G10" s="32" t="s">
        <v>57</v>
      </c>
      <c r="H10" s="32"/>
      <c r="I10" s="32" t="s">
        <v>41</v>
      </c>
      <c r="J10" s="32" t="s">
        <v>56</v>
      </c>
      <c r="K10" s="32"/>
      <c r="L10" s="32"/>
      <c r="M10" s="32"/>
      <c r="N10" s="32" t="n">
        <f aca="false">COUNTIFS(Trechos!$L$2:$L$134,A10)</f>
        <v>4</v>
      </c>
      <c r="O10" s="33" t="n">
        <f aca="false">SUMIFS(Trechos!$F$2:$F$134,Trechos!$L$2:$L$134,A10)</f>
        <v>159.820232331503</v>
      </c>
      <c r="P10" s="32" t="n">
        <f aca="false">COUNTA(S10:AB10)</f>
        <v>0</v>
      </c>
      <c r="Q10" s="32" t="str">
        <f aca="false">IF(COUNTA(S10:AB10)=0,"—",_xlfn.TEXTJOIN(", ",TRUE(),S10:AB10))</f>
        <v>—</v>
      </c>
      <c r="R10" s="32" t="s">
        <v>43</v>
      </c>
      <c r="S10" s="32"/>
      <c r="T10" s="32"/>
      <c r="U10" s="32"/>
      <c r="V10" s="32"/>
      <c r="W10" s="32"/>
      <c r="X10" s="32"/>
      <c r="Y10" s="32"/>
      <c r="Z10" s="32"/>
      <c r="AA10" s="32"/>
      <c r="AB10" s="32"/>
    </row>
    <row r="11" customFormat="false" ht="15" hidden="false" customHeight="false" outlineLevel="0" collapsed="false">
      <c r="A11" s="32" t="n">
        <v>10</v>
      </c>
      <c r="B11" s="7" t="s">
        <v>23</v>
      </c>
      <c r="C11" s="32" t="s">
        <v>82</v>
      </c>
      <c r="D11" s="32" t="s">
        <v>108</v>
      </c>
      <c r="E11" s="32" t="s">
        <v>42</v>
      </c>
      <c r="F11" s="32" t="s">
        <v>59</v>
      </c>
      <c r="G11" s="32" t="s">
        <v>60</v>
      </c>
      <c r="H11" s="32"/>
      <c r="I11" s="32" t="s">
        <v>41</v>
      </c>
      <c r="J11" s="32" t="s">
        <v>42</v>
      </c>
      <c r="K11" s="32"/>
      <c r="L11" s="32"/>
      <c r="M11" s="32"/>
      <c r="N11" s="32" t="n">
        <f aca="false">COUNTIFS(Trechos!$L$2:$L$134,A11)</f>
        <v>5</v>
      </c>
      <c r="O11" s="33" t="n">
        <f aca="false">SUMIFS(Trechos!$F$2:$F$134,Trechos!$L$2:$L$134,A11)</f>
        <v>219.752819455684</v>
      </c>
      <c r="P11" s="32" t="n">
        <f aca="false">COUNTA(S11:AB11)</f>
        <v>1</v>
      </c>
      <c r="Q11" s="32" t="str">
        <f aca="false">IF(COUNTA(S11:AB11)=0,"—",_xlfn.TEXTJOIN(", ",TRUE(),S11:AB11))</f>
        <v>03-D</v>
      </c>
      <c r="R11" s="32" t="s">
        <v>43</v>
      </c>
      <c r="S11" s="32" t="s">
        <v>60</v>
      </c>
      <c r="T11" s="32"/>
      <c r="U11" s="32"/>
      <c r="V11" s="32"/>
      <c r="W11" s="32"/>
      <c r="X11" s="32"/>
      <c r="Y11" s="32"/>
      <c r="Z11" s="32"/>
      <c r="AA11" s="32"/>
      <c r="AB11" s="32"/>
    </row>
    <row r="12" customFormat="false" ht="15" hidden="false" customHeight="false" outlineLevel="0" collapsed="false">
      <c r="A12" s="32" t="n">
        <v>11</v>
      </c>
      <c r="B12" s="8" t="s">
        <v>24</v>
      </c>
      <c r="C12" s="32" t="s">
        <v>82</v>
      </c>
      <c r="D12" s="32" t="s">
        <v>108</v>
      </c>
      <c r="E12" s="32" t="s">
        <v>60</v>
      </c>
      <c r="F12" s="32" t="s">
        <v>60</v>
      </c>
      <c r="G12" s="32" t="s">
        <v>61</v>
      </c>
      <c r="H12" s="32"/>
      <c r="I12" s="32" t="s">
        <v>41</v>
      </c>
      <c r="J12" s="32" t="s">
        <v>42</v>
      </c>
      <c r="K12" s="32" t="s">
        <v>60</v>
      </c>
      <c r="L12" s="32"/>
      <c r="M12" s="32"/>
      <c r="N12" s="32" t="n">
        <f aca="false">COUNTIFS(Trechos!$L$2:$L$134,A12)</f>
        <v>5</v>
      </c>
      <c r="O12" s="33" t="n">
        <f aca="false">SUMIFS(Trechos!$F$2:$F$134,Trechos!$L$2:$L$134,A12)</f>
        <v>219.752819455684</v>
      </c>
      <c r="P12" s="32" t="n">
        <f aca="false">COUNTA(S12:AB12)</f>
        <v>0</v>
      </c>
      <c r="Q12" s="32" t="str">
        <f aca="false">IF(COUNTA(S12:AB12)=0,"—",_xlfn.TEXTJOIN(", ",TRUE(),S12:AB12))</f>
        <v>—</v>
      </c>
      <c r="R12" s="32" t="s">
        <v>43</v>
      </c>
      <c r="S12" s="32"/>
      <c r="T12" s="32"/>
      <c r="U12" s="32"/>
      <c r="V12" s="32"/>
      <c r="W12" s="32"/>
      <c r="X12" s="32"/>
      <c r="Y12" s="32"/>
      <c r="Z12" s="32"/>
      <c r="AA12" s="32"/>
      <c r="AB12" s="32"/>
    </row>
    <row r="13" customFormat="false" ht="15" hidden="false" customHeight="false" outlineLevel="0" collapsed="false">
      <c r="A13" s="32" t="n">
        <v>12</v>
      </c>
      <c r="B13" s="7" t="s">
        <v>23</v>
      </c>
      <c r="C13" s="32" t="s">
        <v>82</v>
      </c>
      <c r="D13" s="32" t="s">
        <v>109</v>
      </c>
      <c r="E13" s="32" t="s">
        <v>42</v>
      </c>
      <c r="F13" s="32" t="s">
        <v>63</v>
      </c>
      <c r="G13" s="32" t="s">
        <v>64</v>
      </c>
      <c r="H13" s="32"/>
      <c r="I13" s="32" t="s">
        <v>41</v>
      </c>
      <c r="J13" s="32" t="s">
        <v>42</v>
      </c>
      <c r="K13" s="32"/>
      <c r="L13" s="32"/>
      <c r="M13" s="32"/>
      <c r="N13" s="32" t="n">
        <f aca="false">COUNTIFS(Trechos!$L$2:$L$134,A13)</f>
        <v>8</v>
      </c>
      <c r="O13" s="33" t="n">
        <f aca="false">SUMIFS(Trechos!$F$2:$F$134,Trechos!$L$2:$L$134,A13)</f>
        <v>319.640464662653</v>
      </c>
      <c r="P13" s="32" t="n">
        <f aca="false">COUNTA(S13:AB13)</f>
        <v>0</v>
      </c>
      <c r="Q13" s="32" t="str">
        <f aca="false">IF(COUNTA(S13:AB13)=0,"—",_xlfn.TEXTJOIN(", ",TRUE(),S13:AB13))</f>
        <v>—</v>
      </c>
      <c r="R13" s="32" t="s">
        <v>43</v>
      </c>
      <c r="S13" s="32"/>
      <c r="T13" s="32"/>
      <c r="U13" s="32"/>
      <c r="V13" s="32"/>
      <c r="W13" s="32"/>
      <c r="X13" s="32"/>
      <c r="Y13" s="32"/>
      <c r="Z13" s="32"/>
      <c r="AA13" s="32"/>
      <c r="AB13" s="32"/>
    </row>
    <row r="14" customFormat="false" ht="15" hidden="false" customHeight="false" outlineLevel="0" collapsed="false">
      <c r="A14" s="32" t="n">
        <v>13</v>
      </c>
      <c r="B14" s="7" t="s">
        <v>23</v>
      </c>
      <c r="C14" s="32" t="s">
        <v>82</v>
      </c>
      <c r="D14" s="32" t="s">
        <v>110</v>
      </c>
      <c r="E14" s="32" t="s">
        <v>66</v>
      </c>
      <c r="F14" s="32" t="s">
        <v>66</v>
      </c>
      <c r="G14" s="32" t="s">
        <v>67</v>
      </c>
      <c r="H14" s="32"/>
      <c r="I14" s="32" t="s">
        <v>41</v>
      </c>
      <c r="J14" s="32" t="s">
        <v>42</v>
      </c>
      <c r="K14" s="32" t="s">
        <v>44</v>
      </c>
      <c r="L14" s="32" t="s">
        <v>66</v>
      </c>
      <c r="M14" s="32"/>
      <c r="N14" s="32" t="n">
        <f aca="false">COUNTIFS(Trechos!$L$2:$L$134,A14)</f>
        <v>4</v>
      </c>
      <c r="O14" s="33" t="n">
        <f aca="false">SUMIFS(Trechos!$F$2:$F$134,Trechos!$L$2:$L$134,A14)</f>
        <v>159.820232331503</v>
      </c>
      <c r="P14" s="32" t="n">
        <f aca="false">COUNTA(S14:AB14)</f>
        <v>0</v>
      </c>
      <c r="Q14" s="32" t="str">
        <f aca="false">IF(COUNTA(S14:AB14)=0,"—",_xlfn.TEXTJOIN(", ",TRUE(),S14:AB14))</f>
        <v>—</v>
      </c>
      <c r="R14" s="32" t="s">
        <v>43</v>
      </c>
      <c r="S14" s="32"/>
      <c r="T14" s="32"/>
      <c r="U14" s="32"/>
      <c r="V14" s="32"/>
      <c r="W14" s="32"/>
      <c r="X14" s="32"/>
      <c r="Y14" s="32"/>
      <c r="Z14" s="32"/>
      <c r="AA14" s="32"/>
      <c r="AB14" s="32"/>
    </row>
    <row r="15" customFormat="false" ht="15" hidden="false" customHeight="false" outlineLevel="0" collapsed="false">
      <c r="A15" s="32" t="n">
        <v>14</v>
      </c>
      <c r="B15" s="8" t="s">
        <v>24</v>
      </c>
      <c r="C15" s="32" t="s">
        <v>82</v>
      </c>
      <c r="D15" s="32" t="s">
        <v>111</v>
      </c>
      <c r="E15" s="32" t="s">
        <v>69</v>
      </c>
      <c r="F15" s="32" t="s">
        <v>69</v>
      </c>
      <c r="G15" s="32" t="s">
        <v>72</v>
      </c>
      <c r="H15" s="32" t="s">
        <v>112</v>
      </c>
      <c r="I15" s="32" t="s">
        <v>41</v>
      </c>
      <c r="J15" s="32" t="s">
        <v>42</v>
      </c>
      <c r="K15" s="32" t="s">
        <v>44</v>
      </c>
      <c r="L15" s="32" t="s">
        <v>69</v>
      </c>
      <c r="M15" s="32"/>
      <c r="N15" s="32" t="n">
        <f aca="false">COUNTIFS(Trechos!$L$2:$L$134,A15)</f>
        <v>18</v>
      </c>
      <c r="O15" s="33" t="n">
        <f aca="false">SUMIFS(Trechos!$F$2:$F$134,Trechos!$L$2:$L$134,A15)</f>
        <v>719.188247747292</v>
      </c>
      <c r="P15" s="32" t="n">
        <f aca="false">COUNTA(S15:AB15)</f>
        <v>1</v>
      </c>
      <c r="Q15" s="32" t="str">
        <f aca="false">IF(COUNTA(S15:AB15)=0,"—",_xlfn.TEXTJOIN(", ",TRUE(),S15:AB15))</f>
        <v>03-F</v>
      </c>
      <c r="R15" s="32" t="s">
        <v>71</v>
      </c>
      <c r="S15" s="32" t="s">
        <v>72</v>
      </c>
      <c r="T15" s="32"/>
      <c r="U15" s="32"/>
      <c r="V15" s="32"/>
      <c r="W15" s="32"/>
      <c r="X15" s="32"/>
      <c r="Y15" s="32"/>
      <c r="Z15" s="32"/>
      <c r="AA15" s="32"/>
      <c r="AB15" s="32"/>
    </row>
    <row r="16" customFormat="false" ht="15" hidden="false" customHeight="false" outlineLevel="0" collapsed="false">
      <c r="A16" s="32" t="n">
        <v>15</v>
      </c>
      <c r="B16" s="9" t="s">
        <v>25</v>
      </c>
      <c r="C16" s="32" t="s">
        <v>82</v>
      </c>
      <c r="D16" s="32" t="s">
        <v>111</v>
      </c>
      <c r="E16" s="32" t="s">
        <v>72</v>
      </c>
      <c r="F16" s="32" t="s">
        <v>72</v>
      </c>
      <c r="G16" s="32" t="s">
        <v>73</v>
      </c>
      <c r="H16" s="32"/>
      <c r="I16" s="32" t="s">
        <v>41</v>
      </c>
      <c r="J16" s="32" t="s">
        <v>42</v>
      </c>
      <c r="K16" s="32" t="s">
        <v>44</v>
      </c>
      <c r="L16" s="32" t="s">
        <v>69</v>
      </c>
      <c r="M16" s="32" t="s">
        <v>72</v>
      </c>
      <c r="N16" s="32" t="n">
        <f aca="false">COUNTIFS(Trechos!$L$2:$L$134,A16)</f>
        <v>4</v>
      </c>
      <c r="O16" s="33" t="n">
        <f aca="false">SUMIFS(Trechos!$F$2:$F$134,Trechos!$L$2:$L$134,A16)</f>
        <v>159.820232331503</v>
      </c>
      <c r="P16" s="32" t="n">
        <f aca="false">COUNTA(S16:AB16)</f>
        <v>0</v>
      </c>
      <c r="Q16" s="32" t="str">
        <f aca="false">IF(COUNTA(S16:AB16)=0,"—",_xlfn.TEXTJOIN(", ",TRUE(),S16:AB16))</f>
        <v>—</v>
      </c>
      <c r="R16" s="32" t="s">
        <v>43</v>
      </c>
      <c r="S16" s="32"/>
      <c r="T16" s="32"/>
      <c r="U16" s="32"/>
      <c r="V16" s="32"/>
      <c r="W16" s="32"/>
      <c r="X16" s="32"/>
      <c r="Y16" s="32"/>
      <c r="Z16" s="32"/>
      <c r="AA16" s="32"/>
      <c r="AB16" s="32"/>
    </row>
    <row r="17" customFormat="false" ht="15" hidden="false" customHeight="false" outlineLevel="0" collapsed="false">
      <c r="A17" s="5" t="s">
        <v>113</v>
      </c>
      <c r="N17" s="34" t="n">
        <f aca="false">SUM(N2:N16)</f>
        <v>133</v>
      </c>
      <c r="O17" s="34" t="n">
        <f aca="false">SUM(O2:O16)</f>
        <v>5473.80513078827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false" summaryRight="true"/>
    <pageSetUpPr fitToPage="false"/>
  </sheetPr>
  <dimension ref="A1:N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2" min="1" style="0" width="7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9" min="7" style="0" width="11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24"/>
    <col collapsed="false" customWidth="true" hidden="false" outlineLevel="0" max="13" min="13" style="0" width="18"/>
    <col collapsed="false" customWidth="true" hidden="false" outlineLevel="0" max="14" min="14" style="0" width="42"/>
  </cols>
  <sheetData>
    <row r="1" customFormat="false" ht="31.5" hidden="false" customHeight="true" outlineLevel="0" collapsed="false">
      <c r="A1" s="15" t="s">
        <v>13</v>
      </c>
      <c r="B1" s="15" t="s">
        <v>3</v>
      </c>
      <c r="C1" s="15" t="s">
        <v>81</v>
      </c>
      <c r="D1" s="15" t="s">
        <v>82</v>
      </c>
      <c r="E1" s="15" t="s">
        <v>9</v>
      </c>
      <c r="F1" s="15" t="s">
        <v>114</v>
      </c>
      <c r="G1" s="15" t="s">
        <v>80</v>
      </c>
      <c r="H1" s="15" t="s">
        <v>115</v>
      </c>
      <c r="I1" s="15" t="s">
        <v>37</v>
      </c>
      <c r="J1" s="15" t="s">
        <v>116</v>
      </c>
      <c r="K1" s="15" t="s">
        <v>85</v>
      </c>
      <c r="L1" s="15" t="s">
        <v>117</v>
      </c>
      <c r="M1" s="15" t="s">
        <v>38</v>
      </c>
      <c r="N1" s="15" t="s">
        <v>118</v>
      </c>
    </row>
    <row r="2" customFormat="false" ht="15" hidden="false" customHeight="false" outlineLevel="0" collapsed="true">
      <c r="A2" s="35" t="n">
        <v>1</v>
      </c>
      <c r="B2" s="35" t="s">
        <v>22</v>
      </c>
      <c r="C2" s="35" t="s">
        <v>7</v>
      </c>
      <c r="D2" s="35" t="s">
        <v>7</v>
      </c>
      <c r="E2" s="35" t="s">
        <v>41</v>
      </c>
      <c r="F2" s="35" t="str">
        <f aca="false">COUNTIFS(Trechos!$L$2:$L$134,A2)&amp;" vãos"</f>
        <v>15 vãos</v>
      </c>
      <c r="G2" s="35"/>
      <c r="H2" s="35"/>
      <c r="I2" s="36" t="n">
        <f aca="false">SUMIFS(Trechos!$F$2:$F$134,Trechos!$L$2:$L$134,A2)</f>
        <v>659.250764571799</v>
      </c>
      <c r="J2" s="35"/>
      <c r="K2" s="35"/>
      <c r="L2" s="35" t="s">
        <v>42</v>
      </c>
      <c r="M2" s="35" t="s">
        <v>43</v>
      </c>
      <c r="N2" s="35" t="str">
        <f aca="false">Blocos!Q2</f>
        <v>RL1, RL2, RL3, 03-E, 03-F, 03-D, 03-C, RL-A, 03-A, 03-B</v>
      </c>
    </row>
    <row r="3" customFormat="false" ht="15" hidden="true" customHeight="false" outlineLevel="1" collapsed="false">
      <c r="F3" s="32" t="s">
        <v>119</v>
      </c>
      <c r="G3" s="32" t="s">
        <v>120</v>
      </c>
      <c r="H3" s="32" t="s">
        <v>121</v>
      </c>
      <c r="I3" s="37" t="n">
        <v>43.9500509712456</v>
      </c>
      <c r="J3" s="33" t="n">
        <v>43.9500509712456</v>
      </c>
      <c r="K3" s="32"/>
    </row>
    <row r="4" customFormat="false" ht="15" hidden="true" customHeight="false" outlineLevel="1" collapsed="false">
      <c r="F4" s="32" t="s">
        <v>122</v>
      </c>
      <c r="G4" s="32" t="s">
        <v>121</v>
      </c>
      <c r="H4" s="32" t="s">
        <v>123</v>
      </c>
      <c r="I4" s="37" t="n">
        <v>43.9500509712456</v>
      </c>
      <c r="J4" s="33" t="n">
        <v>87.9001019424911</v>
      </c>
      <c r="K4" s="32"/>
    </row>
    <row r="5" customFormat="false" ht="15" hidden="true" customHeight="false" outlineLevel="1" collapsed="false">
      <c r="F5" s="32" t="s">
        <v>124</v>
      </c>
      <c r="G5" s="32" t="s">
        <v>123</v>
      </c>
      <c r="H5" s="32" t="s">
        <v>125</v>
      </c>
      <c r="I5" s="37" t="n">
        <v>43.9500509720246</v>
      </c>
      <c r="J5" s="33" t="n">
        <v>131.850152914516</v>
      </c>
      <c r="K5" s="32"/>
    </row>
    <row r="6" customFormat="false" ht="15" hidden="true" customHeight="false" outlineLevel="1" collapsed="false">
      <c r="F6" s="32" t="s">
        <v>126</v>
      </c>
      <c r="G6" s="32" t="s">
        <v>125</v>
      </c>
      <c r="H6" s="32" t="s">
        <v>127</v>
      </c>
      <c r="I6" s="37" t="n">
        <v>43.9500509712456</v>
      </c>
      <c r="J6" s="33" t="n">
        <v>175.800203885761</v>
      </c>
      <c r="K6" s="32"/>
    </row>
    <row r="7" customFormat="false" ht="15" hidden="true" customHeight="false" outlineLevel="1" collapsed="false">
      <c r="F7" s="32" t="s">
        <v>128</v>
      </c>
      <c r="G7" s="32" t="s">
        <v>127</v>
      </c>
      <c r="H7" s="32" t="s">
        <v>129</v>
      </c>
      <c r="I7" s="37" t="n">
        <v>43.9500509712456</v>
      </c>
      <c r="J7" s="33" t="n">
        <v>219.750254857007</v>
      </c>
      <c r="K7" s="32"/>
    </row>
    <row r="8" customFormat="false" ht="15" hidden="true" customHeight="false" outlineLevel="1" collapsed="false">
      <c r="F8" s="32" t="s">
        <v>130</v>
      </c>
      <c r="G8" s="32" t="s">
        <v>129</v>
      </c>
      <c r="H8" s="32" t="s">
        <v>131</v>
      </c>
      <c r="I8" s="37" t="n">
        <v>43.9500509712456</v>
      </c>
      <c r="J8" s="33" t="n">
        <v>263.700305828252</v>
      </c>
      <c r="K8" s="32"/>
    </row>
    <row r="9" customFormat="false" ht="15" hidden="true" customHeight="false" outlineLevel="1" collapsed="false">
      <c r="F9" s="32" t="s">
        <v>132</v>
      </c>
      <c r="G9" s="32" t="s">
        <v>131</v>
      </c>
      <c r="H9" s="32" t="s">
        <v>133</v>
      </c>
      <c r="I9" s="37" t="n">
        <v>43.9500509712456</v>
      </c>
      <c r="J9" s="33" t="n">
        <v>307.650356799498</v>
      </c>
      <c r="K9" s="32"/>
    </row>
    <row r="10" customFormat="false" ht="15" hidden="true" customHeight="false" outlineLevel="1" collapsed="false">
      <c r="F10" s="32" t="s">
        <v>134</v>
      </c>
      <c r="G10" s="32" t="s">
        <v>133</v>
      </c>
      <c r="H10" s="32" t="s">
        <v>135</v>
      </c>
      <c r="I10" s="37" t="n">
        <v>43.9500509720246</v>
      </c>
      <c r="J10" s="33" t="n">
        <v>351.600407771522</v>
      </c>
      <c r="K10" s="32"/>
    </row>
    <row r="11" customFormat="false" ht="15" hidden="true" customHeight="false" outlineLevel="1" collapsed="false">
      <c r="F11" s="32" t="s">
        <v>136</v>
      </c>
      <c r="G11" s="32" t="s">
        <v>135</v>
      </c>
      <c r="H11" s="32" t="s">
        <v>137</v>
      </c>
      <c r="I11" s="37" t="n">
        <v>43.9500509712456</v>
      </c>
      <c r="J11" s="33" t="n">
        <v>395.550458742768</v>
      </c>
      <c r="K11" s="32"/>
    </row>
    <row r="12" customFormat="false" ht="15" hidden="true" customHeight="false" outlineLevel="1" collapsed="false">
      <c r="F12" s="32" t="s">
        <v>138</v>
      </c>
      <c r="G12" s="32" t="s">
        <v>137</v>
      </c>
      <c r="H12" s="32" t="s">
        <v>139</v>
      </c>
      <c r="I12" s="37" t="n">
        <v>43.9500509712456</v>
      </c>
      <c r="J12" s="33" t="n">
        <v>439.500509714014</v>
      </c>
      <c r="K12" s="32"/>
    </row>
    <row r="13" customFormat="false" ht="15" hidden="true" customHeight="false" outlineLevel="1" collapsed="false">
      <c r="F13" s="32" t="s">
        <v>140</v>
      </c>
      <c r="G13" s="32" t="s">
        <v>139</v>
      </c>
      <c r="H13" s="32" t="s">
        <v>141</v>
      </c>
      <c r="I13" s="37" t="n">
        <v>43.9500509712456</v>
      </c>
      <c r="J13" s="33" t="n">
        <v>483.450560685259</v>
      </c>
      <c r="K13" s="32"/>
    </row>
    <row r="14" customFormat="false" ht="15" hidden="true" customHeight="false" outlineLevel="1" collapsed="false">
      <c r="F14" s="32" t="s">
        <v>142</v>
      </c>
      <c r="G14" s="32" t="s">
        <v>141</v>
      </c>
      <c r="H14" s="32" t="s">
        <v>143</v>
      </c>
      <c r="I14" s="37" t="n">
        <v>43.9500509720246</v>
      </c>
      <c r="J14" s="33" t="n">
        <v>527.400611657284</v>
      </c>
      <c r="K14" s="32"/>
    </row>
    <row r="15" customFormat="false" ht="15" hidden="true" customHeight="false" outlineLevel="1" collapsed="false">
      <c r="F15" s="32" t="s">
        <v>144</v>
      </c>
      <c r="G15" s="32" t="s">
        <v>143</v>
      </c>
      <c r="H15" s="32" t="s">
        <v>145</v>
      </c>
      <c r="I15" s="37" t="n">
        <v>43.9500509712456</v>
      </c>
      <c r="J15" s="33" t="n">
        <v>571.350662628529</v>
      </c>
      <c r="K15" s="32"/>
    </row>
    <row r="16" customFormat="false" ht="15" hidden="true" customHeight="false" outlineLevel="1" collapsed="false">
      <c r="F16" s="32" t="s">
        <v>146</v>
      </c>
      <c r="G16" s="32" t="s">
        <v>145</v>
      </c>
      <c r="H16" s="32" t="s">
        <v>147</v>
      </c>
      <c r="I16" s="37" t="n">
        <v>43.9500509720246</v>
      </c>
      <c r="J16" s="33" t="n">
        <v>615.300713600554</v>
      </c>
      <c r="K16" s="32"/>
    </row>
    <row r="17" customFormat="false" ht="15" hidden="true" customHeight="false" outlineLevel="1" collapsed="false">
      <c r="F17" s="32" t="s">
        <v>148</v>
      </c>
      <c r="G17" s="32" t="s">
        <v>147</v>
      </c>
      <c r="H17" s="32" t="s">
        <v>149</v>
      </c>
      <c r="I17" s="37" t="n">
        <v>43.9500509712456</v>
      </c>
      <c r="J17" s="33" t="n">
        <v>659.250764571799</v>
      </c>
      <c r="K17" s="32"/>
    </row>
    <row r="18" customFormat="false" ht="15" hidden="false" customHeight="false" outlineLevel="0" collapsed="true">
      <c r="A18" s="38" t="n">
        <v>2</v>
      </c>
      <c r="B18" s="38" t="s">
        <v>23</v>
      </c>
      <c r="C18" s="38" t="s">
        <v>7</v>
      </c>
      <c r="D18" s="38" t="s">
        <v>7</v>
      </c>
      <c r="E18" s="38" t="s">
        <v>42</v>
      </c>
      <c r="F18" s="38" t="str">
        <f aca="false">COUNTIFS(Trechos!$L$2:$L$134,A18)&amp;" vãos"</f>
        <v>16 vãos</v>
      </c>
      <c r="G18" s="38"/>
      <c r="H18" s="38"/>
      <c r="I18" s="39" t="n">
        <f aca="false">SUMIFS(Trechos!$F$2:$F$134,Trechos!$L$2:$L$134,A18)</f>
        <v>659.250764571803</v>
      </c>
      <c r="J18" s="38"/>
      <c r="K18" s="38"/>
      <c r="L18" s="38" t="s">
        <v>44</v>
      </c>
      <c r="M18" s="38" t="s">
        <v>45</v>
      </c>
      <c r="N18" s="38" t="str">
        <f aca="false">Blocos!Q3</f>
        <v>RL2, RL3, 03-E, 03-F, 03-D</v>
      </c>
    </row>
    <row r="19" customFormat="false" ht="15" hidden="true" customHeight="false" outlineLevel="1" collapsed="false">
      <c r="F19" s="32" t="s">
        <v>150</v>
      </c>
      <c r="G19" s="32" t="s">
        <v>149</v>
      </c>
      <c r="H19" s="32" t="s">
        <v>151</v>
      </c>
      <c r="I19" s="37" t="n">
        <v>43.9500509712456</v>
      </c>
      <c r="J19" s="33" t="n">
        <v>43.9500509712456</v>
      </c>
      <c r="K19" s="32"/>
    </row>
    <row r="20" customFormat="false" ht="15" hidden="true" customHeight="false" outlineLevel="1" collapsed="false">
      <c r="F20" s="32" t="s">
        <v>152</v>
      </c>
      <c r="G20" s="32" t="s">
        <v>151</v>
      </c>
      <c r="H20" s="32" t="s">
        <v>153</v>
      </c>
      <c r="I20" s="37" t="n">
        <v>43.9500509712456</v>
      </c>
      <c r="J20" s="33" t="n">
        <v>87.9001019424911</v>
      </c>
      <c r="K20" s="32"/>
    </row>
    <row r="21" customFormat="false" ht="15" hidden="true" customHeight="false" outlineLevel="1" collapsed="false">
      <c r="F21" s="32" t="s">
        <v>154</v>
      </c>
      <c r="G21" s="32" t="s">
        <v>153</v>
      </c>
      <c r="H21" s="32" t="s">
        <v>155</v>
      </c>
      <c r="I21" s="37" t="n">
        <v>43.9500509720246</v>
      </c>
      <c r="J21" s="33" t="n">
        <v>131.850152914516</v>
      </c>
      <c r="K21" s="32"/>
    </row>
    <row r="22" customFormat="false" ht="15" hidden="true" customHeight="false" outlineLevel="1" collapsed="false">
      <c r="F22" s="32" t="s">
        <v>156</v>
      </c>
      <c r="G22" s="32" t="s">
        <v>155</v>
      </c>
      <c r="H22" s="32" t="s">
        <v>157</v>
      </c>
      <c r="I22" s="37" t="n">
        <v>43.9500509712456</v>
      </c>
      <c r="J22" s="33" t="n">
        <v>175.800203885761</v>
      </c>
      <c r="K22" s="32"/>
    </row>
    <row r="23" customFormat="false" ht="15" hidden="true" customHeight="false" outlineLevel="1" collapsed="false">
      <c r="F23" s="32" t="s">
        <v>158</v>
      </c>
      <c r="G23" s="32" t="s">
        <v>157</v>
      </c>
      <c r="H23" s="32" t="s">
        <v>159</v>
      </c>
      <c r="I23" s="37" t="n">
        <v>43.9500509712456</v>
      </c>
      <c r="J23" s="33" t="n">
        <v>219.750254857007</v>
      </c>
      <c r="K23" s="32"/>
    </row>
    <row r="24" customFormat="false" ht="15" hidden="true" customHeight="false" outlineLevel="1" collapsed="false">
      <c r="F24" s="32" t="s">
        <v>160</v>
      </c>
      <c r="G24" s="32" t="s">
        <v>159</v>
      </c>
      <c r="H24" s="32" t="s">
        <v>161</v>
      </c>
      <c r="I24" s="37" t="n">
        <v>36.6250424759088</v>
      </c>
      <c r="J24" s="33" t="n">
        <v>256.375297332916</v>
      </c>
      <c r="K24" s="32"/>
    </row>
    <row r="25" customFormat="false" ht="15" hidden="true" customHeight="false" outlineLevel="1" collapsed="false">
      <c r="F25" s="32" t="s">
        <v>162</v>
      </c>
      <c r="G25" s="32" t="s">
        <v>161</v>
      </c>
      <c r="H25" s="32" t="s">
        <v>163</v>
      </c>
      <c r="I25" s="37" t="n">
        <v>36.6250424766878</v>
      </c>
      <c r="J25" s="33" t="n">
        <v>293.000339809603</v>
      </c>
      <c r="K25" s="32"/>
    </row>
    <row r="26" customFormat="false" ht="15" hidden="true" customHeight="false" outlineLevel="1" collapsed="false">
      <c r="F26" s="32" t="s">
        <v>164</v>
      </c>
      <c r="G26" s="32" t="s">
        <v>163</v>
      </c>
      <c r="H26" s="32" t="s">
        <v>165</v>
      </c>
      <c r="I26" s="37" t="n">
        <v>36.6250424759088</v>
      </c>
      <c r="J26" s="33" t="n">
        <v>329.625382285512</v>
      </c>
      <c r="K26" s="32" t="s">
        <v>45</v>
      </c>
    </row>
    <row r="27" customFormat="false" ht="15" hidden="true" customHeight="false" outlineLevel="1" collapsed="false">
      <c r="F27" s="32" t="s">
        <v>166</v>
      </c>
      <c r="G27" s="32" t="s">
        <v>165</v>
      </c>
      <c r="H27" s="32" t="s">
        <v>167</v>
      </c>
      <c r="I27" s="37" t="n">
        <v>36.6250424759088</v>
      </c>
      <c r="J27" s="33" t="n">
        <v>366.250424761421</v>
      </c>
      <c r="K27" s="32"/>
    </row>
    <row r="28" customFormat="false" ht="15" hidden="true" customHeight="false" outlineLevel="1" collapsed="false">
      <c r="F28" s="32" t="s">
        <v>168</v>
      </c>
      <c r="G28" s="32" t="s">
        <v>167</v>
      </c>
      <c r="H28" s="32" t="s">
        <v>169</v>
      </c>
      <c r="I28" s="37" t="n">
        <v>36.6250424766878</v>
      </c>
      <c r="J28" s="33" t="n">
        <v>402.875467238109</v>
      </c>
      <c r="K28" s="32"/>
    </row>
    <row r="29" customFormat="false" ht="15" hidden="true" customHeight="false" outlineLevel="1" collapsed="false">
      <c r="F29" s="32" t="s">
        <v>170</v>
      </c>
      <c r="G29" s="32" t="s">
        <v>169</v>
      </c>
      <c r="H29" s="32" t="s">
        <v>171</v>
      </c>
      <c r="I29" s="37" t="n">
        <v>36.6250424759088</v>
      </c>
      <c r="J29" s="33" t="n">
        <v>439.500509714017</v>
      </c>
      <c r="K29" s="32"/>
    </row>
    <row r="30" customFormat="false" ht="15" hidden="true" customHeight="false" outlineLevel="1" collapsed="false">
      <c r="F30" s="32" t="s">
        <v>172</v>
      </c>
      <c r="G30" s="32" t="s">
        <v>171</v>
      </c>
      <c r="H30" s="32" t="s">
        <v>173</v>
      </c>
      <c r="I30" s="37" t="n">
        <v>43.9500509712456</v>
      </c>
      <c r="J30" s="33" t="n">
        <v>483.450560685263</v>
      </c>
      <c r="K30" s="32"/>
    </row>
    <row r="31" customFormat="false" ht="15" hidden="true" customHeight="false" outlineLevel="1" collapsed="false">
      <c r="F31" s="32" t="s">
        <v>174</v>
      </c>
      <c r="G31" s="32" t="s">
        <v>173</v>
      </c>
      <c r="H31" s="32" t="s">
        <v>175</v>
      </c>
      <c r="I31" s="37" t="n">
        <v>43.9500509720246</v>
      </c>
      <c r="J31" s="33" t="n">
        <v>527.400611657287</v>
      </c>
      <c r="K31" s="32"/>
    </row>
    <row r="32" customFormat="false" ht="15" hidden="true" customHeight="false" outlineLevel="1" collapsed="false">
      <c r="F32" s="32" t="s">
        <v>176</v>
      </c>
      <c r="G32" s="32" t="s">
        <v>175</v>
      </c>
      <c r="H32" s="32" t="s">
        <v>177</v>
      </c>
      <c r="I32" s="37" t="n">
        <v>43.9500509712456</v>
      </c>
      <c r="J32" s="33" t="n">
        <v>571.350662628533</v>
      </c>
      <c r="K32" s="32"/>
    </row>
    <row r="33" customFormat="false" ht="15" hidden="true" customHeight="false" outlineLevel="1" collapsed="false">
      <c r="F33" s="32" t="s">
        <v>178</v>
      </c>
      <c r="G33" s="32" t="s">
        <v>177</v>
      </c>
      <c r="H33" s="32" t="s">
        <v>179</v>
      </c>
      <c r="I33" s="37" t="n">
        <v>43.9500509720246</v>
      </c>
      <c r="J33" s="33" t="n">
        <v>615.300713600558</v>
      </c>
      <c r="K33" s="32"/>
    </row>
    <row r="34" customFormat="false" ht="15" hidden="true" customHeight="false" outlineLevel="1" collapsed="false">
      <c r="F34" s="32" t="s">
        <v>180</v>
      </c>
      <c r="G34" s="32" t="s">
        <v>179</v>
      </c>
      <c r="H34" s="32" t="s">
        <v>181</v>
      </c>
      <c r="I34" s="37" t="n">
        <v>43.9500509712456</v>
      </c>
      <c r="J34" s="33" t="n">
        <v>659.250764571803</v>
      </c>
      <c r="K34" s="32"/>
    </row>
    <row r="35" customFormat="false" ht="15" hidden="false" customHeight="false" outlineLevel="0" collapsed="true">
      <c r="A35" s="38" t="n">
        <v>3</v>
      </c>
      <c r="B35" s="38" t="s">
        <v>23</v>
      </c>
      <c r="C35" s="38" t="s">
        <v>7</v>
      </c>
      <c r="D35" s="38" t="s">
        <v>7</v>
      </c>
      <c r="E35" s="38" t="s">
        <v>44</v>
      </c>
      <c r="F35" s="38" t="str">
        <f aca="false">COUNTIFS(Trechos!$L$2:$L$134,A35)&amp;" vãos"</f>
        <v>17 vãos</v>
      </c>
      <c r="G35" s="38"/>
      <c r="H35" s="38"/>
      <c r="I35" s="39" t="n">
        <f aca="false">SUMIFS(Trechos!$F$2:$F$134,Trechos!$L$2:$L$134,A35)</f>
        <v>679.23039192074</v>
      </c>
      <c r="J35" s="38"/>
      <c r="K35" s="38"/>
      <c r="L35" s="38" t="s">
        <v>46</v>
      </c>
      <c r="M35" s="38" t="s">
        <v>43</v>
      </c>
      <c r="N35" s="38" t="str">
        <f aca="false">Blocos!Q4</f>
        <v>RL3, 03-E, 03-F</v>
      </c>
    </row>
    <row r="36" customFormat="false" ht="15" hidden="true" customHeight="false" outlineLevel="1" collapsed="false">
      <c r="F36" s="32" t="s">
        <v>182</v>
      </c>
      <c r="G36" s="32" t="s">
        <v>181</v>
      </c>
      <c r="H36" s="32" t="s">
        <v>183</v>
      </c>
      <c r="I36" s="37" t="n">
        <v>39.9545917918293</v>
      </c>
      <c r="J36" s="33" t="n">
        <v>39.9545917918294</v>
      </c>
      <c r="K36" s="32"/>
    </row>
    <row r="37" customFormat="false" ht="15" hidden="true" customHeight="false" outlineLevel="1" collapsed="false">
      <c r="F37" s="32" t="s">
        <v>184</v>
      </c>
      <c r="G37" s="32" t="s">
        <v>183</v>
      </c>
      <c r="H37" s="32" t="s">
        <v>185</v>
      </c>
      <c r="I37" s="37" t="n">
        <v>39.9545917926084</v>
      </c>
      <c r="J37" s="33" t="n">
        <v>79.9091835844379</v>
      </c>
      <c r="K37" s="32"/>
    </row>
    <row r="38" customFormat="false" ht="15" hidden="true" customHeight="false" outlineLevel="1" collapsed="false">
      <c r="F38" s="32" t="s">
        <v>186</v>
      </c>
      <c r="G38" s="32" t="s">
        <v>185</v>
      </c>
      <c r="H38" s="32" t="s">
        <v>187</v>
      </c>
      <c r="I38" s="37" t="n">
        <v>39.9545917926084</v>
      </c>
      <c r="J38" s="33" t="n">
        <v>119.863775377046</v>
      </c>
      <c r="K38" s="32"/>
    </row>
    <row r="39" customFormat="false" ht="15" hidden="true" customHeight="false" outlineLevel="1" collapsed="false">
      <c r="F39" s="32" t="s">
        <v>188</v>
      </c>
      <c r="G39" s="32" t="s">
        <v>187</v>
      </c>
      <c r="H39" s="32" t="s">
        <v>189</v>
      </c>
      <c r="I39" s="37" t="n">
        <v>39.9545917918293</v>
      </c>
      <c r="J39" s="33" t="n">
        <v>159.818367168876</v>
      </c>
      <c r="K39" s="32"/>
    </row>
    <row r="40" customFormat="false" ht="15" hidden="true" customHeight="false" outlineLevel="1" collapsed="false">
      <c r="F40" s="32" t="s">
        <v>190</v>
      </c>
      <c r="G40" s="32" t="s">
        <v>189</v>
      </c>
      <c r="H40" s="32" t="s">
        <v>191</v>
      </c>
      <c r="I40" s="37" t="n">
        <v>39.9545917918293</v>
      </c>
      <c r="J40" s="33" t="n">
        <v>199.772958960705</v>
      </c>
      <c r="K40" s="32"/>
    </row>
    <row r="41" customFormat="false" ht="15" hidden="true" customHeight="false" outlineLevel="1" collapsed="false">
      <c r="F41" s="32" t="s">
        <v>192</v>
      </c>
      <c r="G41" s="32" t="s">
        <v>191</v>
      </c>
      <c r="H41" s="32" t="s">
        <v>193</v>
      </c>
      <c r="I41" s="37" t="n">
        <v>39.9545917926084</v>
      </c>
      <c r="J41" s="33" t="n">
        <v>239.727550753314</v>
      </c>
      <c r="K41" s="32"/>
    </row>
    <row r="42" customFormat="false" ht="15" hidden="true" customHeight="false" outlineLevel="1" collapsed="false">
      <c r="F42" s="32" t="s">
        <v>194</v>
      </c>
      <c r="G42" s="32" t="s">
        <v>193</v>
      </c>
      <c r="H42" s="32" t="s">
        <v>195</v>
      </c>
      <c r="I42" s="37" t="n">
        <v>39.9550580829642</v>
      </c>
      <c r="J42" s="33" t="n">
        <v>279.682608836278</v>
      </c>
      <c r="K42" s="32"/>
    </row>
    <row r="43" customFormat="false" ht="15" hidden="true" customHeight="false" outlineLevel="1" collapsed="false">
      <c r="F43" s="32" t="s">
        <v>196</v>
      </c>
      <c r="G43" s="32" t="s">
        <v>195</v>
      </c>
      <c r="H43" s="32" t="s">
        <v>197</v>
      </c>
      <c r="I43" s="37" t="n">
        <v>39.9550580826105</v>
      </c>
      <c r="J43" s="33" t="n">
        <v>319.637666918888</v>
      </c>
      <c r="K43" s="32"/>
    </row>
    <row r="44" customFormat="false" ht="15" hidden="true" customHeight="false" outlineLevel="1" collapsed="false">
      <c r="F44" s="32" t="s">
        <v>198</v>
      </c>
      <c r="G44" s="32" t="s">
        <v>197</v>
      </c>
      <c r="H44" s="32" t="s">
        <v>199</v>
      </c>
      <c r="I44" s="37" t="n">
        <v>39.9550580829642</v>
      </c>
      <c r="J44" s="33" t="n">
        <v>359.592725001852</v>
      </c>
      <c r="K44" s="32"/>
    </row>
    <row r="45" customFormat="false" ht="15" hidden="true" customHeight="false" outlineLevel="1" collapsed="false">
      <c r="F45" s="32" t="s">
        <v>200</v>
      </c>
      <c r="G45" s="32" t="s">
        <v>199</v>
      </c>
      <c r="H45" s="32" t="s">
        <v>201</v>
      </c>
      <c r="I45" s="37" t="n">
        <v>39.9550580827874</v>
      </c>
      <c r="J45" s="33" t="n">
        <v>399.54778308464</v>
      </c>
      <c r="K45" s="32"/>
    </row>
    <row r="46" customFormat="false" ht="15" hidden="true" customHeight="false" outlineLevel="1" collapsed="false">
      <c r="F46" s="32" t="s">
        <v>202</v>
      </c>
      <c r="G46" s="32" t="s">
        <v>201</v>
      </c>
      <c r="H46" s="32" t="s">
        <v>203</v>
      </c>
      <c r="I46" s="37" t="n">
        <v>39.9550580827874</v>
      </c>
      <c r="J46" s="33" t="n">
        <v>439.502841167427</v>
      </c>
      <c r="K46" s="32"/>
    </row>
    <row r="47" customFormat="false" ht="15" hidden="true" customHeight="false" outlineLevel="1" collapsed="false">
      <c r="F47" s="32" t="s">
        <v>204</v>
      </c>
      <c r="G47" s="32" t="s">
        <v>193</v>
      </c>
      <c r="H47" s="32" t="s">
        <v>205</v>
      </c>
      <c r="I47" s="37" t="n">
        <v>39.9545917926084</v>
      </c>
      <c r="J47" s="33" t="n">
        <v>279.682142545922</v>
      </c>
      <c r="K47" s="32"/>
    </row>
    <row r="48" customFormat="false" ht="15" hidden="true" customHeight="false" outlineLevel="1" collapsed="false">
      <c r="F48" s="32" t="s">
        <v>206</v>
      </c>
      <c r="G48" s="32" t="s">
        <v>205</v>
      </c>
      <c r="H48" s="32" t="s">
        <v>207</v>
      </c>
      <c r="I48" s="37" t="n">
        <v>39.9545917918293</v>
      </c>
      <c r="J48" s="33" t="n">
        <v>319.636734337752</v>
      </c>
      <c r="K48" s="32"/>
    </row>
    <row r="49" customFormat="false" ht="15" hidden="true" customHeight="false" outlineLevel="1" collapsed="false">
      <c r="F49" s="32" t="s">
        <v>208</v>
      </c>
      <c r="G49" s="32" t="s">
        <v>207</v>
      </c>
      <c r="H49" s="32" t="s">
        <v>209</v>
      </c>
      <c r="I49" s="37" t="n">
        <v>39.9545917918293</v>
      </c>
      <c r="J49" s="33" t="n">
        <v>359.591326129581</v>
      </c>
      <c r="K49" s="32"/>
    </row>
    <row r="50" customFormat="false" ht="15" hidden="true" customHeight="false" outlineLevel="1" collapsed="false">
      <c r="F50" s="32" t="s">
        <v>210</v>
      </c>
      <c r="G50" s="32" t="s">
        <v>209</v>
      </c>
      <c r="H50" s="32" t="s">
        <v>211</v>
      </c>
      <c r="I50" s="37" t="n">
        <v>39.9545917926084</v>
      </c>
      <c r="J50" s="33" t="n">
        <v>399.545917922189</v>
      </c>
      <c r="K50" s="32"/>
    </row>
    <row r="51" customFormat="false" ht="15" hidden="true" customHeight="false" outlineLevel="1" collapsed="false">
      <c r="F51" s="32" t="s">
        <v>212</v>
      </c>
      <c r="G51" s="32" t="s">
        <v>211</v>
      </c>
      <c r="H51" s="32" t="s">
        <v>213</v>
      </c>
      <c r="I51" s="37" t="n">
        <v>39.9545917926084</v>
      </c>
      <c r="J51" s="33" t="n">
        <v>439.500509714798</v>
      </c>
      <c r="K51" s="32"/>
    </row>
    <row r="52" customFormat="false" ht="15" hidden="true" customHeight="false" outlineLevel="1" collapsed="false">
      <c r="F52" s="32" t="s">
        <v>214</v>
      </c>
      <c r="G52" s="32" t="s">
        <v>213</v>
      </c>
      <c r="H52" s="32" t="s">
        <v>215</v>
      </c>
      <c r="I52" s="37" t="n">
        <v>39.9545917918293</v>
      </c>
      <c r="J52" s="33" t="n">
        <v>479.455101506627</v>
      </c>
      <c r="K52" s="32"/>
    </row>
    <row r="53" customFormat="false" ht="15" hidden="false" customHeight="false" outlineLevel="0" collapsed="true">
      <c r="A53" s="35" t="n">
        <v>4</v>
      </c>
      <c r="B53" s="35" t="s">
        <v>22</v>
      </c>
      <c r="C53" s="35" t="s">
        <v>82</v>
      </c>
      <c r="D53" s="35" t="s">
        <v>105</v>
      </c>
      <c r="E53" s="35" t="s">
        <v>41</v>
      </c>
      <c r="F53" s="35" t="str">
        <f aca="false">COUNTIFS(Trechos!$L$2:$L$134,A53)&amp;" vãos"</f>
        <v>5 vãos</v>
      </c>
      <c r="G53" s="35"/>
      <c r="H53" s="35"/>
      <c r="I53" s="36" t="n">
        <f aca="false">SUMIFS(Trechos!$F$2:$F$134,Trechos!$L$2:$L$134,A53)</f>
        <v>199.775290414291</v>
      </c>
      <c r="J53" s="35"/>
      <c r="K53" s="35"/>
      <c r="L53" s="35" t="s">
        <v>49</v>
      </c>
      <c r="M53" s="35" t="s">
        <v>43</v>
      </c>
      <c r="N53" s="35" t="str">
        <f aca="false">Blocos!Q5</f>
        <v>RL-A, 03-A, 03-B</v>
      </c>
    </row>
    <row r="54" customFormat="false" ht="15" hidden="true" customHeight="false" outlineLevel="1" collapsed="false">
      <c r="F54" s="32" t="s">
        <v>216</v>
      </c>
      <c r="G54" s="32" t="s">
        <v>129</v>
      </c>
      <c r="H54" s="32" t="s">
        <v>217</v>
      </c>
      <c r="I54" s="37" t="n">
        <v>39.9550580829642</v>
      </c>
      <c r="J54" s="33" t="n">
        <v>259.705312939971</v>
      </c>
      <c r="K54" s="32"/>
    </row>
    <row r="55" customFormat="false" ht="15" hidden="true" customHeight="false" outlineLevel="1" collapsed="false">
      <c r="F55" s="32" t="s">
        <v>218</v>
      </c>
      <c r="G55" s="32" t="s">
        <v>217</v>
      </c>
      <c r="H55" s="32" t="s">
        <v>219</v>
      </c>
      <c r="I55" s="37" t="n">
        <v>39.9550580827874</v>
      </c>
      <c r="J55" s="33" t="n">
        <v>299.660371022758</v>
      </c>
      <c r="K55" s="32"/>
    </row>
    <row r="56" customFormat="false" ht="15" hidden="true" customHeight="false" outlineLevel="1" collapsed="false">
      <c r="F56" s="32" t="s">
        <v>220</v>
      </c>
      <c r="G56" s="32" t="s">
        <v>219</v>
      </c>
      <c r="H56" s="32" t="s">
        <v>221</v>
      </c>
      <c r="I56" s="37" t="n">
        <v>39.9550580827874</v>
      </c>
      <c r="J56" s="33" t="n">
        <v>339.615429105546</v>
      </c>
      <c r="K56" s="32"/>
    </row>
    <row r="57" customFormat="false" ht="15" hidden="true" customHeight="false" outlineLevel="1" collapsed="false">
      <c r="F57" s="32" t="s">
        <v>222</v>
      </c>
      <c r="G57" s="32" t="s">
        <v>221</v>
      </c>
      <c r="H57" s="32" t="s">
        <v>223</v>
      </c>
      <c r="I57" s="37" t="n">
        <v>39.9550580827874</v>
      </c>
      <c r="J57" s="33" t="n">
        <v>379.570487188333</v>
      </c>
      <c r="K57" s="32"/>
    </row>
    <row r="58" customFormat="false" ht="15" hidden="true" customHeight="false" outlineLevel="1" collapsed="false">
      <c r="F58" s="32" t="s">
        <v>224</v>
      </c>
      <c r="G58" s="32" t="s">
        <v>223</v>
      </c>
      <c r="H58" s="32" t="s">
        <v>225</v>
      </c>
      <c r="I58" s="37" t="n">
        <v>39.9550580829642</v>
      </c>
      <c r="J58" s="33" t="n">
        <v>419.525545271297</v>
      </c>
      <c r="K58" s="32"/>
    </row>
    <row r="59" customFormat="false" ht="15" hidden="false" customHeight="false" outlineLevel="0" collapsed="true">
      <c r="A59" s="38" t="n">
        <v>5</v>
      </c>
      <c r="B59" s="38" t="s">
        <v>23</v>
      </c>
      <c r="C59" s="38" t="s">
        <v>82</v>
      </c>
      <c r="D59" s="38" t="s">
        <v>105</v>
      </c>
      <c r="E59" s="38" t="s">
        <v>49</v>
      </c>
      <c r="F59" s="38" t="str">
        <f aca="false">COUNTIFS(Trechos!$L$2:$L$134,A59)&amp;" vãos"</f>
        <v>5 vãos</v>
      </c>
      <c r="G59" s="38"/>
      <c r="H59" s="38"/>
      <c r="I59" s="39" t="n">
        <f aca="false">SUMIFS(Trechos!$F$2:$F$134,Trechos!$L$2:$L$134,A59)</f>
        <v>219.752819455684</v>
      </c>
      <c r="J59" s="38"/>
      <c r="K59" s="38"/>
      <c r="L59" s="38" t="s">
        <v>50</v>
      </c>
      <c r="M59" s="38" t="s">
        <v>43</v>
      </c>
      <c r="N59" s="38" t="str">
        <f aca="false">Blocos!Q6</f>
        <v>03-A, 03-B</v>
      </c>
    </row>
    <row r="60" customFormat="false" ht="15" hidden="true" customHeight="false" outlineLevel="1" collapsed="false">
      <c r="F60" s="32" t="s">
        <v>226</v>
      </c>
      <c r="G60" s="32" t="s">
        <v>225</v>
      </c>
      <c r="H60" s="32" t="s">
        <v>227</v>
      </c>
      <c r="I60" s="37" t="n">
        <v>43.9505638910308</v>
      </c>
      <c r="J60" s="33" t="n">
        <v>43.9505638910308</v>
      </c>
      <c r="K60" s="32"/>
    </row>
    <row r="61" customFormat="false" ht="15" hidden="true" customHeight="false" outlineLevel="1" collapsed="false">
      <c r="F61" s="32" t="s">
        <v>228</v>
      </c>
      <c r="G61" s="32" t="s">
        <v>227</v>
      </c>
      <c r="H61" s="32" t="s">
        <v>229</v>
      </c>
      <c r="I61" s="37" t="n">
        <v>43.9505638912076</v>
      </c>
      <c r="J61" s="33" t="n">
        <v>87.9011277822384</v>
      </c>
      <c r="K61" s="32"/>
    </row>
    <row r="62" customFormat="false" ht="15" hidden="true" customHeight="false" outlineLevel="1" collapsed="false">
      <c r="F62" s="32" t="s">
        <v>230</v>
      </c>
      <c r="G62" s="32" t="s">
        <v>229</v>
      </c>
      <c r="H62" s="32" t="s">
        <v>231</v>
      </c>
      <c r="I62" s="37" t="n">
        <v>43.9505638910308</v>
      </c>
      <c r="J62" s="33" t="n">
        <v>131.851691673269</v>
      </c>
      <c r="K62" s="32"/>
    </row>
    <row r="63" customFormat="false" ht="15" hidden="true" customHeight="false" outlineLevel="1" collapsed="false">
      <c r="F63" s="32" t="s">
        <v>232</v>
      </c>
      <c r="G63" s="32" t="s">
        <v>231</v>
      </c>
      <c r="H63" s="32" t="s">
        <v>233</v>
      </c>
      <c r="I63" s="37" t="n">
        <v>43.9505638913844</v>
      </c>
      <c r="J63" s="33" t="n">
        <v>175.802255564653</v>
      </c>
      <c r="K63" s="32"/>
    </row>
    <row r="64" customFormat="false" ht="15" hidden="true" customHeight="false" outlineLevel="1" collapsed="false">
      <c r="F64" s="32" t="s">
        <v>234</v>
      </c>
      <c r="G64" s="32" t="s">
        <v>233</v>
      </c>
      <c r="H64" s="32" t="s">
        <v>235</v>
      </c>
      <c r="I64" s="37" t="n">
        <v>43.9505638910308</v>
      </c>
      <c r="J64" s="33" t="n">
        <v>219.752819455684</v>
      </c>
      <c r="K64" s="32"/>
    </row>
    <row r="65" customFormat="false" ht="15" hidden="false" customHeight="false" outlineLevel="0" collapsed="true">
      <c r="A65" s="40" t="n">
        <v>6</v>
      </c>
      <c r="B65" s="40" t="s">
        <v>24</v>
      </c>
      <c r="C65" s="40" t="s">
        <v>82</v>
      </c>
      <c r="D65" s="40" t="s">
        <v>105</v>
      </c>
      <c r="E65" s="40" t="s">
        <v>50</v>
      </c>
      <c r="F65" s="40" t="str">
        <f aca="false">COUNTIFS(Trechos!$L$2:$L$134,A65)&amp;" vãos"</f>
        <v>16 vãos</v>
      </c>
      <c r="G65" s="40"/>
      <c r="H65" s="40"/>
      <c r="I65" s="41" t="n">
        <f aca="false">SUMIFS(Trechos!$F$2:$F$134,Trechos!$L$2:$L$134,A65)</f>
        <v>659.251154582214</v>
      </c>
      <c r="J65" s="40"/>
      <c r="K65" s="40"/>
      <c r="L65" s="40" t="s">
        <v>51</v>
      </c>
      <c r="M65" s="40" t="s">
        <v>43</v>
      </c>
      <c r="N65" s="40" t="str">
        <f aca="false">Blocos!Q7</f>
        <v>03-B</v>
      </c>
    </row>
    <row r="66" customFormat="false" ht="15" hidden="true" customHeight="false" outlineLevel="1" collapsed="false">
      <c r="F66" s="32" t="s">
        <v>236</v>
      </c>
      <c r="G66" s="32" t="s">
        <v>235</v>
      </c>
      <c r="H66" s="32" t="s">
        <v>237</v>
      </c>
      <c r="I66" s="37" t="n">
        <v>39.9550580829642</v>
      </c>
      <c r="J66" s="33" t="n">
        <v>39.9550580829642</v>
      </c>
      <c r="K66" s="32"/>
    </row>
    <row r="67" customFormat="false" ht="15" hidden="true" customHeight="false" outlineLevel="1" collapsed="false">
      <c r="F67" s="32" t="s">
        <v>238</v>
      </c>
      <c r="G67" s="32" t="s">
        <v>237</v>
      </c>
      <c r="H67" s="32" t="s">
        <v>239</v>
      </c>
      <c r="I67" s="37" t="n">
        <v>39.9550580826105</v>
      </c>
      <c r="J67" s="33" t="n">
        <v>79.9101161655748</v>
      </c>
      <c r="K67" s="32"/>
    </row>
    <row r="68" customFormat="false" ht="15" hidden="true" customHeight="false" outlineLevel="1" collapsed="false">
      <c r="F68" s="32" t="s">
        <v>240</v>
      </c>
      <c r="G68" s="32" t="s">
        <v>239</v>
      </c>
      <c r="H68" s="32" t="s">
        <v>241</v>
      </c>
      <c r="I68" s="37" t="n">
        <v>39.9550580829642</v>
      </c>
      <c r="J68" s="33" t="n">
        <v>119.865174248539</v>
      </c>
      <c r="K68" s="32"/>
    </row>
    <row r="69" customFormat="false" ht="15" hidden="true" customHeight="false" outlineLevel="1" collapsed="false">
      <c r="F69" s="32" t="s">
        <v>242</v>
      </c>
      <c r="G69" s="32" t="s">
        <v>241</v>
      </c>
      <c r="H69" s="32" t="s">
        <v>243</v>
      </c>
      <c r="I69" s="37" t="n">
        <v>39.9550580827874</v>
      </c>
      <c r="J69" s="33" t="n">
        <v>159.820232331326</v>
      </c>
      <c r="K69" s="32"/>
    </row>
    <row r="70" customFormat="false" ht="15" hidden="true" customHeight="false" outlineLevel="1" collapsed="false">
      <c r="F70" s="32" t="s">
        <v>244</v>
      </c>
      <c r="G70" s="32" t="s">
        <v>243</v>
      </c>
      <c r="H70" s="32" t="s">
        <v>245</v>
      </c>
      <c r="I70" s="37" t="n">
        <v>39.9550580827874</v>
      </c>
      <c r="J70" s="33" t="n">
        <v>199.775290414114</v>
      </c>
      <c r="K70" s="32"/>
    </row>
    <row r="71" customFormat="false" ht="15" hidden="true" customHeight="false" outlineLevel="1" collapsed="false">
      <c r="F71" s="32" t="s">
        <v>246</v>
      </c>
      <c r="G71" s="32" t="s">
        <v>245</v>
      </c>
      <c r="H71" s="32" t="s">
        <v>247</v>
      </c>
      <c r="I71" s="37" t="n">
        <v>43.283428959228</v>
      </c>
      <c r="J71" s="33" t="n">
        <v>243.058719373342</v>
      </c>
      <c r="K71" s="32"/>
    </row>
    <row r="72" customFormat="false" ht="15" hidden="true" customHeight="false" outlineLevel="1" collapsed="false">
      <c r="F72" s="32" t="s">
        <v>248</v>
      </c>
      <c r="G72" s="32" t="s">
        <v>247</v>
      </c>
      <c r="H72" s="32" t="s">
        <v>249</v>
      </c>
      <c r="I72" s="37" t="n">
        <v>43.283428958449</v>
      </c>
      <c r="J72" s="33" t="n">
        <v>286.342148331791</v>
      </c>
      <c r="K72" s="32"/>
    </row>
    <row r="73" customFormat="false" ht="15" hidden="true" customHeight="false" outlineLevel="1" collapsed="false">
      <c r="F73" s="32" t="s">
        <v>250</v>
      </c>
      <c r="G73" s="32" t="s">
        <v>249</v>
      </c>
      <c r="H73" s="32" t="s">
        <v>251</v>
      </c>
      <c r="I73" s="37" t="n">
        <v>43.283428959228</v>
      </c>
      <c r="J73" s="33" t="n">
        <v>329.625577291019</v>
      </c>
      <c r="K73" s="32"/>
    </row>
    <row r="74" customFormat="false" ht="15" hidden="true" customHeight="false" outlineLevel="1" collapsed="false">
      <c r="F74" s="32" t="s">
        <v>252</v>
      </c>
      <c r="G74" s="32" t="s">
        <v>251</v>
      </c>
      <c r="H74" s="32" t="s">
        <v>253</v>
      </c>
      <c r="I74" s="37" t="n">
        <v>43.283428959228</v>
      </c>
      <c r="J74" s="33" t="n">
        <v>372.909006250247</v>
      </c>
      <c r="K74" s="32"/>
    </row>
    <row r="75" customFormat="false" ht="15" hidden="true" customHeight="false" outlineLevel="1" collapsed="false">
      <c r="F75" s="32" t="s">
        <v>254</v>
      </c>
      <c r="G75" s="32" t="s">
        <v>253</v>
      </c>
      <c r="H75" s="32" t="s">
        <v>255</v>
      </c>
      <c r="I75" s="37" t="n">
        <v>43.283428958449</v>
      </c>
      <c r="J75" s="33" t="n">
        <v>416.192435208695</v>
      </c>
      <c r="K75" s="32"/>
    </row>
    <row r="76" customFormat="false" ht="15" hidden="true" customHeight="false" outlineLevel="1" collapsed="false">
      <c r="F76" s="32" t="s">
        <v>256</v>
      </c>
      <c r="G76" s="32" t="s">
        <v>255</v>
      </c>
      <c r="H76" s="32" t="s">
        <v>257</v>
      </c>
      <c r="I76" s="37" t="n">
        <v>43.283428959228</v>
      </c>
      <c r="J76" s="33" t="n">
        <v>459.475864167923</v>
      </c>
      <c r="K76" s="32"/>
    </row>
    <row r="77" customFormat="false" ht="15" hidden="true" customHeight="false" outlineLevel="1" collapsed="false">
      <c r="F77" s="32" t="s">
        <v>258</v>
      </c>
      <c r="G77" s="32" t="s">
        <v>245</v>
      </c>
      <c r="H77" s="32" t="s">
        <v>259</v>
      </c>
      <c r="I77" s="37" t="n">
        <v>39.9550580829642</v>
      </c>
      <c r="J77" s="33" t="n">
        <v>239.730348497078</v>
      </c>
      <c r="K77" s="32"/>
    </row>
    <row r="78" customFormat="false" ht="15" hidden="true" customHeight="false" outlineLevel="1" collapsed="false">
      <c r="F78" s="32" t="s">
        <v>260</v>
      </c>
      <c r="G78" s="32" t="s">
        <v>259</v>
      </c>
      <c r="H78" s="32" t="s">
        <v>261</v>
      </c>
      <c r="I78" s="37" t="n">
        <v>39.9550580827874</v>
      </c>
      <c r="J78" s="33" t="n">
        <v>279.685406579865</v>
      </c>
      <c r="K78" s="32"/>
    </row>
    <row r="79" customFormat="false" ht="15" hidden="true" customHeight="false" outlineLevel="1" collapsed="false">
      <c r="F79" s="32" t="s">
        <v>262</v>
      </c>
      <c r="G79" s="32" t="s">
        <v>261</v>
      </c>
      <c r="H79" s="32" t="s">
        <v>263</v>
      </c>
      <c r="I79" s="37" t="n">
        <v>39.9550580827874</v>
      </c>
      <c r="J79" s="33" t="n">
        <v>319.640464662653</v>
      </c>
      <c r="K79" s="32"/>
    </row>
    <row r="80" customFormat="false" ht="15" hidden="true" customHeight="false" outlineLevel="1" collapsed="false">
      <c r="F80" s="32" t="s">
        <v>264</v>
      </c>
      <c r="G80" s="32" t="s">
        <v>263</v>
      </c>
      <c r="H80" s="32" t="s">
        <v>265</v>
      </c>
      <c r="I80" s="37" t="n">
        <v>39.9550580827874</v>
      </c>
      <c r="J80" s="33" t="n">
        <v>359.59552274544</v>
      </c>
      <c r="K80" s="32"/>
    </row>
    <row r="81" customFormat="false" ht="15" hidden="true" customHeight="false" outlineLevel="1" collapsed="false">
      <c r="F81" s="32" t="s">
        <v>266</v>
      </c>
      <c r="G81" s="32" t="s">
        <v>265</v>
      </c>
      <c r="H81" s="32" t="s">
        <v>267</v>
      </c>
      <c r="I81" s="37" t="n">
        <v>39.9550580829642</v>
      </c>
      <c r="J81" s="33" t="n">
        <v>399.550580828404</v>
      </c>
      <c r="K81" s="32"/>
    </row>
    <row r="82" customFormat="false" ht="15" hidden="false" customHeight="false" outlineLevel="0" collapsed="true">
      <c r="A82" s="42" t="n">
        <v>7</v>
      </c>
      <c r="B82" s="42" t="s">
        <v>25</v>
      </c>
      <c r="C82" s="42" t="s">
        <v>82</v>
      </c>
      <c r="D82" s="42" t="s">
        <v>105</v>
      </c>
      <c r="E82" s="42" t="s">
        <v>52</v>
      </c>
      <c r="F82" s="42" t="str">
        <f aca="false">COUNTIFS(Trechos!$L$2:$L$134,A82)&amp;" vãos"</f>
        <v>6 vãos</v>
      </c>
      <c r="G82" s="42"/>
      <c r="H82" s="42"/>
      <c r="I82" s="43" t="n">
        <f aca="false">SUMIFS(Trechos!$F$2:$F$134,Trechos!$L$2:$L$134,A82)</f>
        <v>239.7236065418</v>
      </c>
      <c r="J82" s="42"/>
      <c r="K82" s="42"/>
      <c r="L82" s="42" t="s">
        <v>53</v>
      </c>
      <c r="M82" s="42" t="s">
        <v>43</v>
      </c>
      <c r="N82" s="42" t="str">
        <f aca="false">Blocos!Q8</f>
        <v>—</v>
      </c>
    </row>
    <row r="83" customFormat="false" ht="15" hidden="true" customHeight="false" outlineLevel="1" collapsed="false">
      <c r="F83" s="32" t="s">
        <v>268</v>
      </c>
      <c r="G83" s="32" t="s">
        <v>257</v>
      </c>
      <c r="H83" s="32" t="s">
        <v>269</v>
      </c>
      <c r="I83" s="37" t="n">
        <v>39.9539344232439</v>
      </c>
      <c r="J83" s="33" t="n">
        <v>39.9539344232439</v>
      </c>
      <c r="K83" s="32"/>
    </row>
    <row r="84" customFormat="false" ht="15" hidden="true" customHeight="false" outlineLevel="1" collapsed="false">
      <c r="F84" s="32" t="s">
        <v>270</v>
      </c>
      <c r="G84" s="32" t="s">
        <v>269</v>
      </c>
      <c r="H84" s="32" t="s">
        <v>271</v>
      </c>
      <c r="I84" s="37" t="n">
        <v>39.9539344240229</v>
      </c>
      <c r="J84" s="33" t="n">
        <v>79.9078688472669</v>
      </c>
      <c r="K84" s="32"/>
    </row>
    <row r="85" customFormat="false" ht="15" hidden="true" customHeight="false" outlineLevel="1" collapsed="false">
      <c r="F85" s="32" t="s">
        <v>272</v>
      </c>
      <c r="G85" s="32" t="s">
        <v>271</v>
      </c>
      <c r="H85" s="32" t="s">
        <v>273</v>
      </c>
      <c r="I85" s="37" t="n">
        <v>39.9539344240229</v>
      </c>
      <c r="J85" s="33" t="n">
        <v>119.86180327129</v>
      </c>
      <c r="K85" s="32"/>
    </row>
    <row r="86" customFormat="false" ht="15" hidden="true" customHeight="false" outlineLevel="1" collapsed="false">
      <c r="F86" s="32" t="s">
        <v>274</v>
      </c>
      <c r="G86" s="32" t="s">
        <v>273</v>
      </c>
      <c r="H86" s="32" t="s">
        <v>275</v>
      </c>
      <c r="I86" s="37" t="n">
        <v>39.9539344232439</v>
      </c>
      <c r="J86" s="33" t="n">
        <v>159.815737694534</v>
      </c>
      <c r="K86" s="32"/>
    </row>
    <row r="87" customFormat="false" ht="15" hidden="true" customHeight="false" outlineLevel="1" collapsed="false">
      <c r="F87" s="32" t="s">
        <v>276</v>
      </c>
      <c r="G87" s="32" t="s">
        <v>275</v>
      </c>
      <c r="H87" s="32" t="s">
        <v>277</v>
      </c>
      <c r="I87" s="37" t="n">
        <v>39.9539344232439</v>
      </c>
      <c r="J87" s="33" t="n">
        <v>199.769672117778</v>
      </c>
      <c r="K87" s="32"/>
    </row>
    <row r="88" customFormat="false" ht="15" hidden="true" customHeight="false" outlineLevel="1" collapsed="false">
      <c r="F88" s="32" t="s">
        <v>278</v>
      </c>
      <c r="G88" s="32" t="s">
        <v>277</v>
      </c>
      <c r="H88" s="32" t="s">
        <v>279</v>
      </c>
      <c r="I88" s="37" t="n">
        <v>39.9539344240229</v>
      </c>
      <c r="J88" s="33" t="n">
        <v>239.723606541801</v>
      </c>
      <c r="K88" s="32"/>
    </row>
    <row r="89" customFormat="false" ht="15" hidden="false" customHeight="false" outlineLevel="0" collapsed="true">
      <c r="A89" s="35" t="n">
        <v>8</v>
      </c>
      <c r="B89" s="35" t="s">
        <v>22</v>
      </c>
      <c r="C89" s="35" t="s">
        <v>82</v>
      </c>
      <c r="D89" s="35" t="s">
        <v>107</v>
      </c>
      <c r="E89" s="35" t="s">
        <v>41</v>
      </c>
      <c r="F89" s="35" t="str">
        <f aca="false">COUNTIFS(Trechos!$L$2:$L$134,A89)&amp;" vãos"</f>
        <v>5 vãos</v>
      </c>
      <c r="G89" s="35"/>
      <c r="H89" s="35"/>
      <c r="I89" s="36" t="n">
        <f aca="false">SUMIFS(Trechos!$F$2:$F$134,Trechos!$L$2:$L$134,A89)</f>
        <v>199.775290414114</v>
      </c>
      <c r="J89" s="35"/>
      <c r="K89" s="35"/>
      <c r="L89" s="35" t="s">
        <v>56</v>
      </c>
      <c r="M89" s="35" t="s">
        <v>43</v>
      </c>
      <c r="N89" s="35" t="str">
        <f aca="false">Blocos!Q9</f>
        <v>03-C</v>
      </c>
    </row>
    <row r="90" customFormat="false" ht="15" hidden="true" customHeight="false" outlineLevel="1" collapsed="false">
      <c r="F90" s="32" t="s">
        <v>280</v>
      </c>
      <c r="G90" s="32" t="s">
        <v>139</v>
      </c>
      <c r="H90" s="32" t="s">
        <v>281</v>
      </c>
      <c r="I90" s="37" t="n">
        <v>39.9550580829642</v>
      </c>
      <c r="J90" s="33" t="n">
        <v>479.455567796978</v>
      </c>
      <c r="K90" s="32"/>
    </row>
    <row r="91" customFormat="false" ht="15" hidden="true" customHeight="false" outlineLevel="1" collapsed="false">
      <c r="F91" s="32" t="s">
        <v>282</v>
      </c>
      <c r="G91" s="32" t="s">
        <v>281</v>
      </c>
      <c r="H91" s="32" t="s">
        <v>283</v>
      </c>
      <c r="I91" s="37" t="n">
        <v>39.9550580826105</v>
      </c>
      <c r="J91" s="33" t="n">
        <v>519.410625879588</v>
      </c>
      <c r="K91" s="32"/>
    </row>
    <row r="92" customFormat="false" ht="15" hidden="true" customHeight="false" outlineLevel="1" collapsed="false">
      <c r="F92" s="32" t="s">
        <v>284</v>
      </c>
      <c r="G92" s="32" t="s">
        <v>283</v>
      </c>
      <c r="H92" s="32" t="s">
        <v>285</v>
      </c>
      <c r="I92" s="37" t="n">
        <v>39.9550580829642</v>
      </c>
      <c r="J92" s="33" t="n">
        <v>559.365683962553</v>
      </c>
      <c r="K92" s="32"/>
    </row>
    <row r="93" customFormat="false" ht="15" hidden="true" customHeight="false" outlineLevel="1" collapsed="false">
      <c r="F93" s="32" t="s">
        <v>286</v>
      </c>
      <c r="G93" s="32" t="s">
        <v>285</v>
      </c>
      <c r="H93" s="32" t="s">
        <v>287</v>
      </c>
      <c r="I93" s="37" t="n">
        <v>39.9550580827874</v>
      </c>
      <c r="J93" s="33" t="n">
        <v>599.32074204534</v>
      </c>
      <c r="K93" s="32"/>
    </row>
    <row r="94" customFormat="false" ht="15" hidden="true" customHeight="false" outlineLevel="1" collapsed="false">
      <c r="F94" s="32" t="s">
        <v>288</v>
      </c>
      <c r="G94" s="32" t="s">
        <v>287</v>
      </c>
      <c r="H94" s="32" t="s">
        <v>289</v>
      </c>
      <c r="I94" s="37" t="n">
        <v>39.9550580827874</v>
      </c>
      <c r="J94" s="33" t="n">
        <v>639.275800128127</v>
      </c>
      <c r="K94" s="32"/>
    </row>
    <row r="95" customFormat="false" ht="15" hidden="false" customHeight="false" outlineLevel="0" collapsed="true">
      <c r="A95" s="40" t="n">
        <v>9</v>
      </c>
      <c r="B95" s="40" t="s">
        <v>24</v>
      </c>
      <c r="C95" s="40" t="s">
        <v>82</v>
      </c>
      <c r="D95" s="40" t="s">
        <v>107</v>
      </c>
      <c r="E95" s="40" t="s">
        <v>56</v>
      </c>
      <c r="F95" s="40" t="str">
        <f aca="false">COUNTIFS(Trechos!$L$2:$L$134,A95)&amp;" vãos"</f>
        <v>4 vãos</v>
      </c>
      <c r="G95" s="40"/>
      <c r="H95" s="40"/>
      <c r="I95" s="41" t="n">
        <f aca="false">SUMIFS(Trechos!$F$2:$F$134,Trechos!$L$2:$L$134,A95)</f>
        <v>159.820232331503</v>
      </c>
      <c r="J95" s="40"/>
      <c r="K95" s="40"/>
      <c r="L95" s="40" t="s">
        <v>57</v>
      </c>
      <c r="M95" s="40" t="s">
        <v>43</v>
      </c>
      <c r="N95" s="40" t="str">
        <f aca="false">Blocos!Q10</f>
        <v>—</v>
      </c>
    </row>
    <row r="96" customFormat="false" ht="15" hidden="true" customHeight="false" outlineLevel="1" collapsed="false">
      <c r="F96" s="32" t="s">
        <v>290</v>
      </c>
      <c r="G96" s="32" t="s">
        <v>289</v>
      </c>
      <c r="H96" s="32" t="s">
        <v>291</v>
      </c>
      <c r="I96" s="37" t="n">
        <v>39.9550580829642</v>
      </c>
      <c r="J96" s="33" t="n">
        <v>39.9550580829642</v>
      </c>
      <c r="K96" s="32"/>
    </row>
    <row r="97" customFormat="false" ht="15" hidden="true" customHeight="false" outlineLevel="1" collapsed="false">
      <c r="F97" s="32" t="s">
        <v>292</v>
      </c>
      <c r="G97" s="32" t="s">
        <v>291</v>
      </c>
      <c r="H97" s="32" t="s">
        <v>293</v>
      </c>
      <c r="I97" s="37" t="n">
        <v>39.9550580827874</v>
      </c>
      <c r="J97" s="33" t="n">
        <v>79.9101161657516</v>
      </c>
      <c r="K97" s="32"/>
    </row>
    <row r="98" customFormat="false" ht="15" hidden="true" customHeight="false" outlineLevel="1" collapsed="false">
      <c r="F98" s="32" t="s">
        <v>294</v>
      </c>
      <c r="G98" s="32" t="s">
        <v>293</v>
      </c>
      <c r="H98" s="32" t="s">
        <v>295</v>
      </c>
      <c r="I98" s="37" t="n">
        <v>39.9550580827874</v>
      </c>
      <c r="J98" s="33" t="n">
        <v>119.865174248539</v>
      </c>
      <c r="K98" s="32"/>
    </row>
    <row r="99" customFormat="false" ht="15" hidden="true" customHeight="false" outlineLevel="1" collapsed="false">
      <c r="F99" s="32" t="s">
        <v>296</v>
      </c>
      <c r="G99" s="32" t="s">
        <v>295</v>
      </c>
      <c r="H99" s="32" t="s">
        <v>297</v>
      </c>
      <c r="I99" s="37" t="n">
        <v>39.9550580829642</v>
      </c>
      <c r="J99" s="33" t="n">
        <v>159.820232331503</v>
      </c>
      <c r="K99" s="32"/>
    </row>
    <row r="100" customFormat="false" ht="15" hidden="false" customHeight="false" outlineLevel="0" collapsed="true">
      <c r="A100" s="38" t="n">
        <v>10</v>
      </c>
      <c r="B100" s="38" t="s">
        <v>23</v>
      </c>
      <c r="C100" s="38" t="s">
        <v>82</v>
      </c>
      <c r="D100" s="38" t="s">
        <v>108</v>
      </c>
      <c r="E100" s="38" t="s">
        <v>42</v>
      </c>
      <c r="F100" s="38" t="str">
        <f aca="false">COUNTIFS(Trechos!$L$2:$L$134,A100)&amp;" vãos"</f>
        <v>5 vãos</v>
      </c>
      <c r="G100" s="38"/>
      <c r="H100" s="38"/>
      <c r="I100" s="39" t="n">
        <f aca="false">SUMIFS(Trechos!$F$2:$F$134,Trechos!$L$2:$L$134,A100)</f>
        <v>219.752819455684</v>
      </c>
      <c r="J100" s="38"/>
      <c r="K100" s="38"/>
      <c r="L100" s="38" t="s">
        <v>60</v>
      </c>
      <c r="M100" s="38" t="s">
        <v>43</v>
      </c>
      <c r="N100" s="38" t="str">
        <f aca="false">Blocos!Q11</f>
        <v>03-D</v>
      </c>
    </row>
    <row r="101" customFormat="false" ht="15" hidden="true" customHeight="false" outlineLevel="1" collapsed="false">
      <c r="F101" s="32" t="s">
        <v>298</v>
      </c>
      <c r="G101" s="32" t="s">
        <v>159</v>
      </c>
      <c r="H101" s="32" t="s">
        <v>299</v>
      </c>
      <c r="I101" s="37" t="n">
        <v>43.9505638910308</v>
      </c>
      <c r="J101" s="33" t="n">
        <v>263.700818748038</v>
      </c>
      <c r="K101" s="32"/>
    </row>
    <row r="102" customFormat="false" ht="15" hidden="true" customHeight="false" outlineLevel="1" collapsed="false">
      <c r="F102" s="32" t="s">
        <v>300</v>
      </c>
      <c r="G102" s="32" t="s">
        <v>299</v>
      </c>
      <c r="H102" s="32" t="s">
        <v>301</v>
      </c>
      <c r="I102" s="37" t="n">
        <v>43.9505638913844</v>
      </c>
      <c r="J102" s="33" t="n">
        <v>307.651382639422</v>
      </c>
      <c r="K102" s="32"/>
    </row>
    <row r="103" customFormat="false" ht="15" hidden="true" customHeight="false" outlineLevel="1" collapsed="false">
      <c r="F103" s="32" t="s">
        <v>302</v>
      </c>
      <c r="G103" s="32" t="s">
        <v>301</v>
      </c>
      <c r="H103" s="32" t="s">
        <v>303</v>
      </c>
      <c r="I103" s="37" t="n">
        <v>43.9505638910308</v>
      </c>
      <c r="J103" s="33" t="n">
        <v>351.601946530453</v>
      </c>
      <c r="K103" s="32"/>
    </row>
    <row r="104" customFormat="false" ht="15" hidden="true" customHeight="false" outlineLevel="1" collapsed="false">
      <c r="F104" s="32" t="s">
        <v>304</v>
      </c>
      <c r="G104" s="32" t="s">
        <v>303</v>
      </c>
      <c r="H104" s="32" t="s">
        <v>305</v>
      </c>
      <c r="I104" s="37" t="n">
        <v>43.9505638912076</v>
      </c>
      <c r="J104" s="33" t="n">
        <v>395.55251042166</v>
      </c>
      <c r="K104" s="32"/>
    </row>
    <row r="105" customFormat="false" ht="15" hidden="true" customHeight="false" outlineLevel="1" collapsed="false">
      <c r="F105" s="32" t="s">
        <v>306</v>
      </c>
      <c r="G105" s="32" t="s">
        <v>305</v>
      </c>
      <c r="H105" s="32" t="s">
        <v>307</v>
      </c>
      <c r="I105" s="37" t="n">
        <v>43.9505638910308</v>
      </c>
      <c r="J105" s="33" t="n">
        <v>439.503074312691</v>
      </c>
      <c r="K105" s="32"/>
    </row>
    <row r="106" customFormat="false" ht="15" hidden="false" customHeight="false" outlineLevel="0" collapsed="true">
      <c r="A106" s="40" t="n">
        <v>11</v>
      </c>
      <c r="B106" s="40" t="s">
        <v>24</v>
      </c>
      <c r="C106" s="40" t="s">
        <v>82</v>
      </c>
      <c r="D106" s="40" t="s">
        <v>108</v>
      </c>
      <c r="E106" s="40" t="s">
        <v>60</v>
      </c>
      <c r="F106" s="40" t="str">
        <f aca="false">COUNTIFS(Trechos!$L$2:$L$134,A106)&amp;" vãos"</f>
        <v>5 vãos</v>
      </c>
      <c r="G106" s="40"/>
      <c r="H106" s="40"/>
      <c r="I106" s="41" t="n">
        <f aca="false">SUMIFS(Trechos!$F$2:$F$134,Trechos!$L$2:$L$134,A106)</f>
        <v>219.752819455684</v>
      </c>
      <c r="J106" s="40"/>
      <c r="K106" s="40"/>
      <c r="L106" s="40" t="s">
        <v>61</v>
      </c>
      <c r="M106" s="40" t="s">
        <v>43</v>
      </c>
      <c r="N106" s="40" t="str">
        <f aca="false">Blocos!Q12</f>
        <v>—</v>
      </c>
    </row>
    <row r="107" customFormat="false" ht="15" hidden="true" customHeight="false" outlineLevel="1" collapsed="false">
      <c r="F107" s="32" t="s">
        <v>308</v>
      </c>
      <c r="G107" s="32" t="s">
        <v>307</v>
      </c>
      <c r="H107" s="32" t="s">
        <v>309</v>
      </c>
      <c r="I107" s="37" t="n">
        <v>43.9505638910308</v>
      </c>
      <c r="J107" s="33" t="n">
        <v>43.9505638910307</v>
      </c>
      <c r="K107" s="32"/>
    </row>
    <row r="108" customFormat="false" ht="15" hidden="true" customHeight="false" outlineLevel="1" collapsed="false">
      <c r="F108" s="32" t="s">
        <v>310</v>
      </c>
      <c r="G108" s="32" t="s">
        <v>309</v>
      </c>
      <c r="H108" s="32" t="s">
        <v>311</v>
      </c>
      <c r="I108" s="37" t="n">
        <v>43.9505638913844</v>
      </c>
      <c r="J108" s="33" t="n">
        <v>87.9011277824152</v>
      </c>
      <c r="K108" s="32"/>
    </row>
    <row r="109" customFormat="false" ht="15" hidden="true" customHeight="false" outlineLevel="1" collapsed="false">
      <c r="F109" s="32" t="s">
        <v>312</v>
      </c>
      <c r="G109" s="32" t="s">
        <v>311</v>
      </c>
      <c r="H109" s="32" t="s">
        <v>313</v>
      </c>
      <c r="I109" s="37" t="n">
        <v>43.9505638910308</v>
      </c>
      <c r="J109" s="33" t="n">
        <v>131.851691673446</v>
      </c>
      <c r="K109" s="32"/>
    </row>
    <row r="110" customFormat="false" ht="15" hidden="true" customHeight="false" outlineLevel="1" collapsed="false">
      <c r="F110" s="32" t="s">
        <v>314</v>
      </c>
      <c r="G110" s="32" t="s">
        <v>313</v>
      </c>
      <c r="H110" s="32" t="s">
        <v>315</v>
      </c>
      <c r="I110" s="37" t="n">
        <v>43.9505638912076</v>
      </c>
      <c r="J110" s="33" t="n">
        <v>175.802255564654</v>
      </c>
      <c r="K110" s="32"/>
    </row>
    <row r="111" customFormat="false" ht="15" hidden="true" customHeight="false" outlineLevel="1" collapsed="false">
      <c r="F111" s="32" t="s">
        <v>316</v>
      </c>
      <c r="G111" s="32" t="s">
        <v>315</v>
      </c>
      <c r="H111" s="32" t="s">
        <v>317</v>
      </c>
      <c r="I111" s="37" t="n">
        <v>43.9505638910308</v>
      </c>
      <c r="J111" s="33" t="n">
        <v>219.752819455684</v>
      </c>
      <c r="K111" s="32"/>
    </row>
    <row r="112" customFormat="false" ht="15" hidden="false" customHeight="false" outlineLevel="0" collapsed="true">
      <c r="A112" s="38" t="n">
        <v>12</v>
      </c>
      <c r="B112" s="38" t="s">
        <v>23</v>
      </c>
      <c r="C112" s="38" t="s">
        <v>82</v>
      </c>
      <c r="D112" s="38" t="s">
        <v>109</v>
      </c>
      <c r="E112" s="38" t="s">
        <v>42</v>
      </c>
      <c r="F112" s="38" t="str">
        <f aca="false">COUNTIFS(Trechos!$L$2:$L$134,A112)&amp;" vãos"</f>
        <v>8 vãos</v>
      </c>
      <c r="G112" s="38"/>
      <c r="H112" s="38"/>
      <c r="I112" s="39" t="n">
        <f aca="false">SUMIFS(Trechos!$F$2:$F$134,Trechos!$L$2:$L$134,A112)</f>
        <v>319.640464662653</v>
      </c>
      <c r="J112" s="38"/>
      <c r="K112" s="38"/>
      <c r="L112" s="38" t="s">
        <v>64</v>
      </c>
      <c r="M112" s="38" t="s">
        <v>43</v>
      </c>
      <c r="N112" s="38" t="str">
        <f aca="false">Blocos!Q13</f>
        <v>—</v>
      </c>
    </row>
    <row r="113" customFormat="false" ht="15" hidden="true" customHeight="false" outlineLevel="1" collapsed="false">
      <c r="F113" s="32" t="s">
        <v>318</v>
      </c>
      <c r="G113" s="32" t="s">
        <v>171</v>
      </c>
      <c r="H113" s="32" t="s">
        <v>319</v>
      </c>
      <c r="I113" s="37" t="n">
        <v>39.9550580829642</v>
      </c>
      <c r="J113" s="33" t="n">
        <v>479.455567796981</v>
      </c>
      <c r="K113" s="32"/>
    </row>
    <row r="114" customFormat="false" ht="15" hidden="true" customHeight="false" outlineLevel="1" collapsed="false">
      <c r="F114" s="32" t="s">
        <v>320</v>
      </c>
      <c r="G114" s="32" t="s">
        <v>319</v>
      </c>
      <c r="H114" s="32" t="s">
        <v>321</v>
      </c>
      <c r="I114" s="37" t="n">
        <v>39.9550580826105</v>
      </c>
      <c r="J114" s="33" t="n">
        <v>519.410625879592</v>
      </c>
      <c r="K114" s="32"/>
    </row>
    <row r="115" customFormat="false" ht="15" hidden="true" customHeight="false" outlineLevel="1" collapsed="false">
      <c r="F115" s="32" t="s">
        <v>322</v>
      </c>
      <c r="G115" s="32" t="s">
        <v>321</v>
      </c>
      <c r="H115" s="32" t="s">
        <v>323</v>
      </c>
      <c r="I115" s="37" t="n">
        <v>39.9550580829642</v>
      </c>
      <c r="J115" s="33" t="n">
        <v>559.365683962556</v>
      </c>
      <c r="K115" s="32"/>
    </row>
    <row r="116" customFormat="false" ht="15" hidden="true" customHeight="false" outlineLevel="1" collapsed="false">
      <c r="F116" s="32" t="s">
        <v>324</v>
      </c>
      <c r="G116" s="32" t="s">
        <v>323</v>
      </c>
      <c r="H116" s="32" t="s">
        <v>325</v>
      </c>
      <c r="I116" s="37" t="n">
        <v>39.9550580829642</v>
      </c>
      <c r="J116" s="33" t="n">
        <v>599.32074204552</v>
      </c>
      <c r="K116" s="32"/>
    </row>
    <row r="117" customFormat="false" ht="15" hidden="true" customHeight="false" outlineLevel="1" collapsed="false">
      <c r="F117" s="32" t="s">
        <v>326</v>
      </c>
      <c r="G117" s="32" t="s">
        <v>325</v>
      </c>
      <c r="H117" s="32" t="s">
        <v>327</v>
      </c>
      <c r="I117" s="37" t="n">
        <v>39.9550580826105</v>
      </c>
      <c r="J117" s="33" t="n">
        <v>639.275800128131</v>
      </c>
      <c r="K117" s="32"/>
    </row>
    <row r="118" customFormat="false" ht="15" hidden="true" customHeight="false" outlineLevel="1" collapsed="false">
      <c r="F118" s="32" t="s">
        <v>328</v>
      </c>
      <c r="G118" s="32" t="s">
        <v>327</v>
      </c>
      <c r="H118" s="32" t="s">
        <v>329</v>
      </c>
      <c r="I118" s="37" t="n">
        <v>39.9550580829642</v>
      </c>
      <c r="J118" s="33" t="n">
        <v>679.230858211095</v>
      </c>
      <c r="K118" s="32"/>
    </row>
    <row r="119" customFormat="false" ht="15" hidden="true" customHeight="false" outlineLevel="1" collapsed="false">
      <c r="F119" s="32" t="s">
        <v>330</v>
      </c>
      <c r="G119" s="32" t="s">
        <v>329</v>
      </c>
      <c r="H119" s="32" t="s">
        <v>331</v>
      </c>
      <c r="I119" s="37" t="n">
        <v>39.9550580827874</v>
      </c>
      <c r="J119" s="33" t="n">
        <v>719.185916293882</v>
      </c>
      <c r="K119" s="32"/>
    </row>
    <row r="120" customFormat="false" ht="15" hidden="true" customHeight="false" outlineLevel="1" collapsed="false">
      <c r="F120" s="32" t="s">
        <v>332</v>
      </c>
      <c r="G120" s="32" t="s">
        <v>331</v>
      </c>
      <c r="H120" s="32" t="s">
        <v>333</v>
      </c>
      <c r="I120" s="37" t="n">
        <v>39.9550580827874</v>
      </c>
      <c r="J120" s="33" t="n">
        <v>759.14097437667</v>
      </c>
      <c r="K120" s="32"/>
    </row>
    <row r="121" customFormat="false" ht="15" hidden="false" customHeight="false" outlineLevel="0" collapsed="true">
      <c r="A121" s="38" t="n">
        <v>13</v>
      </c>
      <c r="B121" s="38" t="s">
        <v>23</v>
      </c>
      <c r="C121" s="38" t="s">
        <v>82</v>
      </c>
      <c r="D121" s="38" t="s">
        <v>110</v>
      </c>
      <c r="E121" s="38" t="s">
        <v>66</v>
      </c>
      <c r="F121" s="38" t="str">
        <f aca="false">COUNTIFS(Trechos!$L$2:$L$134,A121)&amp;" vãos"</f>
        <v>4 vãos</v>
      </c>
      <c r="G121" s="38"/>
      <c r="H121" s="38"/>
      <c r="I121" s="39" t="n">
        <f aca="false">SUMIFS(Trechos!$F$2:$F$134,Trechos!$L$2:$L$134,A121)</f>
        <v>159.820232331503</v>
      </c>
      <c r="J121" s="38"/>
      <c r="K121" s="38"/>
      <c r="L121" s="38" t="s">
        <v>67</v>
      </c>
      <c r="M121" s="38" t="s">
        <v>43</v>
      </c>
      <c r="N121" s="38" t="str">
        <f aca="false">Blocos!Q14</f>
        <v>—</v>
      </c>
    </row>
    <row r="122" customFormat="false" ht="15" hidden="true" customHeight="false" outlineLevel="1" collapsed="false">
      <c r="F122" s="32" t="s">
        <v>334</v>
      </c>
      <c r="G122" s="32" t="s">
        <v>203</v>
      </c>
      <c r="H122" s="32" t="s">
        <v>335</v>
      </c>
      <c r="I122" s="37" t="n">
        <v>39.9550580829642</v>
      </c>
      <c r="J122" s="33" t="n">
        <v>39.9550580829641</v>
      </c>
      <c r="K122" s="32"/>
    </row>
    <row r="123" customFormat="false" ht="15" hidden="true" customHeight="false" outlineLevel="1" collapsed="false">
      <c r="F123" s="32" t="s">
        <v>336</v>
      </c>
      <c r="G123" s="32" t="s">
        <v>335</v>
      </c>
      <c r="H123" s="32" t="s">
        <v>337</v>
      </c>
      <c r="I123" s="37" t="n">
        <v>39.9550580827874</v>
      </c>
      <c r="J123" s="33" t="n">
        <v>79.9101161657516</v>
      </c>
      <c r="K123" s="32"/>
    </row>
    <row r="124" customFormat="false" ht="15" hidden="true" customHeight="false" outlineLevel="1" collapsed="false">
      <c r="F124" s="32" t="s">
        <v>338</v>
      </c>
      <c r="G124" s="32" t="s">
        <v>337</v>
      </c>
      <c r="H124" s="32" t="s">
        <v>339</v>
      </c>
      <c r="I124" s="37" t="n">
        <v>39.9550580827874</v>
      </c>
      <c r="J124" s="33" t="n">
        <v>119.865174248539</v>
      </c>
      <c r="K124" s="32"/>
    </row>
    <row r="125" customFormat="false" ht="15" hidden="true" customHeight="false" outlineLevel="1" collapsed="false">
      <c r="F125" s="32" t="s">
        <v>340</v>
      </c>
      <c r="G125" s="32" t="s">
        <v>339</v>
      </c>
      <c r="H125" s="32" t="s">
        <v>341</v>
      </c>
      <c r="I125" s="37" t="n">
        <v>39.9550580829642</v>
      </c>
      <c r="J125" s="33" t="n">
        <v>159.820232331503</v>
      </c>
      <c r="K125" s="32"/>
    </row>
    <row r="126" customFormat="false" ht="15" hidden="false" customHeight="false" outlineLevel="0" collapsed="true">
      <c r="A126" s="40" t="n">
        <v>14</v>
      </c>
      <c r="B126" s="40" t="s">
        <v>24</v>
      </c>
      <c r="C126" s="40" t="s">
        <v>82</v>
      </c>
      <c r="D126" s="40" t="s">
        <v>111</v>
      </c>
      <c r="E126" s="40" t="s">
        <v>69</v>
      </c>
      <c r="F126" s="40" t="str">
        <f aca="false">COUNTIFS(Trechos!$L$2:$L$134,A126)&amp;" vãos"</f>
        <v>18 vãos</v>
      </c>
      <c r="G126" s="40"/>
      <c r="H126" s="40"/>
      <c r="I126" s="41" t="n">
        <f aca="false">SUMIFS(Trechos!$F$2:$F$134,Trechos!$L$2:$L$134,A126)</f>
        <v>719.188247747292</v>
      </c>
      <c r="J126" s="40"/>
      <c r="K126" s="40"/>
      <c r="L126" s="40" t="s">
        <v>70</v>
      </c>
      <c r="M126" s="40" t="s">
        <v>71</v>
      </c>
      <c r="N126" s="40" t="str">
        <f aca="false">Blocos!Q15</f>
        <v>03-F</v>
      </c>
    </row>
    <row r="127" customFormat="false" ht="15" hidden="true" customHeight="false" outlineLevel="1" collapsed="false">
      <c r="F127" s="32" t="s">
        <v>342</v>
      </c>
      <c r="G127" s="32" t="s">
        <v>215</v>
      </c>
      <c r="H127" s="32" t="s">
        <v>343</v>
      </c>
      <c r="I127" s="37" t="n">
        <v>39.9545917918293</v>
      </c>
      <c r="J127" s="33" t="n">
        <v>39.9545917918294</v>
      </c>
      <c r="K127" s="32"/>
    </row>
    <row r="128" customFormat="false" ht="15" hidden="true" customHeight="false" outlineLevel="1" collapsed="false">
      <c r="F128" s="32" t="s">
        <v>344</v>
      </c>
      <c r="G128" s="32" t="s">
        <v>343</v>
      </c>
      <c r="H128" s="32" t="s">
        <v>345</v>
      </c>
      <c r="I128" s="37" t="n">
        <v>39.9545917926084</v>
      </c>
      <c r="J128" s="33" t="n">
        <v>79.9091835844379</v>
      </c>
      <c r="K128" s="32"/>
    </row>
    <row r="129" customFormat="false" ht="15" hidden="true" customHeight="false" outlineLevel="1" collapsed="false">
      <c r="F129" s="32" t="s">
        <v>346</v>
      </c>
      <c r="G129" s="32" t="s">
        <v>345</v>
      </c>
      <c r="H129" s="32" t="s">
        <v>347</v>
      </c>
      <c r="I129" s="37" t="n">
        <v>39.9545917926084</v>
      </c>
      <c r="J129" s="33" t="n">
        <v>119.863775377046</v>
      </c>
      <c r="K129" s="32"/>
    </row>
    <row r="130" customFormat="false" ht="15" hidden="true" customHeight="false" outlineLevel="1" collapsed="false">
      <c r="F130" s="32" t="s">
        <v>348</v>
      </c>
      <c r="G130" s="32" t="s">
        <v>347</v>
      </c>
      <c r="H130" s="32" t="s">
        <v>349</v>
      </c>
      <c r="I130" s="37" t="n">
        <v>39.9545917918293</v>
      </c>
      <c r="J130" s="33" t="n">
        <v>159.818367168876</v>
      </c>
      <c r="K130" s="32" t="s">
        <v>71</v>
      </c>
    </row>
    <row r="131" customFormat="false" ht="15" hidden="true" customHeight="false" outlineLevel="1" collapsed="false">
      <c r="F131" s="32" t="s">
        <v>350</v>
      </c>
      <c r="G131" s="32" t="s">
        <v>349</v>
      </c>
      <c r="H131" s="32" t="s">
        <v>351</v>
      </c>
      <c r="I131" s="37" t="n">
        <v>39.9545917918293</v>
      </c>
      <c r="J131" s="33" t="n">
        <v>199.772958960705</v>
      </c>
      <c r="K131" s="32"/>
    </row>
    <row r="132" customFormat="false" ht="15" hidden="true" customHeight="false" outlineLevel="1" collapsed="false">
      <c r="F132" s="32" t="s">
        <v>352</v>
      </c>
      <c r="G132" s="32" t="s">
        <v>351</v>
      </c>
      <c r="H132" s="32" t="s">
        <v>353</v>
      </c>
      <c r="I132" s="37" t="n">
        <v>39.9545917926084</v>
      </c>
      <c r="J132" s="33" t="n">
        <v>239.727550753314</v>
      </c>
      <c r="K132" s="32"/>
    </row>
    <row r="133" customFormat="false" ht="15" hidden="true" customHeight="false" outlineLevel="1" collapsed="false">
      <c r="F133" s="32" t="s">
        <v>354</v>
      </c>
      <c r="G133" s="32" t="s">
        <v>353</v>
      </c>
      <c r="H133" s="32" t="s">
        <v>355</v>
      </c>
      <c r="I133" s="37" t="n">
        <v>39.9550580829642</v>
      </c>
      <c r="J133" s="33" t="n">
        <v>279.682608836278</v>
      </c>
      <c r="K133" s="32"/>
    </row>
    <row r="134" customFormat="false" ht="15" hidden="true" customHeight="false" outlineLevel="1" collapsed="false">
      <c r="F134" s="32" t="s">
        <v>356</v>
      </c>
      <c r="G134" s="32" t="s">
        <v>355</v>
      </c>
      <c r="H134" s="32" t="s">
        <v>357</v>
      </c>
      <c r="I134" s="37" t="n">
        <v>39.9550580826105</v>
      </c>
      <c r="J134" s="33" t="n">
        <v>319.637666918888</v>
      </c>
      <c r="K134" s="32"/>
    </row>
    <row r="135" customFormat="false" ht="15" hidden="true" customHeight="false" outlineLevel="1" collapsed="false">
      <c r="F135" s="32" t="s">
        <v>358</v>
      </c>
      <c r="G135" s="32" t="s">
        <v>357</v>
      </c>
      <c r="H135" s="32" t="s">
        <v>359</v>
      </c>
      <c r="I135" s="37" t="n">
        <v>39.9550580829642</v>
      </c>
      <c r="J135" s="33" t="n">
        <v>359.592725001852</v>
      </c>
      <c r="K135" s="32"/>
    </row>
    <row r="136" customFormat="false" ht="15" hidden="true" customHeight="false" outlineLevel="1" collapsed="false">
      <c r="F136" s="32" t="s">
        <v>360</v>
      </c>
      <c r="G136" s="32" t="s">
        <v>359</v>
      </c>
      <c r="H136" s="32" t="s">
        <v>361</v>
      </c>
      <c r="I136" s="37" t="n">
        <v>39.9550580827874</v>
      </c>
      <c r="J136" s="33" t="n">
        <v>399.54778308464</v>
      </c>
      <c r="K136" s="32"/>
    </row>
    <row r="137" customFormat="false" ht="15" hidden="true" customHeight="false" outlineLevel="1" collapsed="false">
      <c r="F137" s="32" t="s">
        <v>362</v>
      </c>
      <c r="G137" s="32" t="s">
        <v>361</v>
      </c>
      <c r="H137" s="32" t="s">
        <v>363</v>
      </c>
      <c r="I137" s="37" t="n">
        <v>39.9550580827874</v>
      </c>
      <c r="J137" s="33" t="n">
        <v>439.502841167427</v>
      </c>
      <c r="K137" s="32"/>
    </row>
    <row r="138" customFormat="false" ht="15" hidden="true" customHeight="false" outlineLevel="1" collapsed="false">
      <c r="F138" s="32" t="s">
        <v>364</v>
      </c>
      <c r="G138" s="32" t="s">
        <v>353</v>
      </c>
      <c r="H138" s="32" t="s">
        <v>365</v>
      </c>
      <c r="I138" s="37" t="n">
        <v>39.9550580829642</v>
      </c>
      <c r="J138" s="33" t="n">
        <v>279.682608836278</v>
      </c>
      <c r="K138" s="32"/>
    </row>
    <row r="139" customFormat="false" ht="15" hidden="true" customHeight="false" outlineLevel="1" collapsed="false">
      <c r="F139" s="32" t="s">
        <v>366</v>
      </c>
      <c r="G139" s="32" t="s">
        <v>365</v>
      </c>
      <c r="H139" s="32" t="s">
        <v>367</v>
      </c>
      <c r="I139" s="37" t="n">
        <v>39.9550580827874</v>
      </c>
      <c r="J139" s="33" t="n">
        <v>319.637666919065</v>
      </c>
      <c r="K139" s="32"/>
    </row>
    <row r="140" customFormat="false" ht="15" hidden="true" customHeight="false" outlineLevel="1" collapsed="false">
      <c r="F140" s="32" t="s">
        <v>368</v>
      </c>
      <c r="G140" s="32" t="s">
        <v>367</v>
      </c>
      <c r="H140" s="32" t="s">
        <v>369</v>
      </c>
      <c r="I140" s="37" t="n">
        <v>39.9550580827874</v>
      </c>
      <c r="J140" s="33" t="n">
        <v>359.592725001852</v>
      </c>
      <c r="K140" s="32"/>
    </row>
    <row r="141" customFormat="false" ht="15" hidden="true" customHeight="false" outlineLevel="1" collapsed="false">
      <c r="F141" s="32" t="s">
        <v>370</v>
      </c>
      <c r="G141" s="32" t="s">
        <v>369</v>
      </c>
      <c r="H141" s="32" t="s">
        <v>371</v>
      </c>
      <c r="I141" s="37" t="n">
        <v>39.9550580827874</v>
      </c>
      <c r="J141" s="33" t="n">
        <v>399.54778308464</v>
      </c>
      <c r="K141" s="32"/>
    </row>
    <row r="142" customFormat="false" ht="15" hidden="true" customHeight="false" outlineLevel="1" collapsed="false">
      <c r="F142" s="32" t="s">
        <v>372</v>
      </c>
      <c r="G142" s="32" t="s">
        <v>371</v>
      </c>
      <c r="H142" s="32" t="s">
        <v>373</v>
      </c>
      <c r="I142" s="37" t="n">
        <v>39.9550580829642</v>
      </c>
      <c r="J142" s="33" t="n">
        <v>439.502841167604</v>
      </c>
      <c r="K142" s="32"/>
    </row>
    <row r="143" customFormat="false" ht="15" hidden="true" customHeight="false" outlineLevel="1" collapsed="false">
      <c r="F143" s="32" t="s">
        <v>374</v>
      </c>
      <c r="G143" s="32" t="s">
        <v>373</v>
      </c>
      <c r="H143" s="32" t="s">
        <v>375</v>
      </c>
      <c r="I143" s="37" t="n">
        <v>39.9550580826105</v>
      </c>
      <c r="J143" s="33" t="n">
        <v>479.457899250214</v>
      </c>
      <c r="K143" s="32"/>
    </row>
    <row r="144" customFormat="false" ht="15" hidden="true" customHeight="false" outlineLevel="1" collapsed="false">
      <c r="F144" s="32" t="s">
        <v>376</v>
      </c>
      <c r="G144" s="32" t="s">
        <v>375</v>
      </c>
      <c r="H144" s="32" t="s">
        <v>377</v>
      </c>
      <c r="I144" s="37" t="n">
        <v>39.9550580829642</v>
      </c>
      <c r="J144" s="33" t="n">
        <v>519.412957333178</v>
      </c>
      <c r="K144" s="32"/>
    </row>
    <row r="145" customFormat="false" ht="15" hidden="false" customHeight="false" outlineLevel="0" collapsed="true">
      <c r="A145" s="42" t="n">
        <v>15</v>
      </c>
      <c r="B145" s="42" t="s">
        <v>25</v>
      </c>
      <c r="C145" s="42" t="s">
        <v>82</v>
      </c>
      <c r="D145" s="42" t="s">
        <v>111</v>
      </c>
      <c r="E145" s="42" t="s">
        <v>72</v>
      </c>
      <c r="F145" s="42" t="str">
        <f aca="false">COUNTIFS(Trechos!$L$2:$L$134,A145)&amp;" vãos"</f>
        <v>4 vãos</v>
      </c>
      <c r="G145" s="42"/>
      <c r="H145" s="42"/>
      <c r="I145" s="43" t="n">
        <f aca="false">SUMIFS(Trechos!$F$2:$F$134,Trechos!$L$2:$L$134,A145)</f>
        <v>159.820232331503</v>
      </c>
      <c r="J145" s="42"/>
      <c r="K145" s="42"/>
      <c r="L145" s="42" t="s">
        <v>73</v>
      </c>
      <c r="M145" s="42" t="s">
        <v>43</v>
      </c>
      <c r="N145" s="42" t="str">
        <f aca="false">Blocos!Q16</f>
        <v>—</v>
      </c>
    </row>
    <row r="146" customFormat="false" ht="15" hidden="true" customHeight="false" outlineLevel="1" collapsed="false">
      <c r="F146" s="32" t="s">
        <v>378</v>
      </c>
      <c r="G146" s="32" t="s">
        <v>363</v>
      </c>
      <c r="H146" s="32" t="s">
        <v>379</v>
      </c>
      <c r="I146" s="37" t="n">
        <v>39.9550580829642</v>
      </c>
      <c r="J146" s="33" t="n">
        <v>39.9550580829641</v>
      </c>
      <c r="K146" s="32"/>
    </row>
    <row r="147" customFormat="false" ht="15" hidden="true" customHeight="false" outlineLevel="1" collapsed="false">
      <c r="F147" s="32" t="s">
        <v>380</v>
      </c>
      <c r="G147" s="32" t="s">
        <v>379</v>
      </c>
      <c r="H147" s="32" t="s">
        <v>381</v>
      </c>
      <c r="I147" s="37" t="n">
        <v>39.9550580827874</v>
      </c>
      <c r="J147" s="33" t="n">
        <v>79.9101161657513</v>
      </c>
      <c r="K147" s="32"/>
    </row>
    <row r="148" customFormat="false" ht="15" hidden="true" customHeight="false" outlineLevel="1" collapsed="false">
      <c r="F148" s="32" t="s">
        <v>382</v>
      </c>
      <c r="G148" s="32" t="s">
        <v>381</v>
      </c>
      <c r="H148" s="32" t="s">
        <v>77</v>
      </c>
      <c r="I148" s="37" t="n">
        <v>39.9550580827874</v>
      </c>
      <c r="J148" s="33" t="n">
        <v>119.865174248539</v>
      </c>
      <c r="K148" s="32"/>
    </row>
    <row r="149" customFormat="false" ht="15" hidden="true" customHeight="false" outlineLevel="1" collapsed="false">
      <c r="F149" s="32" t="s">
        <v>383</v>
      </c>
      <c r="G149" s="32" t="s">
        <v>77</v>
      </c>
      <c r="H149" s="32" t="s">
        <v>384</v>
      </c>
      <c r="I149" s="37" t="n">
        <v>39.9550580829642</v>
      </c>
      <c r="J149" s="33" t="n">
        <v>159.820232331503</v>
      </c>
      <c r="K149" s="3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7"/>
    <col collapsed="false" customWidth="true" hidden="false" outlineLevel="0" max="10" min="10" style="0" width="11"/>
    <col collapsed="false" customWidth="true" hidden="false" outlineLevel="0" max="11" min="11" style="0" width="17"/>
    <col collapsed="false" customWidth="true" hidden="false" outlineLevel="0" max="12" min="12" style="0" width="7"/>
    <col collapsed="false" customWidth="true" hidden="false" outlineLevel="0" max="13" min="13" style="0" width="12"/>
    <col collapsed="false" customWidth="true" hidden="false" outlineLevel="0" max="14" min="14" style="0" width="18"/>
    <col collapsed="false" customWidth="true" hidden="false" outlineLevel="0" max="15" min="15" style="0" width="22"/>
    <col collapsed="false" customWidth="true" hidden="false" outlineLevel="0" max="16" min="16" style="0" width="34"/>
    <col collapsed="false" customWidth="true" hidden="false" outlineLevel="0" max="17" min="17" style="0" width="11"/>
    <col collapsed="false" customWidth="true" hidden="false" outlineLevel="0" max="18" min="18" style="0" width="12"/>
    <col collapsed="false" customWidth="true" hidden="false" outlineLevel="0" max="23" min="19" style="0" width="8"/>
    <col collapsed="false" customWidth="true" hidden="false" outlineLevel="0" max="24" min="24" style="0" width="34"/>
    <col collapsed="false" customWidth="true" hidden="false" outlineLevel="0" max="26" min="25" style="0" width="13"/>
    <col collapsed="false" customWidth="true" hidden="false" outlineLevel="0" max="27" min="27" style="0" width="8"/>
    <col collapsed="false" customWidth="true" hidden="false" outlineLevel="0" max="28" min="28" style="0" width="26"/>
  </cols>
  <sheetData>
    <row r="1" customFormat="false" ht="31.5" hidden="false" customHeight="true" outlineLevel="0" collapsed="false">
      <c r="A1" s="15" t="s">
        <v>385</v>
      </c>
      <c r="B1" s="15" t="s">
        <v>114</v>
      </c>
      <c r="C1" s="15" t="s">
        <v>386</v>
      </c>
      <c r="D1" s="15" t="s">
        <v>80</v>
      </c>
      <c r="E1" s="15" t="s">
        <v>115</v>
      </c>
      <c r="F1" s="15" t="s">
        <v>37</v>
      </c>
      <c r="G1" s="15" t="s">
        <v>387</v>
      </c>
      <c r="H1" s="15" t="s">
        <v>116</v>
      </c>
      <c r="I1" s="15" t="s">
        <v>3</v>
      </c>
      <c r="J1" s="15" t="s">
        <v>81</v>
      </c>
      <c r="K1" s="15" t="s">
        <v>82</v>
      </c>
      <c r="L1" s="15" t="s">
        <v>13</v>
      </c>
      <c r="M1" s="15" t="s">
        <v>9</v>
      </c>
      <c r="N1" s="15" t="s">
        <v>388</v>
      </c>
      <c r="O1" s="15" t="s">
        <v>389</v>
      </c>
      <c r="P1" s="15" t="s">
        <v>11</v>
      </c>
      <c r="Q1" s="15" t="s">
        <v>93</v>
      </c>
      <c r="R1" s="15" t="s">
        <v>85</v>
      </c>
      <c r="S1" s="15" t="s">
        <v>29</v>
      </c>
      <c r="T1" s="15" t="s">
        <v>30</v>
      </c>
      <c r="U1" s="15" t="s">
        <v>31</v>
      </c>
      <c r="V1" s="15" t="s">
        <v>32</v>
      </c>
      <c r="W1" s="15" t="s">
        <v>33</v>
      </c>
      <c r="X1" s="15" t="s">
        <v>86</v>
      </c>
      <c r="Y1" s="15" t="s">
        <v>390</v>
      </c>
      <c r="Z1" s="15" t="s">
        <v>391</v>
      </c>
      <c r="AA1" s="15" t="s">
        <v>392</v>
      </c>
      <c r="AB1" s="15" t="s">
        <v>393</v>
      </c>
    </row>
    <row r="2" customFormat="false" ht="15" hidden="false" customHeight="false" outlineLevel="0" collapsed="false">
      <c r="A2" s="32" t="n">
        <v>1</v>
      </c>
      <c r="B2" s="32" t="s">
        <v>119</v>
      </c>
      <c r="C2" s="32"/>
      <c r="D2" s="32" t="s">
        <v>120</v>
      </c>
      <c r="E2" s="32" t="s">
        <v>121</v>
      </c>
      <c r="F2" s="37" t="n">
        <v>43.9500509712456</v>
      </c>
      <c r="G2" s="33" t="n">
        <v>43.9500509712456</v>
      </c>
      <c r="H2" s="33" t="n">
        <v>43.9500509712456</v>
      </c>
      <c r="I2" s="6" t="s">
        <v>22</v>
      </c>
      <c r="J2" s="32" t="s">
        <v>7</v>
      </c>
      <c r="K2" s="32" t="s">
        <v>7</v>
      </c>
      <c r="L2" s="32" t="n">
        <v>1</v>
      </c>
      <c r="M2" s="32" t="s">
        <v>41</v>
      </c>
      <c r="N2" s="32" t="s">
        <v>394</v>
      </c>
      <c r="O2" s="32" t="s">
        <v>42</v>
      </c>
      <c r="P2" s="32" t="s">
        <v>395</v>
      </c>
      <c r="Q2" s="32" t="n">
        <v>10</v>
      </c>
      <c r="R2" s="32"/>
      <c r="S2" s="32" t="s">
        <v>41</v>
      </c>
      <c r="T2" s="32"/>
      <c r="U2" s="32"/>
      <c r="V2" s="32"/>
      <c r="W2" s="32"/>
      <c r="X2" s="32" t="s">
        <v>41</v>
      </c>
      <c r="Y2" s="32" t="n">
        <v>-9.6039526</v>
      </c>
      <c r="Z2" s="32" t="n">
        <v>-48.4487063</v>
      </c>
      <c r="AA2" s="44" t="s">
        <v>396</v>
      </c>
      <c r="AB2" s="32" t="s">
        <v>397</v>
      </c>
    </row>
    <row r="3" customFormat="false" ht="15" hidden="false" customHeight="false" outlineLevel="0" collapsed="false">
      <c r="A3" s="32" t="n">
        <v>2</v>
      </c>
      <c r="B3" s="32" t="s">
        <v>122</v>
      </c>
      <c r="C3" s="32"/>
      <c r="D3" s="32" t="s">
        <v>121</v>
      </c>
      <c r="E3" s="32" t="s">
        <v>123</v>
      </c>
      <c r="F3" s="37" t="n">
        <v>43.9500509712456</v>
      </c>
      <c r="G3" s="33" t="n">
        <v>87.9001019424911</v>
      </c>
      <c r="H3" s="33" t="n">
        <v>87.9001019424911</v>
      </c>
      <c r="I3" s="6" t="s">
        <v>22</v>
      </c>
      <c r="J3" s="32" t="s">
        <v>7</v>
      </c>
      <c r="K3" s="32" t="s">
        <v>7</v>
      </c>
      <c r="L3" s="32" t="n">
        <v>1</v>
      </c>
      <c r="M3" s="32" t="s">
        <v>41</v>
      </c>
      <c r="N3" s="32" t="s">
        <v>394</v>
      </c>
      <c r="O3" s="32" t="s">
        <v>42</v>
      </c>
      <c r="P3" s="32" t="s">
        <v>395</v>
      </c>
      <c r="Q3" s="32" t="n">
        <v>10</v>
      </c>
      <c r="R3" s="32"/>
      <c r="S3" s="32" t="s">
        <v>41</v>
      </c>
      <c r="T3" s="32"/>
      <c r="U3" s="32"/>
      <c r="V3" s="32"/>
      <c r="W3" s="32"/>
      <c r="X3" s="32" t="s">
        <v>41</v>
      </c>
      <c r="Y3" s="32" t="n">
        <v>-9.6039526</v>
      </c>
      <c r="Z3" s="32" t="n">
        <v>-48.4483054</v>
      </c>
      <c r="AA3" s="44" t="s">
        <v>396</v>
      </c>
      <c r="AB3" s="32" t="s">
        <v>397</v>
      </c>
    </row>
    <row r="4" customFormat="false" ht="15" hidden="false" customHeight="false" outlineLevel="0" collapsed="false">
      <c r="A4" s="32" t="n">
        <v>3</v>
      </c>
      <c r="B4" s="32" t="s">
        <v>124</v>
      </c>
      <c r="C4" s="32"/>
      <c r="D4" s="32" t="s">
        <v>123</v>
      </c>
      <c r="E4" s="32" t="s">
        <v>125</v>
      </c>
      <c r="F4" s="37" t="n">
        <v>43.9500509720246</v>
      </c>
      <c r="G4" s="33" t="n">
        <v>131.850152914516</v>
      </c>
      <c r="H4" s="33" t="n">
        <v>131.850152914516</v>
      </c>
      <c r="I4" s="6" t="s">
        <v>22</v>
      </c>
      <c r="J4" s="32" t="s">
        <v>7</v>
      </c>
      <c r="K4" s="32" t="s">
        <v>7</v>
      </c>
      <c r="L4" s="32" t="n">
        <v>1</v>
      </c>
      <c r="M4" s="32" t="s">
        <v>41</v>
      </c>
      <c r="N4" s="32" t="s">
        <v>394</v>
      </c>
      <c r="O4" s="32" t="s">
        <v>42</v>
      </c>
      <c r="P4" s="32" t="s">
        <v>395</v>
      </c>
      <c r="Q4" s="32" t="n">
        <v>10</v>
      </c>
      <c r="R4" s="32"/>
      <c r="S4" s="32" t="s">
        <v>41</v>
      </c>
      <c r="T4" s="32"/>
      <c r="U4" s="32"/>
      <c r="V4" s="32"/>
      <c r="W4" s="32"/>
      <c r="X4" s="32" t="s">
        <v>41</v>
      </c>
      <c r="Y4" s="32" t="n">
        <v>-9.6039526</v>
      </c>
      <c r="Z4" s="32" t="n">
        <v>-48.4479045</v>
      </c>
      <c r="AA4" s="44" t="s">
        <v>396</v>
      </c>
      <c r="AB4" s="32" t="s">
        <v>397</v>
      </c>
    </row>
    <row r="5" customFormat="false" ht="15" hidden="false" customHeight="false" outlineLevel="0" collapsed="false">
      <c r="A5" s="32" t="n">
        <v>4</v>
      </c>
      <c r="B5" s="32" t="s">
        <v>126</v>
      </c>
      <c r="C5" s="32"/>
      <c r="D5" s="32" t="s">
        <v>125</v>
      </c>
      <c r="E5" s="32" t="s">
        <v>127</v>
      </c>
      <c r="F5" s="37" t="n">
        <v>43.9500509712456</v>
      </c>
      <c r="G5" s="33" t="n">
        <v>175.800203885761</v>
      </c>
      <c r="H5" s="33" t="n">
        <v>175.800203885761</v>
      </c>
      <c r="I5" s="6" t="s">
        <v>22</v>
      </c>
      <c r="J5" s="32" t="s">
        <v>7</v>
      </c>
      <c r="K5" s="32" t="s">
        <v>7</v>
      </c>
      <c r="L5" s="32" t="n">
        <v>1</v>
      </c>
      <c r="M5" s="32" t="s">
        <v>41</v>
      </c>
      <c r="N5" s="32" t="s">
        <v>394</v>
      </c>
      <c r="O5" s="32" t="s">
        <v>42</v>
      </c>
      <c r="P5" s="32" t="s">
        <v>395</v>
      </c>
      <c r="Q5" s="32" t="n">
        <v>10</v>
      </c>
      <c r="R5" s="32"/>
      <c r="S5" s="32" t="s">
        <v>41</v>
      </c>
      <c r="T5" s="32"/>
      <c r="U5" s="32"/>
      <c r="V5" s="32"/>
      <c r="W5" s="32"/>
      <c r="X5" s="32" t="s">
        <v>41</v>
      </c>
      <c r="Y5" s="32" t="n">
        <v>-9.6039526</v>
      </c>
      <c r="Z5" s="32" t="n">
        <v>-48.4475037</v>
      </c>
      <c r="AA5" s="44" t="s">
        <v>396</v>
      </c>
      <c r="AB5" s="32" t="s">
        <v>397</v>
      </c>
    </row>
    <row r="6" customFormat="false" ht="15" hidden="false" customHeight="false" outlineLevel="0" collapsed="false">
      <c r="A6" s="32" t="n">
        <v>5</v>
      </c>
      <c r="B6" s="32" t="s">
        <v>128</v>
      </c>
      <c r="C6" s="32"/>
      <c r="D6" s="32" t="s">
        <v>127</v>
      </c>
      <c r="E6" s="32" t="s">
        <v>129</v>
      </c>
      <c r="F6" s="37" t="n">
        <v>43.9500509712456</v>
      </c>
      <c r="G6" s="33" t="n">
        <v>219.750254857007</v>
      </c>
      <c r="H6" s="33" t="n">
        <v>219.750254857007</v>
      </c>
      <c r="I6" s="6" t="s">
        <v>22</v>
      </c>
      <c r="J6" s="32" t="s">
        <v>7</v>
      </c>
      <c r="K6" s="32" t="s">
        <v>7</v>
      </c>
      <c r="L6" s="32" t="n">
        <v>1</v>
      </c>
      <c r="M6" s="32" t="s">
        <v>41</v>
      </c>
      <c r="N6" s="32" t="s">
        <v>394</v>
      </c>
      <c r="O6" s="32" t="s">
        <v>42</v>
      </c>
      <c r="P6" s="32" t="s">
        <v>395</v>
      </c>
      <c r="Q6" s="32" t="n">
        <v>10</v>
      </c>
      <c r="R6" s="32"/>
      <c r="S6" s="32" t="s">
        <v>41</v>
      </c>
      <c r="T6" s="32"/>
      <c r="U6" s="32"/>
      <c r="V6" s="32"/>
      <c r="W6" s="32"/>
      <c r="X6" s="32" t="s">
        <v>41</v>
      </c>
      <c r="Y6" s="32" t="n">
        <v>-9.6039526</v>
      </c>
      <c r="Z6" s="32" t="n">
        <v>-48.4471028</v>
      </c>
      <c r="AA6" s="44" t="s">
        <v>396</v>
      </c>
      <c r="AB6" s="32" t="s">
        <v>397</v>
      </c>
    </row>
    <row r="7" customFormat="false" ht="15" hidden="false" customHeight="false" outlineLevel="0" collapsed="false">
      <c r="A7" s="32" t="n">
        <v>6</v>
      </c>
      <c r="B7" s="32" t="s">
        <v>130</v>
      </c>
      <c r="C7" s="32"/>
      <c r="D7" s="32" t="s">
        <v>129</v>
      </c>
      <c r="E7" s="32" t="s">
        <v>131</v>
      </c>
      <c r="F7" s="37" t="n">
        <v>43.9500509712456</v>
      </c>
      <c r="G7" s="33" t="n">
        <v>263.700305828252</v>
      </c>
      <c r="H7" s="33" t="n">
        <v>263.700305828252</v>
      </c>
      <c r="I7" s="6" t="s">
        <v>22</v>
      </c>
      <c r="J7" s="32" t="s">
        <v>7</v>
      </c>
      <c r="K7" s="32" t="s">
        <v>7</v>
      </c>
      <c r="L7" s="32" t="n">
        <v>1</v>
      </c>
      <c r="M7" s="32" t="s">
        <v>41</v>
      </c>
      <c r="N7" s="32" t="s">
        <v>394</v>
      </c>
      <c r="O7" s="32" t="s">
        <v>42</v>
      </c>
      <c r="P7" s="32" t="s">
        <v>398</v>
      </c>
      <c r="Q7" s="32" t="n">
        <v>7</v>
      </c>
      <c r="R7" s="32"/>
      <c r="S7" s="32" t="s">
        <v>41</v>
      </c>
      <c r="T7" s="32"/>
      <c r="U7" s="32"/>
      <c r="V7" s="32"/>
      <c r="W7" s="32"/>
      <c r="X7" s="32" t="s">
        <v>41</v>
      </c>
      <c r="Y7" s="32" t="n">
        <v>-9.6039526</v>
      </c>
      <c r="Z7" s="32" t="n">
        <v>-48.4467019</v>
      </c>
      <c r="AA7" s="44" t="s">
        <v>396</v>
      </c>
      <c r="AB7" s="32" t="s">
        <v>397</v>
      </c>
    </row>
    <row r="8" customFormat="false" ht="15" hidden="false" customHeight="false" outlineLevel="0" collapsed="false">
      <c r="A8" s="32" t="n">
        <v>7</v>
      </c>
      <c r="B8" s="32" t="s">
        <v>132</v>
      </c>
      <c r="C8" s="32"/>
      <c r="D8" s="32" t="s">
        <v>131</v>
      </c>
      <c r="E8" s="32" t="s">
        <v>133</v>
      </c>
      <c r="F8" s="37" t="n">
        <v>43.9500509712456</v>
      </c>
      <c r="G8" s="33" t="n">
        <v>307.650356799498</v>
      </c>
      <c r="H8" s="33" t="n">
        <v>307.650356799498</v>
      </c>
      <c r="I8" s="6" t="s">
        <v>22</v>
      </c>
      <c r="J8" s="32" t="s">
        <v>7</v>
      </c>
      <c r="K8" s="32" t="s">
        <v>7</v>
      </c>
      <c r="L8" s="32" t="n">
        <v>1</v>
      </c>
      <c r="M8" s="32" t="s">
        <v>41</v>
      </c>
      <c r="N8" s="32" t="s">
        <v>394</v>
      </c>
      <c r="O8" s="32" t="s">
        <v>42</v>
      </c>
      <c r="P8" s="32" t="s">
        <v>398</v>
      </c>
      <c r="Q8" s="32" t="n">
        <v>7</v>
      </c>
      <c r="R8" s="32"/>
      <c r="S8" s="32" t="s">
        <v>41</v>
      </c>
      <c r="T8" s="32"/>
      <c r="U8" s="32"/>
      <c r="V8" s="32"/>
      <c r="W8" s="32"/>
      <c r="X8" s="32" t="s">
        <v>41</v>
      </c>
      <c r="Y8" s="32" t="n">
        <v>-9.6039526</v>
      </c>
      <c r="Z8" s="32" t="n">
        <v>-48.4463011</v>
      </c>
      <c r="AA8" s="44" t="s">
        <v>396</v>
      </c>
      <c r="AB8" s="32" t="s">
        <v>397</v>
      </c>
    </row>
    <row r="9" customFormat="false" ht="15" hidden="false" customHeight="false" outlineLevel="0" collapsed="false">
      <c r="A9" s="32" t="n">
        <v>8</v>
      </c>
      <c r="B9" s="32" t="s">
        <v>134</v>
      </c>
      <c r="C9" s="32"/>
      <c r="D9" s="32" t="s">
        <v>133</v>
      </c>
      <c r="E9" s="32" t="s">
        <v>135</v>
      </c>
      <c r="F9" s="37" t="n">
        <v>43.9500509720246</v>
      </c>
      <c r="G9" s="33" t="n">
        <v>351.600407771522</v>
      </c>
      <c r="H9" s="33" t="n">
        <v>351.600407771522</v>
      </c>
      <c r="I9" s="6" t="s">
        <v>22</v>
      </c>
      <c r="J9" s="32" t="s">
        <v>7</v>
      </c>
      <c r="K9" s="32" t="s">
        <v>7</v>
      </c>
      <c r="L9" s="32" t="n">
        <v>1</v>
      </c>
      <c r="M9" s="32" t="s">
        <v>41</v>
      </c>
      <c r="N9" s="32" t="s">
        <v>394</v>
      </c>
      <c r="O9" s="32" t="s">
        <v>42</v>
      </c>
      <c r="P9" s="32" t="s">
        <v>398</v>
      </c>
      <c r="Q9" s="32" t="n">
        <v>7</v>
      </c>
      <c r="R9" s="32"/>
      <c r="S9" s="32" t="s">
        <v>41</v>
      </c>
      <c r="T9" s="32"/>
      <c r="U9" s="32"/>
      <c r="V9" s="32"/>
      <c r="W9" s="32"/>
      <c r="X9" s="32" t="s">
        <v>41</v>
      </c>
      <c r="Y9" s="32" t="n">
        <v>-9.6039526</v>
      </c>
      <c r="Z9" s="32" t="n">
        <v>-48.4459002</v>
      </c>
      <c r="AA9" s="44" t="s">
        <v>396</v>
      </c>
      <c r="AB9" s="32" t="s">
        <v>397</v>
      </c>
    </row>
    <row r="10" customFormat="false" ht="15" hidden="false" customHeight="false" outlineLevel="0" collapsed="false">
      <c r="A10" s="32" t="n">
        <v>9</v>
      </c>
      <c r="B10" s="32" t="s">
        <v>136</v>
      </c>
      <c r="C10" s="32"/>
      <c r="D10" s="32" t="s">
        <v>135</v>
      </c>
      <c r="E10" s="32" t="s">
        <v>137</v>
      </c>
      <c r="F10" s="37" t="n">
        <v>43.9500509712456</v>
      </c>
      <c r="G10" s="33" t="n">
        <v>395.550458742768</v>
      </c>
      <c r="H10" s="33" t="n">
        <v>395.550458742768</v>
      </c>
      <c r="I10" s="6" t="s">
        <v>22</v>
      </c>
      <c r="J10" s="32" t="s">
        <v>7</v>
      </c>
      <c r="K10" s="32" t="s">
        <v>7</v>
      </c>
      <c r="L10" s="32" t="n">
        <v>1</v>
      </c>
      <c r="M10" s="32" t="s">
        <v>41</v>
      </c>
      <c r="N10" s="32" t="s">
        <v>394</v>
      </c>
      <c r="O10" s="32" t="s">
        <v>42</v>
      </c>
      <c r="P10" s="32" t="s">
        <v>398</v>
      </c>
      <c r="Q10" s="32" t="n">
        <v>7</v>
      </c>
      <c r="R10" s="32"/>
      <c r="S10" s="32" t="s">
        <v>41</v>
      </c>
      <c r="T10" s="32"/>
      <c r="U10" s="32"/>
      <c r="V10" s="32"/>
      <c r="W10" s="32"/>
      <c r="X10" s="32" t="s">
        <v>41</v>
      </c>
      <c r="Y10" s="32" t="n">
        <v>-9.6039526</v>
      </c>
      <c r="Z10" s="32" t="n">
        <v>-48.4454993</v>
      </c>
      <c r="AA10" s="44" t="s">
        <v>396</v>
      </c>
      <c r="AB10" s="32" t="s">
        <v>397</v>
      </c>
    </row>
    <row r="11" customFormat="false" ht="15" hidden="false" customHeight="false" outlineLevel="0" collapsed="false">
      <c r="A11" s="32" t="n">
        <v>10</v>
      </c>
      <c r="B11" s="32" t="s">
        <v>138</v>
      </c>
      <c r="C11" s="32"/>
      <c r="D11" s="32" t="s">
        <v>137</v>
      </c>
      <c r="E11" s="32" t="s">
        <v>139</v>
      </c>
      <c r="F11" s="37" t="n">
        <v>43.9500509712456</v>
      </c>
      <c r="G11" s="33" t="n">
        <v>439.500509714014</v>
      </c>
      <c r="H11" s="33" t="n">
        <v>439.500509714014</v>
      </c>
      <c r="I11" s="6" t="s">
        <v>22</v>
      </c>
      <c r="J11" s="32" t="s">
        <v>7</v>
      </c>
      <c r="K11" s="32" t="s">
        <v>7</v>
      </c>
      <c r="L11" s="32" t="n">
        <v>1</v>
      </c>
      <c r="M11" s="32" t="s">
        <v>41</v>
      </c>
      <c r="N11" s="32" t="s">
        <v>394</v>
      </c>
      <c r="O11" s="32" t="s">
        <v>42</v>
      </c>
      <c r="P11" s="32" t="s">
        <v>398</v>
      </c>
      <c r="Q11" s="32" t="n">
        <v>7</v>
      </c>
      <c r="R11" s="32"/>
      <c r="S11" s="32" t="s">
        <v>41</v>
      </c>
      <c r="T11" s="32"/>
      <c r="U11" s="32"/>
      <c r="V11" s="32"/>
      <c r="W11" s="32"/>
      <c r="X11" s="32" t="s">
        <v>41</v>
      </c>
      <c r="Y11" s="32" t="n">
        <v>-9.6039526</v>
      </c>
      <c r="Z11" s="32" t="n">
        <v>-48.4450984</v>
      </c>
      <c r="AA11" s="44" t="s">
        <v>396</v>
      </c>
      <c r="AB11" s="32" t="s">
        <v>397</v>
      </c>
    </row>
    <row r="12" customFormat="false" ht="15" hidden="false" customHeight="false" outlineLevel="0" collapsed="false">
      <c r="A12" s="32" t="n">
        <v>11</v>
      </c>
      <c r="B12" s="32" t="s">
        <v>140</v>
      </c>
      <c r="C12" s="32"/>
      <c r="D12" s="32" t="s">
        <v>139</v>
      </c>
      <c r="E12" s="32" t="s">
        <v>141</v>
      </c>
      <c r="F12" s="37" t="n">
        <v>43.9500509712456</v>
      </c>
      <c r="G12" s="33" t="n">
        <v>483.450560685259</v>
      </c>
      <c r="H12" s="33" t="n">
        <v>483.450560685259</v>
      </c>
      <c r="I12" s="6" t="s">
        <v>22</v>
      </c>
      <c r="J12" s="32" t="s">
        <v>7</v>
      </c>
      <c r="K12" s="32" t="s">
        <v>7</v>
      </c>
      <c r="L12" s="32" t="n">
        <v>1</v>
      </c>
      <c r="M12" s="32" t="s">
        <v>41</v>
      </c>
      <c r="N12" s="32" t="s">
        <v>394</v>
      </c>
      <c r="O12" s="32" t="s">
        <v>42</v>
      </c>
      <c r="P12" s="32" t="s">
        <v>399</v>
      </c>
      <c r="Q12" s="32" t="n">
        <v>6</v>
      </c>
      <c r="R12" s="32"/>
      <c r="S12" s="32" t="s">
        <v>41</v>
      </c>
      <c r="T12" s="32"/>
      <c r="U12" s="32"/>
      <c r="V12" s="32"/>
      <c r="W12" s="32"/>
      <c r="X12" s="32" t="s">
        <v>41</v>
      </c>
      <c r="Y12" s="32" t="n">
        <v>-9.6039526</v>
      </c>
      <c r="Z12" s="32" t="n">
        <v>-48.4446976</v>
      </c>
      <c r="AA12" s="44" t="s">
        <v>396</v>
      </c>
      <c r="AB12" s="32" t="s">
        <v>397</v>
      </c>
    </row>
    <row r="13" customFormat="false" ht="15" hidden="false" customHeight="false" outlineLevel="0" collapsed="false">
      <c r="A13" s="32" t="n">
        <v>12</v>
      </c>
      <c r="B13" s="32" t="s">
        <v>142</v>
      </c>
      <c r="C13" s="32"/>
      <c r="D13" s="32" t="s">
        <v>141</v>
      </c>
      <c r="E13" s="32" t="s">
        <v>143</v>
      </c>
      <c r="F13" s="37" t="n">
        <v>43.9500509720246</v>
      </c>
      <c r="G13" s="33" t="n">
        <v>527.400611657284</v>
      </c>
      <c r="H13" s="33" t="n">
        <v>527.400611657284</v>
      </c>
      <c r="I13" s="6" t="s">
        <v>22</v>
      </c>
      <c r="J13" s="32" t="s">
        <v>7</v>
      </c>
      <c r="K13" s="32" t="s">
        <v>7</v>
      </c>
      <c r="L13" s="32" t="n">
        <v>1</v>
      </c>
      <c r="M13" s="32" t="s">
        <v>41</v>
      </c>
      <c r="N13" s="32" t="s">
        <v>394</v>
      </c>
      <c r="O13" s="32" t="s">
        <v>42</v>
      </c>
      <c r="P13" s="32" t="s">
        <v>399</v>
      </c>
      <c r="Q13" s="32" t="n">
        <v>6</v>
      </c>
      <c r="R13" s="32"/>
      <c r="S13" s="32" t="s">
        <v>41</v>
      </c>
      <c r="T13" s="32"/>
      <c r="U13" s="32"/>
      <c r="V13" s="32"/>
      <c r="W13" s="32"/>
      <c r="X13" s="32" t="s">
        <v>41</v>
      </c>
      <c r="Y13" s="32" t="n">
        <v>-9.6039526</v>
      </c>
      <c r="Z13" s="32" t="n">
        <v>-48.4442967</v>
      </c>
      <c r="AA13" s="44" t="s">
        <v>396</v>
      </c>
      <c r="AB13" s="32" t="s">
        <v>397</v>
      </c>
    </row>
    <row r="14" customFormat="false" ht="15" hidden="false" customHeight="false" outlineLevel="0" collapsed="false">
      <c r="A14" s="32" t="n">
        <v>13</v>
      </c>
      <c r="B14" s="32" t="s">
        <v>144</v>
      </c>
      <c r="C14" s="32"/>
      <c r="D14" s="32" t="s">
        <v>143</v>
      </c>
      <c r="E14" s="32" t="s">
        <v>145</v>
      </c>
      <c r="F14" s="37" t="n">
        <v>43.9500509712456</v>
      </c>
      <c r="G14" s="33" t="n">
        <v>571.350662628529</v>
      </c>
      <c r="H14" s="33" t="n">
        <v>571.350662628529</v>
      </c>
      <c r="I14" s="6" t="s">
        <v>22</v>
      </c>
      <c r="J14" s="32" t="s">
        <v>7</v>
      </c>
      <c r="K14" s="32" t="s">
        <v>7</v>
      </c>
      <c r="L14" s="32" t="n">
        <v>1</v>
      </c>
      <c r="M14" s="32" t="s">
        <v>41</v>
      </c>
      <c r="N14" s="32" t="s">
        <v>394</v>
      </c>
      <c r="O14" s="32" t="s">
        <v>42</v>
      </c>
      <c r="P14" s="32" t="s">
        <v>399</v>
      </c>
      <c r="Q14" s="32" t="n">
        <v>6</v>
      </c>
      <c r="R14" s="32"/>
      <c r="S14" s="32" t="s">
        <v>41</v>
      </c>
      <c r="T14" s="32"/>
      <c r="U14" s="32"/>
      <c r="V14" s="32"/>
      <c r="W14" s="32"/>
      <c r="X14" s="32" t="s">
        <v>41</v>
      </c>
      <c r="Y14" s="32" t="n">
        <v>-9.6039526</v>
      </c>
      <c r="Z14" s="32" t="n">
        <v>-48.4438958</v>
      </c>
      <c r="AA14" s="44" t="s">
        <v>396</v>
      </c>
      <c r="AB14" s="32" t="s">
        <v>397</v>
      </c>
    </row>
    <row r="15" customFormat="false" ht="15" hidden="false" customHeight="false" outlineLevel="0" collapsed="false">
      <c r="A15" s="32" t="n">
        <v>14</v>
      </c>
      <c r="B15" s="32" t="s">
        <v>146</v>
      </c>
      <c r="C15" s="32"/>
      <c r="D15" s="32" t="s">
        <v>145</v>
      </c>
      <c r="E15" s="32" t="s">
        <v>147</v>
      </c>
      <c r="F15" s="37" t="n">
        <v>43.9500509720246</v>
      </c>
      <c r="G15" s="33" t="n">
        <v>615.300713600554</v>
      </c>
      <c r="H15" s="33" t="n">
        <v>615.300713600554</v>
      </c>
      <c r="I15" s="6" t="s">
        <v>22</v>
      </c>
      <c r="J15" s="32" t="s">
        <v>7</v>
      </c>
      <c r="K15" s="32" t="s">
        <v>7</v>
      </c>
      <c r="L15" s="32" t="n">
        <v>1</v>
      </c>
      <c r="M15" s="32" t="s">
        <v>41</v>
      </c>
      <c r="N15" s="32" t="s">
        <v>394</v>
      </c>
      <c r="O15" s="32" t="s">
        <v>42</v>
      </c>
      <c r="P15" s="32" t="s">
        <v>399</v>
      </c>
      <c r="Q15" s="32" t="n">
        <v>6</v>
      </c>
      <c r="R15" s="32"/>
      <c r="S15" s="32" t="s">
        <v>41</v>
      </c>
      <c r="T15" s="32"/>
      <c r="U15" s="32"/>
      <c r="V15" s="32"/>
      <c r="W15" s="32"/>
      <c r="X15" s="32" t="s">
        <v>41</v>
      </c>
      <c r="Y15" s="32" t="n">
        <v>-9.6039526</v>
      </c>
      <c r="Z15" s="32" t="n">
        <v>-48.443495</v>
      </c>
      <c r="AA15" s="44" t="s">
        <v>396</v>
      </c>
      <c r="AB15" s="32" t="s">
        <v>397</v>
      </c>
    </row>
    <row r="16" customFormat="false" ht="15" hidden="false" customHeight="false" outlineLevel="0" collapsed="false">
      <c r="A16" s="32" t="n">
        <v>15</v>
      </c>
      <c r="B16" s="32" t="s">
        <v>148</v>
      </c>
      <c r="C16" s="32"/>
      <c r="D16" s="32" t="s">
        <v>147</v>
      </c>
      <c r="E16" s="32" t="s">
        <v>149</v>
      </c>
      <c r="F16" s="37" t="n">
        <v>43.9500509712456</v>
      </c>
      <c r="G16" s="33" t="n">
        <v>659.250764571799</v>
      </c>
      <c r="H16" s="33" t="n">
        <v>659.250764571799</v>
      </c>
      <c r="I16" s="6" t="s">
        <v>22</v>
      </c>
      <c r="J16" s="32" t="s">
        <v>7</v>
      </c>
      <c r="K16" s="32" t="s">
        <v>7</v>
      </c>
      <c r="L16" s="32" t="n">
        <v>1</v>
      </c>
      <c r="M16" s="32" t="s">
        <v>41</v>
      </c>
      <c r="N16" s="32" t="s">
        <v>394</v>
      </c>
      <c r="O16" s="32" t="s">
        <v>42</v>
      </c>
      <c r="P16" s="32" t="s">
        <v>399</v>
      </c>
      <c r="Q16" s="32" t="n">
        <v>6</v>
      </c>
      <c r="R16" s="32"/>
      <c r="S16" s="32" t="s">
        <v>41</v>
      </c>
      <c r="T16" s="32"/>
      <c r="U16" s="32"/>
      <c r="V16" s="32"/>
      <c r="W16" s="32"/>
      <c r="X16" s="32" t="s">
        <v>41</v>
      </c>
      <c r="Y16" s="32" t="n">
        <v>-9.6039526</v>
      </c>
      <c r="Z16" s="32" t="n">
        <v>-48.4430941</v>
      </c>
      <c r="AA16" s="44" t="s">
        <v>396</v>
      </c>
      <c r="AB16" s="32" t="s">
        <v>397</v>
      </c>
    </row>
    <row r="17" customFormat="false" ht="15" hidden="false" customHeight="false" outlineLevel="0" collapsed="false">
      <c r="A17" s="32" t="n">
        <v>16</v>
      </c>
      <c r="B17" s="32" t="s">
        <v>150</v>
      </c>
      <c r="C17" s="32"/>
      <c r="D17" s="32" t="s">
        <v>149</v>
      </c>
      <c r="E17" s="32" t="s">
        <v>151</v>
      </c>
      <c r="F17" s="37" t="n">
        <v>43.9500509712456</v>
      </c>
      <c r="G17" s="33" t="n">
        <v>703.200815543045</v>
      </c>
      <c r="H17" s="33" t="n">
        <v>43.9500509712456</v>
      </c>
      <c r="I17" s="7" t="s">
        <v>23</v>
      </c>
      <c r="J17" s="32" t="s">
        <v>7</v>
      </c>
      <c r="K17" s="32" t="s">
        <v>7</v>
      </c>
      <c r="L17" s="32" t="n">
        <v>2</v>
      </c>
      <c r="M17" s="32" t="s">
        <v>42</v>
      </c>
      <c r="N17" s="32" t="s">
        <v>400</v>
      </c>
      <c r="O17" s="32" t="s">
        <v>44</v>
      </c>
      <c r="P17" s="32" t="s">
        <v>401</v>
      </c>
      <c r="Q17" s="32" t="n">
        <v>5</v>
      </c>
      <c r="R17" s="32"/>
      <c r="S17" s="32" t="s">
        <v>41</v>
      </c>
      <c r="T17" s="32" t="s">
        <v>42</v>
      </c>
      <c r="U17" s="32"/>
      <c r="V17" s="32"/>
      <c r="W17" s="32"/>
      <c r="X17" s="32" t="s">
        <v>402</v>
      </c>
      <c r="Y17" s="32" t="n">
        <v>-9.6039526</v>
      </c>
      <c r="Z17" s="32" t="n">
        <v>-48.4426932</v>
      </c>
      <c r="AA17" s="44" t="s">
        <v>396</v>
      </c>
      <c r="AB17" s="32" t="s">
        <v>403</v>
      </c>
    </row>
    <row r="18" customFormat="false" ht="15" hidden="false" customHeight="false" outlineLevel="0" collapsed="false">
      <c r="A18" s="32" t="n">
        <v>17</v>
      </c>
      <c r="B18" s="32" t="s">
        <v>152</v>
      </c>
      <c r="C18" s="32"/>
      <c r="D18" s="32" t="s">
        <v>151</v>
      </c>
      <c r="E18" s="32" t="s">
        <v>153</v>
      </c>
      <c r="F18" s="37" t="n">
        <v>43.9500509712456</v>
      </c>
      <c r="G18" s="33" t="n">
        <v>747.15086651429</v>
      </c>
      <c r="H18" s="33" t="n">
        <v>87.9001019424911</v>
      </c>
      <c r="I18" s="7" t="s">
        <v>23</v>
      </c>
      <c r="J18" s="32" t="s">
        <v>7</v>
      </c>
      <c r="K18" s="32" t="s">
        <v>7</v>
      </c>
      <c r="L18" s="32" t="n">
        <v>2</v>
      </c>
      <c r="M18" s="32" t="s">
        <v>42</v>
      </c>
      <c r="N18" s="32" t="s">
        <v>400</v>
      </c>
      <c r="O18" s="32" t="s">
        <v>44</v>
      </c>
      <c r="P18" s="32" t="s">
        <v>401</v>
      </c>
      <c r="Q18" s="32" t="n">
        <v>5</v>
      </c>
      <c r="R18" s="32"/>
      <c r="S18" s="32" t="s">
        <v>41</v>
      </c>
      <c r="T18" s="32" t="s">
        <v>42</v>
      </c>
      <c r="U18" s="32"/>
      <c r="V18" s="32"/>
      <c r="W18" s="32"/>
      <c r="X18" s="32" t="s">
        <v>402</v>
      </c>
      <c r="Y18" s="32" t="n">
        <v>-9.6039526</v>
      </c>
      <c r="Z18" s="32" t="n">
        <v>-48.4422923</v>
      </c>
      <c r="AA18" s="44" t="s">
        <v>396</v>
      </c>
      <c r="AB18" s="32" t="s">
        <v>403</v>
      </c>
    </row>
    <row r="19" customFormat="false" ht="15" hidden="false" customHeight="false" outlineLevel="0" collapsed="false">
      <c r="A19" s="32" t="n">
        <v>18</v>
      </c>
      <c r="B19" s="32" t="s">
        <v>154</v>
      </c>
      <c r="C19" s="32"/>
      <c r="D19" s="32" t="s">
        <v>153</v>
      </c>
      <c r="E19" s="32" t="s">
        <v>155</v>
      </c>
      <c r="F19" s="37" t="n">
        <v>43.9500509720246</v>
      </c>
      <c r="G19" s="33" t="n">
        <v>791.100917486315</v>
      </c>
      <c r="H19" s="33" t="n">
        <v>131.850152914516</v>
      </c>
      <c r="I19" s="7" t="s">
        <v>23</v>
      </c>
      <c r="J19" s="32" t="s">
        <v>7</v>
      </c>
      <c r="K19" s="32" t="s">
        <v>7</v>
      </c>
      <c r="L19" s="32" t="n">
        <v>2</v>
      </c>
      <c r="M19" s="32" t="s">
        <v>42</v>
      </c>
      <c r="N19" s="32" t="s">
        <v>400</v>
      </c>
      <c r="O19" s="32" t="s">
        <v>44</v>
      </c>
      <c r="P19" s="32" t="s">
        <v>401</v>
      </c>
      <c r="Q19" s="32" t="n">
        <v>5</v>
      </c>
      <c r="R19" s="32"/>
      <c r="S19" s="32" t="s">
        <v>41</v>
      </c>
      <c r="T19" s="32" t="s">
        <v>42</v>
      </c>
      <c r="U19" s="32"/>
      <c r="V19" s="32"/>
      <c r="W19" s="32"/>
      <c r="X19" s="32" t="s">
        <v>402</v>
      </c>
      <c r="Y19" s="32" t="n">
        <v>-9.6039526</v>
      </c>
      <c r="Z19" s="32" t="n">
        <v>-48.4418915</v>
      </c>
      <c r="AA19" s="44" t="s">
        <v>396</v>
      </c>
      <c r="AB19" s="32" t="s">
        <v>403</v>
      </c>
    </row>
    <row r="20" customFormat="false" ht="15" hidden="false" customHeight="false" outlineLevel="0" collapsed="false">
      <c r="A20" s="32" t="n">
        <v>19</v>
      </c>
      <c r="B20" s="32" t="s">
        <v>156</v>
      </c>
      <c r="C20" s="32"/>
      <c r="D20" s="32" t="s">
        <v>155</v>
      </c>
      <c r="E20" s="32" t="s">
        <v>157</v>
      </c>
      <c r="F20" s="37" t="n">
        <v>43.9500509712456</v>
      </c>
      <c r="G20" s="33" t="n">
        <v>835.050968457561</v>
      </c>
      <c r="H20" s="33" t="n">
        <v>175.800203885761</v>
      </c>
      <c r="I20" s="7" t="s">
        <v>23</v>
      </c>
      <c r="J20" s="32" t="s">
        <v>7</v>
      </c>
      <c r="K20" s="32" t="s">
        <v>7</v>
      </c>
      <c r="L20" s="32" t="n">
        <v>2</v>
      </c>
      <c r="M20" s="32" t="s">
        <v>42</v>
      </c>
      <c r="N20" s="32" t="s">
        <v>400</v>
      </c>
      <c r="O20" s="32" t="s">
        <v>44</v>
      </c>
      <c r="P20" s="32" t="s">
        <v>401</v>
      </c>
      <c r="Q20" s="32" t="n">
        <v>5</v>
      </c>
      <c r="R20" s="32"/>
      <c r="S20" s="32" t="s">
        <v>41</v>
      </c>
      <c r="T20" s="32" t="s">
        <v>42</v>
      </c>
      <c r="U20" s="32"/>
      <c r="V20" s="32"/>
      <c r="W20" s="32"/>
      <c r="X20" s="32" t="s">
        <v>402</v>
      </c>
      <c r="Y20" s="32" t="n">
        <v>-9.6039526</v>
      </c>
      <c r="Z20" s="32" t="n">
        <v>-48.4414906</v>
      </c>
      <c r="AA20" s="44" t="s">
        <v>396</v>
      </c>
      <c r="AB20" s="32" t="s">
        <v>403</v>
      </c>
    </row>
    <row r="21" customFormat="false" ht="15" hidden="false" customHeight="false" outlineLevel="0" collapsed="false">
      <c r="A21" s="32" t="n">
        <v>20</v>
      </c>
      <c r="B21" s="32" t="s">
        <v>158</v>
      </c>
      <c r="C21" s="32"/>
      <c r="D21" s="32" t="s">
        <v>157</v>
      </c>
      <c r="E21" s="32" t="s">
        <v>159</v>
      </c>
      <c r="F21" s="37" t="n">
        <v>43.9500509712456</v>
      </c>
      <c r="G21" s="33" t="n">
        <v>879.001019428806</v>
      </c>
      <c r="H21" s="33" t="n">
        <v>219.750254857007</v>
      </c>
      <c r="I21" s="7" t="s">
        <v>23</v>
      </c>
      <c r="J21" s="32" t="s">
        <v>7</v>
      </c>
      <c r="K21" s="32" t="s">
        <v>7</v>
      </c>
      <c r="L21" s="32" t="n">
        <v>2</v>
      </c>
      <c r="M21" s="32" t="s">
        <v>42</v>
      </c>
      <c r="N21" s="32" t="s">
        <v>400</v>
      </c>
      <c r="O21" s="32" t="s">
        <v>44</v>
      </c>
      <c r="P21" s="32" t="s">
        <v>401</v>
      </c>
      <c r="Q21" s="32" t="n">
        <v>5</v>
      </c>
      <c r="R21" s="32"/>
      <c r="S21" s="32" t="s">
        <v>41</v>
      </c>
      <c r="T21" s="32" t="s">
        <v>42</v>
      </c>
      <c r="U21" s="32"/>
      <c r="V21" s="32"/>
      <c r="W21" s="32"/>
      <c r="X21" s="32" t="s">
        <v>402</v>
      </c>
      <c r="Y21" s="32" t="n">
        <v>-9.6039526</v>
      </c>
      <c r="Z21" s="32" t="n">
        <v>-48.4410897</v>
      </c>
      <c r="AA21" s="44" t="s">
        <v>396</v>
      </c>
      <c r="AB21" s="32" t="s">
        <v>403</v>
      </c>
    </row>
    <row r="22" customFormat="false" ht="15" hidden="false" customHeight="false" outlineLevel="0" collapsed="false">
      <c r="A22" s="32" t="n">
        <v>21</v>
      </c>
      <c r="B22" s="32" t="s">
        <v>160</v>
      </c>
      <c r="C22" s="32"/>
      <c r="D22" s="32" t="s">
        <v>159</v>
      </c>
      <c r="E22" s="32" t="s">
        <v>161</v>
      </c>
      <c r="F22" s="37" t="n">
        <v>36.6250424759088</v>
      </c>
      <c r="G22" s="33" t="n">
        <v>915.626061904715</v>
      </c>
      <c r="H22" s="33" t="n">
        <v>256.375297332916</v>
      </c>
      <c r="I22" s="7" t="s">
        <v>23</v>
      </c>
      <c r="J22" s="32" t="s">
        <v>7</v>
      </c>
      <c r="K22" s="32" t="s">
        <v>7</v>
      </c>
      <c r="L22" s="32" t="n">
        <v>2</v>
      </c>
      <c r="M22" s="32" t="s">
        <v>42</v>
      </c>
      <c r="N22" s="32" t="s">
        <v>400</v>
      </c>
      <c r="O22" s="32" t="s">
        <v>44</v>
      </c>
      <c r="P22" s="32" t="s">
        <v>404</v>
      </c>
      <c r="Q22" s="32" t="n">
        <v>4</v>
      </c>
      <c r="R22" s="32"/>
      <c r="S22" s="32" t="s">
        <v>41</v>
      </c>
      <c r="T22" s="32" t="s">
        <v>42</v>
      </c>
      <c r="U22" s="32"/>
      <c r="V22" s="32"/>
      <c r="W22" s="32"/>
      <c r="X22" s="32" t="s">
        <v>402</v>
      </c>
      <c r="Y22" s="32" t="n">
        <v>-9.6039526</v>
      </c>
      <c r="Z22" s="32" t="n">
        <v>-48.4407223</v>
      </c>
      <c r="AA22" s="44" t="s">
        <v>396</v>
      </c>
      <c r="AB22" s="32" t="s">
        <v>403</v>
      </c>
    </row>
    <row r="23" customFormat="false" ht="15" hidden="false" customHeight="false" outlineLevel="0" collapsed="false">
      <c r="A23" s="32" t="n">
        <v>22</v>
      </c>
      <c r="B23" s="32" t="s">
        <v>162</v>
      </c>
      <c r="C23" s="32"/>
      <c r="D23" s="32" t="s">
        <v>161</v>
      </c>
      <c r="E23" s="32" t="s">
        <v>163</v>
      </c>
      <c r="F23" s="37" t="n">
        <v>36.6250424766878</v>
      </c>
      <c r="G23" s="33" t="n">
        <v>952.251104381403</v>
      </c>
      <c r="H23" s="33" t="n">
        <v>293.000339809603</v>
      </c>
      <c r="I23" s="7" t="s">
        <v>23</v>
      </c>
      <c r="J23" s="32" t="s">
        <v>7</v>
      </c>
      <c r="K23" s="32" t="s">
        <v>7</v>
      </c>
      <c r="L23" s="32" t="n">
        <v>2</v>
      </c>
      <c r="M23" s="32" t="s">
        <v>42</v>
      </c>
      <c r="N23" s="32" t="s">
        <v>400</v>
      </c>
      <c r="O23" s="32" t="s">
        <v>44</v>
      </c>
      <c r="P23" s="32" t="s">
        <v>404</v>
      </c>
      <c r="Q23" s="32" t="n">
        <v>4</v>
      </c>
      <c r="R23" s="32"/>
      <c r="S23" s="32" t="s">
        <v>41</v>
      </c>
      <c r="T23" s="32" t="s">
        <v>42</v>
      </c>
      <c r="U23" s="32"/>
      <c r="V23" s="32"/>
      <c r="W23" s="32"/>
      <c r="X23" s="32" t="s">
        <v>402</v>
      </c>
      <c r="Y23" s="32" t="n">
        <v>-9.6039526</v>
      </c>
      <c r="Z23" s="32" t="n">
        <v>-48.4403882</v>
      </c>
      <c r="AA23" s="44" t="s">
        <v>396</v>
      </c>
      <c r="AB23" s="32" t="s">
        <v>403</v>
      </c>
    </row>
    <row r="24" customFormat="false" ht="15" hidden="false" customHeight="false" outlineLevel="0" collapsed="false">
      <c r="A24" s="32" t="n">
        <v>23</v>
      </c>
      <c r="B24" s="32" t="s">
        <v>164</v>
      </c>
      <c r="C24" s="32"/>
      <c r="D24" s="32" t="s">
        <v>163</v>
      </c>
      <c r="E24" s="32" t="s">
        <v>165</v>
      </c>
      <c r="F24" s="37" t="n">
        <v>36.6250424759088</v>
      </c>
      <c r="G24" s="33" t="n">
        <v>988.876146857312</v>
      </c>
      <c r="H24" s="33" t="n">
        <v>329.625382285512</v>
      </c>
      <c r="I24" s="7" t="s">
        <v>23</v>
      </c>
      <c r="J24" s="32" t="s">
        <v>7</v>
      </c>
      <c r="K24" s="32" t="s">
        <v>7</v>
      </c>
      <c r="L24" s="32" t="n">
        <v>2</v>
      </c>
      <c r="M24" s="32" t="s">
        <v>42</v>
      </c>
      <c r="N24" s="32" t="s">
        <v>400</v>
      </c>
      <c r="O24" s="32" t="s">
        <v>44</v>
      </c>
      <c r="P24" s="32" t="s">
        <v>404</v>
      </c>
      <c r="Q24" s="32" t="n">
        <v>4</v>
      </c>
      <c r="R24" s="32" t="s">
        <v>45</v>
      </c>
      <c r="S24" s="32" t="s">
        <v>41</v>
      </c>
      <c r="T24" s="32" t="s">
        <v>42</v>
      </c>
      <c r="U24" s="32"/>
      <c r="V24" s="32"/>
      <c r="W24" s="32"/>
      <c r="X24" s="32" t="s">
        <v>402</v>
      </c>
      <c r="Y24" s="32" t="n">
        <v>-9.6039526</v>
      </c>
      <c r="Z24" s="32" t="n">
        <v>-48.4400542</v>
      </c>
      <c r="AA24" s="44" t="s">
        <v>396</v>
      </c>
      <c r="AB24" s="32" t="s">
        <v>403</v>
      </c>
    </row>
    <row r="25" customFormat="false" ht="15" hidden="false" customHeight="false" outlineLevel="0" collapsed="false">
      <c r="A25" s="32" t="n">
        <v>24</v>
      </c>
      <c r="B25" s="32" t="s">
        <v>166</v>
      </c>
      <c r="C25" s="32"/>
      <c r="D25" s="32" t="s">
        <v>165</v>
      </c>
      <c r="E25" s="32" t="s">
        <v>167</v>
      </c>
      <c r="F25" s="37" t="n">
        <v>36.6250424759088</v>
      </c>
      <c r="G25" s="33" t="n">
        <v>1025.50118933322</v>
      </c>
      <c r="H25" s="33" t="n">
        <v>366.250424761421</v>
      </c>
      <c r="I25" s="7" t="s">
        <v>23</v>
      </c>
      <c r="J25" s="32" t="s">
        <v>7</v>
      </c>
      <c r="K25" s="32" t="s">
        <v>7</v>
      </c>
      <c r="L25" s="32" t="n">
        <v>2</v>
      </c>
      <c r="M25" s="32" t="s">
        <v>42</v>
      </c>
      <c r="N25" s="32" t="s">
        <v>400</v>
      </c>
      <c r="O25" s="32" t="s">
        <v>44</v>
      </c>
      <c r="P25" s="32" t="s">
        <v>404</v>
      </c>
      <c r="Q25" s="32" t="n">
        <v>4</v>
      </c>
      <c r="R25" s="32"/>
      <c r="S25" s="32" t="s">
        <v>41</v>
      </c>
      <c r="T25" s="32" t="s">
        <v>42</v>
      </c>
      <c r="U25" s="32"/>
      <c r="V25" s="32"/>
      <c r="W25" s="32"/>
      <c r="X25" s="32" t="s">
        <v>402</v>
      </c>
      <c r="Y25" s="32" t="n">
        <v>-9.6039526</v>
      </c>
      <c r="Z25" s="32" t="n">
        <v>-48.4397201</v>
      </c>
      <c r="AA25" s="44" t="s">
        <v>396</v>
      </c>
      <c r="AB25" s="32" t="s">
        <v>403</v>
      </c>
    </row>
    <row r="26" customFormat="false" ht="15" hidden="false" customHeight="false" outlineLevel="0" collapsed="false">
      <c r="A26" s="32" t="n">
        <v>25</v>
      </c>
      <c r="B26" s="32" t="s">
        <v>168</v>
      </c>
      <c r="C26" s="32"/>
      <c r="D26" s="32" t="s">
        <v>167</v>
      </c>
      <c r="E26" s="32" t="s">
        <v>169</v>
      </c>
      <c r="F26" s="37" t="n">
        <v>36.6250424766878</v>
      </c>
      <c r="G26" s="33" t="n">
        <v>1062.12623180991</v>
      </c>
      <c r="H26" s="33" t="n">
        <v>402.875467238109</v>
      </c>
      <c r="I26" s="7" t="s">
        <v>23</v>
      </c>
      <c r="J26" s="32" t="s">
        <v>7</v>
      </c>
      <c r="K26" s="32" t="s">
        <v>7</v>
      </c>
      <c r="L26" s="32" t="n">
        <v>2</v>
      </c>
      <c r="M26" s="32" t="s">
        <v>42</v>
      </c>
      <c r="N26" s="32" t="s">
        <v>400</v>
      </c>
      <c r="O26" s="32" t="s">
        <v>44</v>
      </c>
      <c r="P26" s="32" t="s">
        <v>404</v>
      </c>
      <c r="Q26" s="32" t="n">
        <v>4</v>
      </c>
      <c r="R26" s="32"/>
      <c r="S26" s="32" t="s">
        <v>41</v>
      </c>
      <c r="T26" s="32" t="s">
        <v>42</v>
      </c>
      <c r="U26" s="32"/>
      <c r="V26" s="32"/>
      <c r="W26" s="32"/>
      <c r="X26" s="32" t="s">
        <v>402</v>
      </c>
      <c r="Y26" s="32" t="n">
        <v>-9.6039526</v>
      </c>
      <c r="Z26" s="32" t="n">
        <v>-48.439386</v>
      </c>
      <c r="AA26" s="44" t="s">
        <v>396</v>
      </c>
      <c r="AB26" s="32" t="s">
        <v>403</v>
      </c>
    </row>
    <row r="27" customFormat="false" ht="15" hidden="false" customHeight="false" outlineLevel="0" collapsed="false">
      <c r="A27" s="32" t="n">
        <v>26</v>
      </c>
      <c r="B27" s="32" t="s">
        <v>170</v>
      </c>
      <c r="C27" s="32"/>
      <c r="D27" s="32" t="s">
        <v>169</v>
      </c>
      <c r="E27" s="32" t="s">
        <v>171</v>
      </c>
      <c r="F27" s="37" t="n">
        <v>36.6250424759088</v>
      </c>
      <c r="G27" s="33" t="n">
        <v>1098.75127428582</v>
      </c>
      <c r="H27" s="33" t="n">
        <v>439.500509714017</v>
      </c>
      <c r="I27" s="7" t="s">
        <v>23</v>
      </c>
      <c r="J27" s="32" t="s">
        <v>7</v>
      </c>
      <c r="K27" s="32" t="s">
        <v>7</v>
      </c>
      <c r="L27" s="32" t="n">
        <v>2</v>
      </c>
      <c r="M27" s="32" t="s">
        <v>42</v>
      </c>
      <c r="N27" s="32" t="s">
        <v>400</v>
      </c>
      <c r="O27" s="32" t="s">
        <v>44</v>
      </c>
      <c r="P27" s="32" t="s">
        <v>404</v>
      </c>
      <c r="Q27" s="32" t="n">
        <v>4</v>
      </c>
      <c r="R27" s="32"/>
      <c r="S27" s="32" t="s">
        <v>41</v>
      </c>
      <c r="T27" s="32" t="s">
        <v>42</v>
      </c>
      <c r="U27" s="32"/>
      <c r="V27" s="32"/>
      <c r="W27" s="32"/>
      <c r="X27" s="32" t="s">
        <v>402</v>
      </c>
      <c r="Y27" s="32" t="n">
        <v>-9.6039526</v>
      </c>
      <c r="Z27" s="32" t="n">
        <v>-48.439052</v>
      </c>
      <c r="AA27" s="44" t="s">
        <v>396</v>
      </c>
      <c r="AB27" s="32" t="s">
        <v>403</v>
      </c>
    </row>
    <row r="28" customFormat="false" ht="15" hidden="false" customHeight="false" outlineLevel="0" collapsed="false">
      <c r="A28" s="32" t="n">
        <v>27</v>
      </c>
      <c r="B28" s="32" t="s">
        <v>172</v>
      </c>
      <c r="C28" s="32"/>
      <c r="D28" s="32" t="s">
        <v>171</v>
      </c>
      <c r="E28" s="32" t="s">
        <v>173</v>
      </c>
      <c r="F28" s="37" t="n">
        <v>43.9500509712456</v>
      </c>
      <c r="G28" s="33" t="n">
        <v>1142.70132525706</v>
      </c>
      <c r="H28" s="33" t="n">
        <v>483.450560685263</v>
      </c>
      <c r="I28" s="7" t="s">
        <v>23</v>
      </c>
      <c r="J28" s="32" t="s">
        <v>7</v>
      </c>
      <c r="K28" s="32" t="s">
        <v>7</v>
      </c>
      <c r="L28" s="32" t="n">
        <v>2</v>
      </c>
      <c r="M28" s="32" t="s">
        <v>42</v>
      </c>
      <c r="N28" s="32" t="s">
        <v>400</v>
      </c>
      <c r="O28" s="32" t="s">
        <v>44</v>
      </c>
      <c r="P28" s="32" t="s">
        <v>404</v>
      </c>
      <c r="Q28" s="32" t="n">
        <v>4</v>
      </c>
      <c r="R28" s="32"/>
      <c r="S28" s="32" t="s">
        <v>41</v>
      </c>
      <c r="T28" s="32" t="s">
        <v>42</v>
      </c>
      <c r="U28" s="32"/>
      <c r="V28" s="32"/>
      <c r="W28" s="32"/>
      <c r="X28" s="32" t="s">
        <v>402</v>
      </c>
      <c r="Y28" s="32" t="n">
        <v>-9.6039526</v>
      </c>
      <c r="Z28" s="32" t="n">
        <v>-48.4386845</v>
      </c>
      <c r="AA28" s="44" t="s">
        <v>396</v>
      </c>
      <c r="AB28" s="32" t="s">
        <v>403</v>
      </c>
    </row>
    <row r="29" customFormat="false" ht="15" hidden="false" customHeight="false" outlineLevel="0" collapsed="false">
      <c r="A29" s="32" t="n">
        <v>28</v>
      </c>
      <c r="B29" s="32" t="s">
        <v>174</v>
      </c>
      <c r="C29" s="32"/>
      <c r="D29" s="32" t="s">
        <v>173</v>
      </c>
      <c r="E29" s="32" t="s">
        <v>175</v>
      </c>
      <c r="F29" s="37" t="n">
        <v>43.9500509720246</v>
      </c>
      <c r="G29" s="33" t="n">
        <v>1186.65137622909</v>
      </c>
      <c r="H29" s="33" t="n">
        <v>527.400611657287</v>
      </c>
      <c r="I29" s="7" t="s">
        <v>23</v>
      </c>
      <c r="J29" s="32" t="s">
        <v>7</v>
      </c>
      <c r="K29" s="32" t="s">
        <v>7</v>
      </c>
      <c r="L29" s="32" t="n">
        <v>2</v>
      </c>
      <c r="M29" s="32" t="s">
        <v>42</v>
      </c>
      <c r="N29" s="32" t="s">
        <v>400</v>
      </c>
      <c r="O29" s="32" t="s">
        <v>44</v>
      </c>
      <c r="P29" s="32" t="s">
        <v>404</v>
      </c>
      <c r="Q29" s="32" t="n">
        <v>4</v>
      </c>
      <c r="R29" s="32"/>
      <c r="S29" s="32" t="s">
        <v>41</v>
      </c>
      <c r="T29" s="32" t="s">
        <v>42</v>
      </c>
      <c r="U29" s="32"/>
      <c r="V29" s="32"/>
      <c r="W29" s="32"/>
      <c r="X29" s="32" t="s">
        <v>402</v>
      </c>
      <c r="Y29" s="32" t="n">
        <v>-9.6039526</v>
      </c>
      <c r="Z29" s="32" t="n">
        <v>-48.4382836</v>
      </c>
      <c r="AA29" s="44" t="s">
        <v>396</v>
      </c>
      <c r="AB29" s="32" t="s">
        <v>403</v>
      </c>
    </row>
    <row r="30" customFormat="false" ht="15" hidden="false" customHeight="false" outlineLevel="0" collapsed="false">
      <c r="A30" s="32" t="n">
        <v>29</v>
      </c>
      <c r="B30" s="32" t="s">
        <v>176</v>
      </c>
      <c r="C30" s="32"/>
      <c r="D30" s="32" t="s">
        <v>175</v>
      </c>
      <c r="E30" s="32" t="s">
        <v>177</v>
      </c>
      <c r="F30" s="37" t="n">
        <v>43.9500509712456</v>
      </c>
      <c r="G30" s="33" t="n">
        <v>1230.60142720033</v>
      </c>
      <c r="H30" s="33" t="n">
        <v>571.350662628533</v>
      </c>
      <c r="I30" s="7" t="s">
        <v>23</v>
      </c>
      <c r="J30" s="32" t="s">
        <v>7</v>
      </c>
      <c r="K30" s="32" t="s">
        <v>7</v>
      </c>
      <c r="L30" s="32" t="n">
        <v>2</v>
      </c>
      <c r="M30" s="32" t="s">
        <v>42</v>
      </c>
      <c r="N30" s="32" t="s">
        <v>400</v>
      </c>
      <c r="O30" s="32" t="s">
        <v>44</v>
      </c>
      <c r="P30" s="32" t="s">
        <v>404</v>
      </c>
      <c r="Q30" s="32" t="n">
        <v>4</v>
      </c>
      <c r="R30" s="32"/>
      <c r="S30" s="32" t="s">
        <v>41</v>
      </c>
      <c r="T30" s="32" t="s">
        <v>42</v>
      </c>
      <c r="U30" s="32"/>
      <c r="V30" s="32"/>
      <c r="W30" s="32"/>
      <c r="X30" s="32" t="s">
        <v>402</v>
      </c>
      <c r="Y30" s="32" t="n">
        <v>-9.6039526</v>
      </c>
      <c r="Z30" s="32" t="n">
        <v>-48.4378828</v>
      </c>
      <c r="AA30" s="44" t="s">
        <v>396</v>
      </c>
      <c r="AB30" s="32" t="s">
        <v>403</v>
      </c>
    </row>
    <row r="31" customFormat="false" ht="15" hidden="false" customHeight="false" outlineLevel="0" collapsed="false">
      <c r="A31" s="32" t="n">
        <v>30</v>
      </c>
      <c r="B31" s="32" t="s">
        <v>178</v>
      </c>
      <c r="C31" s="32"/>
      <c r="D31" s="32" t="s">
        <v>177</v>
      </c>
      <c r="E31" s="32" t="s">
        <v>179</v>
      </c>
      <c r="F31" s="37" t="n">
        <v>43.9500509720246</v>
      </c>
      <c r="G31" s="33" t="n">
        <v>1274.55147817236</v>
      </c>
      <c r="H31" s="33" t="n">
        <v>615.300713600558</v>
      </c>
      <c r="I31" s="7" t="s">
        <v>23</v>
      </c>
      <c r="J31" s="32" t="s">
        <v>7</v>
      </c>
      <c r="K31" s="32" t="s">
        <v>7</v>
      </c>
      <c r="L31" s="32" t="n">
        <v>2</v>
      </c>
      <c r="M31" s="32" t="s">
        <v>42</v>
      </c>
      <c r="N31" s="32" t="s">
        <v>400</v>
      </c>
      <c r="O31" s="32" t="s">
        <v>44</v>
      </c>
      <c r="P31" s="32" t="s">
        <v>404</v>
      </c>
      <c r="Q31" s="32" t="n">
        <v>4</v>
      </c>
      <c r="R31" s="32"/>
      <c r="S31" s="32" t="s">
        <v>41</v>
      </c>
      <c r="T31" s="32" t="s">
        <v>42</v>
      </c>
      <c r="U31" s="32"/>
      <c r="V31" s="32"/>
      <c r="W31" s="32"/>
      <c r="X31" s="32" t="s">
        <v>402</v>
      </c>
      <c r="Y31" s="32" t="n">
        <v>-9.6039526</v>
      </c>
      <c r="Z31" s="32" t="n">
        <v>-48.4374819</v>
      </c>
      <c r="AA31" s="44" t="s">
        <v>396</v>
      </c>
      <c r="AB31" s="32" t="s">
        <v>403</v>
      </c>
    </row>
    <row r="32" customFormat="false" ht="15" hidden="false" customHeight="false" outlineLevel="0" collapsed="false">
      <c r="A32" s="32" t="n">
        <v>31</v>
      </c>
      <c r="B32" s="32" t="s">
        <v>180</v>
      </c>
      <c r="C32" s="32"/>
      <c r="D32" s="32" t="s">
        <v>179</v>
      </c>
      <c r="E32" s="32" t="s">
        <v>181</v>
      </c>
      <c r="F32" s="37" t="n">
        <v>43.9500509712456</v>
      </c>
      <c r="G32" s="33" t="n">
        <v>1318.5015291436</v>
      </c>
      <c r="H32" s="33" t="n">
        <v>659.250764571803</v>
      </c>
      <c r="I32" s="7" t="s">
        <v>23</v>
      </c>
      <c r="J32" s="32" t="s">
        <v>7</v>
      </c>
      <c r="K32" s="32" t="s">
        <v>7</v>
      </c>
      <c r="L32" s="32" t="n">
        <v>2</v>
      </c>
      <c r="M32" s="32" t="s">
        <v>42</v>
      </c>
      <c r="N32" s="32" t="s">
        <v>400</v>
      </c>
      <c r="O32" s="32" t="s">
        <v>44</v>
      </c>
      <c r="P32" s="32" t="s">
        <v>404</v>
      </c>
      <c r="Q32" s="32" t="n">
        <v>4</v>
      </c>
      <c r="R32" s="32"/>
      <c r="S32" s="32" t="s">
        <v>41</v>
      </c>
      <c r="T32" s="32" t="s">
        <v>42</v>
      </c>
      <c r="U32" s="32"/>
      <c r="V32" s="32"/>
      <c r="W32" s="32"/>
      <c r="X32" s="32" t="s">
        <v>402</v>
      </c>
      <c r="Y32" s="32" t="n">
        <v>-9.6039526</v>
      </c>
      <c r="Z32" s="32" t="n">
        <v>-48.437081</v>
      </c>
      <c r="AA32" s="44" t="s">
        <v>396</v>
      </c>
      <c r="AB32" s="32" t="s">
        <v>403</v>
      </c>
    </row>
    <row r="33" customFormat="false" ht="15" hidden="false" customHeight="false" outlineLevel="0" collapsed="false">
      <c r="A33" s="32" t="n">
        <v>32</v>
      </c>
      <c r="B33" s="32" t="s">
        <v>182</v>
      </c>
      <c r="C33" s="32"/>
      <c r="D33" s="32" t="s">
        <v>181</v>
      </c>
      <c r="E33" s="32" t="s">
        <v>183</v>
      </c>
      <c r="F33" s="37" t="n">
        <v>39.9545917918293</v>
      </c>
      <c r="G33" s="33" t="n">
        <v>1358.45612093543</v>
      </c>
      <c r="H33" s="33" t="n">
        <v>39.9545917918294</v>
      </c>
      <c r="I33" s="7" t="s">
        <v>23</v>
      </c>
      <c r="J33" s="32" t="s">
        <v>7</v>
      </c>
      <c r="K33" s="32" t="s">
        <v>7</v>
      </c>
      <c r="L33" s="32" t="n">
        <v>3</v>
      </c>
      <c r="M33" s="32" t="s">
        <v>44</v>
      </c>
      <c r="N33" s="32" t="s">
        <v>400</v>
      </c>
      <c r="O33" s="32" t="s">
        <v>46</v>
      </c>
      <c r="P33" s="32" t="s">
        <v>405</v>
      </c>
      <c r="Q33" s="32" t="n">
        <v>3</v>
      </c>
      <c r="R33" s="32"/>
      <c r="S33" s="32" t="s">
        <v>41</v>
      </c>
      <c r="T33" s="32" t="s">
        <v>42</v>
      </c>
      <c r="U33" s="32" t="s">
        <v>44</v>
      </c>
      <c r="V33" s="32"/>
      <c r="W33" s="32"/>
      <c r="X33" s="32" t="s">
        <v>406</v>
      </c>
      <c r="Y33" s="32" t="n">
        <v>-9.6039526</v>
      </c>
      <c r="Z33" s="32" t="n">
        <v>-48.4366984</v>
      </c>
      <c r="AA33" s="44" t="s">
        <v>396</v>
      </c>
      <c r="AB33" s="32" t="s">
        <v>407</v>
      </c>
    </row>
    <row r="34" customFormat="false" ht="15" hidden="false" customHeight="false" outlineLevel="0" collapsed="false">
      <c r="A34" s="32" t="n">
        <v>33</v>
      </c>
      <c r="B34" s="32" t="s">
        <v>184</v>
      </c>
      <c r="C34" s="32"/>
      <c r="D34" s="32" t="s">
        <v>183</v>
      </c>
      <c r="E34" s="32" t="s">
        <v>185</v>
      </c>
      <c r="F34" s="37" t="n">
        <v>39.9545917926084</v>
      </c>
      <c r="G34" s="33" t="n">
        <v>1398.41071272804</v>
      </c>
      <c r="H34" s="33" t="n">
        <v>79.9091835844379</v>
      </c>
      <c r="I34" s="7" t="s">
        <v>23</v>
      </c>
      <c r="J34" s="32" t="s">
        <v>7</v>
      </c>
      <c r="K34" s="32" t="s">
        <v>7</v>
      </c>
      <c r="L34" s="32" t="n">
        <v>3</v>
      </c>
      <c r="M34" s="32" t="s">
        <v>44</v>
      </c>
      <c r="N34" s="32" t="s">
        <v>400</v>
      </c>
      <c r="O34" s="32" t="s">
        <v>46</v>
      </c>
      <c r="P34" s="32" t="s">
        <v>405</v>
      </c>
      <c r="Q34" s="32" t="n">
        <v>3</v>
      </c>
      <c r="R34" s="32"/>
      <c r="S34" s="32" t="s">
        <v>41</v>
      </c>
      <c r="T34" s="32" t="s">
        <v>42</v>
      </c>
      <c r="U34" s="32" t="s">
        <v>44</v>
      </c>
      <c r="V34" s="32"/>
      <c r="W34" s="32"/>
      <c r="X34" s="32" t="s">
        <v>406</v>
      </c>
      <c r="Y34" s="32" t="n">
        <v>-9.6039526</v>
      </c>
      <c r="Z34" s="32" t="n">
        <v>-48.436334</v>
      </c>
      <c r="AA34" s="44" t="s">
        <v>396</v>
      </c>
      <c r="AB34" s="32" t="s">
        <v>407</v>
      </c>
    </row>
    <row r="35" customFormat="false" ht="15" hidden="false" customHeight="false" outlineLevel="0" collapsed="false">
      <c r="A35" s="32" t="n">
        <v>34</v>
      </c>
      <c r="B35" s="32" t="s">
        <v>186</v>
      </c>
      <c r="C35" s="32"/>
      <c r="D35" s="32" t="s">
        <v>185</v>
      </c>
      <c r="E35" s="32" t="s">
        <v>187</v>
      </c>
      <c r="F35" s="37" t="n">
        <v>39.9545917926084</v>
      </c>
      <c r="G35" s="33" t="n">
        <v>1438.36530452065</v>
      </c>
      <c r="H35" s="33" t="n">
        <v>119.863775377046</v>
      </c>
      <c r="I35" s="7" t="s">
        <v>23</v>
      </c>
      <c r="J35" s="32" t="s">
        <v>7</v>
      </c>
      <c r="K35" s="32" t="s">
        <v>7</v>
      </c>
      <c r="L35" s="32" t="n">
        <v>3</v>
      </c>
      <c r="M35" s="32" t="s">
        <v>44</v>
      </c>
      <c r="N35" s="32" t="s">
        <v>400</v>
      </c>
      <c r="O35" s="32" t="s">
        <v>46</v>
      </c>
      <c r="P35" s="32" t="s">
        <v>405</v>
      </c>
      <c r="Q35" s="32" t="n">
        <v>3</v>
      </c>
      <c r="R35" s="32"/>
      <c r="S35" s="32" t="s">
        <v>41</v>
      </c>
      <c r="T35" s="32" t="s">
        <v>42</v>
      </c>
      <c r="U35" s="32" t="s">
        <v>44</v>
      </c>
      <c r="V35" s="32"/>
      <c r="W35" s="32"/>
      <c r="X35" s="32" t="s">
        <v>406</v>
      </c>
      <c r="Y35" s="32" t="n">
        <v>-9.6039526</v>
      </c>
      <c r="Z35" s="32" t="n">
        <v>-48.4359695</v>
      </c>
      <c r="AA35" s="44" t="s">
        <v>396</v>
      </c>
      <c r="AB35" s="32" t="s">
        <v>407</v>
      </c>
    </row>
    <row r="36" customFormat="false" ht="15" hidden="false" customHeight="false" outlineLevel="0" collapsed="false">
      <c r="A36" s="32" t="n">
        <v>35</v>
      </c>
      <c r="B36" s="32" t="s">
        <v>188</v>
      </c>
      <c r="C36" s="32"/>
      <c r="D36" s="32" t="s">
        <v>187</v>
      </c>
      <c r="E36" s="32" t="s">
        <v>189</v>
      </c>
      <c r="F36" s="37" t="n">
        <v>39.9545917918293</v>
      </c>
      <c r="G36" s="33" t="n">
        <v>1478.31989631248</v>
      </c>
      <c r="H36" s="33" t="n">
        <v>159.818367168876</v>
      </c>
      <c r="I36" s="7" t="s">
        <v>23</v>
      </c>
      <c r="J36" s="32" t="s">
        <v>7</v>
      </c>
      <c r="K36" s="32" t="s">
        <v>7</v>
      </c>
      <c r="L36" s="32" t="n">
        <v>3</v>
      </c>
      <c r="M36" s="32" t="s">
        <v>44</v>
      </c>
      <c r="N36" s="32" t="s">
        <v>400</v>
      </c>
      <c r="O36" s="32" t="s">
        <v>46</v>
      </c>
      <c r="P36" s="32" t="s">
        <v>405</v>
      </c>
      <c r="Q36" s="32" t="n">
        <v>3</v>
      </c>
      <c r="R36" s="32"/>
      <c r="S36" s="32" t="s">
        <v>41</v>
      </c>
      <c r="T36" s="32" t="s">
        <v>42</v>
      </c>
      <c r="U36" s="32" t="s">
        <v>44</v>
      </c>
      <c r="V36" s="32"/>
      <c r="W36" s="32"/>
      <c r="X36" s="32" t="s">
        <v>406</v>
      </c>
      <c r="Y36" s="32" t="n">
        <v>-9.6039526</v>
      </c>
      <c r="Z36" s="32" t="n">
        <v>-48.4356051</v>
      </c>
      <c r="AA36" s="44" t="s">
        <v>396</v>
      </c>
      <c r="AB36" s="32" t="s">
        <v>407</v>
      </c>
    </row>
    <row r="37" customFormat="false" ht="15" hidden="false" customHeight="false" outlineLevel="0" collapsed="false">
      <c r="A37" s="32" t="n">
        <v>36</v>
      </c>
      <c r="B37" s="32" t="s">
        <v>190</v>
      </c>
      <c r="C37" s="32"/>
      <c r="D37" s="32" t="s">
        <v>189</v>
      </c>
      <c r="E37" s="32" t="s">
        <v>191</v>
      </c>
      <c r="F37" s="37" t="n">
        <v>39.9545917918293</v>
      </c>
      <c r="G37" s="33" t="n">
        <v>1518.27448810431</v>
      </c>
      <c r="H37" s="33" t="n">
        <v>199.772958960705</v>
      </c>
      <c r="I37" s="7" t="s">
        <v>23</v>
      </c>
      <c r="J37" s="32" t="s">
        <v>7</v>
      </c>
      <c r="K37" s="32" t="s">
        <v>7</v>
      </c>
      <c r="L37" s="32" t="n">
        <v>3</v>
      </c>
      <c r="M37" s="32" t="s">
        <v>44</v>
      </c>
      <c r="N37" s="32" t="s">
        <v>400</v>
      </c>
      <c r="O37" s="32" t="s">
        <v>46</v>
      </c>
      <c r="P37" s="32" t="s">
        <v>405</v>
      </c>
      <c r="Q37" s="32" t="n">
        <v>3</v>
      </c>
      <c r="R37" s="32"/>
      <c r="S37" s="32" t="s">
        <v>41</v>
      </c>
      <c r="T37" s="32" t="s">
        <v>42</v>
      </c>
      <c r="U37" s="32" t="s">
        <v>44</v>
      </c>
      <c r="V37" s="32"/>
      <c r="W37" s="32"/>
      <c r="X37" s="32" t="s">
        <v>406</v>
      </c>
      <c r="Y37" s="32" t="n">
        <v>-9.6039526</v>
      </c>
      <c r="Z37" s="32" t="n">
        <v>-48.4352407</v>
      </c>
      <c r="AA37" s="44" t="s">
        <v>396</v>
      </c>
      <c r="AB37" s="32" t="s">
        <v>407</v>
      </c>
    </row>
    <row r="38" customFormat="false" ht="15" hidden="false" customHeight="false" outlineLevel="0" collapsed="false">
      <c r="A38" s="32" t="n">
        <v>37</v>
      </c>
      <c r="B38" s="32" t="s">
        <v>192</v>
      </c>
      <c r="C38" s="32"/>
      <c r="D38" s="32" t="s">
        <v>191</v>
      </c>
      <c r="E38" s="32" t="s">
        <v>193</v>
      </c>
      <c r="F38" s="37" t="n">
        <v>39.9545917926084</v>
      </c>
      <c r="G38" s="33" t="n">
        <v>1558.22907989692</v>
      </c>
      <c r="H38" s="33" t="n">
        <v>239.727550753314</v>
      </c>
      <c r="I38" s="7" t="s">
        <v>23</v>
      </c>
      <c r="J38" s="32" t="s">
        <v>7</v>
      </c>
      <c r="K38" s="32" t="s">
        <v>7</v>
      </c>
      <c r="L38" s="32" t="n">
        <v>3</v>
      </c>
      <c r="M38" s="32" t="s">
        <v>44</v>
      </c>
      <c r="N38" s="32" t="s">
        <v>400</v>
      </c>
      <c r="O38" s="32" t="s">
        <v>46</v>
      </c>
      <c r="P38" s="32" t="s">
        <v>405</v>
      </c>
      <c r="Q38" s="32" t="n">
        <v>3</v>
      </c>
      <c r="R38" s="32"/>
      <c r="S38" s="32" t="s">
        <v>41</v>
      </c>
      <c r="T38" s="32" t="s">
        <v>42</v>
      </c>
      <c r="U38" s="32" t="s">
        <v>44</v>
      </c>
      <c r="V38" s="32"/>
      <c r="W38" s="32"/>
      <c r="X38" s="32" t="s">
        <v>406</v>
      </c>
      <c r="Y38" s="32" t="n">
        <v>-9.6039526</v>
      </c>
      <c r="Z38" s="32" t="n">
        <v>-48.4348762</v>
      </c>
      <c r="AA38" s="44" t="s">
        <v>396</v>
      </c>
      <c r="AB38" s="32" t="s">
        <v>407</v>
      </c>
    </row>
    <row r="39" customFormat="false" ht="15" hidden="false" customHeight="false" outlineLevel="0" collapsed="false">
      <c r="A39" s="32" t="n">
        <v>38</v>
      </c>
      <c r="B39" s="32" t="s">
        <v>194</v>
      </c>
      <c r="C39" s="32"/>
      <c r="D39" s="32" t="s">
        <v>193</v>
      </c>
      <c r="E39" s="32" t="s">
        <v>195</v>
      </c>
      <c r="F39" s="37" t="n">
        <v>39.9550580829642</v>
      </c>
      <c r="G39" s="33" t="n">
        <v>1598.18413797988</v>
      </c>
      <c r="H39" s="33" t="n">
        <v>279.682608836278</v>
      </c>
      <c r="I39" s="7" t="s">
        <v>23</v>
      </c>
      <c r="J39" s="32" t="s">
        <v>7</v>
      </c>
      <c r="K39" s="32" t="s">
        <v>7</v>
      </c>
      <c r="L39" s="32" t="n">
        <v>3</v>
      </c>
      <c r="M39" s="32" t="s">
        <v>44</v>
      </c>
      <c r="N39" s="32" t="s">
        <v>400</v>
      </c>
      <c r="O39" s="32" t="s">
        <v>46</v>
      </c>
      <c r="P39" s="32" t="s">
        <v>66</v>
      </c>
      <c r="Q39" s="32" t="n">
        <v>1</v>
      </c>
      <c r="R39" s="32"/>
      <c r="S39" s="32" t="s">
        <v>41</v>
      </c>
      <c r="T39" s="32" t="s">
        <v>42</v>
      </c>
      <c r="U39" s="32" t="s">
        <v>44</v>
      </c>
      <c r="V39" s="32"/>
      <c r="W39" s="32"/>
      <c r="X39" s="32" t="s">
        <v>406</v>
      </c>
      <c r="Y39" s="32" t="n">
        <v>-9.6037729</v>
      </c>
      <c r="Z39" s="32" t="n">
        <v>-48.434694</v>
      </c>
      <c r="AA39" s="44" t="s">
        <v>396</v>
      </c>
      <c r="AB39" s="32" t="s">
        <v>407</v>
      </c>
    </row>
    <row r="40" customFormat="false" ht="15" hidden="false" customHeight="false" outlineLevel="0" collapsed="false">
      <c r="A40" s="32" t="n">
        <v>39</v>
      </c>
      <c r="B40" s="32" t="s">
        <v>196</v>
      </c>
      <c r="C40" s="32"/>
      <c r="D40" s="32" t="s">
        <v>195</v>
      </c>
      <c r="E40" s="32" t="s">
        <v>197</v>
      </c>
      <c r="F40" s="37" t="n">
        <v>39.9550580826105</v>
      </c>
      <c r="G40" s="33" t="n">
        <v>1638.13919606249</v>
      </c>
      <c r="H40" s="33" t="n">
        <v>319.637666918888</v>
      </c>
      <c r="I40" s="7" t="s">
        <v>23</v>
      </c>
      <c r="J40" s="32" t="s">
        <v>7</v>
      </c>
      <c r="K40" s="32" t="s">
        <v>7</v>
      </c>
      <c r="L40" s="32" t="n">
        <v>3</v>
      </c>
      <c r="M40" s="32" t="s">
        <v>44</v>
      </c>
      <c r="N40" s="32" t="s">
        <v>400</v>
      </c>
      <c r="O40" s="32" t="s">
        <v>46</v>
      </c>
      <c r="P40" s="32" t="s">
        <v>66</v>
      </c>
      <c r="Q40" s="32" t="n">
        <v>1</v>
      </c>
      <c r="R40" s="32"/>
      <c r="S40" s="32" t="s">
        <v>41</v>
      </c>
      <c r="T40" s="32" t="s">
        <v>42</v>
      </c>
      <c r="U40" s="32" t="s">
        <v>44</v>
      </c>
      <c r="V40" s="32"/>
      <c r="W40" s="32"/>
      <c r="X40" s="32" t="s">
        <v>406</v>
      </c>
      <c r="Y40" s="32" t="n">
        <v>-9.6034136</v>
      </c>
      <c r="Z40" s="32" t="n">
        <v>-48.434694</v>
      </c>
      <c r="AA40" s="44" t="s">
        <v>396</v>
      </c>
      <c r="AB40" s="32" t="s">
        <v>407</v>
      </c>
    </row>
    <row r="41" customFormat="false" ht="15" hidden="false" customHeight="false" outlineLevel="0" collapsed="false">
      <c r="A41" s="32" t="n">
        <v>40</v>
      </c>
      <c r="B41" s="32" t="s">
        <v>198</v>
      </c>
      <c r="C41" s="32"/>
      <c r="D41" s="32" t="s">
        <v>197</v>
      </c>
      <c r="E41" s="32" t="s">
        <v>199</v>
      </c>
      <c r="F41" s="37" t="n">
        <v>39.9550580829642</v>
      </c>
      <c r="G41" s="33" t="n">
        <v>1678.09425414546</v>
      </c>
      <c r="H41" s="33" t="n">
        <v>359.592725001852</v>
      </c>
      <c r="I41" s="7" t="s">
        <v>23</v>
      </c>
      <c r="J41" s="32" t="s">
        <v>7</v>
      </c>
      <c r="K41" s="32" t="s">
        <v>7</v>
      </c>
      <c r="L41" s="32" t="n">
        <v>3</v>
      </c>
      <c r="M41" s="32" t="s">
        <v>44</v>
      </c>
      <c r="N41" s="32" t="s">
        <v>400</v>
      </c>
      <c r="O41" s="32" t="s">
        <v>46</v>
      </c>
      <c r="P41" s="32" t="s">
        <v>66</v>
      </c>
      <c r="Q41" s="32" t="n">
        <v>1</v>
      </c>
      <c r="R41" s="32"/>
      <c r="S41" s="32" t="s">
        <v>41</v>
      </c>
      <c r="T41" s="32" t="s">
        <v>42</v>
      </c>
      <c r="U41" s="32" t="s">
        <v>44</v>
      </c>
      <c r="V41" s="32"/>
      <c r="W41" s="32"/>
      <c r="X41" s="32" t="s">
        <v>406</v>
      </c>
      <c r="Y41" s="32" t="n">
        <v>-9.6030543</v>
      </c>
      <c r="Z41" s="32" t="n">
        <v>-48.434694</v>
      </c>
      <c r="AA41" s="44" t="s">
        <v>396</v>
      </c>
      <c r="AB41" s="32" t="s">
        <v>407</v>
      </c>
    </row>
    <row r="42" customFormat="false" ht="15" hidden="false" customHeight="false" outlineLevel="0" collapsed="false">
      <c r="A42" s="32" t="n">
        <v>41</v>
      </c>
      <c r="B42" s="32" t="s">
        <v>200</v>
      </c>
      <c r="C42" s="32"/>
      <c r="D42" s="32" t="s">
        <v>199</v>
      </c>
      <c r="E42" s="32" t="s">
        <v>201</v>
      </c>
      <c r="F42" s="37" t="n">
        <v>39.9550580827874</v>
      </c>
      <c r="G42" s="33" t="n">
        <v>1718.04931222824</v>
      </c>
      <c r="H42" s="33" t="n">
        <v>399.54778308464</v>
      </c>
      <c r="I42" s="7" t="s">
        <v>23</v>
      </c>
      <c r="J42" s="32" t="s">
        <v>7</v>
      </c>
      <c r="K42" s="32" t="s">
        <v>7</v>
      </c>
      <c r="L42" s="32" t="n">
        <v>3</v>
      </c>
      <c r="M42" s="32" t="s">
        <v>44</v>
      </c>
      <c r="N42" s="32" t="s">
        <v>400</v>
      </c>
      <c r="O42" s="32" t="s">
        <v>46</v>
      </c>
      <c r="P42" s="32" t="s">
        <v>66</v>
      </c>
      <c r="Q42" s="32" t="n">
        <v>1</v>
      </c>
      <c r="R42" s="32"/>
      <c r="S42" s="32" t="s">
        <v>41</v>
      </c>
      <c r="T42" s="32" t="s">
        <v>42</v>
      </c>
      <c r="U42" s="32" t="s">
        <v>44</v>
      </c>
      <c r="V42" s="32"/>
      <c r="W42" s="32"/>
      <c r="X42" s="32" t="s">
        <v>406</v>
      </c>
      <c r="Y42" s="32" t="n">
        <v>-9.6026949</v>
      </c>
      <c r="Z42" s="32" t="n">
        <v>-48.434694</v>
      </c>
      <c r="AA42" s="44" t="s">
        <v>396</v>
      </c>
      <c r="AB42" s="32" t="s">
        <v>407</v>
      </c>
    </row>
    <row r="43" customFormat="false" ht="15" hidden="false" customHeight="false" outlineLevel="0" collapsed="false">
      <c r="A43" s="32" t="n">
        <v>42</v>
      </c>
      <c r="B43" s="32" t="s">
        <v>202</v>
      </c>
      <c r="C43" s="32"/>
      <c r="D43" s="32" t="s">
        <v>201</v>
      </c>
      <c r="E43" s="32" t="s">
        <v>203</v>
      </c>
      <c r="F43" s="37" t="n">
        <v>39.9550580827874</v>
      </c>
      <c r="G43" s="33" t="n">
        <v>1758.00437031103</v>
      </c>
      <c r="H43" s="33" t="n">
        <v>439.502841167427</v>
      </c>
      <c r="I43" s="7" t="s">
        <v>23</v>
      </c>
      <c r="J43" s="32" t="s">
        <v>7</v>
      </c>
      <c r="K43" s="32" t="s">
        <v>7</v>
      </c>
      <c r="L43" s="32" t="n">
        <v>3</v>
      </c>
      <c r="M43" s="32" t="s">
        <v>44</v>
      </c>
      <c r="N43" s="32" t="s">
        <v>400</v>
      </c>
      <c r="O43" s="32" t="s">
        <v>46</v>
      </c>
      <c r="P43" s="32" t="s">
        <v>66</v>
      </c>
      <c r="Q43" s="32" t="n">
        <v>1</v>
      </c>
      <c r="R43" s="32"/>
      <c r="S43" s="32" t="s">
        <v>41</v>
      </c>
      <c r="T43" s="32" t="s">
        <v>42</v>
      </c>
      <c r="U43" s="32" t="s">
        <v>44</v>
      </c>
      <c r="V43" s="32"/>
      <c r="W43" s="32"/>
      <c r="X43" s="32" t="s">
        <v>406</v>
      </c>
      <c r="Y43" s="32" t="n">
        <v>-9.6023356</v>
      </c>
      <c r="Z43" s="32" t="n">
        <v>-48.434694</v>
      </c>
      <c r="AA43" s="44" t="s">
        <v>396</v>
      </c>
      <c r="AB43" s="32" t="s">
        <v>407</v>
      </c>
    </row>
    <row r="44" customFormat="false" ht="15" hidden="false" customHeight="false" outlineLevel="0" collapsed="false">
      <c r="A44" s="32" t="n">
        <v>43</v>
      </c>
      <c r="B44" s="32" t="s">
        <v>204</v>
      </c>
      <c r="C44" s="32"/>
      <c r="D44" s="32" t="s">
        <v>193</v>
      </c>
      <c r="E44" s="32" t="s">
        <v>205</v>
      </c>
      <c r="F44" s="37" t="n">
        <v>39.9545917926084</v>
      </c>
      <c r="G44" s="33" t="n">
        <v>1598.18367168952</v>
      </c>
      <c r="H44" s="33" t="n">
        <v>279.682142545922</v>
      </c>
      <c r="I44" s="7" t="s">
        <v>23</v>
      </c>
      <c r="J44" s="32" t="s">
        <v>7</v>
      </c>
      <c r="K44" s="32" t="s">
        <v>7</v>
      </c>
      <c r="L44" s="32" t="n">
        <v>3</v>
      </c>
      <c r="M44" s="32" t="s">
        <v>44</v>
      </c>
      <c r="N44" s="32" t="s">
        <v>400</v>
      </c>
      <c r="O44" s="32" t="s">
        <v>46</v>
      </c>
      <c r="P44" s="32" t="s">
        <v>408</v>
      </c>
      <c r="Q44" s="32" t="n">
        <v>2</v>
      </c>
      <c r="R44" s="32"/>
      <c r="S44" s="32" t="s">
        <v>41</v>
      </c>
      <c r="T44" s="32" t="s">
        <v>42</v>
      </c>
      <c r="U44" s="32" t="s">
        <v>44</v>
      </c>
      <c r="V44" s="32"/>
      <c r="W44" s="32"/>
      <c r="X44" s="32" t="s">
        <v>406</v>
      </c>
      <c r="Y44" s="32" t="n">
        <v>-9.6039526</v>
      </c>
      <c r="Z44" s="32" t="n">
        <v>-48.4345118</v>
      </c>
      <c r="AA44" s="44" t="s">
        <v>396</v>
      </c>
      <c r="AB44" s="32" t="s">
        <v>407</v>
      </c>
    </row>
    <row r="45" customFormat="false" ht="15" hidden="false" customHeight="false" outlineLevel="0" collapsed="false">
      <c r="A45" s="32" t="n">
        <v>44</v>
      </c>
      <c r="B45" s="32" t="s">
        <v>206</v>
      </c>
      <c r="C45" s="32"/>
      <c r="D45" s="32" t="s">
        <v>205</v>
      </c>
      <c r="E45" s="32" t="s">
        <v>207</v>
      </c>
      <c r="F45" s="37" t="n">
        <v>39.9545917918293</v>
      </c>
      <c r="G45" s="33" t="n">
        <v>1638.13826348135</v>
      </c>
      <c r="H45" s="33" t="n">
        <v>319.636734337752</v>
      </c>
      <c r="I45" s="7" t="s">
        <v>23</v>
      </c>
      <c r="J45" s="32" t="s">
        <v>7</v>
      </c>
      <c r="K45" s="32" t="s">
        <v>7</v>
      </c>
      <c r="L45" s="32" t="n">
        <v>3</v>
      </c>
      <c r="M45" s="32" t="s">
        <v>44</v>
      </c>
      <c r="N45" s="32" t="s">
        <v>400</v>
      </c>
      <c r="O45" s="32" t="s">
        <v>46</v>
      </c>
      <c r="P45" s="32" t="s">
        <v>408</v>
      </c>
      <c r="Q45" s="32" t="n">
        <v>2</v>
      </c>
      <c r="R45" s="32"/>
      <c r="S45" s="32" t="s">
        <v>41</v>
      </c>
      <c r="T45" s="32" t="s">
        <v>42</v>
      </c>
      <c r="U45" s="32" t="s">
        <v>44</v>
      </c>
      <c r="V45" s="32"/>
      <c r="W45" s="32"/>
      <c r="X45" s="32" t="s">
        <v>406</v>
      </c>
      <c r="Y45" s="32" t="n">
        <v>-9.6039526</v>
      </c>
      <c r="Z45" s="32" t="n">
        <v>-48.4341474</v>
      </c>
      <c r="AA45" s="44" t="s">
        <v>396</v>
      </c>
      <c r="AB45" s="32" t="s">
        <v>407</v>
      </c>
    </row>
    <row r="46" customFormat="false" ht="15" hidden="false" customHeight="false" outlineLevel="0" collapsed="false">
      <c r="A46" s="32" t="n">
        <v>45</v>
      </c>
      <c r="B46" s="32" t="s">
        <v>208</v>
      </c>
      <c r="C46" s="32"/>
      <c r="D46" s="32" t="s">
        <v>207</v>
      </c>
      <c r="E46" s="32" t="s">
        <v>209</v>
      </c>
      <c r="F46" s="37" t="n">
        <v>39.9545917918293</v>
      </c>
      <c r="G46" s="33" t="n">
        <v>1678.09285527318</v>
      </c>
      <c r="H46" s="33" t="n">
        <v>359.591326129581</v>
      </c>
      <c r="I46" s="7" t="s">
        <v>23</v>
      </c>
      <c r="J46" s="32" t="s">
        <v>7</v>
      </c>
      <c r="K46" s="32" t="s">
        <v>7</v>
      </c>
      <c r="L46" s="32" t="n">
        <v>3</v>
      </c>
      <c r="M46" s="32" t="s">
        <v>44</v>
      </c>
      <c r="N46" s="32" t="s">
        <v>400</v>
      </c>
      <c r="O46" s="32" t="s">
        <v>46</v>
      </c>
      <c r="P46" s="32" t="s">
        <v>408</v>
      </c>
      <c r="Q46" s="32" t="n">
        <v>2</v>
      </c>
      <c r="R46" s="32"/>
      <c r="S46" s="32" t="s">
        <v>41</v>
      </c>
      <c r="T46" s="32" t="s">
        <v>42</v>
      </c>
      <c r="U46" s="32" t="s">
        <v>44</v>
      </c>
      <c r="V46" s="32"/>
      <c r="W46" s="32"/>
      <c r="X46" s="32" t="s">
        <v>406</v>
      </c>
      <c r="Y46" s="32" t="n">
        <v>-9.6039526</v>
      </c>
      <c r="Z46" s="32" t="n">
        <v>-48.433783</v>
      </c>
      <c r="AA46" s="44" t="s">
        <v>396</v>
      </c>
      <c r="AB46" s="32" t="s">
        <v>407</v>
      </c>
    </row>
    <row r="47" customFormat="false" ht="15" hidden="false" customHeight="false" outlineLevel="0" collapsed="false">
      <c r="A47" s="32" t="n">
        <v>46</v>
      </c>
      <c r="B47" s="32" t="s">
        <v>210</v>
      </c>
      <c r="C47" s="32"/>
      <c r="D47" s="32" t="s">
        <v>209</v>
      </c>
      <c r="E47" s="32" t="s">
        <v>211</v>
      </c>
      <c r="F47" s="37" t="n">
        <v>39.9545917926084</v>
      </c>
      <c r="G47" s="33" t="n">
        <v>1718.04744706579</v>
      </c>
      <c r="H47" s="33" t="n">
        <v>399.545917922189</v>
      </c>
      <c r="I47" s="7" t="s">
        <v>23</v>
      </c>
      <c r="J47" s="32" t="s">
        <v>7</v>
      </c>
      <c r="K47" s="32" t="s">
        <v>7</v>
      </c>
      <c r="L47" s="32" t="n">
        <v>3</v>
      </c>
      <c r="M47" s="32" t="s">
        <v>44</v>
      </c>
      <c r="N47" s="32" t="s">
        <v>400</v>
      </c>
      <c r="O47" s="32" t="s">
        <v>46</v>
      </c>
      <c r="P47" s="32" t="s">
        <v>408</v>
      </c>
      <c r="Q47" s="32" t="n">
        <v>2</v>
      </c>
      <c r="R47" s="32"/>
      <c r="S47" s="32" t="s">
        <v>41</v>
      </c>
      <c r="T47" s="32" t="s">
        <v>42</v>
      </c>
      <c r="U47" s="32" t="s">
        <v>44</v>
      </c>
      <c r="V47" s="32"/>
      <c r="W47" s="32"/>
      <c r="X47" s="32" t="s">
        <v>406</v>
      </c>
      <c r="Y47" s="32" t="n">
        <v>-9.6039526</v>
      </c>
      <c r="Z47" s="32" t="n">
        <v>-48.4334185</v>
      </c>
      <c r="AA47" s="44" t="s">
        <v>396</v>
      </c>
      <c r="AB47" s="32" t="s">
        <v>407</v>
      </c>
    </row>
    <row r="48" customFormat="false" ht="15" hidden="false" customHeight="false" outlineLevel="0" collapsed="false">
      <c r="A48" s="32" t="n">
        <v>47</v>
      </c>
      <c r="B48" s="32" t="s">
        <v>212</v>
      </c>
      <c r="C48" s="32"/>
      <c r="D48" s="32" t="s">
        <v>211</v>
      </c>
      <c r="E48" s="32" t="s">
        <v>213</v>
      </c>
      <c r="F48" s="37" t="n">
        <v>39.9545917926084</v>
      </c>
      <c r="G48" s="33" t="n">
        <v>1758.0020388584</v>
      </c>
      <c r="H48" s="33" t="n">
        <v>439.500509714798</v>
      </c>
      <c r="I48" s="7" t="s">
        <v>23</v>
      </c>
      <c r="J48" s="32" t="s">
        <v>7</v>
      </c>
      <c r="K48" s="32" t="s">
        <v>7</v>
      </c>
      <c r="L48" s="32" t="n">
        <v>3</v>
      </c>
      <c r="M48" s="32" t="s">
        <v>44</v>
      </c>
      <c r="N48" s="32" t="s">
        <v>400</v>
      </c>
      <c r="O48" s="32" t="s">
        <v>46</v>
      </c>
      <c r="P48" s="32" t="s">
        <v>408</v>
      </c>
      <c r="Q48" s="32" t="n">
        <v>2</v>
      </c>
      <c r="R48" s="32"/>
      <c r="S48" s="32" t="s">
        <v>41</v>
      </c>
      <c r="T48" s="32" t="s">
        <v>42</v>
      </c>
      <c r="U48" s="32" t="s">
        <v>44</v>
      </c>
      <c r="V48" s="32"/>
      <c r="W48" s="32"/>
      <c r="X48" s="32" t="s">
        <v>406</v>
      </c>
      <c r="Y48" s="32" t="n">
        <v>-9.6039526</v>
      </c>
      <c r="Z48" s="32" t="n">
        <v>-48.4330541</v>
      </c>
      <c r="AA48" s="44" t="s">
        <v>396</v>
      </c>
      <c r="AB48" s="32" t="s">
        <v>407</v>
      </c>
    </row>
    <row r="49" customFormat="false" ht="15" hidden="false" customHeight="false" outlineLevel="0" collapsed="false">
      <c r="A49" s="32" t="n">
        <v>48</v>
      </c>
      <c r="B49" s="32" t="s">
        <v>214</v>
      </c>
      <c r="C49" s="32"/>
      <c r="D49" s="32" t="s">
        <v>213</v>
      </c>
      <c r="E49" s="32" t="s">
        <v>215</v>
      </c>
      <c r="F49" s="37" t="n">
        <v>39.9545917918293</v>
      </c>
      <c r="G49" s="33" t="n">
        <v>1797.95663065023</v>
      </c>
      <c r="H49" s="33" t="n">
        <v>479.455101506627</v>
      </c>
      <c r="I49" s="7" t="s">
        <v>23</v>
      </c>
      <c r="J49" s="32" t="s">
        <v>7</v>
      </c>
      <c r="K49" s="32" t="s">
        <v>7</v>
      </c>
      <c r="L49" s="32" t="n">
        <v>3</v>
      </c>
      <c r="M49" s="32" t="s">
        <v>44</v>
      </c>
      <c r="N49" s="32" t="s">
        <v>400</v>
      </c>
      <c r="O49" s="32" t="s">
        <v>46</v>
      </c>
      <c r="P49" s="32" t="s">
        <v>408</v>
      </c>
      <c r="Q49" s="32" t="n">
        <v>2</v>
      </c>
      <c r="R49" s="32"/>
      <c r="S49" s="32" t="s">
        <v>41</v>
      </c>
      <c r="T49" s="32" t="s">
        <v>42</v>
      </c>
      <c r="U49" s="32" t="s">
        <v>44</v>
      </c>
      <c r="V49" s="32"/>
      <c r="W49" s="32"/>
      <c r="X49" s="32" t="s">
        <v>406</v>
      </c>
      <c r="Y49" s="32" t="n">
        <v>-9.6039526</v>
      </c>
      <c r="Z49" s="32" t="n">
        <v>-48.4326897</v>
      </c>
      <c r="AA49" s="44" t="s">
        <v>396</v>
      </c>
      <c r="AB49" s="32" t="s">
        <v>407</v>
      </c>
    </row>
    <row r="50" customFormat="false" ht="15" hidden="false" customHeight="false" outlineLevel="0" collapsed="false">
      <c r="A50" s="32" t="n">
        <v>49</v>
      </c>
      <c r="B50" s="32" t="s">
        <v>216</v>
      </c>
      <c r="C50" s="32"/>
      <c r="D50" s="32" t="s">
        <v>129</v>
      </c>
      <c r="E50" s="32" t="s">
        <v>217</v>
      </c>
      <c r="F50" s="37" t="n">
        <v>39.9550580829642</v>
      </c>
      <c r="G50" s="33" t="n">
        <v>259.705312939971</v>
      </c>
      <c r="H50" s="33" t="n">
        <v>259.705312939971</v>
      </c>
      <c r="I50" s="6" t="s">
        <v>22</v>
      </c>
      <c r="J50" s="32" t="s">
        <v>82</v>
      </c>
      <c r="K50" s="32" t="s">
        <v>105</v>
      </c>
      <c r="L50" s="32" t="n">
        <v>4</v>
      </c>
      <c r="M50" s="32" t="s">
        <v>41</v>
      </c>
      <c r="N50" s="32" t="s">
        <v>394</v>
      </c>
      <c r="O50" s="32" t="s">
        <v>49</v>
      </c>
      <c r="P50" s="32" t="s">
        <v>409</v>
      </c>
      <c r="Q50" s="32" t="n">
        <v>3</v>
      </c>
      <c r="R50" s="32"/>
      <c r="S50" s="32" t="s">
        <v>41</v>
      </c>
      <c r="T50" s="32"/>
      <c r="U50" s="32"/>
      <c r="V50" s="32"/>
      <c r="W50" s="32"/>
      <c r="X50" s="32" t="s">
        <v>41</v>
      </c>
      <c r="Y50" s="32" t="n">
        <v>-9.6041322</v>
      </c>
      <c r="Z50" s="32" t="n">
        <v>-48.4469024</v>
      </c>
      <c r="AA50" s="44" t="s">
        <v>396</v>
      </c>
      <c r="AB50" s="32" t="s">
        <v>397</v>
      </c>
    </row>
    <row r="51" customFormat="false" ht="15" hidden="false" customHeight="false" outlineLevel="0" collapsed="false">
      <c r="A51" s="32" t="n">
        <v>50</v>
      </c>
      <c r="B51" s="32" t="s">
        <v>218</v>
      </c>
      <c r="C51" s="32"/>
      <c r="D51" s="32" t="s">
        <v>217</v>
      </c>
      <c r="E51" s="32" t="s">
        <v>219</v>
      </c>
      <c r="F51" s="37" t="n">
        <v>39.9550580827874</v>
      </c>
      <c r="G51" s="33" t="n">
        <v>299.660371022758</v>
      </c>
      <c r="H51" s="33" t="n">
        <v>299.660371022758</v>
      </c>
      <c r="I51" s="6" t="s">
        <v>22</v>
      </c>
      <c r="J51" s="32" t="s">
        <v>82</v>
      </c>
      <c r="K51" s="32" t="s">
        <v>105</v>
      </c>
      <c r="L51" s="32" t="n">
        <v>4</v>
      </c>
      <c r="M51" s="32" t="s">
        <v>41</v>
      </c>
      <c r="N51" s="32" t="s">
        <v>394</v>
      </c>
      <c r="O51" s="32" t="s">
        <v>49</v>
      </c>
      <c r="P51" s="32" t="s">
        <v>409</v>
      </c>
      <c r="Q51" s="32" t="n">
        <v>3</v>
      </c>
      <c r="R51" s="32"/>
      <c r="S51" s="32" t="s">
        <v>41</v>
      </c>
      <c r="T51" s="32"/>
      <c r="U51" s="32"/>
      <c r="V51" s="32"/>
      <c r="W51" s="32"/>
      <c r="X51" s="32" t="s">
        <v>41</v>
      </c>
      <c r="Y51" s="32" t="n">
        <v>-9.6044916</v>
      </c>
      <c r="Z51" s="32" t="n">
        <v>-48.4469024</v>
      </c>
      <c r="AA51" s="44" t="s">
        <v>396</v>
      </c>
      <c r="AB51" s="32" t="s">
        <v>397</v>
      </c>
    </row>
    <row r="52" customFormat="false" ht="15" hidden="false" customHeight="false" outlineLevel="0" collapsed="false">
      <c r="A52" s="32" t="n">
        <v>51</v>
      </c>
      <c r="B52" s="32" t="s">
        <v>220</v>
      </c>
      <c r="C52" s="32"/>
      <c r="D52" s="32" t="s">
        <v>219</v>
      </c>
      <c r="E52" s="32" t="s">
        <v>221</v>
      </c>
      <c r="F52" s="37" t="n">
        <v>39.9550580827874</v>
      </c>
      <c r="G52" s="33" t="n">
        <v>339.615429105546</v>
      </c>
      <c r="H52" s="33" t="n">
        <v>339.615429105546</v>
      </c>
      <c r="I52" s="6" t="s">
        <v>22</v>
      </c>
      <c r="J52" s="32" t="s">
        <v>82</v>
      </c>
      <c r="K52" s="32" t="s">
        <v>105</v>
      </c>
      <c r="L52" s="32" t="n">
        <v>4</v>
      </c>
      <c r="M52" s="32" t="s">
        <v>41</v>
      </c>
      <c r="N52" s="32" t="s">
        <v>394</v>
      </c>
      <c r="O52" s="32" t="s">
        <v>49</v>
      </c>
      <c r="P52" s="32" t="s">
        <v>409</v>
      </c>
      <c r="Q52" s="32" t="n">
        <v>3</v>
      </c>
      <c r="R52" s="32"/>
      <c r="S52" s="32" t="s">
        <v>41</v>
      </c>
      <c r="T52" s="32"/>
      <c r="U52" s="32"/>
      <c r="V52" s="32"/>
      <c r="W52" s="32"/>
      <c r="X52" s="32" t="s">
        <v>41</v>
      </c>
      <c r="Y52" s="32" t="n">
        <v>-9.6048509</v>
      </c>
      <c r="Z52" s="32" t="n">
        <v>-48.4469024</v>
      </c>
      <c r="AA52" s="44" t="s">
        <v>396</v>
      </c>
      <c r="AB52" s="32" t="s">
        <v>397</v>
      </c>
    </row>
    <row r="53" customFormat="false" ht="15" hidden="false" customHeight="false" outlineLevel="0" collapsed="false">
      <c r="A53" s="32" t="n">
        <v>52</v>
      </c>
      <c r="B53" s="32" t="s">
        <v>222</v>
      </c>
      <c r="C53" s="32"/>
      <c r="D53" s="32" t="s">
        <v>221</v>
      </c>
      <c r="E53" s="32" t="s">
        <v>223</v>
      </c>
      <c r="F53" s="37" t="n">
        <v>39.9550580827874</v>
      </c>
      <c r="G53" s="33" t="n">
        <v>379.570487188333</v>
      </c>
      <c r="H53" s="33" t="n">
        <v>379.570487188333</v>
      </c>
      <c r="I53" s="6" t="s">
        <v>22</v>
      </c>
      <c r="J53" s="32" t="s">
        <v>82</v>
      </c>
      <c r="K53" s="32" t="s">
        <v>105</v>
      </c>
      <c r="L53" s="32" t="n">
        <v>4</v>
      </c>
      <c r="M53" s="32" t="s">
        <v>41</v>
      </c>
      <c r="N53" s="32" t="s">
        <v>394</v>
      </c>
      <c r="O53" s="32" t="s">
        <v>49</v>
      </c>
      <c r="P53" s="32" t="s">
        <v>409</v>
      </c>
      <c r="Q53" s="32" t="n">
        <v>3</v>
      </c>
      <c r="R53" s="32"/>
      <c r="S53" s="32" t="s">
        <v>41</v>
      </c>
      <c r="T53" s="32"/>
      <c r="U53" s="32"/>
      <c r="V53" s="32"/>
      <c r="W53" s="32"/>
      <c r="X53" s="32" t="s">
        <v>41</v>
      </c>
      <c r="Y53" s="32" t="n">
        <v>-9.6052102</v>
      </c>
      <c r="Z53" s="32" t="n">
        <v>-48.4469024</v>
      </c>
      <c r="AA53" s="44" t="s">
        <v>396</v>
      </c>
      <c r="AB53" s="32" t="s">
        <v>397</v>
      </c>
    </row>
    <row r="54" customFormat="false" ht="15" hidden="false" customHeight="false" outlineLevel="0" collapsed="false">
      <c r="A54" s="32" t="n">
        <v>53</v>
      </c>
      <c r="B54" s="32" t="s">
        <v>224</v>
      </c>
      <c r="C54" s="32"/>
      <c r="D54" s="32" t="s">
        <v>223</v>
      </c>
      <c r="E54" s="32" t="s">
        <v>225</v>
      </c>
      <c r="F54" s="37" t="n">
        <v>39.9550580829642</v>
      </c>
      <c r="G54" s="33" t="n">
        <v>419.525545271297</v>
      </c>
      <c r="H54" s="33" t="n">
        <v>419.525545271297</v>
      </c>
      <c r="I54" s="6" t="s">
        <v>22</v>
      </c>
      <c r="J54" s="32" t="s">
        <v>82</v>
      </c>
      <c r="K54" s="32" t="s">
        <v>105</v>
      </c>
      <c r="L54" s="32" t="n">
        <v>4</v>
      </c>
      <c r="M54" s="32" t="s">
        <v>41</v>
      </c>
      <c r="N54" s="32" t="s">
        <v>394</v>
      </c>
      <c r="O54" s="32" t="s">
        <v>49</v>
      </c>
      <c r="P54" s="32" t="s">
        <v>409</v>
      </c>
      <c r="Q54" s="32" t="n">
        <v>3</v>
      </c>
      <c r="R54" s="32"/>
      <c r="S54" s="32" t="s">
        <v>41</v>
      </c>
      <c r="T54" s="32"/>
      <c r="U54" s="32"/>
      <c r="V54" s="32"/>
      <c r="W54" s="32"/>
      <c r="X54" s="32" t="s">
        <v>41</v>
      </c>
      <c r="Y54" s="32" t="n">
        <v>-9.6055695</v>
      </c>
      <c r="Z54" s="32" t="n">
        <v>-48.4469024</v>
      </c>
      <c r="AA54" s="44" t="s">
        <v>396</v>
      </c>
      <c r="AB54" s="32" t="s">
        <v>397</v>
      </c>
    </row>
    <row r="55" customFormat="false" ht="15" hidden="false" customHeight="false" outlineLevel="0" collapsed="false">
      <c r="A55" s="32" t="n">
        <v>54</v>
      </c>
      <c r="B55" s="32" t="s">
        <v>226</v>
      </c>
      <c r="C55" s="32"/>
      <c r="D55" s="32" t="s">
        <v>225</v>
      </c>
      <c r="E55" s="32" t="s">
        <v>227</v>
      </c>
      <c r="F55" s="37" t="n">
        <v>43.9505638910308</v>
      </c>
      <c r="G55" s="33" t="n">
        <v>463.476109162328</v>
      </c>
      <c r="H55" s="33" t="n">
        <v>43.9505638910308</v>
      </c>
      <c r="I55" s="7" t="s">
        <v>23</v>
      </c>
      <c r="J55" s="32" t="s">
        <v>82</v>
      </c>
      <c r="K55" s="32" t="s">
        <v>105</v>
      </c>
      <c r="L55" s="32" t="n">
        <v>5</v>
      </c>
      <c r="M55" s="32" t="s">
        <v>49</v>
      </c>
      <c r="N55" s="32" t="s">
        <v>400</v>
      </c>
      <c r="O55" s="32" t="s">
        <v>50</v>
      </c>
      <c r="P55" s="32" t="s">
        <v>410</v>
      </c>
      <c r="Q55" s="32" t="n">
        <v>2</v>
      </c>
      <c r="R55" s="32"/>
      <c r="S55" s="32" t="s">
        <v>41</v>
      </c>
      <c r="T55" s="32" t="s">
        <v>49</v>
      </c>
      <c r="U55" s="32"/>
      <c r="V55" s="32"/>
      <c r="W55" s="32"/>
      <c r="X55" s="32" t="s">
        <v>411</v>
      </c>
      <c r="Y55" s="32" t="n">
        <v>-9.6059468</v>
      </c>
      <c r="Z55" s="32" t="n">
        <v>-48.4469024</v>
      </c>
      <c r="AA55" s="44" t="s">
        <v>396</v>
      </c>
      <c r="AB55" s="32" t="s">
        <v>412</v>
      </c>
    </row>
    <row r="56" customFormat="false" ht="15" hidden="false" customHeight="false" outlineLevel="0" collapsed="false">
      <c r="A56" s="32" t="n">
        <v>55</v>
      </c>
      <c r="B56" s="32" t="s">
        <v>228</v>
      </c>
      <c r="C56" s="32"/>
      <c r="D56" s="32" t="s">
        <v>227</v>
      </c>
      <c r="E56" s="32" t="s">
        <v>229</v>
      </c>
      <c r="F56" s="37" t="n">
        <v>43.9505638912076</v>
      </c>
      <c r="G56" s="33" t="n">
        <v>507.426673053536</v>
      </c>
      <c r="H56" s="33" t="n">
        <v>87.9011277822384</v>
      </c>
      <c r="I56" s="7" t="s">
        <v>23</v>
      </c>
      <c r="J56" s="32" t="s">
        <v>82</v>
      </c>
      <c r="K56" s="32" t="s">
        <v>105</v>
      </c>
      <c r="L56" s="32" t="n">
        <v>5</v>
      </c>
      <c r="M56" s="32" t="s">
        <v>49</v>
      </c>
      <c r="N56" s="32" t="s">
        <v>400</v>
      </c>
      <c r="O56" s="32" t="s">
        <v>50</v>
      </c>
      <c r="P56" s="32" t="s">
        <v>410</v>
      </c>
      <c r="Q56" s="32" t="n">
        <v>2</v>
      </c>
      <c r="R56" s="32"/>
      <c r="S56" s="32" t="s">
        <v>41</v>
      </c>
      <c r="T56" s="32" t="s">
        <v>49</v>
      </c>
      <c r="U56" s="32"/>
      <c r="V56" s="32"/>
      <c r="W56" s="32"/>
      <c r="X56" s="32" t="s">
        <v>411</v>
      </c>
      <c r="Y56" s="32" t="n">
        <v>-9.6063421</v>
      </c>
      <c r="Z56" s="32" t="n">
        <v>-48.4469024</v>
      </c>
      <c r="AA56" s="44" t="s">
        <v>396</v>
      </c>
      <c r="AB56" s="32" t="s">
        <v>412</v>
      </c>
    </row>
    <row r="57" customFormat="false" ht="15" hidden="false" customHeight="false" outlineLevel="0" collapsed="false">
      <c r="A57" s="32" t="n">
        <v>56</v>
      </c>
      <c r="B57" s="32" t="s">
        <v>230</v>
      </c>
      <c r="C57" s="32"/>
      <c r="D57" s="32" t="s">
        <v>229</v>
      </c>
      <c r="E57" s="32" t="s">
        <v>231</v>
      </c>
      <c r="F57" s="37" t="n">
        <v>43.9505638910308</v>
      </c>
      <c r="G57" s="33" t="n">
        <v>551.377236944566</v>
      </c>
      <c r="H57" s="33" t="n">
        <v>131.851691673269</v>
      </c>
      <c r="I57" s="7" t="s">
        <v>23</v>
      </c>
      <c r="J57" s="32" t="s">
        <v>82</v>
      </c>
      <c r="K57" s="32" t="s">
        <v>105</v>
      </c>
      <c r="L57" s="32" t="n">
        <v>5</v>
      </c>
      <c r="M57" s="32" t="s">
        <v>49</v>
      </c>
      <c r="N57" s="32" t="s">
        <v>400</v>
      </c>
      <c r="O57" s="32" t="s">
        <v>50</v>
      </c>
      <c r="P57" s="32" t="s">
        <v>410</v>
      </c>
      <c r="Q57" s="32" t="n">
        <v>2</v>
      </c>
      <c r="R57" s="32"/>
      <c r="S57" s="32" t="s">
        <v>41</v>
      </c>
      <c r="T57" s="32" t="s">
        <v>49</v>
      </c>
      <c r="U57" s="32"/>
      <c r="V57" s="32"/>
      <c r="W57" s="32"/>
      <c r="X57" s="32" t="s">
        <v>411</v>
      </c>
      <c r="Y57" s="32" t="n">
        <v>-9.6067373</v>
      </c>
      <c r="Z57" s="32" t="n">
        <v>-48.4469024</v>
      </c>
      <c r="AA57" s="44" t="s">
        <v>396</v>
      </c>
      <c r="AB57" s="32" t="s">
        <v>412</v>
      </c>
    </row>
    <row r="58" customFormat="false" ht="15" hidden="false" customHeight="false" outlineLevel="0" collapsed="false">
      <c r="A58" s="32" t="n">
        <v>57</v>
      </c>
      <c r="B58" s="32" t="s">
        <v>232</v>
      </c>
      <c r="C58" s="32"/>
      <c r="D58" s="32" t="s">
        <v>231</v>
      </c>
      <c r="E58" s="32" t="s">
        <v>233</v>
      </c>
      <c r="F58" s="37" t="n">
        <v>43.9505638913844</v>
      </c>
      <c r="G58" s="33" t="n">
        <v>595.327800835951</v>
      </c>
      <c r="H58" s="33" t="n">
        <v>175.802255564653</v>
      </c>
      <c r="I58" s="7" t="s">
        <v>23</v>
      </c>
      <c r="J58" s="32" t="s">
        <v>82</v>
      </c>
      <c r="K58" s="32" t="s">
        <v>105</v>
      </c>
      <c r="L58" s="32" t="n">
        <v>5</v>
      </c>
      <c r="M58" s="32" t="s">
        <v>49</v>
      </c>
      <c r="N58" s="32" t="s">
        <v>400</v>
      </c>
      <c r="O58" s="32" t="s">
        <v>50</v>
      </c>
      <c r="P58" s="32" t="s">
        <v>410</v>
      </c>
      <c r="Q58" s="32" t="n">
        <v>2</v>
      </c>
      <c r="R58" s="32"/>
      <c r="S58" s="32" t="s">
        <v>41</v>
      </c>
      <c r="T58" s="32" t="s">
        <v>49</v>
      </c>
      <c r="U58" s="32"/>
      <c r="V58" s="32"/>
      <c r="W58" s="32"/>
      <c r="X58" s="32" t="s">
        <v>411</v>
      </c>
      <c r="Y58" s="32" t="n">
        <v>-9.6071326</v>
      </c>
      <c r="Z58" s="32" t="n">
        <v>-48.4469024</v>
      </c>
      <c r="AA58" s="44" t="s">
        <v>396</v>
      </c>
      <c r="AB58" s="32" t="s">
        <v>412</v>
      </c>
    </row>
    <row r="59" customFormat="false" ht="15" hidden="false" customHeight="false" outlineLevel="0" collapsed="false">
      <c r="A59" s="32" t="n">
        <v>58</v>
      </c>
      <c r="B59" s="32" t="s">
        <v>234</v>
      </c>
      <c r="C59" s="32"/>
      <c r="D59" s="32" t="s">
        <v>233</v>
      </c>
      <c r="E59" s="32" t="s">
        <v>235</v>
      </c>
      <c r="F59" s="37" t="n">
        <v>43.9505638910308</v>
      </c>
      <c r="G59" s="33" t="n">
        <v>639.278364726982</v>
      </c>
      <c r="H59" s="33" t="n">
        <v>219.752819455684</v>
      </c>
      <c r="I59" s="7" t="s">
        <v>23</v>
      </c>
      <c r="J59" s="32" t="s">
        <v>82</v>
      </c>
      <c r="K59" s="32" t="s">
        <v>105</v>
      </c>
      <c r="L59" s="32" t="n">
        <v>5</v>
      </c>
      <c r="M59" s="32" t="s">
        <v>49</v>
      </c>
      <c r="N59" s="32" t="s">
        <v>400</v>
      </c>
      <c r="O59" s="32" t="s">
        <v>50</v>
      </c>
      <c r="P59" s="32" t="s">
        <v>410</v>
      </c>
      <c r="Q59" s="32" t="n">
        <v>2</v>
      </c>
      <c r="R59" s="32"/>
      <c r="S59" s="32" t="s">
        <v>41</v>
      </c>
      <c r="T59" s="32" t="s">
        <v>49</v>
      </c>
      <c r="U59" s="32"/>
      <c r="V59" s="32"/>
      <c r="W59" s="32"/>
      <c r="X59" s="32" t="s">
        <v>411</v>
      </c>
      <c r="Y59" s="32" t="n">
        <v>-9.6075278</v>
      </c>
      <c r="Z59" s="32" t="n">
        <v>-48.4469024</v>
      </c>
      <c r="AA59" s="44" t="s">
        <v>396</v>
      </c>
      <c r="AB59" s="32" t="s">
        <v>412</v>
      </c>
    </row>
    <row r="60" customFormat="false" ht="15" hidden="false" customHeight="false" outlineLevel="0" collapsed="false">
      <c r="A60" s="32" t="n">
        <v>59</v>
      </c>
      <c r="B60" s="32" t="s">
        <v>236</v>
      </c>
      <c r="C60" s="32"/>
      <c r="D60" s="32" t="s">
        <v>235</v>
      </c>
      <c r="E60" s="32" t="s">
        <v>237</v>
      </c>
      <c r="F60" s="37" t="n">
        <v>39.9550580829642</v>
      </c>
      <c r="G60" s="33" t="n">
        <v>679.233422809946</v>
      </c>
      <c r="H60" s="33" t="n">
        <v>39.9550580829642</v>
      </c>
      <c r="I60" s="8" t="s">
        <v>24</v>
      </c>
      <c r="J60" s="32" t="s">
        <v>82</v>
      </c>
      <c r="K60" s="32" t="s">
        <v>105</v>
      </c>
      <c r="L60" s="32" t="n">
        <v>6</v>
      </c>
      <c r="M60" s="32" t="s">
        <v>50</v>
      </c>
      <c r="N60" s="32" t="s">
        <v>413</v>
      </c>
      <c r="O60" s="32" t="s">
        <v>51</v>
      </c>
      <c r="P60" s="32" t="s">
        <v>52</v>
      </c>
      <c r="Q60" s="32" t="n">
        <v>1</v>
      </c>
      <c r="R60" s="32"/>
      <c r="S60" s="32" t="s">
        <v>41</v>
      </c>
      <c r="T60" s="32" t="s">
        <v>49</v>
      </c>
      <c r="U60" s="32" t="s">
        <v>50</v>
      </c>
      <c r="V60" s="32"/>
      <c r="W60" s="32"/>
      <c r="X60" s="32" t="s">
        <v>414</v>
      </c>
      <c r="Y60" s="32" t="n">
        <v>-9.6079051</v>
      </c>
      <c r="Z60" s="32" t="n">
        <v>-48.4469024</v>
      </c>
      <c r="AA60" s="44" t="s">
        <v>396</v>
      </c>
      <c r="AB60" s="32" t="s">
        <v>415</v>
      </c>
    </row>
    <row r="61" customFormat="false" ht="15" hidden="false" customHeight="false" outlineLevel="0" collapsed="false">
      <c r="A61" s="32" t="n">
        <v>60</v>
      </c>
      <c r="B61" s="32" t="s">
        <v>238</v>
      </c>
      <c r="C61" s="32"/>
      <c r="D61" s="32" t="s">
        <v>237</v>
      </c>
      <c r="E61" s="32" t="s">
        <v>239</v>
      </c>
      <c r="F61" s="37" t="n">
        <v>39.9550580826105</v>
      </c>
      <c r="G61" s="33" t="n">
        <v>719.188480892556</v>
      </c>
      <c r="H61" s="33" t="n">
        <v>79.9101161655748</v>
      </c>
      <c r="I61" s="8" t="s">
        <v>24</v>
      </c>
      <c r="J61" s="32" t="s">
        <v>82</v>
      </c>
      <c r="K61" s="32" t="s">
        <v>105</v>
      </c>
      <c r="L61" s="32" t="n">
        <v>6</v>
      </c>
      <c r="M61" s="32" t="s">
        <v>50</v>
      </c>
      <c r="N61" s="32" t="s">
        <v>413</v>
      </c>
      <c r="O61" s="32" t="s">
        <v>51</v>
      </c>
      <c r="P61" s="32" t="s">
        <v>52</v>
      </c>
      <c r="Q61" s="32" t="n">
        <v>1</v>
      </c>
      <c r="R61" s="32"/>
      <c r="S61" s="32" t="s">
        <v>41</v>
      </c>
      <c r="T61" s="32" t="s">
        <v>49</v>
      </c>
      <c r="U61" s="32" t="s">
        <v>50</v>
      </c>
      <c r="V61" s="32"/>
      <c r="W61" s="32"/>
      <c r="X61" s="32" t="s">
        <v>414</v>
      </c>
      <c r="Y61" s="32" t="n">
        <v>-9.6082645</v>
      </c>
      <c r="Z61" s="32" t="n">
        <v>-48.4469024</v>
      </c>
      <c r="AA61" s="44" t="s">
        <v>396</v>
      </c>
      <c r="AB61" s="32" t="s">
        <v>415</v>
      </c>
    </row>
    <row r="62" customFormat="false" ht="15" hidden="false" customHeight="false" outlineLevel="0" collapsed="false">
      <c r="A62" s="32" t="n">
        <v>61</v>
      </c>
      <c r="B62" s="32" t="s">
        <v>240</v>
      </c>
      <c r="C62" s="32"/>
      <c r="D62" s="32" t="s">
        <v>239</v>
      </c>
      <c r="E62" s="32" t="s">
        <v>241</v>
      </c>
      <c r="F62" s="37" t="n">
        <v>39.9550580829642</v>
      </c>
      <c r="G62" s="33" t="n">
        <v>759.143538975521</v>
      </c>
      <c r="H62" s="33" t="n">
        <v>119.865174248539</v>
      </c>
      <c r="I62" s="8" t="s">
        <v>24</v>
      </c>
      <c r="J62" s="32" t="s">
        <v>82</v>
      </c>
      <c r="K62" s="32" t="s">
        <v>105</v>
      </c>
      <c r="L62" s="32" t="n">
        <v>6</v>
      </c>
      <c r="M62" s="32" t="s">
        <v>50</v>
      </c>
      <c r="N62" s="32" t="s">
        <v>413</v>
      </c>
      <c r="O62" s="32" t="s">
        <v>51</v>
      </c>
      <c r="P62" s="32" t="s">
        <v>52</v>
      </c>
      <c r="Q62" s="32" t="n">
        <v>1</v>
      </c>
      <c r="R62" s="32"/>
      <c r="S62" s="32" t="s">
        <v>41</v>
      </c>
      <c r="T62" s="32" t="s">
        <v>49</v>
      </c>
      <c r="U62" s="32" t="s">
        <v>50</v>
      </c>
      <c r="V62" s="32"/>
      <c r="W62" s="32"/>
      <c r="X62" s="32" t="s">
        <v>414</v>
      </c>
      <c r="Y62" s="32" t="n">
        <v>-9.6086238</v>
      </c>
      <c r="Z62" s="32" t="n">
        <v>-48.4469024</v>
      </c>
      <c r="AA62" s="44" t="s">
        <v>396</v>
      </c>
      <c r="AB62" s="32" t="s">
        <v>415</v>
      </c>
    </row>
    <row r="63" customFormat="false" ht="15" hidden="false" customHeight="false" outlineLevel="0" collapsed="false">
      <c r="A63" s="32" t="n">
        <v>62</v>
      </c>
      <c r="B63" s="32" t="s">
        <v>242</v>
      </c>
      <c r="C63" s="32"/>
      <c r="D63" s="32" t="s">
        <v>241</v>
      </c>
      <c r="E63" s="32" t="s">
        <v>243</v>
      </c>
      <c r="F63" s="37" t="n">
        <v>39.9550580827874</v>
      </c>
      <c r="G63" s="33" t="n">
        <v>799.098597058308</v>
      </c>
      <c r="H63" s="33" t="n">
        <v>159.820232331326</v>
      </c>
      <c r="I63" s="8" t="s">
        <v>24</v>
      </c>
      <c r="J63" s="32" t="s">
        <v>82</v>
      </c>
      <c r="K63" s="32" t="s">
        <v>105</v>
      </c>
      <c r="L63" s="32" t="n">
        <v>6</v>
      </c>
      <c r="M63" s="32" t="s">
        <v>50</v>
      </c>
      <c r="N63" s="32" t="s">
        <v>413</v>
      </c>
      <c r="O63" s="32" t="s">
        <v>51</v>
      </c>
      <c r="P63" s="32" t="s">
        <v>52</v>
      </c>
      <c r="Q63" s="32" t="n">
        <v>1</v>
      </c>
      <c r="R63" s="32"/>
      <c r="S63" s="32" t="s">
        <v>41</v>
      </c>
      <c r="T63" s="32" t="s">
        <v>49</v>
      </c>
      <c r="U63" s="32" t="s">
        <v>50</v>
      </c>
      <c r="V63" s="32"/>
      <c r="W63" s="32"/>
      <c r="X63" s="32" t="s">
        <v>414</v>
      </c>
      <c r="Y63" s="32" t="n">
        <v>-9.6089831</v>
      </c>
      <c r="Z63" s="32" t="n">
        <v>-48.4469024</v>
      </c>
      <c r="AA63" s="44" t="s">
        <v>396</v>
      </c>
      <c r="AB63" s="32" t="s">
        <v>415</v>
      </c>
    </row>
    <row r="64" customFormat="false" ht="15" hidden="false" customHeight="false" outlineLevel="0" collapsed="false">
      <c r="A64" s="32" t="n">
        <v>63</v>
      </c>
      <c r="B64" s="32" t="s">
        <v>244</v>
      </c>
      <c r="C64" s="32"/>
      <c r="D64" s="32" t="s">
        <v>243</v>
      </c>
      <c r="E64" s="32" t="s">
        <v>245</v>
      </c>
      <c r="F64" s="37" t="n">
        <v>39.9550580827874</v>
      </c>
      <c r="G64" s="33" t="n">
        <v>839.053655141095</v>
      </c>
      <c r="H64" s="33" t="n">
        <v>199.775290414114</v>
      </c>
      <c r="I64" s="8" t="s">
        <v>24</v>
      </c>
      <c r="J64" s="32" t="s">
        <v>82</v>
      </c>
      <c r="K64" s="32" t="s">
        <v>105</v>
      </c>
      <c r="L64" s="32" t="n">
        <v>6</v>
      </c>
      <c r="M64" s="32" t="s">
        <v>50</v>
      </c>
      <c r="N64" s="32" t="s">
        <v>413</v>
      </c>
      <c r="O64" s="32" t="s">
        <v>51</v>
      </c>
      <c r="P64" s="32" t="s">
        <v>52</v>
      </c>
      <c r="Q64" s="32" t="n">
        <v>1</v>
      </c>
      <c r="R64" s="32"/>
      <c r="S64" s="32" t="s">
        <v>41</v>
      </c>
      <c r="T64" s="32" t="s">
        <v>49</v>
      </c>
      <c r="U64" s="32" t="s">
        <v>50</v>
      </c>
      <c r="V64" s="32"/>
      <c r="W64" s="32"/>
      <c r="X64" s="32" t="s">
        <v>414</v>
      </c>
      <c r="Y64" s="32" t="n">
        <v>-9.6093424</v>
      </c>
      <c r="Z64" s="32" t="n">
        <v>-48.4469024</v>
      </c>
      <c r="AA64" s="44" t="s">
        <v>396</v>
      </c>
      <c r="AB64" s="32" t="s">
        <v>415</v>
      </c>
    </row>
    <row r="65" customFormat="false" ht="15" hidden="false" customHeight="false" outlineLevel="0" collapsed="false">
      <c r="A65" s="32" t="n">
        <v>64</v>
      </c>
      <c r="B65" s="32" t="s">
        <v>246</v>
      </c>
      <c r="C65" s="32"/>
      <c r="D65" s="32" t="s">
        <v>245</v>
      </c>
      <c r="E65" s="32" t="s">
        <v>247</v>
      </c>
      <c r="F65" s="37" t="n">
        <v>43.283428959228</v>
      </c>
      <c r="G65" s="33" t="n">
        <v>882.337084100323</v>
      </c>
      <c r="H65" s="33" t="n">
        <v>243.058719373342</v>
      </c>
      <c r="I65" s="8" t="s">
        <v>24</v>
      </c>
      <c r="J65" s="32" t="s">
        <v>82</v>
      </c>
      <c r="K65" s="32" t="s">
        <v>105</v>
      </c>
      <c r="L65" s="32" t="n">
        <v>6</v>
      </c>
      <c r="M65" s="32" t="s">
        <v>50</v>
      </c>
      <c r="N65" s="32" t="s">
        <v>413</v>
      </c>
      <c r="O65" s="32" t="s">
        <v>51</v>
      </c>
      <c r="P65" s="32" t="s">
        <v>52</v>
      </c>
      <c r="Q65" s="32" t="n">
        <v>1</v>
      </c>
      <c r="R65" s="32"/>
      <c r="S65" s="32" t="s">
        <v>41</v>
      </c>
      <c r="T65" s="32" t="s">
        <v>49</v>
      </c>
      <c r="U65" s="32" t="s">
        <v>50</v>
      </c>
      <c r="V65" s="32"/>
      <c r="W65" s="32"/>
      <c r="X65" s="32" t="s">
        <v>414</v>
      </c>
      <c r="Y65" s="32" t="n">
        <v>-9.6095221</v>
      </c>
      <c r="Z65" s="32" t="n">
        <v>-48.446705</v>
      </c>
      <c r="AA65" s="44" t="s">
        <v>396</v>
      </c>
      <c r="AB65" s="32" t="s">
        <v>415</v>
      </c>
    </row>
    <row r="66" customFormat="false" ht="15" hidden="false" customHeight="false" outlineLevel="0" collapsed="false">
      <c r="A66" s="32" t="n">
        <v>65</v>
      </c>
      <c r="B66" s="32" t="s">
        <v>248</v>
      </c>
      <c r="C66" s="32"/>
      <c r="D66" s="32" t="s">
        <v>247</v>
      </c>
      <c r="E66" s="32" t="s">
        <v>249</v>
      </c>
      <c r="F66" s="37" t="n">
        <v>43.283428958449</v>
      </c>
      <c r="G66" s="33" t="n">
        <v>925.620513058772</v>
      </c>
      <c r="H66" s="33" t="n">
        <v>286.342148331791</v>
      </c>
      <c r="I66" s="8" t="s">
        <v>24</v>
      </c>
      <c r="J66" s="32" t="s">
        <v>82</v>
      </c>
      <c r="K66" s="32" t="s">
        <v>105</v>
      </c>
      <c r="L66" s="32" t="n">
        <v>6</v>
      </c>
      <c r="M66" s="32" t="s">
        <v>50</v>
      </c>
      <c r="N66" s="32" t="s">
        <v>413</v>
      </c>
      <c r="O66" s="32" t="s">
        <v>51</v>
      </c>
      <c r="P66" s="32" t="s">
        <v>52</v>
      </c>
      <c r="Q66" s="32" t="n">
        <v>1</v>
      </c>
      <c r="R66" s="32"/>
      <c r="S66" s="32" t="s">
        <v>41</v>
      </c>
      <c r="T66" s="32" t="s">
        <v>49</v>
      </c>
      <c r="U66" s="32" t="s">
        <v>50</v>
      </c>
      <c r="V66" s="32"/>
      <c r="W66" s="32"/>
      <c r="X66" s="32" t="s">
        <v>414</v>
      </c>
      <c r="Y66" s="32" t="n">
        <v>-9.6095221</v>
      </c>
      <c r="Z66" s="32" t="n">
        <v>-48.4463102</v>
      </c>
      <c r="AA66" s="44" t="s">
        <v>396</v>
      </c>
      <c r="AB66" s="32" t="s">
        <v>415</v>
      </c>
    </row>
    <row r="67" customFormat="false" ht="15" hidden="false" customHeight="false" outlineLevel="0" collapsed="false">
      <c r="A67" s="32" t="n">
        <v>66</v>
      </c>
      <c r="B67" s="32" t="s">
        <v>250</v>
      </c>
      <c r="C67" s="32"/>
      <c r="D67" s="32" t="s">
        <v>249</v>
      </c>
      <c r="E67" s="32" t="s">
        <v>251</v>
      </c>
      <c r="F67" s="37" t="n">
        <v>43.283428959228</v>
      </c>
      <c r="G67" s="33" t="n">
        <v>968.903942018</v>
      </c>
      <c r="H67" s="33" t="n">
        <v>329.625577291019</v>
      </c>
      <c r="I67" s="8" t="s">
        <v>24</v>
      </c>
      <c r="J67" s="32" t="s">
        <v>82</v>
      </c>
      <c r="K67" s="32" t="s">
        <v>105</v>
      </c>
      <c r="L67" s="32" t="n">
        <v>6</v>
      </c>
      <c r="M67" s="32" t="s">
        <v>50</v>
      </c>
      <c r="N67" s="32" t="s">
        <v>413</v>
      </c>
      <c r="O67" s="32" t="s">
        <v>51</v>
      </c>
      <c r="P67" s="32" t="s">
        <v>52</v>
      </c>
      <c r="Q67" s="32" t="n">
        <v>1</v>
      </c>
      <c r="R67" s="32"/>
      <c r="S67" s="32" t="s">
        <v>41</v>
      </c>
      <c r="T67" s="32" t="s">
        <v>49</v>
      </c>
      <c r="U67" s="32" t="s">
        <v>50</v>
      </c>
      <c r="V67" s="32"/>
      <c r="W67" s="32"/>
      <c r="X67" s="32" t="s">
        <v>414</v>
      </c>
      <c r="Y67" s="32" t="n">
        <v>-9.6095221</v>
      </c>
      <c r="Z67" s="32" t="n">
        <v>-48.4459154</v>
      </c>
      <c r="AA67" s="44" t="s">
        <v>396</v>
      </c>
      <c r="AB67" s="32" t="s">
        <v>415</v>
      </c>
    </row>
    <row r="68" customFormat="false" ht="15" hidden="false" customHeight="false" outlineLevel="0" collapsed="false">
      <c r="A68" s="32" t="n">
        <v>67</v>
      </c>
      <c r="B68" s="32" t="s">
        <v>252</v>
      </c>
      <c r="C68" s="32"/>
      <c r="D68" s="32" t="s">
        <v>251</v>
      </c>
      <c r="E68" s="32" t="s">
        <v>253</v>
      </c>
      <c r="F68" s="37" t="n">
        <v>43.283428959228</v>
      </c>
      <c r="G68" s="33" t="n">
        <v>1012.18737097723</v>
      </c>
      <c r="H68" s="33" t="n">
        <v>372.909006250247</v>
      </c>
      <c r="I68" s="8" t="s">
        <v>24</v>
      </c>
      <c r="J68" s="32" t="s">
        <v>82</v>
      </c>
      <c r="K68" s="32" t="s">
        <v>105</v>
      </c>
      <c r="L68" s="32" t="n">
        <v>6</v>
      </c>
      <c r="M68" s="32" t="s">
        <v>50</v>
      </c>
      <c r="N68" s="32" t="s">
        <v>413</v>
      </c>
      <c r="O68" s="32" t="s">
        <v>51</v>
      </c>
      <c r="P68" s="32" t="s">
        <v>52</v>
      </c>
      <c r="Q68" s="32" t="n">
        <v>1</v>
      </c>
      <c r="R68" s="32"/>
      <c r="S68" s="32" t="s">
        <v>41</v>
      </c>
      <c r="T68" s="32" t="s">
        <v>49</v>
      </c>
      <c r="U68" s="32" t="s">
        <v>50</v>
      </c>
      <c r="V68" s="32"/>
      <c r="W68" s="32"/>
      <c r="X68" s="32" t="s">
        <v>414</v>
      </c>
      <c r="Y68" s="32" t="n">
        <v>-9.6095221</v>
      </c>
      <c r="Z68" s="32" t="n">
        <v>-48.4455206</v>
      </c>
      <c r="AA68" s="44" t="s">
        <v>396</v>
      </c>
      <c r="AB68" s="32" t="s">
        <v>415</v>
      </c>
    </row>
    <row r="69" customFormat="false" ht="15" hidden="false" customHeight="false" outlineLevel="0" collapsed="false">
      <c r="A69" s="32" t="n">
        <v>68</v>
      </c>
      <c r="B69" s="32" t="s">
        <v>254</v>
      </c>
      <c r="C69" s="32"/>
      <c r="D69" s="32" t="s">
        <v>253</v>
      </c>
      <c r="E69" s="32" t="s">
        <v>255</v>
      </c>
      <c r="F69" s="37" t="n">
        <v>43.283428958449</v>
      </c>
      <c r="G69" s="33" t="n">
        <v>1055.47079993568</v>
      </c>
      <c r="H69" s="33" t="n">
        <v>416.192435208695</v>
      </c>
      <c r="I69" s="8" t="s">
        <v>24</v>
      </c>
      <c r="J69" s="32" t="s">
        <v>82</v>
      </c>
      <c r="K69" s="32" t="s">
        <v>105</v>
      </c>
      <c r="L69" s="32" t="n">
        <v>6</v>
      </c>
      <c r="M69" s="32" t="s">
        <v>50</v>
      </c>
      <c r="N69" s="32" t="s">
        <v>413</v>
      </c>
      <c r="O69" s="32" t="s">
        <v>51</v>
      </c>
      <c r="P69" s="32" t="s">
        <v>52</v>
      </c>
      <c r="Q69" s="32" t="n">
        <v>1</v>
      </c>
      <c r="R69" s="32"/>
      <c r="S69" s="32" t="s">
        <v>41</v>
      </c>
      <c r="T69" s="32" t="s">
        <v>49</v>
      </c>
      <c r="U69" s="32" t="s">
        <v>50</v>
      </c>
      <c r="V69" s="32"/>
      <c r="W69" s="32"/>
      <c r="X69" s="32" t="s">
        <v>414</v>
      </c>
      <c r="Y69" s="32" t="n">
        <v>-9.6095221</v>
      </c>
      <c r="Z69" s="32" t="n">
        <v>-48.4451258</v>
      </c>
      <c r="AA69" s="44" t="s">
        <v>396</v>
      </c>
      <c r="AB69" s="32" t="s">
        <v>415</v>
      </c>
    </row>
    <row r="70" customFormat="false" ht="15" hidden="false" customHeight="false" outlineLevel="0" collapsed="false">
      <c r="A70" s="32" t="n">
        <v>69</v>
      </c>
      <c r="B70" s="32" t="s">
        <v>256</v>
      </c>
      <c r="C70" s="32"/>
      <c r="D70" s="32" t="s">
        <v>255</v>
      </c>
      <c r="E70" s="32" t="s">
        <v>257</v>
      </c>
      <c r="F70" s="37" t="n">
        <v>43.283428959228</v>
      </c>
      <c r="G70" s="33" t="n">
        <v>1098.75422889491</v>
      </c>
      <c r="H70" s="33" t="n">
        <v>459.475864167923</v>
      </c>
      <c r="I70" s="8" t="s">
        <v>24</v>
      </c>
      <c r="J70" s="32" t="s">
        <v>82</v>
      </c>
      <c r="K70" s="32" t="s">
        <v>105</v>
      </c>
      <c r="L70" s="32" t="n">
        <v>6</v>
      </c>
      <c r="M70" s="32" t="s">
        <v>50</v>
      </c>
      <c r="N70" s="32" t="s">
        <v>413</v>
      </c>
      <c r="O70" s="32" t="s">
        <v>51</v>
      </c>
      <c r="P70" s="32" t="s">
        <v>52</v>
      </c>
      <c r="Q70" s="32" t="n">
        <v>1</v>
      </c>
      <c r="R70" s="32"/>
      <c r="S70" s="32" t="s">
        <v>41</v>
      </c>
      <c r="T70" s="32" t="s">
        <v>49</v>
      </c>
      <c r="U70" s="32" t="s">
        <v>50</v>
      </c>
      <c r="V70" s="32"/>
      <c r="W70" s="32"/>
      <c r="X70" s="32" t="s">
        <v>414</v>
      </c>
      <c r="Y70" s="32" t="n">
        <v>-9.6095221</v>
      </c>
      <c r="Z70" s="32" t="n">
        <v>-48.444731</v>
      </c>
      <c r="AA70" s="44" t="s">
        <v>396</v>
      </c>
      <c r="AB70" s="32" t="s">
        <v>415</v>
      </c>
    </row>
    <row r="71" customFormat="false" ht="15" hidden="false" customHeight="false" outlineLevel="0" collapsed="false">
      <c r="A71" s="32" t="n">
        <v>70</v>
      </c>
      <c r="B71" s="32" t="s">
        <v>258</v>
      </c>
      <c r="C71" s="32"/>
      <c r="D71" s="32" t="s">
        <v>245</v>
      </c>
      <c r="E71" s="32" t="s">
        <v>259</v>
      </c>
      <c r="F71" s="37" t="n">
        <v>39.9550580829642</v>
      </c>
      <c r="G71" s="33" t="n">
        <v>879.008713224059</v>
      </c>
      <c r="H71" s="33" t="n">
        <v>239.730348497078</v>
      </c>
      <c r="I71" s="8" t="s">
        <v>24</v>
      </c>
      <c r="J71" s="32" t="s">
        <v>82</v>
      </c>
      <c r="K71" s="32" t="s">
        <v>105</v>
      </c>
      <c r="L71" s="32" t="n">
        <v>6</v>
      </c>
      <c r="M71" s="32" t="s">
        <v>50</v>
      </c>
      <c r="N71" s="32" t="s">
        <v>413</v>
      </c>
      <c r="O71" s="32" t="s">
        <v>51</v>
      </c>
      <c r="P71" s="32" t="s">
        <v>43</v>
      </c>
      <c r="Q71" s="32" t="n">
        <v>0</v>
      </c>
      <c r="R71" s="32"/>
      <c r="S71" s="32" t="s">
        <v>41</v>
      </c>
      <c r="T71" s="32" t="s">
        <v>49</v>
      </c>
      <c r="U71" s="32" t="s">
        <v>50</v>
      </c>
      <c r="V71" s="32"/>
      <c r="W71" s="32"/>
      <c r="X71" s="32" t="s">
        <v>414</v>
      </c>
      <c r="Y71" s="32" t="n">
        <v>-9.6097018</v>
      </c>
      <c r="Z71" s="32" t="n">
        <v>-48.4469024</v>
      </c>
      <c r="AA71" s="44" t="s">
        <v>396</v>
      </c>
      <c r="AB71" s="32" t="s">
        <v>415</v>
      </c>
    </row>
    <row r="72" customFormat="false" ht="15" hidden="false" customHeight="false" outlineLevel="0" collapsed="false">
      <c r="A72" s="32" t="n">
        <v>71</v>
      </c>
      <c r="B72" s="32" t="s">
        <v>260</v>
      </c>
      <c r="C72" s="32"/>
      <c r="D72" s="32" t="s">
        <v>259</v>
      </c>
      <c r="E72" s="32" t="s">
        <v>261</v>
      </c>
      <c r="F72" s="37" t="n">
        <v>39.9550580827874</v>
      </c>
      <c r="G72" s="33" t="n">
        <v>918.963771306847</v>
      </c>
      <c r="H72" s="33" t="n">
        <v>279.685406579865</v>
      </c>
      <c r="I72" s="8" t="s">
        <v>24</v>
      </c>
      <c r="J72" s="32" t="s">
        <v>82</v>
      </c>
      <c r="K72" s="32" t="s">
        <v>105</v>
      </c>
      <c r="L72" s="32" t="n">
        <v>6</v>
      </c>
      <c r="M72" s="32" t="s">
        <v>50</v>
      </c>
      <c r="N72" s="32" t="s">
        <v>413</v>
      </c>
      <c r="O72" s="32" t="s">
        <v>51</v>
      </c>
      <c r="P72" s="32" t="s">
        <v>43</v>
      </c>
      <c r="Q72" s="32" t="n">
        <v>0</v>
      </c>
      <c r="R72" s="32"/>
      <c r="S72" s="32" t="s">
        <v>41</v>
      </c>
      <c r="T72" s="32" t="s">
        <v>49</v>
      </c>
      <c r="U72" s="32" t="s">
        <v>50</v>
      </c>
      <c r="V72" s="32"/>
      <c r="W72" s="32"/>
      <c r="X72" s="32" t="s">
        <v>414</v>
      </c>
      <c r="Y72" s="32" t="n">
        <v>-9.6100611</v>
      </c>
      <c r="Z72" s="32" t="n">
        <v>-48.4469024</v>
      </c>
      <c r="AA72" s="44" t="s">
        <v>396</v>
      </c>
      <c r="AB72" s="32" t="s">
        <v>415</v>
      </c>
    </row>
    <row r="73" customFormat="false" ht="15" hidden="false" customHeight="false" outlineLevel="0" collapsed="false">
      <c r="A73" s="32" t="n">
        <v>72</v>
      </c>
      <c r="B73" s="32" t="s">
        <v>262</v>
      </c>
      <c r="C73" s="32"/>
      <c r="D73" s="32" t="s">
        <v>261</v>
      </c>
      <c r="E73" s="32" t="s">
        <v>263</v>
      </c>
      <c r="F73" s="37" t="n">
        <v>39.9550580827874</v>
      </c>
      <c r="G73" s="33" t="n">
        <v>958.918829389634</v>
      </c>
      <c r="H73" s="33" t="n">
        <v>319.640464662653</v>
      </c>
      <c r="I73" s="8" t="s">
        <v>24</v>
      </c>
      <c r="J73" s="32" t="s">
        <v>82</v>
      </c>
      <c r="K73" s="32" t="s">
        <v>105</v>
      </c>
      <c r="L73" s="32" t="n">
        <v>6</v>
      </c>
      <c r="M73" s="32" t="s">
        <v>50</v>
      </c>
      <c r="N73" s="32" t="s">
        <v>413</v>
      </c>
      <c r="O73" s="32" t="s">
        <v>51</v>
      </c>
      <c r="P73" s="32" t="s">
        <v>43</v>
      </c>
      <c r="Q73" s="32" t="n">
        <v>0</v>
      </c>
      <c r="R73" s="32"/>
      <c r="S73" s="32" t="s">
        <v>41</v>
      </c>
      <c r="T73" s="32" t="s">
        <v>49</v>
      </c>
      <c r="U73" s="32" t="s">
        <v>50</v>
      </c>
      <c r="V73" s="32"/>
      <c r="W73" s="32"/>
      <c r="X73" s="32" t="s">
        <v>414</v>
      </c>
      <c r="Y73" s="32" t="n">
        <v>-9.6104204</v>
      </c>
      <c r="Z73" s="32" t="n">
        <v>-48.4469024</v>
      </c>
      <c r="AA73" s="44" t="s">
        <v>396</v>
      </c>
      <c r="AB73" s="32" t="s">
        <v>415</v>
      </c>
    </row>
    <row r="74" customFormat="false" ht="15" hidden="false" customHeight="false" outlineLevel="0" collapsed="false">
      <c r="A74" s="32" t="n">
        <v>73</v>
      </c>
      <c r="B74" s="32" t="s">
        <v>264</v>
      </c>
      <c r="C74" s="32"/>
      <c r="D74" s="32" t="s">
        <v>263</v>
      </c>
      <c r="E74" s="32" t="s">
        <v>265</v>
      </c>
      <c r="F74" s="37" t="n">
        <v>39.9550580827874</v>
      </c>
      <c r="G74" s="33" t="n">
        <v>998.873887472421</v>
      </c>
      <c r="H74" s="33" t="n">
        <v>359.59552274544</v>
      </c>
      <c r="I74" s="8" t="s">
        <v>24</v>
      </c>
      <c r="J74" s="32" t="s">
        <v>82</v>
      </c>
      <c r="K74" s="32" t="s">
        <v>105</v>
      </c>
      <c r="L74" s="32" t="n">
        <v>6</v>
      </c>
      <c r="M74" s="32" t="s">
        <v>50</v>
      </c>
      <c r="N74" s="32" t="s">
        <v>413</v>
      </c>
      <c r="O74" s="32" t="s">
        <v>51</v>
      </c>
      <c r="P74" s="32" t="s">
        <v>43</v>
      </c>
      <c r="Q74" s="32" t="n">
        <v>0</v>
      </c>
      <c r="R74" s="32"/>
      <c r="S74" s="32" t="s">
        <v>41</v>
      </c>
      <c r="T74" s="32" t="s">
        <v>49</v>
      </c>
      <c r="U74" s="32" t="s">
        <v>50</v>
      </c>
      <c r="V74" s="32"/>
      <c r="W74" s="32"/>
      <c r="X74" s="32" t="s">
        <v>414</v>
      </c>
      <c r="Y74" s="32" t="n">
        <v>-9.6107797</v>
      </c>
      <c r="Z74" s="32" t="n">
        <v>-48.4469024</v>
      </c>
      <c r="AA74" s="44" t="s">
        <v>396</v>
      </c>
      <c r="AB74" s="32" t="s">
        <v>415</v>
      </c>
    </row>
    <row r="75" customFormat="false" ht="15" hidden="false" customHeight="false" outlineLevel="0" collapsed="false">
      <c r="A75" s="32" t="n">
        <v>74</v>
      </c>
      <c r="B75" s="32" t="s">
        <v>266</v>
      </c>
      <c r="C75" s="32"/>
      <c r="D75" s="32" t="s">
        <v>265</v>
      </c>
      <c r="E75" s="32" t="s">
        <v>267</v>
      </c>
      <c r="F75" s="37" t="n">
        <v>39.9550580829642</v>
      </c>
      <c r="G75" s="33" t="n">
        <v>1038.82894555539</v>
      </c>
      <c r="H75" s="33" t="n">
        <v>399.550580828404</v>
      </c>
      <c r="I75" s="8" t="s">
        <v>24</v>
      </c>
      <c r="J75" s="32" t="s">
        <v>82</v>
      </c>
      <c r="K75" s="32" t="s">
        <v>105</v>
      </c>
      <c r="L75" s="32" t="n">
        <v>6</v>
      </c>
      <c r="M75" s="32" t="s">
        <v>50</v>
      </c>
      <c r="N75" s="32" t="s">
        <v>413</v>
      </c>
      <c r="O75" s="32" t="s">
        <v>51</v>
      </c>
      <c r="P75" s="32" t="s">
        <v>43</v>
      </c>
      <c r="Q75" s="32" t="n">
        <v>0</v>
      </c>
      <c r="R75" s="32"/>
      <c r="S75" s="32" t="s">
        <v>41</v>
      </c>
      <c r="T75" s="32" t="s">
        <v>49</v>
      </c>
      <c r="U75" s="32" t="s">
        <v>50</v>
      </c>
      <c r="V75" s="32"/>
      <c r="W75" s="32"/>
      <c r="X75" s="32" t="s">
        <v>414</v>
      </c>
      <c r="Y75" s="32" t="n">
        <v>-9.6111391</v>
      </c>
      <c r="Z75" s="32" t="n">
        <v>-48.4469024</v>
      </c>
      <c r="AA75" s="44" t="s">
        <v>396</v>
      </c>
      <c r="AB75" s="32" t="s">
        <v>415</v>
      </c>
    </row>
    <row r="76" customFormat="false" ht="15" hidden="false" customHeight="false" outlineLevel="0" collapsed="false">
      <c r="A76" s="32" t="n">
        <v>75</v>
      </c>
      <c r="B76" s="32" t="s">
        <v>268</v>
      </c>
      <c r="C76" s="32"/>
      <c r="D76" s="32" t="s">
        <v>257</v>
      </c>
      <c r="E76" s="32" t="s">
        <v>269</v>
      </c>
      <c r="F76" s="37" t="n">
        <v>39.9539344232439</v>
      </c>
      <c r="G76" s="33" t="n">
        <v>1138.70816331815</v>
      </c>
      <c r="H76" s="33" t="n">
        <v>39.9539344232439</v>
      </c>
      <c r="I76" s="9" t="s">
        <v>25</v>
      </c>
      <c r="J76" s="32" t="s">
        <v>82</v>
      </c>
      <c r="K76" s="32" t="s">
        <v>105</v>
      </c>
      <c r="L76" s="32" t="n">
        <v>7</v>
      </c>
      <c r="M76" s="32" t="s">
        <v>52</v>
      </c>
      <c r="N76" s="32" t="s">
        <v>413</v>
      </c>
      <c r="O76" s="32" t="s">
        <v>53</v>
      </c>
      <c r="P76" s="32" t="s">
        <v>43</v>
      </c>
      <c r="Q76" s="32" t="n">
        <v>0</v>
      </c>
      <c r="R76" s="32"/>
      <c r="S76" s="32" t="s">
        <v>41</v>
      </c>
      <c r="T76" s="32" t="s">
        <v>49</v>
      </c>
      <c r="U76" s="32" t="s">
        <v>50</v>
      </c>
      <c r="V76" s="32" t="s">
        <v>52</v>
      </c>
      <c r="W76" s="32"/>
      <c r="X76" s="32" t="s">
        <v>416</v>
      </c>
      <c r="Y76" s="32" t="n">
        <v>-9.6095221</v>
      </c>
      <c r="Z76" s="32" t="n">
        <v>-48.4443514</v>
      </c>
      <c r="AA76" s="44" t="s">
        <v>396</v>
      </c>
      <c r="AB76" s="32" t="s">
        <v>417</v>
      </c>
    </row>
    <row r="77" customFormat="false" ht="15" hidden="false" customHeight="false" outlineLevel="0" collapsed="false">
      <c r="A77" s="32" t="n">
        <v>76</v>
      </c>
      <c r="B77" s="32" t="s">
        <v>270</v>
      </c>
      <c r="C77" s="32"/>
      <c r="D77" s="32" t="s">
        <v>269</v>
      </c>
      <c r="E77" s="32" t="s">
        <v>271</v>
      </c>
      <c r="F77" s="37" t="n">
        <v>39.9539344240229</v>
      </c>
      <c r="G77" s="33" t="n">
        <v>1178.66209774217</v>
      </c>
      <c r="H77" s="33" t="n">
        <v>79.9078688472669</v>
      </c>
      <c r="I77" s="9" t="s">
        <v>25</v>
      </c>
      <c r="J77" s="32" t="s">
        <v>82</v>
      </c>
      <c r="K77" s="32" t="s">
        <v>105</v>
      </c>
      <c r="L77" s="32" t="n">
        <v>7</v>
      </c>
      <c r="M77" s="32" t="s">
        <v>52</v>
      </c>
      <c r="N77" s="32" t="s">
        <v>413</v>
      </c>
      <c r="O77" s="32" t="s">
        <v>53</v>
      </c>
      <c r="P77" s="32" t="s">
        <v>43</v>
      </c>
      <c r="Q77" s="32" t="n">
        <v>0</v>
      </c>
      <c r="R77" s="32"/>
      <c r="S77" s="32" t="s">
        <v>41</v>
      </c>
      <c r="T77" s="32" t="s">
        <v>49</v>
      </c>
      <c r="U77" s="32" t="s">
        <v>50</v>
      </c>
      <c r="V77" s="32" t="s">
        <v>52</v>
      </c>
      <c r="W77" s="32"/>
      <c r="X77" s="32" t="s">
        <v>416</v>
      </c>
      <c r="Y77" s="32" t="n">
        <v>-9.6095221</v>
      </c>
      <c r="Z77" s="32" t="n">
        <v>-48.4439869</v>
      </c>
      <c r="AA77" s="44" t="s">
        <v>396</v>
      </c>
      <c r="AB77" s="32" t="s">
        <v>417</v>
      </c>
    </row>
    <row r="78" customFormat="false" ht="15" hidden="false" customHeight="false" outlineLevel="0" collapsed="false">
      <c r="A78" s="32" t="n">
        <v>77</v>
      </c>
      <c r="B78" s="32" t="s">
        <v>272</v>
      </c>
      <c r="C78" s="32"/>
      <c r="D78" s="32" t="s">
        <v>271</v>
      </c>
      <c r="E78" s="32" t="s">
        <v>273</v>
      </c>
      <c r="F78" s="37" t="n">
        <v>39.9539344240229</v>
      </c>
      <c r="G78" s="33" t="n">
        <v>1218.6160321662</v>
      </c>
      <c r="H78" s="33" t="n">
        <v>119.86180327129</v>
      </c>
      <c r="I78" s="9" t="s">
        <v>25</v>
      </c>
      <c r="J78" s="32" t="s">
        <v>82</v>
      </c>
      <c r="K78" s="32" t="s">
        <v>105</v>
      </c>
      <c r="L78" s="32" t="n">
        <v>7</v>
      </c>
      <c r="M78" s="32" t="s">
        <v>52</v>
      </c>
      <c r="N78" s="32" t="s">
        <v>413</v>
      </c>
      <c r="O78" s="32" t="s">
        <v>53</v>
      </c>
      <c r="P78" s="32" t="s">
        <v>43</v>
      </c>
      <c r="Q78" s="32" t="n">
        <v>0</v>
      </c>
      <c r="R78" s="32"/>
      <c r="S78" s="32" t="s">
        <v>41</v>
      </c>
      <c r="T78" s="32" t="s">
        <v>49</v>
      </c>
      <c r="U78" s="32" t="s">
        <v>50</v>
      </c>
      <c r="V78" s="32" t="s">
        <v>52</v>
      </c>
      <c r="W78" s="32"/>
      <c r="X78" s="32" t="s">
        <v>416</v>
      </c>
      <c r="Y78" s="32" t="n">
        <v>-9.6095221</v>
      </c>
      <c r="Z78" s="32" t="n">
        <v>-48.4436225</v>
      </c>
      <c r="AA78" s="44" t="s">
        <v>396</v>
      </c>
      <c r="AB78" s="32" t="s">
        <v>417</v>
      </c>
    </row>
    <row r="79" customFormat="false" ht="15" hidden="false" customHeight="false" outlineLevel="0" collapsed="false">
      <c r="A79" s="32" t="n">
        <v>78</v>
      </c>
      <c r="B79" s="32" t="s">
        <v>274</v>
      </c>
      <c r="C79" s="32"/>
      <c r="D79" s="32" t="s">
        <v>273</v>
      </c>
      <c r="E79" s="32" t="s">
        <v>275</v>
      </c>
      <c r="F79" s="37" t="n">
        <v>39.9539344232439</v>
      </c>
      <c r="G79" s="33" t="n">
        <v>1258.56996658944</v>
      </c>
      <c r="H79" s="33" t="n">
        <v>159.815737694534</v>
      </c>
      <c r="I79" s="9" t="s">
        <v>25</v>
      </c>
      <c r="J79" s="32" t="s">
        <v>82</v>
      </c>
      <c r="K79" s="32" t="s">
        <v>105</v>
      </c>
      <c r="L79" s="32" t="n">
        <v>7</v>
      </c>
      <c r="M79" s="32" t="s">
        <v>52</v>
      </c>
      <c r="N79" s="32" t="s">
        <v>413</v>
      </c>
      <c r="O79" s="32" t="s">
        <v>53</v>
      </c>
      <c r="P79" s="32" t="s">
        <v>43</v>
      </c>
      <c r="Q79" s="32" t="n">
        <v>0</v>
      </c>
      <c r="R79" s="32"/>
      <c r="S79" s="32" t="s">
        <v>41</v>
      </c>
      <c r="T79" s="32" t="s">
        <v>49</v>
      </c>
      <c r="U79" s="32" t="s">
        <v>50</v>
      </c>
      <c r="V79" s="32" t="s">
        <v>52</v>
      </c>
      <c r="W79" s="32"/>
      <c r="X79" s="32" t="s">
        <v>416</v>
      </c>
      <c r="Y79" s="32" t="n">
        <v>-9.6095221</v>
      </c>
      <c r="Z79" s="32" t="n">
        <v>-48.4432581</v>
      </c>
      <c r="AA79" s="44" t="s">
        <v>396</v>
      </c>
      <c r="AB79" s="32" t="s">
        <v>417</v>
      </c>
    </row>
    <row r="80" customFormat="false" ht="15" hidden="false" customHeight="false" outlineLevel="0" collapsed="false">
      <c r="A80" s="32" t="n">
        <v>79</v>
      </c>
      <c r="B80" s="32" t="s">
        <v>276</v>
      </c>
      <c r="C80" s="32"/>
      <c r="D80" s="32" t="s">
        <v>275</v>
      </c>
      <c r="E80" s="32" t="s">
        <v>277</v>
      </c>
      <c r="F80" s="37" t="n">
        <v>39.9539344232439</v>
      </c>
      <c r="G80" s="33" t="n">
        <v>1298.52390101268</v>
      </c>
      <c r="H80" s="33" t="n">
        <v>199.769672117778</v>
      </c>
      <c r="I80" s="9" t="s">
        <v>25</v>
      </c>
      <c r="J80" s="32" t="s">
        <v>82</v>
      </c>
      <c r="K80" s="32" t="s">
        <v>105</v>
      </c>
      <c r="L80" s="32" t="n">
        <v>7</v>
      </c>
      <c r="M80" s="32" t="s">
        <v>52</v>
      </c>
      <c r="N80" s="32" t="s">
        <v>413</v>
      </c>
      <c r="O80" s="32" t="s">
        <v>53</v>
      </c>
      <c r="P80" s="32" t="s">
        <v>43</v>
      </c>
      <c r="Q80" s="32" t="n">
        <v>0</v>
      </c>
      <c r="R80" s="32"/>
      <c r="S80" s="32" t="s">
        <v>41</v>
      </c>
      <c r="T80" s="32" t="s">
        <v>49</v>
      </c>
      <c r="U80" s="32" t="s">
        <v>50</v>
      </c>
      <c r="V80" s="32" t="s">
        <v>52</v>
      </c>
      <c r="W80" s="32"/>
      <c r="X80" s="32" t="s">
        <v>416</v>
      </c>
      <c r="Y80" s="32" t="n">
        <v>-9.6095221</v>
      </c>
      <c r="Z80" s="32" t="n">
        <v>-48.4428937</v>
      </c>
      <c r="AA80" s="44" t="s">
        <v>396</v>
      </c>
      <c r="AB80" s="32" t="s">
        <v>417</v>
      </c>
    </row>
    <row r="81" customFormat="false" ht="15" hidden="false" customHeight="false" outlineLevel="0" collapsed="false">
      <c r="A81" s="32" t="n">
        <v>80</v>
      </c>
      <c r="B81" s="32" t="s">
        <v>278</v>
      </c>
      <c r="C81" s="32"/>
      <c r="D81" s="32" t="s">
        <v>277</v>
      </c>
      <c r="E81" s="32" t="s">
        <v>279</v>
      </c>
      <c r="F81" s="37" t="n">
        <v>39.9539344240229</v>
      </c>
      <c r="G81" s="33" t="n">
        <v>1338.47783543671</v>
      </c>
      <c r="H81" s="33" t="n">
        <v>239.723606541801</v>
      </c>
      <c r="I81" s="9" t="s">
        <v>25</v>
      </c>
      <c r="J81" s="32" t="s">
        <v>82</v>
      </c>
      <c r="K81" s="32" t="s">
        <v>105</v>
      </c>
      <c r="L81" s="32" t="n">
        <v>7</v>
      </c>
      <c r="M81" s="32" t="s">
        <v>52</v>
      </c>
      <c r="N81" s="32" t="s">
        <v>413</v>
      </c>
      <c r="O81" s="32" t="s">
        <v>53</v>
      </c>
      <c r="P81" s="32" t="s">
        <v>43</v>
      </c>
      <c r="Q81" s="32" t="n">
        <v>0</v>
      </c>
      <c r="R81" s="32"/>
      <c r="S81" s="32" t="s">
        <v>41</v>
      </c>
      <c r="T81" s="32" t="s">
        <v>49</v>
      </c>
      <c r="U81" s="32" t="s">
        <v>50</v>
      </c>
      <c r="V81" s="32" t="s">
        <v>52</v>
      </c>
      <c r="W81" s="32"/>
      <c r="X81" s="32" t="s">
        <v>416</v>
      </c>
      <c r="Y81" s="32" t="n">
        <v>-9.6095221</v>
      </c>
      <c r="Z81" s="32" t="n">
        <v>-48.4425292</v>
      </c>
      <c r="AA81" s="44" t="s">
        <v>396</v>
      </c>
      <c r="AB81" s="32" t="s">
        <v>417</v>
      </c>
    </row>
    <row r="82" customFormat="false" ht="15" hidden="false" customHeight="false" outlineLevel="0" collapsed="false">
      <c r="A82" s="32" t="n">
        <v>81</v>
      </c>
      <c r="B82" s="32" t="s">
        <v>280</v>
      </c>
      <c r="C82" s="32"/>
      <c r="D82" s="32" t="s">
        <v>139</v>
      </c>
      <c r="E82" s="32" t="s">
        <v>281</v>
      </c>
      <c r="F82" s="37" t="n">
        <v>39.9550580829642</v>
      </c>
      <c r="G82" s="33" t="n">
        <v>479.455567796978</v>
      </c>
      <c r="H82" s="33" t="n">
        <v>479.455567796978</v>
      </c>
      <c r="I82" s="6" t="s">
        <v>22</v>
      </c>
      <c r="J82" s="32" t="s">
        <v>82</v>
      </c>
      <c r="K82" s="32" t="s">
        <v>107</v>
      </c>
      <c r="L82" s="32" t="n">
        <v>8</v>
      </c>
      <c r="M82" s="32" t="s">
        <v>41</v>
      </c>
      <c r="N82" s="32" t="s">
        <v>394</v>
      </c>
      <c r="O82" s="32" t="s">
        <v>56</v>
      </c>
      <c r="P82" s="32" t="s">
        <v>56</v>
      </c>
      <c r="Q82" s="32" t="n">
        <v>1</v>
      </c>
      <c r="R82" s="32"/>
      <c r="S82" s="32" t="s">
        <v>41</v>
      </c>
      <c r="T82" s="32"/>
      <c r="U82" s="32"/>
      <c r="V82" s="32"/>
      <c r="W82" s="32"/>
      <c r="X82" s="32" t="s">
        <v>41</v>
      </c>
      <c r="Y82" s="32" t="n">
        <v>-9.6037729</v>
      </c>
      <c r="Z82" s="32" t="n">
        <v>-48.444898</v>
      </c>
      <c r="AA82" s="44" t="s">
        <v>396</v>
      </c>
      <c r="AB82" s="32" t="s">
        <v>397</v>
      </c>
    </row>
    <row r="83" customFormat="false" ht="15" hidden="false" customHeight="false" outlineLevel="0" collapsed="false">
      <c r="A83" s="32" t="n">
        <v>82</v>
      </c>
      <c r="B83" s="32" t="s">
        <v>282</v>
      </c>
      <c r="C83" s="32"/>
      <c r="D83" s="32" t="s">
        <v>281</v>
      </c>
      <c r="E83" s="32" t="s">
        <v>283</v>
      </c>
      <c r="F83" s="37" t="n">
        <v>39.9550580826105</v>
      </c>
      <c r="G83" s="33" t="n">
        <v>519.410625879588</v>
      </c>
      <c r="H83" s="33" t="n">
        <v>519.410625879588</v>
      </c>
      <c r="I83" s="6" t="s">
        <v>22</v>
      </c>
      <c r="J83" s="32" t="s">
        <v>82</v>
      </c>
      <c r="K83" s="32" t="s">
        <v>107</v>
      </c>
      <c r="L83" s="32" t="n">
        <v>8</v>
      </c>
      <c r="M83" s="32" t="s">
        <v>41</v>
      </c>
      <c r="N83" s="32" t="s">
        <v>394</v>
      </c>
      <c r="O83" s="32" t="s">
        <v>56</v>
      </c>
      <c r="P83" s="32" t="s">
        <v>56</v>
      </c>
      <c r="Q83" s="32" t="n">
        <v>1</v>
      </c>
      <c r="R83" s="32"/>
      <c r="S83" s="32" t="s">
        <v>41</v>
      </c>
      <c r="T83" s="32"/>
      <c r="U83" s="32"/>
      <c r="V83" s="32"/>
      <c r="W83" s="32"/>
      <c r="X83" s="32" t="s">
        <v>41</v>
      </c>
      <c r="Y83" s="32" t="n">
        <v>-9.6034136</v>
      </c>
      <c r="Z83" s="32" t="n">
        <v>-48.444898</v>
      </c>
      <c r="AA83" s="44" t="s">
        <v>396</v>
      </c>
      <c r="AB83" s="32" t="s">
        <v>397</v>
      </c>
    </row>
    <row r="84" customFormat="false" ht="15" hidden="false" customHeight="false" outlineLevel="0" collapsed="false">
      <c r="A84" s="32" t="n">
        <v>83</v>
      </c>
      <c r="B84" s="32" t="s">
        <v>284</v>
      </c>
      <c r="C84" s="32"/>
      <c r="D84" s="32" t="s">
        <v>283</v>
      </c>
      <c r="E84" s="32" t="s">
        <v>285</v>
      </c>
      <c r="F84" s="37" t="n">
        <v>39.9550580829642</v>
      </c>
      <c r="G84" s="33" t="n">
        <v>559.365683962553</v>
      </c>
      <c r="H84" s="33" t="n">
        <v>559.365683962553</v>
      </c>
      <c r="I84" s="6" t="s">
        <v>22</v>
      </c>
      <c r="J84" s="32" t="s">
        <v>82</v>
      </c>
      <c r="K84" s="32" t="s">
        <v>107</v>
      </c>
      <c r="L84" s="32" t="n">
        <v>8</v>
      </c>
      <c r="M84" s="32" t="s">
        <v>41</v>
      </c>
      <c r="N84" s="32" t="s">
        <v>394</v>
      </c>
      <c r="O84" s="32" t="s">
        <v>56</v>
      </c>
      <c r="P84" s="32" t="s">
        <v>56</v>
      </c>
      <c r="Q84" s="32" t="n">
        <v>1</v>
      </c>
      <c r="R84" s="32"/>
      <c r="S84" s="32" t="s">
        <v>41</v>
      </c>
      <c r="T84" s="32"/>
      <c r="U84" s="32"/>
      <c r="V84" s="32"/>
      <c r="W84" s="32"/>
      <c r="X84" s="32" t="s">
        <v>41</v>
      </c>
      <c r="Y84" s="32" t="n">
        <v>-9.6030543</v>
      </c>
      <c r="Z84" s="32" t="n">
        <v>-48.444898</v>
      </c>
      <c r="AA84" s="44" t="s">
        <v>396</v>
      </c>
      <c r="AB84" s="32" t="s">
        <v>397</v>
      </c>
    </row>
    <row r="85" customFormat="false" ht="15" hidden="false" customHeight="false" outlineLevel="0" collapsed="false">
      <c r="A85" s="32" t="n">
        <v>84</v>
      </c>
      <c r="B85" s="32" t="s">
        <v>286</v>
      </c>
      <c r="C85" s="32"/>
      <c r="D85" s="32" t="s">
        <v>285</v>
      </c>
      <c r="E85" s="32" t="s">
        <v>287</v>
      </c>
      <c r="F85" s="37" t="n">
        <v>39.9550580827874</v>
      </c>
      <c r="G85" s="33" t="n">
        <v>599.32074204534</v>
      </c>
      <c r="H85" s="33" t="n">
        <v>599.32074204534</v>
      </c>
      <c r="I85" s="6" t="s">
        <v>22</v>
      </c>
      <c r="J85" s="32" t="s">
        <v>82</v>
      </c>
      <c r="K85" s="32" t="s">
        <v>107</v>
      </c>
      <c r="L85" s="32" t="n">
        <v>8</v>
      </c>
      <c r="M85" s="32" t="s">
        <v>41</v>
      </c>
      <c r="N85" s="32" t="s">
        <v>394</v>
      </c>
      <c r="O85" s="32" t="s">
        <v>56</v>
      </c>
      <c r="P85" s="32" t="s">
        <v>56</v>
      </c>
      <c r="Q85" s="32" t="n">
        <v>1</v>
      </c>
      <c r="R85" s="32"/>
      <c r="S85" s="32" t="s">
        <v>41</v>
      </c>
      <c r="T85" s="32"/>
      <c r="U85" s="32"/>
      <c r="V85" s="32"/>
      <c r="W85" s="32"/>
      <c r="X85" s="32" t="s">
        <v>41</v>
      </c>
      <c r="Y85" s="32" t="n">
        <v>-9.6026949</v>
      </c>
      <c r="Z85" s="32" t="n">
        <v>-48.444898</v>
      </c>
      <c r="AA85" s="44" t="s">
        <v>396</v>
      </c>
      <c r="AB85" s="32" t="s">
        <v>397</v>
      </c>
    </row>
    <row r="86" customFormat="false" ht="15" hidden="false" customHeight="false" outlineLevel="0" collapsed="false">
      <c r="A86" s="32" t="n">
        <v>85</v>
      </c>
      <c r="B86" s="32" t="s">
        <v>288</v>
      </c>
      <c r="C86" s="32"/>
      <c r="D86" s="32" t="s">
        <v>287</v>
      </c>
      <c r="E86" s="32" t="s">
        <v>289</v>
      </c>
      <c r="F86" s="37" t="n">
        <v>39.9550580827874</v>
      </c>
      <c r="G86" s="33" t="n">
        <v>639.275800128127</v>
      </c>
      <c r="H86" s="33" t="n">
        <v>639.275800128127</v>
      </c>
      <c r="I86" s="6" t="s">
        <v>22</v>
      </c>
      <c r="J86" s="32" t="s">
        <v>82</v>
      </c>
      <c r="K86" s="32" t="s">
        <v>107</v>
      </c>
      <c r="L86" s="32" t="n">
        <v>8</v>
      </c>
      <c r="M86" s="32" t="s">
        <v>41</v>
      </c>
      <c r="N86" s="32" t="s">
        <v>394</v>
      </c>
      <c r="O86" s="32" t="s">
        <v>56</v>
      </c>
      <c r="P86" s="32" t="s">
        <v>56</v>
      </c>
      <c r="Q86" s="32" t="n">
        <v>1</v>
      </c>
      <c r="R86" s="32"/>
      <c r="S86" s="32" t="s">
        <v>41</v>
      </c>
      <c r="T86" s="32"/>
      <c r="U86" s="32"/>
      <c r="V86" s="32"/>
      <c r="W86" s="32"/>
      <c r="X86" s="32" t="s">
        <v>41</v>
      </c>
      <c r="Y86" s="32" t="n">
        <v>-9.6023356</v>
      </c>
      <c r="Z86" s="32" t="n">
        <v>-48.444898</v>
      </c>
      <c r="AA86" s="44" t="s">
        <v>396</v>
      </c>
      <c r="AB86" s="32" t="s">
        <v>397</v>
      </c>
    </row>
    <row r="87" customFormat="false" ht="15" hidden="false" customHeight="false" outlineLevel="0" collapsed="false">
      <c r="A87" s="32" t="n">
        <v>86</v>
      </c>
      <c r="B87" s="32" t="s">
        <v>290</v>
      </c>
      <c r="C87" s="32"/>
      <c r="D87" s="32" t="s">
        <v>289</v>
      </c>
      <c r="E87" s="32" t="s">
        <v>291</v>
      </c>
      <c r="F87" s="37" t="n">
        <v>39.9550580829642</v>
      </c>
      <c r="G87" s="33" t="n">
        <v>679.230858211092</v>
      </c>
      <c r="H87" s="33" t="n">
        <v>39.9550580829642</v>
      </c>
      <c r="I87" s="8" t="s">
        <v>24</v>
      </c>
      <c r="J87" s="32" t="s">
        <v>82</v>
      </c>
      <c r="K87" s="32" t="s">
        <v>107</v>
      </c>
      <c r="L87" s="32" t="n">
        <v>9</v>
      </c>
      <c r="M87" s="32" t="s">
        <v>56</v>
      </c>
      <c r="N87" s="32" t="s">
        <v>413</v>
      </c>
      <c r="O87" s="32" t="s">
        <v>57</v>
      </c>
      <c r="P87" s="32" t="s">
        <v>43</v>
      </c>
      <c r="Q87" s="32" t="n">
        <v>0</v>
      </c>
      <c r="R87" s="32"/>
      <c r="S87" s="32" t="s">
        <v>41</v>
      </c>
      <c r="T87" s="32" t="s">
        <v>56</v>
      </c>
      <c r="U87" s="32"/>
      <c r="V87" s="32"/>
      <c r="W87" s="32"/>
      <c r="X87" s="32" t="s">
        <v>418</v>
      </c>
      <c r="Y87" s="32" t="n">
        <v>-9.6019763</v>
      </c>
      <c r="Z87" s="32" t="n">
        <v>-48.444898</v>
      </c>
      <c r="AA87" s="44" t="s">
        <v>396</v>
      </c>
      <c r="AB87" s="32" t="s">
        <v>419</v>
      </c>
    </row>
    <row r="88" customFormat="false" ht="15" hidden="false" customHeight="false" outlineLevel="0" collapsed="false">
      <c r="A88" s="32" t="n">
        <v>87</v>
      </c>
      <c r="B88" s="32" t="s">
        <v>292</v>
      </c>
      <c r="C88" s="32"/>
      <c r="D88" s="32" t="s">
        <v>291</v>
      </c>
      <c r="E88" s="32" t="s">
        <v>293</v>
      </c>
      <c r="F88" s="37" t="n">
        <v>39.9550580827874</v>
      </c>
      <c r="G88" s="33" t="n">
        <v>719.185916293879</v>
      </c>
      <c r="H88" s="33" t="n">
        <v>79.9101161657516</v>
      </c>
      <c r="I88" s="8" t="s">
        <v>24</v>
      </c>
      <c r="J88" s="32" t="s">
        <v>82</v>
      </c>
      <c r="K88" s="32" t="s">
        <v>107</v>
      </c>
      <c r="L88" s="32" t="n">
        <v>9</v>
      </c>
      <c r="M88" s="32" t="s">
        <v>56</v>
      </c>
      <c r="N88" s="32" t="s">
        <v>413</v>
      </c>
      <c r="O88" s="32" t="s">
        <v>57</v>
      </c>
      <c r="P88" s="32" t="s">
        <v>43</v>
      </c>
      <c r="Q88" s="32" t="n">
        <v>0</v>
      </c>
      <c r="R88" s="32"/>
      <c r="S88" s="32" t="s">
        <v>41</v>
      </c>
      <c r="T88" s="32" t="s">
        <v>56</v>
      </c>
      <c r="U88" s="32"/>
      <c r="V88" s="32"/>
      <c r="W88" s="32"/>
      <c r="X88" s="32" t="s">
        <v>418</v>
      </c>
      <c r="Y88" s="32" t="n">
        <v>-9.601617</v>
      </c>
      <c r="Z88" s="32" t="n">
        <v>-48.444898</v>
      </c>
      <c r="AA88" s="44" t="s">
        <v>396</v>
      </c>
      <c r="AB88" s="32" t="s">
        <v>419</v>
      </c>
    </row>
    <row r="89" customFormat="false" ht="15" hidden="false" customHeight="false" outlineLevel="0" collapsed="false">
      <c r="A89" s="32" t="n">
        <v>88</v>
      </c>
      <c r="B89" s="32" t="s">
        <v>294</v>
      </c>
      <c r="C89" s="32"/>
      <c r="D89" s="32" t="s">
        <v>293</v>
      </c>
      <c r="E89" s="32" t="s">
        <v>295</v>
      </c>
      <c r="F89" s="37" t="n">
        <v>39.9550580827874</v>
      </c>
      <c r="G89" s="33" t="n">
        <v>759.140974376666</v>
      </c>
      <c r="H89" s="33" t="n">
        <v>119.865174248539</v>
      </c>
      <c r="I89" s="8" t="s">
        <v>24</v>
      </c>
      <c r="J89" s="32" t="s">
        <v>82</v>
      </c>
      <c r="K89" s="32" t="s">
        <v>107</v>
      </c>
      <c r="L89" s="32" t="n">
        <v>9</v>
      </c>
      <c r="M89" s="32" t="s">
        <v>56</v>
      </c>
      <c r="N89" s="32" t="s">
        <v>413</v>
      </c>
      <c r="O89" s="32" t="s">
        <v>57</v>
      </c>
      <c r="P89" s="32" t="s">
        <v>43</v>
      </c>
      <c r="Q89" s="32" t="n">
        <v>0</v>
      </c>
      <c r="R89" s="32"/>
      <c r="S89" s="32" t="s">
        <v>41</v>
      </c>
      <c r="T89" s="32" t="s">
        <v>56</v>
      </c>
      <c r="U89" s="32"/>
      <c r="V89" s="32"/>
      <c r="W89" s="32"/>
      <c r="X89" s="32" t="s">
        <v>418</v>
      </c>
      <c r="Y89" s="32" t="n">
        <v>-9.6012576</v>
      </c>
      <c r="Z89" s="32" t="n">
        <v>-48.444898</v>
      </c>
      <c r="AA89" s="44" t="s">
        <v>396</v>
      </c>
      <c r="AB89" s="32" t="s">
        <v>419</v>
      </c>
    </row>
    <row r="90" customFormat="false" ht="15" hidden="false" customHeight="false" outlineLevel="0" collapsed="false">
      <c r="A90" s="32" t="n">
        <v>89</v>
      </c>
      <c r="B90" s="32" t="s">
        <v>296</v>
      </c>
      <c r="C90" s="32"/>
      <c r="D90" s="32" t="s">
        <v>295</v>
      </c>
      <c r="E90" s="32" t="s">
        <v>297</v>
      </c>
      <c r="F90" s="37" t="n">
        <v>39.9550580829642</v>
      </c>
      <c r="G90" s="33" t="n">
        <v>799.09603245963</v>
      </c>
      <c r="H90" s="33" t="n">
        <v>159.820232331503</v>
      </c>
      <c r="I90" s="8" t="s">
        <v>24</v>
      </c>
      <c r="J90" s="32" t="s">
        <v>82</v>
      </c>
      <c r="K90" s="32" t="s">
        <v>107</v>
      </c>
      <c r="L90" s="32" t="n">
        <v>9</v>
      </c>
      <c r="M90" s="32" t="s">
        <v>56</v>
      </c>
      <c r="N90" s="32" t="s">
        <v>413</v>
      </c>
      <c r="O90" s="32" t="s">
        <v>57</v>
      </c>
      <c r="P90" s="32" t="s">
        <v>43</v>
      </c>
      <c r="Q90" s="32" t="n">
        <v>0</v>
      </c>
      <c r="R90" s="32"/>
      <c r="S90" s="32" t="s">
        <v>41</v>
      </c>
      <c r="T90" s="32" t="s">
        <v>56</v>
      </c>
      <c r="U90" s="32"/>
      <c r="V90" s="32"/>
      <c r="W90" s="32"/>
      <c r="X90" s="32" t="s">
        <v>418</v>
      </c>
      <c r="Y90" s="32" t="n">
        <v>-9.6008983</v>
      </c>
      <c r="Z90" s="32" t="n">
        <v>-48.444898</v>
      </c>
      <c r="AA90" s="44" t="s">
        <v>396</v>
      </c>
      <c r="AB90" s="32" t="s">
        <v>419</v>
      </c>
    </row>
    <row r="91" customFormat="false" ht="15" hidden="false" customHeight="false" outlineLevel="0" collapsed="false">
      <c r="A91" s="32" t="n">
        <v>90</v>
      </c>
      <c r="B91" s="32" t="s">
        <v>298</v>
      </c>
      <c r="C91" s="32"/>
      <c r="D91" s="32" t="s">
        <v>159</v>
      </c>
      <c r="E91" s="32" t="s">
        <v>299</v>
      </c>
      <c r="F91" s="37" t="n">
        <v>43.9505638910308</v>
      </c>
      <c r="G91" s="33" t="n">
        <v>922.951583319837</v>
      </c>
      <c r="H91" s="33" t="n">
        <v>263.700818748038</v>
      </c>
      <c r="I91" s="7" t="s">
        <v>23</v>
      </c>
      <c r="J91" s="32" t="s">
        <v>82</v>
      </c>
      <c r="K91" s="32" t="s">
        <v>108</v>
      </c>
      <c r="L91" s="32" t="n">
        <v>10</v>
      </c>
      <c r="M91" s="32" t="s">
        <v>42</v>
      </c>
      <c r="N91" s="32" t="s">
        <v>400</v>
      </c>
      <c r="O91" s="32" t="s">
        <v>60</v>
      </c>
      <c r="P91" s="32" t="s">
        <v>60</v>
      </c>
      <c r="Q91" s="32" t="n">
        <v>1</v>
      </c>
      <c r="R91" s="32"/>
      <c r="S91" s="32" t="s">
        <v>41</v>
      </c>
      <c r="T91" s="32" t="s">
        <v>42</v>
      </c>
      <c r="U91" s="32"/>
      <c r="V91" s="32"/>
      <c r="W91" s="32"/>
      <c r="X91" s="32" t="s">
        <v>402</v>
      </c>
      <c r="Y91" s="32" t="n">
        <v>-9.6041502</v>
      </c>
      <c r="Z91" s="32" t="n">
        <v>-48.4408893</v>
      </c>
      <c r="AA91" s="44" t="s">
        <v>396</v>
      </c>
      <c r="AB91" s="32" t="s">
        <v>403</v>
      </c>
    </row>
    <row r="92" customFormat="false" ht="15" hidden="false" customHeight="false" outlineLevel="0" collapsed="false">
      <c r="A92" s="32" t="n">
        <v>91</v>
      </c>
      <c r="B92" s="32" t="s">
        <v>300</v>
      </c>
      <c r="C92" s="32"/>
      <c r="D92" s="32" t="s">
        <v>299</v>
      </c>
      <c r="E92" s="32" t="s">
        <v>301</v>
      </c>
      <c r="F92" s="37" t="n">
        <v>43.9505638913844</v>
      </c>
      <c r="G92" s="33" t="n">
        <v>966.902147211221</v>
      </c>
      <c r="H92" s="33" t="n">
        <v>307.651382639422</v>
      </c>
      <c r="I92" s="7" t="s">
        <v>23</v>
      </c>
      <c r="J92" s="32" t="s">
        <v>82</v>
      </c>
      <c r="K92" s="32" t="s">
        <v>108</v>
      </c>
      <c r="L92" s="32" t="n">
        <v>10</v>
      </c>
      <c r="M92" s="32" t="s">
        <v>42</v>
      </c>
      <c r="N92" s="32" t="s">
        <v>400</v>
      </c>
      <c r="O92" s="32" t="s">
        <v>60</v>
      </c>
      <c r="P92" s="32" t="s">
        <v>60</v>
      </c>
      <c r="Q92" s="32" t="n">
        <v>1</v>
      </c>
      <c r="R92" s="32"/>
      <c r="S92" s="32" t="s">
        <v>41</v>
      </c>
      <c r="T92" s="32" t="s">
        <v>42</v>
      </c>
      <c r="U92" s="32"/>
      <c r="V92" s="32"/>
      <c r="W92" s="32"/>
      <c r="X92" s="32" t="s">
        <v>402</v>
      </c>
      <c r="Y92" s="32" t="n">
        <v>-9.6045455</v>
      </c>
      <c r="Z92" s="32" t="n">
        <v>-48.4408893</v>
      </c>
      <c r="AA92" s="44" t="s">
        <v>396</v>
      </c>
      <c r="AB92" s="32" t="s">
        <v>403</v>
      </c>
    </row>
    <row r="93" customFormat="false" ht="15" hidden="false" customHeight="false" outlineLevel="0" collapsed="false">
      <c r="A93" s="32" t="n">
        <v>92</v>
      </c>
      <c r="B93" s="32" t="s">
        <v>302</v>
      </c>
      <c r="C93" s="32"/>
      <c r="D93" s="32" t="s">
        <v>301</v>
      </c>
      <c r="E93" s="32" t="s">
        <v>303</v>
      </c>
      <c r="F93" s="37" t="n">
        <v>43.9505638910308</v>
      </c>
      <c r="G93" s="33" t="n">
        <v>1010.85271110225</v>
      </c>
      <c r="H93" s="33" t="n">
        <v>351.601946530453</v>
      </c>
      <c r="I93" s="7" t="s">
        <v>23</v>
      </c>
      <c r="J93" s="32" t="s">
        <v>82</v>
      </c>
      <c r="K93" s="32" t="s">
        <v>108</v>
      </c>
      <c r="L93" s="32" t="n">
        <v>10</v>
      </c>
      <c r="M93" s="32" t="s">
        <v>42</v>
      </c>
      <c r="N93" s="32" t="s">
        <v>400</v>
      </c>
      <c r="O93" s="32" t="s">
        <v>60</v>
      </c>
      <c r="P93" s="32" t="s">
        <v>60</v>
      </c>
      <c r="Q93" s="32" t="n">
        <v>1</v>
      </c>
      <c r="R93" s="32"/>
      <c r="S93" s="32" t="s">
        <v>41</v>
      </c>
      <c r="T93" s="32" t="s">
        <v>42</v>
      </c>
      <c r="U93" s="32"/>
      <c r="V93" s="32"/>
      <c r="W93" s="32"/>
      <c r="X93" s="32" t="s">
        <v>402</v>
      </c>
      <c r="Y93" s="32" t="n">
        <v>-9.6049407</v>
      </c>
      <c r="Z93" s="32" t="n">
        <v>-48.4408893</v>
      </c>
      <c r="AA93" s="44" t="s">
        <v>396</v>
      </c>
      <c r="AB93" s="32" t="s">
        <v>403</v>
      </c>
    </row>
    <row r="94" customFormat="false" ht="15" hidden="false" customHeight="false" outlineLevel="0" collapsed="false">
      <c r="A94" s="32" t="n">
        <v>93</v>
      </c>
      <c r="B94" s="32" t="s">
        <v>304</v>
      </c>
      <c r="C94" s="32"/>
      <c r="D94" s="32" t="s">
        <v>303</v>
      </c>
      <c r="E94" s="32" t="s">
        <v>305</v>
      </c>
      <c r="F94" s="37" t="n">
        <v>43.9505638912076</v>
      </c>
      <c r="G94" s="33" t="n">
        <v>1054.80327499346</v>
      </c>
      <c r="H94" s="33" t="n">
        <v>395.55251042166</v>
      </c>
      <c r="I94" s="7" t="s">
        <v>23</v>
      </c>
      <c r="J94" s="32" t="s">
        <v>82</v>
      </c>
      <c r="K94" s="32" t="s">
        <v>108</v>
      </c>
      <c r="L94" s="32" t="n">
        <v>10</v>
      </c>
      <c r="M94" s="32" t="s">
        <v>42</v>
      </c>
      <c r="N94" s="32" t="s">
        <v>400</v>
      </c>
      <c r="O94" s="32" t="s">
        <v>60</v>
      </c>
      <c r="P94" s="32" t="s">
        <v>60</v>
      </c>
      <c r="Q94" s="32" t="n">
        <v>1</v>
      </c>
      <c r="R94" s="32"/>
      <c r="S94" s="32" t="s">
        <v>41</v>
      </c>
      <c r="T94" s="32" t="s">
        <v>42</v>
      </c>
      <c r="U94" s="32"/>
      <c r="V94" s="32"/>
      <c r="W94" s="32"/>
      <c r="X94" s="32" t="s">
        <v>402</v>
      </c>
      <c r="Y94" s="32" t="n">
        <v>-9.605336</v>
      </c>
      <c r="Z94" s="32" t="n">
        <v>-48.4408893</v>
      </c>
      <c r="AA94" s="44" t="s">
        <v>396</v>
      </c>
      <c r="AB94" s="32" t="s">
        <v>403</v>
      </c>
    </row>
    <row r="95" customFormat="false" ht="15" hidden="false" customHeight="false" outlineLevel="0" collapsed="false">
      <c r="A95" s="32" t="n">
        <v>94</v>
      </c>
      <c r="B95" s="32" t="s">
        <v>306</v>
      </c>
      <c r="C95" s="32"/>
      <c r="D95" s="32" t="s">
        <v>305</v>
      </c>
      <c r="E95" s="32" t="s">
        <v>307</v>
      </c>
      <c r="F95" s="37" t="n">
        <v>43.9505638910308</v>
      </c>
      <c r="G95" s="33" t="n">
        <v>1098.75383888449</v>
      </c>
      <c r="H95" s="33" t="n">
        <v>439.503074312691</v>
      </c>
      <c r="I95" s="7" t="s">
        <v>23</v>
      </c>
      <c r="J95" s="32" t="s">
        <v>82</v>
      </c>
      <c r="K95" s="32" t="s">
        <v>108</v>
      </c>
      <c r="L95" s="32" t="n">
        <v>10</v>
      </c>
      <c r="M95" s="32" t="s">
        <v>42</v>
      </c>
      <c r="N95" s="32" t="s">
        <v>400</v>
      </c>
      <c r="O95" s="32" t="s">
        <v>60</v>
      </c>
      <c r="P95" s="32" t="s">
        <v>60</v>
      </c>
      <c r="Q95" s="32" t="n">
        <v>1</v>
      </c>
      <c r="R95" s="32"/>
      <c r="S95" s="32" t="s">
        <v>41</v>
      </c>
      <c r="T95" s="32" t="s">
        <v>42</v>
      </c>
      <c r="U95" s="32"/>
      <c r="V95" s="32"/>
      <c r="W95" s="32"/>
      <c r="X95" s="32" t="s">
        <v>402</v>
      </c>
      <c r="Y95" s="32" t="n">
        <v>-9.6057312</v>
      </c>
      <c r="Z95" s="32" t="n">
        <v>-48.4408893</v>
      </c>
      <c r="AA95" s="44" t="s">
        <v>396</v>
      </c>
      <c r="AB95" s="32" t="s">
        <v>403</v>
      </c>
    </row>
    <row r="96" customFormat="false" ht="15" hidden="false" customHeight="false" outlineLevel="0" collapsed="false">
      <c r="A96" s="32" t="n">
        <v>95</v>
      </c>
      <c r="B96" s="32" t="s">
        <v>308</v>
      </c>
      <c r="C96" s="32"/>
      <c r="D96" s="32" t="s">
        <v>307</v>
      </c>
      <c r="E96" s="32" t="s">
        <v>309</v>
      </c>
      <c r="F96" s="37" t="n">
        <v>43.9505638910308</v>
      </c>
      <c r="G96" s="33" t="n">
        <v>1142.70440277552</v>
      </c>
      <c r="H96" s="33" t="n">
        <v>43.9505638910307</v>
      </c>
      <c r="I96" s="8" t="s">
        <v>24</v>
      </c>
      <c r="J96" s="32" t="s">
        <v>82</v>
      </c>
      <c r="K96" s="32" t="s">
        <v>108</v>
      </c>
      <c r="L96" s="32" t="n">
        <v>11</v>
      </c>
      <c r="M96" s="32" t="s">
        <v>60</v>
      </c>
      <c r="N96" s="32" t="s">
        <v>413</v>
      </c>
      <c r="O96" s="32" t="s">
        <v>61</v>
      </c>
      <c r="P96" s="32" t="s">
        <v>43</v>
      </c>
      <c r="Q96" s="32" t="n">
        <v>0</v>
      </c>
      <c r="R96" s="32"/>
      <c r="S96" s="32" t="s">
        <v>41</v>
      </c>
      <c r="T96" s="32" t="s">
        <v>42</v>
      </c>
      <c r="U96" s="32" t="s">
        <v>60</v>
      </c>
      <c r="V96" s="32"/>
      <c r="W96" s="32"/>
      <c r="X96" s="32" t="s">
        <v>420</v>
      </c>
      <c r="Y96" s="32" t="n">
        <v>-9.6061265</v>
      </c>
      <c r="Z96" s="32" t="n">
        <v>-48.4408893</v>
      </c>
      <c r="AA96" s="44" t="s">
        <v>396</v>
      </c>
      <c r="AB96" s="32" t="s">
        <v>421</v>
      </c>
    </row>
    <row r="97" customFormat="false" ht="15" hidden="false" customHeight="false" outlineLevel="0" collapsed="false">
      <c r="A97" s="32" t="n">
        <v>96</v>
      </c>
      <c r="B97" s="32" t="s">
        <v>310</v>
      </c>
      <c r="C97" s="32"/>
      <c r="D97" s="32" t="s">
        <v>309</v>
      </c>
      <c r="E97" s="32" t="s">
        <v>311</v>
      </c>
      <c r="F97" s="37" t="n">
        <v>43.9505638913844</v>
      </c>
      <c r="G97" s="33" t="n">
        <v>1186.65496666691</v>
      </c>
      <c r="H97" s="33" t="n">
        <v>87.9011277824152</v>
      </c>
      <c r="I97" s="8" t="s">
        <v>24</v>
      </c>
      <c r="J97" s="32" t="s">
        <v>82</v>
      </c>
      <c r="K97" s="32" t="s">
        <v>108</v>
      </c>
      <c r="L97" s="32" t="n">
        <v>11</v>
      </c>
      <c r="M97" s="32" t="s">
        <v>60</v>
      </c>
      <c r="N97" s="32" t="s">
        <v>413</v>
      </c>
      <c r="O97" s="32" t="s">
        <v>61</v>
      </c>
      <c r="P97" s="32" t="s">
        <v>43</v>
      </c>
      <c r="Q97" s="32" t="n">
        <v>0</v>
      </c>
      <c r="R97" s="32"/>
      <c r="S97" s="32" t="s">
        <v>41</v>
      </c>
      <c r="T97" s="32" t="s">
        <v>42</v>
      </c>
      <c r="U97" s="32" t="s">
        <v>60</v>
      </c>
      <c r="V97" s="32"/>
      <c r="W97" s="32"/>
      <c r="X97" s="32" t="s">
        <v>420</v>
      </c>
      <c r="Y97" s="32" t="n">
        <v>-9.6065217</v>
      </c>
      <c r="Z97" s="32" t="n">
        <v>-48.4408893</v>
      </c>
      <c r="AA97" s="44" t="s">
        <v>396</v>
      </c>
      <c r="AB97" s="32" t="s">
        <v>421</v>
      </c>
    </row>
    <row r="98" customFormat="false" ht="15" hidden="false" customHeight="false" outlineLevel="0" collapsed="false">
      <c r="A98" s="32" t="n">
        <v>97</v>
      </c>
      <c r="B98" s="32" t="s">
        <v>312</v>
      </c>
      <c r="C98" s="32"/>
      <c r="D98" s="32" t="s">
        <v>311</v>
      </c>
      <c r="E98" s="32" t="s">
        <v>313</v>
      </c>
      <c r="F98" s="37" t="n">
        <v>43.9505638910308</v>
      </c>
      <c r="G98" s="33" t="n">
        <v>1230.60553055794</v>
      </c>
      <c r="H98" s="33" t="n">
        <v>131.851691673446</v>
      </c>
      <c r="I98" s="8" t="s">
        <v>24</v>
      </c>
      <c r="J98" s="32" t="s">
        <v>82</v>
      </c>
      <c r="K98" s="32" t="s">
        <v>108</v>
      </c>
      <c r="L98" s="32" t="n">
        <v>11</v>
      </c>
      <c r="M98" s="32" t="s">
        <v>60</v>
      </c>
      <c r="N98" s="32" t="s">
        <v>413</v>
      </c>
      <c r="O98" s="32" t="s">
        <v>61</v>
      </c>
      <c r="P98" s="32" t="s">
        <v>43</v>
      </c>
      <c r="Q98" s="32" t="n">
        <v>0</v>
      </c>
      <c r="R98" s="32"/>
      <c r="S98" s="32" t="s">
        <v>41</v>
      </c>
      <c r="T98" s="32" t="s">
        <v>42</v>
      </c>
      <c r="U98" s="32" t="s">
        <v>60</v>
      </c>
      <c r="V98" s="32"/>
      <c r="W98" s="32"/>
      <c r="X98" s="32" t="s">
        <v>420</v>
      </c>
      <c r="Y98" s="32" t="n">
        <v>-9.606917</v>
      </c>
      <c r="Z98" s="32" t="n">
        <v>-48.4408893</v>
      </c>
      <c r="AA98" s="44" t="s">
        <v>396</v>
      </c>
      <c r="AB98" s="32" t="s">
        <v>421</v>
      </c>
    </row>
    <row r="99" customFormat="false" ht="15" hidden="false" customHeight="false" outlineLevel="0" collapsed="false">
      <c r="A99" s="32" t="n">
        <v>98</v>
      </c>
      <c r="B99" s="32" t="s">
        <v>314</v>
      </c>
      <c r="C99" s="32"/>
      <c r="D99" s="32" t="s">
        <v>313</v>
      </c>
      <c r="E99" s="32" t="s">
        <v>315</v>
      </c>
      <c r="F99" s="37" t="n">
        <v>43.9505638912076</v>
      </c>
      <c r="G99" s="33" t="n">
        <v>1274.55609444914</v>
      </c>
      <c r="H99" s="33" t="n">
        <v>175.802255564654</v>
      </c>
      <c r="I99" s="8" t="s">
        <v>24</v>
      </c>
      <c r="J99" s="32" t="s">
        <v>82</v>
      </c>
      <c r="K99" s="32" t="s">
        <v>108</v>
      </c>
      <c r="L99" s="32" t="n">
        <v>11</v>
      </c>
      <c r="M99" s="32" t="s">
        <v>60</v>
      </c>
      <c r="N99" s="32" t="s">
        <v>413</v>
      </c>
      <c r="O99" s="32" t="s">
        <v>61</v>
      </c>
      <c r="P99" s="32" t="s">
        <v>43</v>
      </c>
      <c r="Q99" s="32" t="n">
        <v>0</v>
      </c>
      <c r="R99" s="32"/>
      <c r="S99" s="32" t="s">
        <v>41</v>
      </c>
      <c r="T99" s="32" t="s">
        <v>42</v>
      </c>
      <c r="U99" s="32" t="s">
        <v>60</v>
      </c>
      <c r="V99" s="32"/>
      <c r="W99" s="32"/>
      <c r="X99" s="32" t="s">
        <v>420</v>
      </c>
      <c r="Y99" s="32" t="n">
        <v>-9.6073123</v>
      </c>
      <c r="Z99" s="32" t="n">
        <v>-48.4408893</v>
      </c>
      <c r="AA99" s="44" t="s">
        <v>396</v>
      </c>
      <c r="AB99" s="32" t="s">
        <v>421</v>
      </c>
    </row>
    <row r="100" customFormat="false" ht="15" hidden="false" customHeight="false" outlineLevel="0" collapsed="false">
      <c r="A100" s="32" t="n">
        <v>99</v>
      </c>
      <c r="B100" s="32" t="s">
        <v>316</v>
      </c>
      <c r="C100" s="32"/>
      <c r="D100" s="32" t="s">
        <v>315</v>
      </c>
      <c r="E100" s="32" t="s">
        <v>317</v>
      </c>
      <c r="F100" s="37" t="n">
        <v>43.9505638910308</v>
      </c>
      <c r="G100" s="33" t="n">
        <v>1318.50665834017</v>
      </c>
      <c r="H100" s="33" t="n">
        <v>219.752819455684</v>
      </c>
      <c r="I100" s="8" t="s">
        <v>24</v>
      </c>
      <c r="J100" s="32" t="s">
        <v>82</v>
      </c>
      <c r="K100" s="32" t="s">
        <v>108</v>
      </c>
      <c r="L100" s="32" t="n">
        <v>11</v>
      </c>
      <c r="M100" s="32" t="s">
        <v>60</v>
      </c>
      <c r="N100" s="32" t="s">
        <v>413</v>
      </c>
      <c r="O100" s="32" t="s">
        <v>61</v>
      </c>
      <c r="P100" s="32" t="s">
        <v>43</v>
      </c>
      <c r="Q100" s="32" t="n">
        <v>0</v>
      </c>
      <c r="R100" s="32"/>
      <c r="S100" s="32" t="s">
        <v>41</v>
      </c>
      <c r="T100" s="32" t="s">
        <v>42</v>
      </c>
      <c r="U100" s="32" t="s">
        <v>60</v>
      </c>
      <c r="V100" s="32"/>
      <c r="W100" s="32"/>
      <c r="X100" s="32" t="s">
        <v>420</v>
      </c>
      <c r="Y100" s="32" t="n">
        <v>-9.6077075</v>
      </c>
      <c r="Z100" s="32" t="n">
        <v>-48.4408893</v>
      </c>
      <c r="AA100" s="44" t="s">
        <v>396</v>
      </c>
      <c r="AB100" s="32" t="s">
        <v>421</v>
      </c>
    </row>
    <row r="101" customFormat="false" ht="15" hidden="false" customHeight="false" outlineLevel="0" collapsed="false">
      <c r="A101" s="32" t="n">
        <v>100</v>
      </c>
      <c r="B101" s="32" t="s">
        <v>318</v>
      </c>
      <c r="C101" s="32"/>
      <c r="D101" s="32" t="s">
        <v>171</v>
      </c>
      <c r="E101" s="32" t="s">
        <v>319</v>
      </c>
      <c r="F101" s="37" t="n">
        <v>39.9550580829642</v>
      </c>
      <c r="G101" s="33" t="n">
        <v>1138.70633236878</v>
      </c>
      <c r="H101" s="33" t="n">
        <v>479.455567796981</v>
      </c>
      <c r="I101" s="7" t="s">
        <v>23</v>
      </c>
      <c r="J101" s="32" t="s">
        <v>82</v>
      </c>
      <c r="K101" s="32" t="s">
        <v>109</v>
      </c>
      <c r="L101" s="32" t="n">
        <v>12</v>
      </c>
      <c r="M101" s="32" t="s">
        <v>42</v>
      </c>
      <c r="N101" s="32" t="s">
        <v>400</v>
      </c>
      <c r="O101" s="32" t="s">
        <v>64</v>
      </c>
      <c r="P101" s="32" t="s">
        <v>43</v>
      </c>
      <c r="Q101" s="32" t="n">
        <v>0</v>
      </c>
      <c r="R101" s="32"/>
      <c r="S101" s="32" t="s">
        <v>41</v>
      </c>
      <c r="T101" s="32" t="s">
        <v>42</v>
      </c>
      <c r="U101" s="32"/>
      <c r="V101" s="32"/>
      <c r="W101" s="32"/>
      <c r="X101" s="32" t="s">
        <v>402</v>
      </c>
      <c r="Y101" s="32" t="n">
        <v>-9.6037729</v>
      </c>
      <c r="Z101" s="32" t="n">
        <v>-48.4388849</v>
      </c>
      <c r="AA101" s="44" t="s">
        <v>396</v>
      </c>
      <c r="AB101" s="32" t="s">
        <v>403</v>
      </c>
    </row>
    <row r="102" customFormat="false" ht="15" hidden="false" customHeight="false" outlineLevel="0" collapsed="false">
      <c r="A102" s="32" t="n">
        <v>101</v>
      </c>
      <c r="B102" s="32" t="s">
        <v>320</v>
      </c>
      <c r="C102" s="32"/>
      <c r="D102" s="32" t="s">
        <v>319</v>
      </c>
      <c r="E102" s="32" t="s">
        <v>321</v>
      </c>
      <c r="F102" s="37" t="n">
        <v>39.9550580826105</v>
      </c>
      <c r="G102" s="33" t="n">
        <v>1178.66139045139</v>
      </c>
      <c r="H102" s="33" t="n">
        <v>519.410625879592</v>
      </c>
      <c r="I102" s="7" t="s">
        <v>23</v>
      </c>
      <c r="J102" s="32" t="s">
        <v>82</v>
      </c>
      <c r="K102" s="32" t="s">
        <v>109</v>
      </c>
      <c r="L102" s="32" t="n">
        <v>12</v>
      </c>
      <c r="M102" s="32" t="s">
        <v>42</v>
      </c>
      <c r="N102" s="32" t="s">
        <v>400</v>
      </c>
      <c r="O102" s="32" t="s">
        <v>64</v>
      </c>
      <c r="P102" s="32" t="s">
        <v>43</v>
      </c>
      <c r="Q102" s="32" t="n">
        <v>0</v>
      </c>
      <c r="R102" s="32"/>
      <c r="S102" s="32" t="s">
        <v>41</v>
      </c>
      <c r="T102" s="32" t="s">
        <v>42</v>
      </c>
      <c r="U102" s="32"/>
      <c r="V102" s="32"/>
      <c r="W102" s="32"/>
      <c r="X102" s="32" t="s">
        <v>402</v>
      </c>
      <c r="Y102" s="32" t="n">
        <v>-9.6034136</v>
      </c>
      <c r="Z102" s="32" t="n">
        <v>-48.4388849</v>
      </c>
      <c r="AA102" s="44" t="s">
        <v>396</v>
      </c>
      <c r="AB102" s="32" t="s">
        <v>403</v>
      </c>
    </row>
    <row r="103" customFormat="false" ht="15" hidden="false" customHeight="false" outlineLevel="0" collapsed="false">
      <c r="A103" s="32" t="n">
        <v>102</v>
      </c>
      <c r="B103" s="32" t="s">
        <v>322</v>
      </c>
      <c r="C103" s="32"/>
      <c r="D103" s="32" t="s">
        <v>321</v>
      </c>
      <c r="E103" s="32" t="s">
        <v>323</v>
      </c>
      <c r="F103" s="37" t="n">
        <v>39.9550580829642</v>
      </c>
      <c r="G103" s="33" t="n">
        <v>1218.61644853436</v>
      </c>
      <c r="H103" s="33" t="n">
        <v>559.365683962556</v>
      </c>
      <c r="I103" s="7" t="s">
        <v>23</v>
      </c>
      <c r="J103" s="32" t="s">
        <v>82</v>
      </c>
      <c r="K103" s="32" t="s">
        <v>109</v>
      </c>
      <c r="L103" s="32" t="n">
        <v>12</v>
      </c>
      <c r="M103" s="32" t="s">
        <v>42</v>
      </c>
      <c r="N103" s="32" t="s">
        <v>400</v>
      </c>
      <c r="O103" s="32" t="s">
        <v>64</v>
      </c>
      <c r="P103" s="32" t="s">
        <v>43</v>
      </c>
      <c r="Q103" s="32" t="n">
        <v>0</v>
      </c>
      <c r="R103" s="32"/>
      <c r="S103" s="32" t="s">
        <v>41</v>
      </c>
      <c r="T103" s="32" t="s">
        <v>42</v>
      </c>
      <c r="U103" s="32"/>
      <c r="V103" s="32"/>
      <c r="W103" s="32"/>
      <c r="X103" s="32" t="s">
        <v>402</v>
      </c>
      <c r="Y103" s="32" t="n">
        <v>-9.6030543</v>
      </c>
      <c r="Z103" s="32" t="n">
        <v>-48.4388849</v>
      </c>
      <c r="AA103" s="44" t="s">
        <v>396</v>
      </c>
      <c r="AB103" s="32" t="s">
        <v>403</v>
      </c>
    </row>
    <row r="104" customFormat="false" ht="15" hidden="false" customHeight="false" outlineLevel="0" collapsed="false">
      <c r="A104" s="32" t="n">
        <v>103</v>
      </c>
      <c r="B104" s="32" t="s">
        <v>324</v>
      </c>
      <c r="C104" s="32"/>
      <c r="D104" s="32" t="s">
        <v>323</v>
      </c>
      <c r="E104" s="32" t="s">
        <v>325</v>
      </c>
      <c r="F104" s="37" t="n">
        <v>39.9550580829642</v>
      </c>
      <c r="G104" s="33" t="n">
        <v>1258.57150661732</v>
      </c>
      <c r="H104" s="33" t="n">
        <v>599.32074204552</v>
      </c>
      <c r="I104" s="7" t="s">
        <v>23</v>
      </c>
      <c r="J104" s="32" t="s">
        <v>82</v>
      </c>
      <c r="K104" s="32" t="s">
        <v>109</v>
      </c>
      <c r="L104" s="32" t="n">
        <v>12</v>
      </c>
      <c r="M104" s="32" t="s">
        <v>42</v>
      </c>
      <c r="N104" s="32" t="s">
        <v>400</v>
      </c>
      <c r="O104" s="32" t="s">
        <v>64</v>
      </c>
      <c r="P104" s="32" t="s">
        <v>43</v>
      </c>
      <c r="Q104" s="32" t="n">
        <v>0</v>
      </c>
      <c r="R104" s="32"/>
      <c r="S104" s="32" t="s">
        <v>41</v>
      </c>
      <c r="T104" s="32" t="s">
        <v>42</v>
      </c>
      <c r="U104" s="32"/>
      <c r="V104" s="32"/>
      <c r="W104" s="32"/>
      <c r="X104" s="32" t="s">
        <v>402</v>
      </c>
      <c r="Y104" s="32" t="n">
        <v>-9.6026949</v>
      </c>
      <c r="Z104" s="32" t="n">
        <v>-48.4388849</v>
      </c>
      <c r="AA104" s="44" t="s">
        <v>396</v>
      </c>
      <c r="AB104" s="32" t="s">
        <v>403</v>
      </c>
    </row>
    <row r="105" customFormat="false" ht="15" hidden="false" customHeight="false" outlineLevel="0" collapsed="false">
      <c r="A105" s="32" t="n">
        <v>104</v>
      </c>
      <c r="B105" s="32" t="s">
        <v>326</v>
      </c>
      <c r="C105" s="32"/>
      <c r="D105" s="32" t="s">
        <v>325</v>
      </c>
      <c r="E105" s="32" t="s">
        <v>327</v>
      </c>
      <c r="F105" s="37" t="n">
        <v>39.9550580826105</v>
      </c>
      <c r="G105" s="33" t="n">
        <v>1298.52656469993</v>
      </c>
      <c r="H105" s="33" t="n">
        <v>639.275800128131</v>
      </c>
      <c r="I105" s="7" t="s">
        <v>23</v>
      </c>
      <c r="J105" s="32" t="s">
        <v>82</v>
      </c>
      <c r="K105" s="32" t="s">
        <v>109</v>
      </c>
      <c r="L105" s="32" t="n">
        <v>12</v>
      </c>
      <c r="M105" s="32" t="s">
        <v>42</v>
      </c>
      <c r="N105" s="32" t="s">
        <v>400</v>
      </c>
      <c r="O105" s="32" t="s">
        <v>64</v>
      </c>
      <c r="P105" s="32" t="s">
        <v>43</v>
      </c>
      <c r="Q105" s="32" t="n">
        <v>0</v>
      </c>
      <c r="R105" s="32"/>
      <c r="S105" s="32" t="s">
        <v>41</v>
      </c>
      <c r="T105" s="32" t="s">
        <v>42</v>
      </c>
      <c r="U105" s="32"/>
      <c r="V105" s="32"/>
      <c r="W105" s="32"/>
      <c r="X105" s="32" t="s">
        <v>402</v>
      </c>
      <c r="Y105" s="32" t="n">
        <v>-9.6023356</v>
      </c>
      <c r="Z105" s="32" t="n">
        <v>-48.4388849</v>
      </c>
      <c r="AA105" s="44" t="s">
        <v>396</v>
      </c>
      <c r="AB105" s="32" t="s">
        <v>403</v>
      </c>
    </row>
    <row r="106" customFormat="false" ht="15" hidden="false" customHeight="false" outlineLevel="0" collapsed="false">
      <c r="A106" s="32" t="n">
        <v>105</v>
      </c>
      <c r="B106" s="32" t="s">
        <v>328</v>
      </c>
      <c r="C106" s="32"/>
      <c r="D106" s="32" t="s">
        <v>327</v>
      </c>
      <c r="E106" s="32" t="s">
        <v>329</v>
      </c>
      <c r="F106" s="37" t="n">
        <v>39.9550580829642</v>
      </c>
      <c r="G106" s="33" t="n">
        <v>1338.48162278289</v>
      </c>
      <c r="H106" s="33" t="n">
        <v>679.230858211095</v>
      </c>
      <c r="I106" s="7" t="s">
        <v>23</v>
      </c>
      <c r="J106" s="32" t="s">
        <v>82</v>
      </c>
      <c r="K106" s="32" t="s">
        <v>109</v>
      </c>
      <c r="L106" s="32" t="n">
        <v>12</v>
      </c>
      <c r="M106" s="32" t="s">
        <v>42</v>
      </c>
      <c r="N106" s="32" t="s">
        <v>400</v>
      </c>
      <c r="O106" s="32" t="s">
        <v>64</v>
      </c>
      <c r="P106" s="32" t="s">
        <v>43</v>
      </c>
      <c r="Q106" s="32" t="n">
        <v>0</v>
      </c>
      <c r="R106" s="32"/>
      <c r="S106" s="32" t="s">
        <v>41</v>
      </c>
      <c r="T106" s="32" t="s">
        <v>42</v>
      </c>
      <c r="U106" s="32"/>
      <c r="V106" s="32"/>
      <c r="W106" s="32"/>
      <c r="X106" s="32" t="s">
        <v>402</v>
      </c>
      <c r="Y106" s="32" t="n">
        <v>-9.6019763</v>
      </c>
      <c r="Z106" s="32" t="n">
        <v>-48.4388849</v>
      </c>
      <c r="AA106" s="44" t="s">
        <v>396</v>
      </c>
      <c r="AB106" s="32" t="s">
        <v>403</v>
      </c>
    </row>
    <row r="107" customFormat="false" ht="15" hidden="false" customHeight="false" outlineLevel="0" collapsed="false">
      <c r="A107" s="32" t="n">
        <v>106</v>
      </c>
      <c r="B107" s="32" t="s">
        <v>330</v>
      </c>
      <c r="C107" s="32"/>
      <c r="D107" s="32" t="s">
        <v>329</v>
      </c>
      <c r="E107" s="32" t="s">
        <v>331</v>
      </c>
      <c r="F107" s="37" t="n">
        <v>39.9550580827874</v>
      </c>
      <c r="G107" s="33" t="n">
        <v>1378.43668086568</v>
      </c>
      <c r="H107" s="33" t="n">
        <v>719.185916293882</v>
      </c>
      <c r="I107" s="7" t="s">
        <v>23</v>
      </c>
      <c r="J107" s="32" t="s">
        <v>82</v>
      </c>
      <c r="K107" s="32" t="s">
        <v>109</v>
      </c>
      <c r="L107" s="32" t="n">
        <v>12</v>
      </c>
      <c r="M107" s="32" t="s">
        <v>42</v>
      </c>
      <c r="N107" s="32" t="s">
        <v>400</v>
      </c>
      <c r="O107" s="32" t="s">
        <v>64</v>
      </c>
      <c r="P107" s="32" t="s">
        <v>43</v>
      </c>
      <c r="Q107" s="32" t="n">
        <v>0</v>
      </c>
      <c r="R107" s="32"/>
      <c r="S107" s="32" t="s">
        <v>41</v>
      </c>
      <c r="T107" s="32" t="s">
        <v>42</v>
      </c>
      <c r="U107" s="32"/>
      <c r="V107" s="32"/>
      <c r="W107" s="32"/>
      <c r="X107" s="32" t="s">
        <v>402</v>
      </c>
      <c r="Y107" s="32" t="n">
        <v>-9.601617</v>
      </c>
      <c r="Z107" s="32" t="n">
        <v>-48.4388849</v>
      </c>
      <c r="AA107" s="44" t="s">
        <v>396</v>
      </c>
      <c r="AB107" s="32" t="s">
        <v>403</v>
      </c>
    </row>
    <row r="108" customFormat="false" ht="15" hidden="false" customHeight="false" outlineLevel="0" collapsed="false">
      <c r="A108" s="32" t="n">
        <v>107</v>
      </c>
      <c r="B108" s="32" t="s">
        <v>332</v>
      </c>
      <c r="C108" s="32"/>
      <c r="D108" s="32" t="s">
        <v>331</v>
      </c>
      <c r="E108" s="32" t="s">
        <v>333</v>
      </c>
      <c r="F108" s="37" t="n">
        <v>39.9550580827874</v>
      </c>
      <c r="G108" s="33" t="n">
        <v>1418.39173894847</v>
      </c>
      <c r="H108" s="33" t="n">
        <v>759.14097437667</v>
      </c>
      <c r="I108" s="7" t="s">
        <v>23</v>
      </c>
      <c r="J108" s="32" t="s">
        <v>82</v>
      </c>
      <c r="K108" s="32" t="s">
        <v>109</v>
      </c>
      <c r="L108" s="32" t="n">
        <v>12</v>
      </c>
      <c r="M108" s="32" t="s">
        <v>42</v>
      </c>
      <c r="N108" s="32" t="s">
        <v>400</v>
      </c>
      <c r="O108" s="32" t="s">
        <v>64</v>
      </c>
      <c r="P108" s="32" t="s">
        <v>43</v>
      </c>
      <c r="Q108" s="32" t="n">
        <v>0</v>
      </c>
      <c r="R108" s="32"/>
      <c r="S108" s="32" t="s">
        <v>41</v>
      </c>
      <c r="T108" s="32" t="s">
        <v>42</v>
      </c>
      <c r="U108" s="32"/>
      <c r="V108" s="32"/>
      <c r="W108" s="32"/>
      <c r="X108" s="32" t="s">
        <v>402</v>
      </c>
      <c r="Y108" s="32" t="n">
        <v>-9.6012576</v>
      </c>
      <c r="Z108" s="32" t="n">
        <v>-48.4388849</v>
      </c>
      <c r="AA108" s="44" t="s">
        <v>396</v>
      </c>
      <c r="AB108" s="32" t="s">
        <v>403</v>
      </c>
    </row>
    <row r="109" customFormat="false" ht="15" hidden="false" customHeight="false" outlineLevel="0" collapsed="false">
      <c r="A109" s="32" t="n">
        <v>108</v>
      </c>
      <c r="B109" s="32" t="s">
        <v>334</v>
      </c>
      <c r="C109" s="32"/>
      <c r="D109" s="32" t="s">
        <v>203</v>
      </c>
      <c r="E109" s="32" t="s">
        <v>335</v>
      </c>
      <c r="F109" s="37" t="n">
        <v>39.9550580829642</v>
      </c>
      <c r="G109" s="33" t="n">
        <v>1797.95942839399</v>
      </c>
      <c r="H109" s="33" t="n">
        <v>39.9550580829641</v>
      </c>
      <c r="I109" s="7" t="s">
        <v>23</v>
      </c>
      <c r="J109" s="32" t="s">
        <v>82</v>
      </c>
      <c r="K109" s="32" t="s">
        <v>110</v>
      </c>
      <c r="L109" s="32" t="n">
        <v>13</v>
      </c>
      <c r="M109" s="32" t="s">
        <v>66</v>
      </c>
      <c r="N109" s="32" t="s">
        <v>400</v>
      </c>
      <c r="O109" s="32" t="s">
        <v>67</v>
      </c>
      <c r="P109" s="32" t="s">
        <v>43</v>
      </c>
      <c r="Q109" s="32" t="n">
        <v>0</v>
      </c>
      <c r="R109" s="32"/>
      <c r="S109" s="32" t="s">
        <v>41</v>
      </c>
      <c r="T109" s="32" t="s">
        <v>42</v>
      </c>
      <c r="U109" s="32" t="s">
        <v>44</v>
      </c>
      <c r="V109" s="32" t="s">
        <v>66</v>
      </c>
      <c r="W109" s="32"/>
      <c r="X109" s="32" t="s">
        <v>422</v>
      </c>
      <c r="Y109" s="32" t="n">
        <v>-9.6019763</v>
      </c>
      <c r="Z109" s="32" t="n">
        <v>-48.434694</v>
      </c>
      <c r="AA109" s="44" t="s">
        <v>396</v>
      </c>
      <c r="AB109" s="32" t="s">
        <v>423</v>
      </c>
    </row>
    <row r="110" customFormat="false" ht="15" hidden="false" customHeight="false" outlineLevel="0" collapsed="false">
      <c r="A110" s="32" t="n">
        <v>109</v>
      </c>
      <c r="B110" s="32" t="s">
        <v>336</v>
      </c>
      <c r="C110" s="32"/>
      <c r="D110" s="32" t="s">
        <v>335</v>
      </c>
      <c r="E110" s="32" t="s">
        <v>337</v>
      </c>
      <c r="F110" s="37" t="n">
        <v>39.9550580827874</v>
      </c>
      <c r="G110" s="33" t="n">
        <v>1837.91448647678</v>
      </c>
      <c r="H110" s="33" t="n">
        <v>79.9101161657516</v>
      </c>
      <c r="I110" s="7" t="s">
        <v>23</v>
      </c>
      <c r="J110" s="32" t="s">
        <v>82</v>
      </c>
      <c r="K110" s="32" t="s">
        <v>110</v>
      </c>
      <c r="L110" s="32" t="n">
        <v>13</v>
      </c>
      <c r="M110" s="32" t="s">
        <v>66</v>
      </c>
      <c r="N110" s="32" t="s">
        <v>400</v>
      </c>
      <c r="O110" s="32" t="s">
        <v>67</v>
      </c>
      <c r="P110" s="32" t="s">
        <v>43</v>
      </c>
      <c r="Q110" s="32" t="n">
        <v>0</v>
      </c>
      <c r="R110" s="32"/>
      <c r="S110" s="32" t="s">
        <v>41</v>
      </c>
      <c r="T110" s="32" t="s">
        <v>42</v>
      </c>
      <c r="U110" s="32" t="s">
        <v>44</v>
      </c>
      <c r="V110" s="32" t="s">
        <v>66</v>
      </c>
      <c r="W110" s="32"/>
      <c r="X110" s="32" t="s">
        <v>422</v>
      </c>
      <c r="Y110" s="32" t="n">
        <v>-9.601617</v>
      </c>
      <c r="Z110" s="32" t="n">
        <v>-48.434694</v>
      </c>
      <c r="AA110" s="44" t="s">
        <v>396</v>
      </c>
      <c r="AB110" s="32" t="s">
        <v>423</v>
      </c>
    </row>
    <row r="111" customFormat="false" ht="15" hidden="false" customHeight="false" outlineLevel="0" collapsed="false">
      <c r="A111" s="32" t="n">
        <v>110</v>
      </c>
      <c r="B111" s="32" t="s">
        <v>338</v>
      </c>
      <c r="C111" s="32"/>
      <c r="D111" s="32" t="s">
        <v>337</v>
      </c>
      <c r="E111" s="32" t="s">
        <v>339</v>
      </c>
      <c r="F111" s="37" t="n">
        <v>39.9550580827874</v>
      </c>
      <c r="G111" s="33" t="n">
        <v>1877.86954455957</v>
      </c>
      <c r="H111" s="33" t="n">
        <v>119.865174248539</v>
      </c>
      <c r="I111" s="7" t="s">
        <v>23</v>
      </c>
      <c r="J111" s="32" t="s">
        <v>82</v>
      </c>
      <c r="K111" s="32" t="s">
        <v>110</v>
      </c>
      <c r="L111" s="32" t="n">
        <v>13</v>
      </c>
      <c r="M111" s="32" t="s">
        <v>66</v>
      </c>
      <c r="N111" s="32" t="s">
        <v>400</v>
      </c>
      <c r="O111" s="32" t="s">
        <v>67</v>
      </c>
      <c r="P111" s="32" t="s">
        <v>43</v>
      </c>
      <c r="Q111" s="32" t="n">
        <v>0</v>
      </c>
      <c r="R111" s="32"/>
      <c r="S111" s="32" t="s">
        <v>41</v>
      </c>
      <c r="T111" s="32" t="s">
        <v>42</v>
      </c>
      <c r="U111" s="32" t="s">
        <v>44</v>
      </c>
      <c r="V111" s="32" t="s">
        <v>66</v>
      </c>
      <c r="W111" s="32"/>
      <c r="X111" s="32" t="s">
        <v>422</v>
      </c>
      <c r="Y111" s="32" t="n">
        <v>-9.6012576</v>
      </c>
      <c r="Z111" s="32" t="n">
        <v>-48.434694</v>
      </c>
      <c r="AA111" s="44" t="s">
        <v>396</v>
      </c>
      <c r="AB111" s="32" t="s">
        <v>423</v>
      </c>
    </row>
    <row r="112" customFormat="false" ht="15" hidden="false" customHeight="false" outlineLevel="0" collapsed="false">
      <c r="A112" s="32" t="n">
        <v>111</v>
      </c>
      <c r="B112" s="32" t="s">
        <v>340</v>
      </c>
      <c r="C112" s="32"/>
      <c r="D112" s="32" t="s">
        <v>339</v>
      </c>
      <c r="E112" s="32" t="s">
        <v>341</v>
      </c>
      <c r="F112" s="37" t="n">
        <v>39.9550580829642</v>
      </c>
      <c r="G112" s="33" t="n">
        <v>1917.82460264253</v>
      </c>
      <c r="H112" s="33" t="n">
        <v>159.820232331503</v>
      </c>
      <c r="I112" s="7" t="s">
        <v>23</v>
      </c>
      <c r="J112" s="32" t="s">
        <v>82</v>
      </c>
      <c r="K112" s="32" t="s">
        <v>110</v>
      </c>
      <c r="L112" s="32" t="n">
        <v>13</v>
      </c>
      <c r="M112" s="32" t="s">
        <v>66</v>
      </c>
      <c r="N112" s="32" t="s">
        <v>400</v>
      </c>
      <c r="O112" s="32" t="s">
        <v>67</v>
      </c>
      <c r="P112" s="32" t="s">
        <v>43</v>
      </c>
      <c r="Q112" s="32" t="n">
        <v>0</v>
      </c>
      <c r="R112" s="32"/>
      <c r="S112" s="32" t="s">
        <v>41</v>
      </c>
      <c r="T112" s="32" t="s">
        <v>42</v>
      </c>
      <c r="U112" s="32" t="s">
        <v>44</v>
      </c>
      <c r="V112" s="32" t="s">
        <v>66</v>
      </c>
      <c r="W112" s="32"/>
      <c r="X112" s="32" t="s">
        <v>422</v>
      </c>
      <c r="Y112" s="32" t="n">
        <v>-9.6008983</v>
      </c>
      <c r="Z112" s="32" t="n">
        <v>-48.434694</v>
      </c>
      <c r="AA112" s="44" t="s">
        <v>396</v>
      </c>
      <c r="AB112" s="32" t="s">
        <v>423</v>
      </c>
    </row>
    <row r="113" customFormat="false" ht="15" hidden="false" customHeight="false" outlineLevel="0" collapsed="false">
      <c r="A113" s="32" t="n">
        <v>112</v>
      </c>
      <c r="B113" s="32" t="s">
        <v>342</v>
      </c>
      <c r="C113" s="32"/>
      <c r="D113" s="32" t="s">
        <v>215</v>
      </c>
      <c r="E113" s="32" t="s">
        <v>343</v>
      </c>
      <c r="F113" s="37" t="n">
        <v>39.9545917918293</v>
      </c>
      <c r="G113" s="33" t="n">
        <v>1837.91122244206</v>
      </c>
      <c r="H113" s="33" t="n">
        <v>39.9545917918294</v>
      </c>
      <c r="I113" s="8" t="s">
        <v>24</v>
      </c>
      <c r="J113" s="32" t="s">
        <v>82</v>
      </c>
      <c r="K113" s="32" t="s">
        <v>111</v>
      </c>
      <c r="L113" s="32" t="n">
        <v>14</v>
      </c>
      <c r="M113" s="32" t="s">
        <v>69</v>
      </c>
      <c r="N113" s="32" t="s">
        <v>413</v>
      </c>
      <c r="O113" s="32" t="s">
        <v>70</v>
      </c>
      <c r="P113" s="32" t="s">
        <v>72</v>
      </c>
      <c r="Q113" s="32" t="n">
        <v>1</v>
      </c>
      <c r="R113" s="32"/>
      <c r="S113" s="32" t="s">
        <v>41</v>
      </c>
      <c r="T113" s="32" t="s">
        <v>42</v>
      </c>
      <c r="U113" s="32" t="s">
        <v>44</v>
      </c>
      <c r="V113" s="32" t="s">
        <v>69</v>
      </c>
      <c r="W113" s="32"/>
      <c r="X113" s="32" t="s">
        <v>424</v>
      </c>
      <c r="Y113" s="32" t="n">
        <v>-9.6039526</v>
      </c>
      <c r="Z113" s="32" t="n">
        <v>-48.4323252</v>
      </c>
      <c r="AA113" s="44" t="s">
        <v>396</v>
      </c>
      <c r="AB113" s="32" t="s">
        <v>425</v>
      </c>
    </row>
    <row r="114" customFormat="false" ht="15" hidden="false" customHeight="false" outlineLevel="0" collapsed="false">
      <c r="A114" s="32" t="n">
        <v>113</v>
      </c>
      <c r="B114" s="32" t="s">
        <v>344</v>
      </c>
      <c r="C114" s="32"/>
      <c r="D114" s="32" t="s">
        <v>343</v>
      </c>
      <c r="E114" s="32" t="s">
        <v>345</v>
      </c>
      <c r="F114" s="37" t="n">
        <v>39.9545917926084</v>
      </c>
      <c r="G114" s="33" t="n">
        <v>1877.86581423467</v>
      </c>
      <c r="H114" s="33" t="n">
        <v>79.9091835844379</v>
      </c>
      <c r="I114" s="8" t="s">
        <v>24</v>
      </c>
      <c r="J114" s="32" t="s">
        <v>82</v>
      </c>
      <c r="K114" s="32" t="s">
        <v>111</v>
      </c>
      <c r="L114" s="32" t="n">
        <v>14</v>
      </c>
      <c r="M114" s="32" t="s">
        <v>69</v>
      </c>
      <c r="N114" s="32" t="s">
        <v>413</v>
      </c>
      <c r="O114" s="32" t="s">
        <v>70</v>
      </c>
      <c r="P114" s="32" t="s">
        <v>72</v>
      </c>
      <c r="Q114" s="32" t="n">
        <v>1</v>
      </c>
      <c r="R114" s="32"/>
      <c r="S114" s="32" t="s">
        <v>41</v>
      </c>
      <c r="T114" s="32" t="s">
        <v>42</v>
      </c>
      <c r="U114" s="32" t="s">
        <v>44</v>
      </c>
      <c r="V114" s="32" t="s">
        <v>69</v>
      </c>
      <c r="W114" s="32"/>
      <c r="X114" s="32" t="s">
        <v>424</v>
      </c>
      <c r="Y114" s="32" t="n">
        <v>-9.6039526</v>
      </c>
      <c r="Z114" s="32" t="n">
        <v>-48.4319608</v>
      </c>
      <c r="AA114" s="44" t="s">
        <v>396</v>
      </c>
      <c r="AB114" s="32" t="s">
        <v>425</v>
      </c>
    </row>
    <row r="115" customFormat="false" ht="15" hidden="false" customHeight="false" outlineLevel="0" collapsed="false">
      <c r="A115" s="32" t="n">
        <v>114</v>
      </c>
      <c r="B115" s="32" t="s">
        <v>346</v>
      </c>
      <c r="C115" s="32"/>
      <c r="D115" s="32" t="s">
        <v>345</v>
      </c>
      <c r="E115" s="32" t="s">
        <v>347</v>
      </c>
      <c r="F115" s="37" t="n">
        <v>39.9545917926084</v>
      </c>
      <c r="G115" s="33" t="n">
        <v>1917.82040602728</v>
      </c>
      <c r="H115" s="33" t="n">
        <v>119.863775377046</v>
      </c>
      <c r="I115" s="8" t="s">
        <v>24</v>
      </c>
      <c r="J115" s="32" t="s">
        <v>82</v>
      </c>
      <c r="K115" s="32" t="s">
        <v>111</v>
      </c>
      <c r="L115" s="32" t="n">
        <v>14</v>
      </c>
      <c r="M115" s="32" t="s">
        <v>69</v>
      </c>
      <c r="N115" s="32" t="s">
        <v>413</v>
      </c>
      <c r="O115" s="32" t="s">
        <v>70</v>
      </c>
      <c r="P115" s="32" t="s">
        <v>72</v>
      </c>
      <c r="Q115" s="32" t="n">
        <v>1</v>
      </c>
      <c r="R115" s="32"/>
      <c r="S115" s="32" t="s">
        <v>41</v>
      </c>
      <c r="T115" s="32" t="s">
        <v>42</v>
      </c>
      <c r="U115" s="32" t="s">
        <v>44</v>
      </c>
      <c r="V115" s="32" t="s">
        <v>69</v>
      </c>
      <c r="W115" s="32"/>
      <c r="X115" s="32" t="s">
        <v>424</v>
      </c>
      <c r="Y115" s="32" t="n">
        <v>-9.6039526</v>
      </c>
      <c r="Z115" s="32" t="n">
        <v>-48.4315964</v>
      </c>
      <c r="AA115" s="44" t="s">
        <v>396</v>
      </c>
      <c r="AB115" s="32" t="s">
        <v>425</v>
      </c>
    </row>
    <row r="116" customFormat="false" ht="15" hidden="false" customHeight="false" outlineLevel="0" collapsed="false">
      <c r="A116" s="32" t="n">
        <v>115</v>
      </c>
      <c r="B116" s="32" t="s">
        <v>348</v>
      </c>
      <c r="C116" s="32"/>
      <c r="D116" s="32" t="s">
        <v>347</v>
      </c>
      <c r="E116" s="32" t="s">
        <v>349</v>
      </c>
      <c r="F116" s="37" t="n">
        <v>39.9545917918293</v>
      </c>
      <c r="G116" s="33" t="n">
        <v>1957.77499781911</v>
      </c>
      <c r="H116" s="33" t="n">
        <v>159.818367168876</v>
      </c>
      <c r="I116" s="8" t="s">
        <v>24</v>
      </c>
      <c r="J116" s="32" t="s">
        <v>82</v>
      </c>
      <c r="K116" s="32" t="s">
        <v>111</v>
      </c>
      <c r="L116" s="32" t="n">
        <v>14</v>
      </c>
      <c r="M116" s="32" t="s">
        <v>69</v>
      </c>
      <c r="N116" s="32" t="s">
        <v>413</v>
      </c>
      <c r="O116" s="32" t="s">
        <v>70</v>
      </c>
      <c r="P116" s="32" t="s">
        <v>72</v>
      </c>
      <c r="Q116" s="32" t="n">
        <v>1</v>
      </c>
      <c r="R116" s="32" t="s">
        <v>71</v>
      </c>
      <c r="S116" s="32" t="s">
        <v>41</v>
      </c>
      <c r="T116" s="32" t="s">
        <v>42</v>
      </c>
      <c r="U116" s="32" t="s">
        <v>44</v>
      </c>
      <c r="V116" s="32" t="s">
        <v>69</v>
      </c>
      <c r="W116" s="32"/>
      <c r="X116" s="32" t="s">
        <v>424</v>
      </c>
      <c r="Y116" s="32" t="n">
        <v>-9.6039526</v>
      </c>
      <c r="Z116" s="32" t="n">
        <v>-48.431232</v>
      </c>
      <c r="AA116" s="44" t="s">
        <v>396</v>
      </c>
      <c r="AB116" s="32" t="s">
        <v>425</v>
      </c>
    </row>
    <row r="117" customFormat="false" ht="15" hidden="false" customHeight="false" outlineLevel="0" collapsed="false">
      <c r="A117" s="32" t="n">
        <v>116</v>
      </c>
      <c r="B117" s="32" t="s">
        <v>350</v>
      </c>
      <c r="C117" s="32"/>
      <c r="D117" s="32" t="s">
        <v>349</v>
      </c>
      <c r="E117" s="32" t="s">
        <v>351</v>
      </c>
      <c r="F117" s="37" t="n">
        <v>39.9545917918293</v>
      </c>
      <c r="G117" s="33" t="n">
        <v>1997.72958961094</v>
      </c>
      <c r="H117" s="33" t="n">
        <v>199.772958960705</v>
      </c>
      <c r="I117" s="8" t="s">
        <v>24</v>
      </c>
      <c r="J117" s="32" t="s">
        <v>82</v>
      </c>
      <c r="K117" s="32" t="s">
        <v>111</v>
      </c>
      <c r="L117" s="32" t="n">
        <v>14</v>
      </c>
      <c r="M117" s="32" t="s">
        <v>69</v>
      </c>
      <c r="N117" s="32" t="s">
        <v>413</v>
      </c>
      <c r="O117" s="32" t="s">
        <v>70</v>
      </c>
      <c r="P117" s="32" t="s">
        <v>72</v>
      </c>
      <c r="Q117" s="32" t="n">
        <v>1</v>
      </c>
      <c r="R117" s="32"/>
      <c r="S117" s="32" t="s">
        <v>41</v>
      </c>
      <c r="T117" s="32" t="s">
        <v>42</v>
      </c>
      <c r="U117" s="32" t="s">
        <v>44</v>
      </c>
      <c r="V117" s="32" t="s">
        <v>69</v>
      </c>
      <c r="W117" s="32"/>
      <c r="X117" s="32" t="s">
        <v>424</v>
      </c>
      <c r="Y117" s="32" t="n">
        <v>-9.6039526</v>
      </c>
      <c r="Z117" s="32" t="n">
        <v>-48.4308675</v>
      </c>
      <c r="AA117" s="44" t="s">
        <v>396</v>
      </c>
      <c r="AB117" s="32" t="s">
        <v>425</v>
      </c>
    </row>
    <row r="118" customFormat="false" ht="15" hidden="false" customHeight="false" outlineLevel="0" collapsed="false">
      <c r="A118" s="32" t="n">
        <v>117</v>
      </c>
      <c r="B118" s="32" t="s">
        <v>352</v>
      </c>
      <c r="C118" s="32"/>
      <c r="D118" s="32" t="s">
        <v>351</v>
      </c>
      <c r="E118" s="32" t="s">
        <v>353</v>
      </c>
      <c r="F118" s="37" t="n">
        <v>39.9545917926084</v>
      </c>
      <c r="G118" s="33" t="n">
        <v>2037.68418140354</v>
      </c>
      <c r="H118" s="33" t="n">
        <v>239.727550753314</v>
      </c>
      <c r="I118" s="8" t="s">
        <v>24</v>
      </c>
      <c r="J118" s="32" t="s">
        <v>82</v>
      </c>
      <c r="K118" s="32" t="s">
        <v>111</v>
      </c>
      <c r="L118" s="32" t="n">
        <v>14</v>
      </c>
      <c r="M118" s="32" t="s">
        <v>69</v>
      </c>
      <c r="N118" s="32" t="s">
        <v>413</v>
      </c>
      <c r="O118" s="32" t="s">
        <v>70</v>
      </c>
      <c r="P118" s="32" t="s">
        <v>72</v>
      </c>
      <c r="Q118" s="32" t="n">
        <v>1</v>
      </c>
      <c r="R118" s="32"/>
      <c r="S118" s="32" t="s">
        <v>41</v>
      </c>
      <c r="T118" s="32" t="s">
        <v>42</v>
      </c>
      <c r="U118" s="32" t="s">
        <v>44</v>
      </c>
      <c r="V118" s="32" t="s">
        <v>69</v>
      </c>
      <c r="W118" s="32"/>
      <c r="X118" s="32" t="s">
        <v>424</v>
      </c>
      <c r="Y118" s="32" t="n">
        <v>-9.6039526</v>
      </c>
      <c r="Z118" s="32" t="n">
        <v>-48.4305031</v>
      </c>
      <c r="AA118" s="44" t="s">
        <v>396</v>
      </c>
      <c r="AB118" s="32" t="s">
        <v>425</v>
      </c>
    </row>
    <row r="119" customFormat="false" ht="15" hidden="false" customHeight="false" outlineLevel="0" collapsed="false">
      <c r="A119" s="32" t="n">
        <v>118</v>
      </c>
      <c r="B119" s="32" t="s">
        <v>354</v>
      </c>
      <c r="C119" s="32"/>
      <c r="D119" s="32" t="s">
        <v>353</v>
      </c>
      <c r="E119" s="32" t="s">
        <v>355</v>
      </c>
      <c r="F119" s="37" t="n">
        <v>39.9550580829642</v>
      </c>
      <c r="G119" s="33" t="n">
        <v>2077.63923948651</v>
      </c>
      <c r="H119" s="33" t="n">
        <v>279.682608836278</v>
      </c>
      <c r="I119" s="8" t="s">
        <v>24</v>
      </c>
      <c r="J119" s="32" t="s">
        <v>82</v>
      </c>
      <c r="K119" s="32" t="s">
        <v>111</v>
      </c>
      <c r="L119" s="32" t="n">
        <v>14</v>
      </c>
      <c r="M119" s="32" t="s">
        <v>69</v>
      </c>
      <c r="N119" s="32" t="s">
        <v>413</v>
      </c>
      <c r="O119" s="32" t="s">
        <v>70</v>
      </c>
      <c r="P119" s="32" t="s">
        <v>72</v>
      </c>
      <c r="Q119" s="32" t="n">
        <v>1</v>
      </c>
      <c r="R119" s="32"/>
      <c r="S119" s="32" t="s">
        <v>41</v>
      </c>
      <c r="T119" s="32" t="s">
        <v>42</v>
      </c>
      <c r="U119" s="32" t="s">
        <v>44</v>
      </c>
      <c r="V119" s="32" t="s">
        <v>69</v>
      </c>
      <c r="W119" s="32"/>
      <c r="X119" s="32" t="s">
        <v>424</v>
      </c>
      <c r="Y119" s="32" t="n">
        <v>-9.6037729</v>
      </c>
      <c r="Z119" s="32" t="n">
        <v>-48.4303209</v>
      </c>
      <c r="AA119" s="44" t="s">
        <v>396</v>
      </c>
      <c r="AB119" s="32" t="s">
        <v>425</v>
      </c>
    </row>
    <row r="120" customFormat="false" ht="15" hidden="false" customHeight="false" outlineLevel="0" collapsed="false">
      <c r="A120" s="32" t="n">
        <v>119</v>
      </c>
      <c r="B120" s="32" t="s">
        <v>356</v>
      </c>
      <c r="C120" s="32"/>
      <c r="D120" s="32" t="s">
        <v>355</v>
      </c>
      <c r="E120" s="32" t="s">
        <v>357</v>
      </c>
      <c r="F120" s="37" t="n">
        <v>39.9550580826105</v>
      </c>
      <c r="G120" s="33" t="n">
        <v>2117.59429756912</v>
      </c>
      <c r="H120" s="33" t="n">
        <v>319.637666918888</v>
      </c>
      <c r="I120" s="8" t="s">
        <v>24</v>
      </c>
      <c r="J120" s="32" t="s">
        <v>82</v>
      </c>
      <c r="K120" s="32" t="s">
        <v>111</v>
      </c>
      <c r="L120" s="32" t="n">
        <v>14</v>
      </c>
      <c r="M120" s="32" t="s">
        <v>69</v>
      </c>
      <c r="N120" s="32" t="s">
        <v>413</v>
      </c>
      <c r="O120" s="32" t="s">
        <v>70</v>
      </c>
      <c r="P120" s="32" t="s">
        <v>72</v>
      </c>
      <c r="Q120" s="32" t="n">
        <v>1</v>
      </c>
      <c r="R120" s="32"/>
      <c r="S120" s="32" t="s">
        <v>41</v>
      </c>
      <c r="T120" s="32" t="s">
        <v>42</v>
      </c>
      <c r="U120" s="32" t="s">
        <v>44</v>
      </c>
      <c r="V120" s="32" t="s">
        <v>69</v>
      </c>
      <c r="W120" s="32"/>
      <c r="X120" s="32" t="s">
        <v>424</v>
      </c>
      <c r="Y120" s="32" t="n">
        <v>-9.6034136</v>
      </c>
      <c r="Z120" s="32" t="n">
        <v>-48.4303209</v>
      </c>
      <c r="AA120" s="44" t="s">
        <v>396</v>
      </c>
      <c r="AB120" s="32" t="s">
        <v>425</v>
      </c>
    </row>
    <row r="121" customFormat="false" ht="15" hidden="false" customHeight="false" outlineLevel="0" collapsed="false">
      <c r="A121" s="32" t="n">
        <v>120</v>
      </c>
      <c r="B121" s="32" t="s">
        <v>358</v>
      </c>
      <c r="C121" s="32"/>
      <c r="D121" s="32" t="s">
        <v>357</v>
      </c>
      <c r="E121" s="32" t="s">
        <v>359</v>
      </c>
      <c r="F121" s="37" t="n">
        <v>39.9550580829642</v>
      </c>
      <c r="G121" s="33" t="n">
        <v>2157.54935565208</v>
      </c>
      <c r="H121" s="33" t="n">
        <v>359.592725001852</v>
      </c>
      <c r="I121" s="8" t="s">
        <v>24</v>
      </c>
      <c r="J121" s="32" t="s">
        <v>82</v>
      </c>
      <c r="K121" s="32" t="s">
        <v>111</v>
      </c>
      <c r="L121" s="32" t="n">
        <v>14</v>
      </c>
      <c r="M121" s="32" t="s">
        <v>69</v>
      </c>
      <c r="N121" s="32" t="s">
        <v>413</v>
      </c>
      <c r="O121" s="32" t="s">
        <v>70</v>
      </c>
      <c r="P121" s="32" t="s">
        <v>72</v>
      </c>
      <c r="Q121" s="32" t="n">
        <v>1</v>
      </c>
      <c r="R121" s="32"/>
      <c r="S121" s="32" t="s">
        <v>41</v>
      </c>
      <c r="T121" s="32" t="s">
        <v>42</v>
      </c>
      <c r="U121" s="32" t="s">
        <v>44</v>
      </c>
      <c r="V121" s="32" t="s">
        <v>69</v>
      </c>
      <c r="W121" s="32"/>
      <c r="X121" s="32" t="s">
        <v>424</v>
      </c>
      <c r="Y121" s="32" t="n">
        <v>-9.6030543</v>
      </c>
      <c r="Z121" s="32" t="n">
        <v>-48.4303209</v>
      </c>
      <c r="AA121" s="44" t="s">
        <v>396</v>
      </c>
      <c r="AB121" s="32" t="s">
        <v>425</v>
      </c>
    </row>
    <row r="122" customFormat="false" ht="15" hidden="false" customHeight="false" outlineLevel="0" collapsed="false">
      <c r="A122" s="32" t="n">
        <v>121</v>
      </c>
      <c r="B122" s="32" t="s">
        <v>360</v>
      </c>
      <c r="C122" s="32"/>
      <c r="D122" s="32" t="s">
        <v>359</v>
      </c>
      <c r="E122" s="32" t="s">
        <v>361</v>
      </c>
      <c r="F122" s="37" t="n">
        <v>39.9550580827874</v>
      </c>
      <c r="G122" s="33" t="n">
        <v>2197.50441373487</v>
      </c>
      <c r="H122" s="33" t="n">
        <v>399.54778308464</v>
      </c>
      <c r="I122" s="8" t="s">
        <v>24</v>
      </c>
      <c r="J122" s="32" t="s">
        <v>82</v>
      </c>
      <c r="K122" s="32" t="s">
        <v>111</v>
      </c>
      <c r="L122" s="32" t="n">
        <v>14</v>
      </c>
      <c r="M122" s="32" t="s">
        <v>69</v>
      </c>
      <c r="N122" s="32" t="s">
        <v>413</v>
      </c>
      <c r="O122" s="32" t="s">
        <v>70</v>
      </c>
      <c r="P122" s="32" t="s">
        <v>72</v>
      </c>
      <c r="Q122" s="32" t="n">
        <v>1</v>
      </c>
      <c r="R122" s="32"/>
      <c r="S122" s="32" t="s">
        <v>41</v>
      </c>
      <c r="T122" s="32" t="s">
        <v>42</v>
      </c>
      <c r="U122" s="32" t="s">
        <v>44</v>
      </c>
      <c r="V122" s="32" t="s">
        <v>69</v>
      </c>
      <c r="W122" s="32"/>
      <c r="X122" s="32" t="s">
        <v>424</v>
      </c>
      <c r="Y122" s="32" t="n">
        <v>-9.6026949</v>
      </c>
      <c r="Z122" s="32" t="n">
        <v>-48.4303209</v>
      </c>
      <c r="AA122" s="44" t="s">
        <v>396</v>
      </c>
      <c r="AB122" s="32" t="s">
        <v>425</v>
      </c>
    </row>
    <row r="123" customFormat="false" ht="15" hidden="false" customHeight="false" outlineLevel="0" collapsed="false">
      <c r="A123" s="32" t="n">
        <v>122</v>
      </c>
      <c r="B123" s="32" t="s">
        <v>362</v>
      </c>
      <c r="C123" s="32"/>
      <c r="D123" s="32" t="s">
        <v>361</v>
      </c>
      <c r="E123" s="32" t="s">
        <v>363</v>
      </c>
      <c r="F123" s="37" t="n">
        <v>39.9550580827874</v>
      </c>
      <c r="G123" s="33" t="n">
        <v>2237.45947181766</v>
      </c>
      <c r="H123" s="33" t="n">
        <v>439.502841167427</v>
      </c>
      <c r="I123" s="8" t="s">
        <v>24</v>
      </c>
      <c r="J123" s="32" t="s">
        <v>82</v>
      </c>
      <c r="K123" s="32" t="s">
        <v>111</v>
      </c>
      <c r="L123" s="32" t="n">
        <v>14</v>
      </c>
      <c r="M123" s="32" t="s">
        <v>69</v>
      </c>
      <c r="N123" s="32" t="s">
        <v>413</v>
      </c>
      <c r="O123" s="32" t="s">
        <v>70</v>
      </c>
      <c r="P123" s="32" t="s">
        <v>72</v>
      </c>
      <c r="Q123" s="32" t="n">
        <v>1</v>
      </c>
      <c r="R123" s="32"/>
      <c r="S123" s="32" t="s">
        <v>41</v>
      </c>
      <c r="T123" s="32" t="s">
        <v>42</v>
      </c>
      <c r="U123" s="32" t="s">
        <v>44</v>
      </c>
      <c r="V123" s="32" t="s">
        <v>69</v>
      </c>
      <c r="W123" s="32"/>
      <c r="X123" s="32" t="s">
        <v>424</v>
      </c>
      <c r="Y123" s="32" t="n">
        <v>-9.6023356</v>
      </c>
      <c r="Z123" s="32" t="n">
        <v>-48.4303209</v>
      </c>
      <c r="AA123" s="44" t="s">
        <v>396</v>
      </c>
      <c r="AB123" s="32" t="s">
        <v>425</v>
      </c>
    </row>
    <row r="124" customFormat="false" ht="15" hidden="false" customHeight="false" outlineLevel="0" collapsed="false">
      <c r="A124" s="32" t="n">
        <v>123</v>
      </c>
      <c r="B124" s="32" t="s">
        <v>364</v>
      </c>
      <c r="C124" s="32"/>
      <c r="D124" s="32" t="s">
        <v>353</v>
      </c>
      <c r="E124" s="32" t="s">
        <v>365</v>
      </c>
      <c r="F124" s="37" t="n">
        <v>39.9550580829642</v>
      </c>
      <c r="G124" s="33" t="n">
        <v>2077.63923948651</v>
      </c>
      <c r="H124" s="33" t="n">
        <v>279.682608836278</v>
      </c>
      <c r="I124" s="8" t="s">
        <v>24</v>
      </c>
      <c r="J124" s="32" t="s">
        <v>82</v>
      </c>
      <c r="K124" s="32" t="s">
        <v>111</v>
      </c>
      <c r="L124" s="32" t="n">
        <v>14</v>
      </c>
      <c r="M124" s="32" t="s">
        <v>69</v>
      </c>
      <c r="N124" s="32" t="s">
        <v>413</v>
      </c>
      <c r="O124" s="32" t="s">
        <v>70</v>
      </c>
      <c r="P124" s="32" t="s">
        <v>43</v>
      </c>
      <c r="Q124" s="32" t="n">
        <v>0</v>
      </c>
      <c r="R124" s="32"/>
      <c r="S124" s="32" t="s">
        <v>41</v>
      </c>
      <c r="T124" s="32" t="s">
        <v>42</v>
      </c>
      <c r="U124" s="32" t="s">
        <v>44</v>
      </c>
      <c r="V124" s="32" t="s">
        <v>69</v>
      </c>
      <c r="W124" s="32"/>
      <c r="X124" s="32" t="s">
        <v>424</v>
      </c>
      <c r="Y124" s="32" t="n">
        <v>-9.6041322</v>
      </c>
      <c r="Z124" s="32" t="n">
        <v>-48.4303209</v>
      </c>
      <c r="AA124" s="44" t="s">
        <v>396</v>
      </c>
      <c r="AB124" s="32" t="s">
        <v>425</v>
      </c>
    </row>
    <row r="125" customFormat="false" ht="15" hidden="false" customHeight="false" outlineLevel="0" collapsed="false">
      <c r="A125" s="32" t="n">
        <v>124</v>
      </c>
      <c r="B125" s="32" t="s">
        <v>366</v>
      </c>
      <c r="C125" s="32"/>
      <c r="D125" s="32" t="s">
        <v>365</v>
      </c>
      <c r="E125" s="32" t="s">
        <v>367</v>
      </c>
      <c r="F125" s="37" t="n">
        <v>39.9550580827874</v>
      </c>
      <c r="G125" s="33" t="n">
        <v>2117.5942975693</v>
      </c>
      <c r="H125" s="33" t="n">
        <v>319.637666919065</v>
      </c>
      <c r="I125" s="8" t="s">
        <v>24</v>
      </c>
      <c r="J125" s="32" t="s">
        <v>82</v>
      </c>
      <c r="K125" s="32" t="s">
        <v>111</v>
      </c>
      <c r="L125" s="32" t="n">
        <v>14</v>
      </c>
      <c r="M125" s="32" t="s">
        <v>69</v>
      </c>
      <c r="N125" s="32" t="s">
        <v>413</v>
      </c>
      <c r="O125" s="32" t="s">
        <v>70</v>
      </c>
      <c r="P125" s="32" t="s">
        <v>43</v>
      </c>
      <c r="Q125" s="32" t="n">
        <v>0</v>
      </c>
      <c r="R125" s="32"/>
      <c r="S125" s="32" t="s">
        <v>41</v>
      </c>
      <c r="T125" s="32" t="s">
        <v>42</v>
      </c>
      <c r="U125" s="32" t="s">
        <v>44</v>
      </c>
      <c r="V125" s="32" t="s">
        <v>69</v>
      </c>
      <c r="W125" s="32"/>
      <c r="X125" s="32" t="s">
        <v>424</v>
      </c>
      <c r="Y125" s="32" t="n">
        <v>-9.6044916</v>
      </c>
      <c r="Z125" s="32" t="n">
        <v>-48.4303209</v>
      </c>
      <c r="AA125" s="44" t="s">
        <v>396</v>
      </c>
      <c r="AB125" s="32" t="s">
        <v>425</v>
      </c>
    </row>
    <row r="126" customFormat="false" ht="15" hidden="false" customHeight="false" outlineLevel="0" collapsed="false">
      <c r="A126" s="32" t="n">
        <v>125</v>
      </c>
      <c r="B126" s="32" t="s">
        <v>368</v>
      </c>
      <c r="C126" s="32"/>
      <c r="D126" s="32" t="s">
        <v>367</v>
      </c>
      <c r="E126" s="32" t="s">
        <v>369</v>
      </c>
      <c r="F126" s="37" t="n">
        <v>39.9550580827874</v>
      </c>
      <c r="G126" s="33" t="n">
        <v>2157.54935565208</v>
      </c>
      <c r="H126" s="33" t="n">
        <v>359.592725001852</v>
      </c>
      <c r="I126" s="8" t="s">
        <v>24</v>
      </c>
      <c r="J126" s="32" t="s">
        <v>82</v>
      </c>
      <c r="K126" s="32" t="s">
        <v>111</v>
      </c>
      <c r="L126" s="32" t="n">
        <v>14</v>
      </c>
      <c r="M126" s="32" t="s">
        <v>69</v>
      </c>
      <c r="N126" s="32" t="s">
        <v>413</v>
      </c>
      <c r="O126" s="32" t="s">
        <v>70</v>
      </c>
      <c r="P126" s="32" t="s">
        <v>43</v>
      </c>
      <c r="Q126" s="32" t="n">
        <v>0</v>
      </c>
      <c r="R126" s="32"/>
      <c r="S126" s="32" t="s">
        <v>41</v>
      </c>
      <c r="T126" s="32" t="s">
        <v>42</v>
      </c>
      <c r="U126" s="32" t="s">
        <v>44</v>
      </c>
      <c r="V126" s="32" t="s">
        <v>69</v>
      </c>
      <c r="W126" s="32"/>
      <c r="X126" s="32" t="s">
        <v>424</v>
      </c>
      <c r="Y126" s="32" t="n">
        <v>-9.6048509</v>
      </c>
      <c r="Z126" s="32" t="n">
        <v>-48.4303209</v>
      </c>
      <c r="AA126" s="44" t="s">
        <v>396</v>
      </c>
      <c r="AB126" s="32" t="s">
        <v>425</v>
      </c>
    </row>
    <row r="127" customFormat="false" ht="15" hidden="false" customHeight="false" outlineLevel="0" collapsed="false">
      <c r="A127" s="32" t="n">
        <v>126</v>
      </c>
      <c r="B127" s="32" t="s">
        <v>370</v>
      </c>
      <c r="C127" s="32"/>
      <c r="D127" s="32" t="s">
        <v>369</v>
      </c>
      <c r="E127" s="32" t="s">
        <v>371</v>
      </c>
      <c r="F127" s="37" t="n">
        <v>39.9550580827874</v>
      </c>
      <c r="G127" s="33" t="n">
        <v>2197.50441373487</v>
      </c>
      <c r="H127" s="33" t="n">
        <v>399.54778308464</v>
      </c>
      <c r="I127" s="8" t="s">
        <v>24</v>
      </c>
      <c r="J127" s="32" t="s">
        <v>82</v>
      </c>
      <c r="K127" s="32" t="s">
        <v>111</v>
      </c>
      <c r="L127" s="32" t="n">
        <v>14</v>
      </c>
      <c r="M127" s="32" t="s">
        <v>69</v>
      </c>
      <c r="N127" s="32" t="s">
        <v>413</v>
      </c>
      <c r="O127" s="32" t="s">
        <v>70</v>
      </c>
      <c r="P127" s="32" t="s">
        <v>43</v>
      </c>
      <c r="Q127" s="32" t="n">
        <v>0</v>
      </c>
      <c r="R127" s="32"/>
      <c r="S127" s="32" t="s">
        <v>41</v>
      </c>
      <c r="T127" s="32" t="s">
        <v>42</v>
      </c>
      <c r="U127" s="32" t="s">
        <v>44</v>
      </c>
      <c r="V127" s="32" t="s">
        <v>69</v>
      </c>
      <c r="W127" s="32"/>
      <c r="X127" s="32" t="s">
        <v>424</v>
      </c>
      <c r="Y127" s="32" t="n">
        <v>-9.6052102</v>
      </c>
      <c r="Z127" s="32" t="n">
        <v>-48.4303209</v>
      </c>
      <c r="AA127" s="44" t="s">
        <v>396</v>
      </c>
      <c r="AB127" s="32" t="s">
        <v>425</v>
      </c>
    </row>
    <row r="128" customFormat="false" ht="15" hidden="false" customHeight="false" outlineLevel="0" collapsed="false">
      <c r="A128" s="32" t="n">
        <v>127</v>
      </c>
      <c r="B128" s="32" t="s">
        <v>372</v>
      </c>
      <c r="C128" s="32"/>
      <c r="D128" s="32" t="s">
        <v>371</v>
      </c>
      <c r="E128" s="32" t="s">
        <v>373</v>
      </c>
      <c r="F128" s="37" t="n">
        <v>39.9550580829642</v>
      </c>
      <c r="G128" s="33" t="n">
        <v>2237.45947181783</v>
      </c>
      <c r="H128" s="33" t="n">
        <v>439.502841167604</v>
      </c>
      <c r="I128" s="8" t="s">
        <v>24</v>
      </c>
      <c r="J128" s="32" t="s">
        <v>82</v>
      </c>
      <c r="K128" s="32" t="s">
        <v>111</v>
      </c>
      <c r="L128" s="32" t="n">
        <v>14</v>
      </c>
      <c r="M128" s="32" t="s">
        <v>69</v>
      </c>
      <c r="N128" s="32" t="s">
        <v>413</v>
      </c>
      <c r="O128" s="32" t="s">
        <v>70</v>
      </c>
      <c r="P128" s="32" t="s">
        <v>43</v>
      </c>
      <c r="Q128" s="32" t="n">
        <v>0</v>
      </c>
      <c r="R128" s="32"/>
      <c r="S128" s="32" t="s">
        <v>41</v>
      </c>
      <c r="T128" s="32" t="s">
        <v>42</v>
      </c>
      <c r="U128" s="32" t="s">
        <v>44</v>
      </c>
      <c r="V128" s="32" t="s">
        <v>69</v>
      </c>
      <c r="W128" s="32"/>
      <c r="X128" s="32" t="s">
        <v>424</v>
      </c>
      <c r="Y128" s="32" t="n">
        <v>-9.6055695</v>
      </c>
      <c r="Z128" s="32" t="n">
        <v>-48.4303209</v>
      </c>
      <c r="AA128" s="44" t="s">
        <v>396</v>
      </c>
      <c r="AB128" s="32" t="s">
        <v>425</v>
      </c>
    </row>
    <row r="129" customFormat="false" ht="15" hidden="false" customHeight="false" outlineLevel="0" collapsed="false">
      <c r="A129" s="32" t="n">
        <v>128</v>
      </c>
      <c r="B129" s="32" t="s">
        <v>374</v>
      </c>
      <c r="C129" s="32"/>
      <c r="D129" s="32" t="s">
        <v>373</v>
      </c>
      <c r="E129" s="32" t="s">
        <v>375</v>
      </c>
      <c r="F129" s="37" t="n">
        <v>39.9550580826105</v>
      </c>
      <c r="G129" s="33" t="n">
        <v>2277.41452990044</v>
      </c>
      <c r="H129" s="33" t="n">
        <v>479.457899250214</v>
      </c>
      <c r="I129" s="8" t="s">
        <v>24</v>
      </c>
      <c r="J129" s="32" t="s">
        <v>82</v>
      </c>
      <c r="K129" s="32" t="s">
        <v>111</v>
      </c>
      <c r="L129" s="32" t="n">
        <v>14</v>
      </c>
      <c r="M129" s="32" t="s">
        <v>69</v>
      </c>
      <c r="N129" s="32" t="s">
        <v>413</v>
      </c>
      <c r="O129" s="32" t="s">
        <v>70</v>
      </c>
      <c r="P129" s="32" t="s">
        <v>43</v>
      </c>
      <c r="Q129" s="32" t="n">
        <v>0</v>
      </c>
      <c r="R129" s="32"/>
      <c r="S129" s="32" t="s">
        <v>41</v>
      </c>
      <c r="T129" s="32" t="s">
        <v>42</v>
      </c>
      <c r="U129" s="32" t="s">
        <v>44</v>
      </c>
      <c r="V129" s="32" t="s">
        <v>69</v>
      </c>
      <c r="W129" s="32"/>
      <c r="X129" s="32" t="s">
        <v>424</v>
      </c>
      <c r="Y129" s="32" t="n">
        <v>-9.6059289</v>
      </c>
      <c r="Z129" s="32" t="n">
        <v>-48.4303209</v>
      </c>
      <c r="AA129" s="44" t="s">
        <v>396</v>
      </c>
      <c r="AB129" s="32" t="s">
        <v>425</v>
      </c>
    </row>
    <row r="130" customFormat="false" ht="15" hidden="false" customHeight="false" outlineLevel="0" collapsed="false">
      <c r="A130" s="32" t="n">
        <v>129</v>
      </c>
      <c r="B130" s="32" t="s">
        <v>376</v>
      </c>
      <c r="C130" s="32"/>
      <c r="D130" s="32" t="s">
        <v>375</v>
      </c>
      <c r="E130" s="32" t="s">
        <v>377</v>
      </c>
      <c r="F130" s="37" t="n">
        <v>39.9550580829642</v>
      </c>
      <c r="G130" s="33" t="n">
        <v>2317.36958798341</v>
      </c>
      <c r="H130" s="33" t="n">
        <v>519.412957333178</v>
      </c>
      <c r="I130" s="8" t="s">
        <v>24</v>
      </c>
      <c r="J130" s="32" t="s">
        <v>82</v>
      </c>
      <c r="K130" s="32" t="s">
        <v>111</v>
      </c>
      <c r="L130" s="32" t="n">
        <v>14</v>
      </c>
      <c r="M130" s="32" t="s">
        <v>69</v>
      </c>
      <c r="N130" s="32" t="s">
        <v>413</v>
      </c>
      <c r="O130" s="32" t="s">
        <v>70</v>
      </c>
      <c r="P130" s="32" t="s">
        <v>43</v>
      </c>
      <c r="Q130" s="32" t="n">
        <v>0</v>
      </c>
      <c r="R130" s="32"/>
      <c r="S130" s="32" t="s">
        <v>41</v>
      </c>
      <c r="T130" s="32" t="s">
        <v>42</v>
      </c>
      <c r="U130" s="32" t="s">
        <v>44</v>
      </c>
      <c r="V130" s="32" t="s">
        <v>69</v>
      </c>
      <c r="W130" s="32"/>
      <c r="X130" s="32" t="s">
        <v>424</v>
      </c>
      <c r="Y130" s="32" t="n">
        <v>-9.6062882</v>
      </c>
      <c r="Z130" s="32" t="n">
        <v>-48.4303209</v>
      </c>
      <c r="AA130" s="44" t="s">
        <v>396</v>
      </c>
      <c r="AB130" s="32" t="s">
        <v>425</v>
      </c>
    </row>
    <row r="131" customFormat="false" ht="15" hidden="false" customHeight="false" outlineLevel="0" collapsed="false">
      <c r="A131" s="32" t="n">
        <v>130</v>
      </c>
      <c r="B131" s="32" t="s">
        <v>378</v>
      </c>
      <c r="C131" s="32"/>
      <c r="D131" s="32" t="s">
        <v>363</v>
      </c>
      <c r="E131" s="32" t="s">
        <v>379</v>
      </c>
      <c r="F131" s="37" t="n">
        <v>39.9550580829642</v>
      </c>
      <c r="G131" s="33" t="n">
        <v>2277.41452990062</v>
      </c>
      <c r="H131" s="33" t="n">
        <v>39.9550580829641</v>
      </c>
      <c r="I131" s="9" t="s">
        <v>25</v>
      </c>
      <c r="J131" s="32" t="s">
        <v>82</v>
      </c>
      <c r="K131" s="32" t="s">
        <v>111</v>
      </c>
      <c r="L131" s="32" t="n">
        <v>15</v>
      </c>
      <c r="M131" s="32" t="s">
        <v>72</v>
      </c>
      <c r="N131" s="32" t="s">
        <v>413</v>
      </c>
      <c r="O131" s="32" t="s">
        <v>73</v>
      </c>
      <c r="P131" s="32" t="s">
        <v>43</v>
      </c>
      <c r="Q131" s="32" t="n">
        <v>0</v>
      </c>
      <c r="R131" s="32"/>
      <c r="S131" s="32" t="s">
        <v>41</v>
      </c>
      <c r="T131" s="32" t="s">
        <v>42</v>
      </c>
      <c r="U131" s="32" t="s">
        <v>44</v>
      </c>
      <c r="V131" s="32" t="s">
        <v>69</v>
      </c>
      <c r="W131" s="32" t="s">
        <v>72</v>
      </c>
      <c r="X131" s="32" t="s">
        <v>426</v>
      </c>
      <c r="Y131" s="32" t="n">
        <v>-9.6019763</v>
      </c>
      <c r="Z131" s="32" t="n">
        <v>-48.4303209</v>
      </c>
      <c r="AA131" s="44" t="s">
        <v>396</v>
      </c>
      <c r="AB131" s="32" t="s">
        <v>427</v>
      </c>
    </row>
    <row r="132" customFormat="false" ht="15" hidden="false" customHeight="false" outlineLevel="0" collapsed="false">
      <c r="A132" s="32" t="n">
        <v>131</v>
      </c>
      <c r="B132" s="32" t="s">
        <v>380</v>
      </c>
      <c r="C132" s="32"/>
      <c r="D132" s="32" t="s">
        <v>379</v>
      </c>
      <c r="E132" s="32" t="s">
        <v>381</v>
      </c>
      <c r="F132" s="37" t="n">
        <v>39.9550580827874</v>
      </c>
      <c r="G132" s="33" t="n">
        <v>2317.36958798341</v>
      </c>
      <c r="H132" s="33" t="n">
        <v>79.9101161657513</v>
      </c>
      <c r="I132" s="9" t="s">
        <v>25</v>
      </c>
      <c r="J132" s="32" t="s">
        <v>82</v>
      </c>
      <c r="K132" s="32" t="s">
        <v>111</v>
      </c>
      <c r="L132" s="32" t="n">
        <v>15</v>
      </c>
      <c r="M132" s="32" t="s">
        <v>72</v>
      </c>
      <c r="N132" s="32" t="s">
        <v>413</v>
      </c>
      <c r="O132" s="32" t="s">
        <v>73</v>
      </c>
      <c r="P132" s="32" t="s">
        <v>43</v>
      </c>
      <c r="Q132" s="32" t="n">
        <v>0</v>
      </c>
      <c r="R132" s="32"/>
      <c r="S132" s="32" t="s">
        <v>41</v>
      </c>
      <c r="T132" s="32" t="s">
        <v>42</v>
      </c>
      <c r="U132" s="32" t="s">
        <v>44</v>
      </c>
      <c r="V132" s="32" t="s">
        <v>69</v>
      </c>
      <c r="W132" s="32" t="s">
        <v>72</v>
      </c>
      <c r="X132" s="32" t="s">
        <v>426</v>
      </c>
      <c r="Y132" s="32" t="n">
        <v>-9.601617</v>
      </c>
      <c r="Z132" s="32" t="n">
        <v>-48.4303209</v>
      </c>
      <c r="AA132" s="44" t="s">
        <v>396</v>
      </c>
      <c r="AB132" s="32" t="s">
        <v>427</v>
      </c>
    </row>
    <row r="133" customFormat="false" ht="15" hidden="false" customHeight="false" outlineLevel="0" collapsed="false">
      <c r="A133" s="45" t="n">
        <v>132</v>
      </c>
      <c r="B133" s="45" t="s">
        <v>382</v>
      </c>
      <c r="C133" s="45"/>
      <c r="D133" s="45" t="s">
        <v>381</v>
      </c>
      <c r="E133" s="45" t="s">
        <v>77</v>
      </c>
      <c r="F133" s="46" t="n">
        <v>39.9550580827874</v>
      </c>
      <c r="G133" s="47" t="n">
        <v>2357.3246460662</v>
      </c>
      <c r="H133" s="47" t="n">
        <v>119.865174248539</v>
      </c>
      <c r="I133" s="45" t="s">
        <v>25</v>
      </c>
      <c r="J133" s="45" t="s">
        <v>82</v>
      </c>
      <c r="K133" s="45" t="s">
        <v>111</v>
      </c>
      <c r="L133" s="45" t="n">
        <v>15</v>
      </c>
      <c r="M133" s="45" t="s">
        <v>72</v>
      </c>
      <c r="N133" s="45" t="s">
        <v>413</v>
      </c>
      <c r="O133" s="45" t="s">
        <v>73</v>
      </c>
      <c r="P133" s="45" t="s">
        <v>43</v>
      </c>
      <c r="Q133" s="45" t="n">
        <v>0</v>
      </c>
      <c r="R133" s="45"/>
      <c r="S133" s="45" t="s">
        <v>41</v>
      </c>
      <c r="T133" s="45" t="s">
        <v>42</v>
      </c>
      <c r="U133" s="45" t="s">
        <v>44</v>
      </c>
      <c r="V133" s="45" t="s">
        <v>69</v>
      </c>
      <c r="W133" s="45" t="s">
        <v>72</v>
      </c>
      <c r="X133" s="45" t="s">
        <v>426</v>
      </c>
      <c r="Y133" s="45" t="n">
        <v>-9.6012576</v>
      </c>
      <c r="Z133" s="45" t="n">
        <v>-48.4303209</v>
      </c>
      <c r="AA133" s="48" t="s">
        <v>396</v>
      </c>
      <c r="AB133" s="45" t="s">
        <v>427</v>
      </c>
    </row>
    <row r="134" customFormat="false" ht="15" hidden="false" customHeight="false" outlineLevel="0" collapsed="false">
      <c r="A134" s="32" t="n">
        <v>133</v>
      </c>
      <c r="B134" s="32" t="s">
        <v>383</v>
      </c>
      <c r="C134" s="32"/>
      <c r="D134" s="32" t="s">
        <v>77</v>
      </c>
      <c r="E134" s="32" t="s">
        <v>384</v>
      </c>
      <c r="F134" s="37" t="n">
        <v>39.9550580829642</v>
      </c>
      <c r="G134" s="33" t="n">
        <v>2397.27970414916</v>
      </c>
      <c r="H134" s="33" t="n">
        <v>159.820232331503</v>
      </c>
      <c r="I134" s="9" t="s">
        <v>25</v>
      </c>
      <c r="J134" s="32" t="s">
        <v>82</v>
      </c>
      <c r="K134" s="32" t="s">
        <v>111</v>
      </c>
      <c r="L134" s="32" t="n">
        <v>15</v>
      </c>
      <c r="M134" s="32" t="s">
        <v>72</v>
      </c>
      <c r="N134" s="32" t="s">
        <v>413</v>
      </c>
      <c r="O134" s="32" t="s">
        <v>73</v>
      </c>
      <c r="P134" s="32" t="s">
        <v>43</v>
      </c>
      <c r="Q134" s="32" t="n">
        <v>0</v>
      </c>
      <c r="R134" s="32"/>
      <c r="S134" s="32" t="s">
        <v>41</v>
      </c>
      <c r="T134" s="32" t="s">
        <v>42</v>
      </c>
      <c r="U134" s="32" t="s">
        <v>44</v>
      </c>
      <c r="V134" s="32" t="s">
        <v>69</v>
      </c>
      <c r="W134" s="32" t="s">
        <v>72</v>
      </c>
      <c r="X134" s="32" t="s">
        <v>426</v>
      </c>
      <c r="Y134" s="32" t="n">
        <v>-9.6008983</v>
      </c>
      <c r="Z134" s="32" t="n">
        <v>-48.4303209</v>
      </c>
      <c r="AA134" s="44" t="s">
        <v>396</v>
      </c>
      <c r="AB134" s="32" t="s">
        <v>427</v>
      </c>
    </row>
  </sheetData>
  <hyperlinks>
    <hyperlink ref="AA2" r:id="rId2" display="abrir"/>
    <hyperlink ref="AA3" r:id="rId3" display="abrir"/>
    <hyperlink ref="AA4" r:id="rId4" display="abrir"/>
    <hyperlink ref="AA5" r:id="rId5" display="abrir"/>
    <hyperlink ref="AA6" r:id="rId6" display="abrir"/>
    <hyperlink ref="AA7" r:id="rId7" display="abrir"/>
    <hyperlink ref="AA8" r:id="rId8" display="abrir"/>
    <hyperlink ref="AA9" r:id="rId9" display="abrir"/>
    <hyperlink ref="AA10" r:id="rId10" display="abrir"/>
    <hyperlink ref="AA11" r:id="rId11" display="abrir"/>
    <hyperlink ref="AA12" r:id="rId12" display="abrir"/>
    <hyperlink ref="AA13" r:id="rId13" display="abrir"/>
    <hyperlink ref="AA14" r:id="rId14" display="abrir"/>
    <hyperlink ref="AA15" r:id="rId15" display="abrir"/>
    <hyperlink ref="AA16" r:id="rId16" display="abrir"/>
    <hyperlink ref="AA17" r:id="rId17" display="abrir"/>
    <hyperlink ref="AA18" r:id="rId18" display="abrir"/>
    <hyperlink ref="AA19" r:id="rId19" display="abrir"/>
    <hyperlink ref="AA20" r:id="rId20" display="abrir"/>
    <hyperlink ref="AA21" r:id="rId21" display="abrir"/>
    <hyperlink ref="AA22" r:id="rId22" display="abrir"/>
    <hyperlink ref="AA23" r:id="rId23" display="abrir"/>
    <hyperlink ref="AA24" r:id="rId24" display="abrir"/>
    <hyperlink ref="AA25" r:id="rId25" display="abrir"/>
    <hyperlink ref="AA26" r:id="rId26" display="abrir"/>
    <hyperlink ref="AA27" r:id="rId27" display="abrir"/>
    <hyperlink ref="AA28" r:id="rId28" display="abrir"/>
    <hyperlink ref="AA29" r:id="rId29" display="abrir"/>
    <hyperlink ref="AA30" r:id="rId30" display="abrir"/>
    <hyperlink ref="AA31" r:id="rId31" display="abrir"/>
    <hyperlink ref="AA32" r:id="rId32" display="abrir"/>
    <hyperlink ref="AA33" r:id="rId33" display="abrir"/>
    <hyperlink ref="AA34" r:id="rId34" display="abrir"/>
    <hyperlink ref="AA35" r:id="rId35" display="abrir"/>
    <hyperlink ref="AA36" r:id="rId36" display="abrir"/>
    <hyperlink ref="AA37" r:id="rId37" display="abrir"/>
    <hyperlink ref="AA38" r:id="rId38" display="abrir"/>
    <hyperlink ref="AA39" r:id="rId39" display="abrir"/>
    <hyperlink ref="AA40" r:id="rId40" display="abrir"/>
    <hyperlink ref="AA41" r:id="rId41" display="abrir"/>
    <hyperlink ref="AA42" r:id="rId42" display="abrir"/>
    <hyperlink ref="AA43" r:id="rId43" display="abrir"/>
    <hyperlink ref="AA44" r:id="rId44" display="abrir"/>
    <hyperlink ref="AA45" r:id="rId45" display="abrir"/>
    <hyperlink ref="AA46" r:id="rId46" display="abrir"/>
    <hyperlink ref="AA47" r:id="rId47" display="abrir"/>
    <hyperlink ref="AA48" r:id="rId48" display="abrir"/>
    <hyperlink ref="AA49" r:id="rId49" display="abrir"/>
    <hyperlink ref="AA50" r:id="rId50" display="abrir"/>
    <hyperlink ref="AA51" r:id="rId51" display="abrir"/>
    <hyperlink ref="AA52" r:id="rId52" display="abrir"/>
    <hyperlink ref="AA53" r:id="rId53" display="abrir"/>
    <hyperlink ref="AA54" r:id="rId54" display="abrir"/>
    <hyperlink ref="AA55" r:id="rId55" display="abrir"/>
    <hyperlink ref="AA56" r:id="rId56" display="abrir"/>
    <hyperlink ref="AA57" r:id="rId57" display="abrir"/>
    <hyperlink ref="AA58" r:id="rId58" display="abrir"/>
    <hyperlink ref="AA59" r:id="rId59" display="abrir"/>
    <hyperlink ref="AA60" r:id="rId60" display="abrir"/>
    <hyperlink ref="AA61" r:id="rId61" display="abrir"/>
    <hyperlink ref="AA62" r:id="rId62" display="abrir"/>
    <hyperlink ref="AA63" r:id="rId63" display="abrir"/>
    <hyperlink ref="AA64" r:id="rId64" display="abrir"/>
    <hyperlink ref="AA65" r:id="rId65" display="abrir"/>
    <hyperlink ref="AA66" r:id="rId66" display="abrir"/>
    <hyperlink ref="AA67" r:id="rId67" display="abrir"/>
    <hyperlink ref="AA68" r:id="rId68" display="abrir"/>
    <hyperlink ref="AA69" r:id="rId69" display="abrir"/>
    <hyperlink ref="AA70" r:id="rId70" display="abrir"/>
    <hyperlink ref="AA71" r:id="rId71" display="abrir"/>
    <hyperlink ref="AA72" r:id="rId72" display="abrir"/>
    <hyperlink ref="AA73" r:id="rId73" display="abrir"/>
    <hyperlink ref="AA74" r:id="rId74" display="abrir"/>
    <hyperlink ref="AA75" r:id="rId75" display="abrir"/>
    <hyperlink ref="AA76" r:id="rId76" display="abrir"/>
    <hyperlink ref="AA77" r:id="rId77" display="abrir"/>
    <hyperlink ref="AA78" r:id="rId78" display="abrir"/>
    <hyperlink ref="AA79" r:id="rId79" display="abrir"/>
    <hyperlink ref="AA80" r:id="rId80" display="abrir"/>
    <hyperlink ref="AA81" r:id="rId81" display="abrir"/>
    <hyperlink ref="AA82" r:id="rId82" display="abrir"/>
    <hyperlink ref="AA83" r:id="rId83" display="abrir"/>
    <hyperlink ref="AA84" r:id="rId84" display="abrir"/>
    <hyperlink ref="AA85" r:id="rId85" display="abrir"/>
    <hyperlink ref="AA86" r:id="rId86" display="abrir"/>
    <hyperlink ref="AA87" r:id="rId87" display="abrir"/>
    <hyperlink ref="AA88" r:id="rId88" display="abrir"/>
    <hyperlink ref="AA89" r:id="rId89" display="abrir"/>
    <hyperlink ref="AA90" r:id="rId90" display="abrir"/>
    <hyperlink ref="AA91" r:id="rId91" display="abrir"/>
    <hyperlink ref="AA92" r:id="rId92" display="abrir"/>
    <hyperlink ref="AA93" r:id="rId93" display="abrir"/>
    <hyperlink ref="AA94" r:id="rId94" display="abrir"/>
    <hyperlink ref="AA95" r:id="rId95" display="abrir"/>
    <hyperlink ref="AA96" r:id="rId96" display="abrir"/>
    <hyperlink ref="AA97" r:id="rId97" display="abrir"/>
    <hyperlink ref="AA98" r:id="rId98" display="abrir"/>
    <hyperlink ref="AA99" r:id="rId99" display="abrir"/>
    <hyperlink ref="AA100" r:id="rId100" display="abrir"/>
    <hyperlink ref="AA101" r:id="rId101" display="abrir"/>
    <hyperlink ref="AA102" r:id="rId102" display="abrir"/>
    <hyperlink ref="AA103" r:id="rId103" display="abrir"/>
    <hyperlink ref="AA104" r:id="rId104" display="abrir"/>
    <hyperlink ref="AA105" r:id="rId105" display="abrir"/>
    <hyperlink ref="AA106" r:id="rId106" display="abrir"/>
    <hyperlink ref="AA107" r:id="rId107" display="abrir"/>
    <hyperlink ref="AA108" r:id="rId108" display="abrir"/>
    <hyperlink ref="AA109" r:id="rId109" display="abrir"/>
    <hyperlink ref="AA110" r:id="rId110" display="abrir"/>
    <hyperlink ref="AA111" r:id="rId111" display="abrir"/>
    <hyperlink ref="AA112" r:id="rId112" display="abrir"/>
    <hyperlink ref="AA113" r:id="rId113" display="abrir"/>
    <hyperlink ref="AA114" r:id="rId114" display="abrir"/>
    <hyperlink ref="AA115" r:id="rId115" display="abrir"/>
    <hyperlink ref="AA116" r:id="rId116" display="abrir"/>
    <hyperlink ref="AA117" r:id="rId117" display="abrir"/>
    <hyperlink ref="AA118" r:id="rId118" display="abrir"/>
    <hyperlink ref="AA119" r:id="rId119" display="abrir"/>
    <hyperlink ref="AA120" r:id="rId120" display="abrir"/>
    <hyperlink ref="AA121" r:id="rId121" display="abrir"/>
    <hyperlink ref="AA122" r:id="rId122" display="abrir"/>
    <hyperlink ref="AA123" r:id="rId123" display="abrir"/>
    <hyperlink ref="AA124" r:id="rId124" display="abrir"/>
    <hyperlink ref="AA125" r:id="rId125" display="abrir"/>
    <hyperlink ref="AA126" r:id="rId126" display="abrir"/>
    <hyperlink ref="AA127" r:id="rId127" display="abrir"/>
    <hyperlink ref="AA128" r:id="rId128" display="abrir"/>
    <hyperlink ref="AA129" r:id="rId129" display="abrir"/>
    <hyperlink ref="AA130" r:id="rId130" display="abrir"/>
    <hyperlink ref="AA131" r:id="rId131" display="abrir"/>
    <hyperlink ref="AA132" r:id="rId132" display="abrir"/>
    <hyperlink ref="AA133" r:id="rId133" display="abrir"/>
    <hyperlink ref="AA134" r:id="rId134" display="abri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135"/>
  <tableParts>
    <tablePart r:id="rId136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4" min="3" style="0" width="9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30"/>
    <col collapsed="false" customWidth="true" hidden="false" outlineLevel="0" max="10" min="10" style="0" width="11"/>
    <col collapsed="false" customWidth="true" hidden="false" outlineLevel="0" max="13" min="11" style="0" width="14"/>
    <col collapsed="false" customWidth="true" hidden="false" outlineLevel="0" max="14" min="14" style="0" width="40"/>
    <col collapsed="false" customWidth="true" hidden="false" outlineLevel="0" max="16" min="15" style="0" width="12"/>
    <col collapsed="false" customWidth="true" hidden="false" outlineLevel="0" max="17" min="17" style="0" width="8"/>
  </cols>
  <sheetData>
    <row r="1" customFormat="false" ht="31.5" hidden="false" customHeight="true" outlineLevel="0" collapsed="false">
      <c r="A1" s="15" t="s">
        <v>428</v>
      </c>
      <c r="B1" s="15" t="s">
        <v>429</v>
      </c>
      <c r="C1" s="15" t="s">
        <v>76</v>
      </c>
      <c r="D1" s="15" t="s">
        <v>430</v>
      </c>
      <c r="E1" s="15" t="s">
        <v>431</v>
      </c>
      <c r="F1" s="15" t="s">
        <v>432</v>
      </c>
      <c r="G1" s="15" t="s">
        <v>433</v>
      </c>
      <c r="H1" s="15" t="s">
        <v>434</v>
      </c>
      <c r="I1" s="15" t="s">
        <v>86</v>
      </c>
      <c r="J1" s="15" t="s">
        <v>435</v>
      </c>
      <c r="K1" s="15" t="s">
        <v>436</v>
      </c>
      <c r="L1" s="15" t="s">
        <v>437</v>
      </c>
      <c r="M1" s="15" t="s">
        <v>438</v>
      </c>
      <c r="N1" s="15" t="s">
        <v>11</v>
      </c>
      <c r="O1" s="15" t="s">
        <v>87</v>
      </c>
      <c r="P1" s="15" t="s">
        <v>88</v>
      </c>
      <c r="Q1" s="15" t="s">
        <v>392</v>
      </c>
    </row>
    <row r="2" customFormat="false" ht="15" hidden="false" customHeight="false" outlineLevel="0" collapsed="false">
      <c r="A2" s="32" t="s">
        <v>41</v>
      </c>
      <c r="B2" s="32" t="s">
        <v>394</v>
      </c>
      <c r="C2" s="32" t="s">
        <v>120</v>
      </c>
      <c r="D2" s="32" t="s">
        <v>439</v>
      </c>
      <c r="E2" s="32" t="s">
        <v>43</v>
      </c>
      <c r="F2" s="32" t="s">
        <v>22</v>
      </c>
      <c r="G2" s="32" t="s">
        <v>43</v>
      </c>
      <c r="H2" s="32" t="s">
        <v>440</v>
      </c>
      <c r="I2" s="32" t="s">
        <v>41</v>
      </c>
      <c r="J2" s="32" t="n">
        <f aca="false">COUNTIFS(Trechos!$M$2:$M$134,A2)</f>
        <v>25</v>
      </c>
      <c r="K2" s="33" t="n">
        <f aca="false">SUMIFS(Trechos!$F$2:$F$134,Trechos!$M$2:$M$134,A2)</f>
        <v>1058.8013454002</v>
      </c>
      <c r="L2" s="32" t="n">
        <f aca="false">SUMPRODUCT(--ISNUMBER(SEARCH("|"&amp;A2&amp;"|",Trechos!$AB$2:$AB$134)))</f>
        <v>133</v>
      </c>
      <c r="M2" s="33" t="n">
        <f aca="false">SUMPRODUCT(ISNUMBER(SEARCH("|"&amp;A2&amp;"|",Trechos!$AB$2:$AB$134))*Trechos!$F$2:$F$134)</f>
        <v>5473.80513078827</v>
      </c>
      <c r="N2" s="32" t="s">
        <v>395</v>
      </c>
      <c r="O2" s="32" t="n">
        <v>-9.6039526</v>
      </c>
      <c r="P2" s="32" t="n">
        <v>-48.4489067</v>
      </c>
      <c r="Q2" s="44" t="s">
        <v>396</v>
      </c>
    </row>
    <row r="3" customFormat="false" ht="15" hidden="false" customHeight="false" outlineLevel="0" collapsed="false">
      <c r="A3" s="32" t="s">
        <v>42</v>
      </c>
      <c r="B3" s="32" t="s">
        <v>400</v>
      </c>
      <c r="C3" s="32" t="s">
        <v>149</v>
      </c>
      <c r="D3" s="32" t="s">
        <v>439</v>
      </c>
      <c r="E3" s="32" t="s">
        <v>22</v>
      </c>
      <c r="F3" s="32" t="s">
        <v>23</v>
      </c>
      <c r="G3" s="32" t="n">
        <v>1</v>
      </c>
      <c r="H3" s="32" t="s">
        <v>441</v>
      </c>
      <c r="I3" s="32" t="s">
        <v>402</v>
      </c>
      <c r="J3" s="32" t="n">
        <f aca="false">COUNTIFS(Trechos!$M$2:$M$134,A3)</f>
        <v>29</v>
      </c>
      <c r="K3" s="33" t="n">
        <f aca="false">SUMIFS(Trechos!$F$2:$F$134,Trechos!$M$2:$M$134,A3)</f>
        <v>1198.64404869014</v>
      </c>
      <c r="L3" s="32" t="n">
        <f aca="false">SUMPRODUCT(--ISNUMBER(SEARCH("|"&amp;A3&amp;"|",Trechos!$AB$2:$AB$134)))</f>
        <v>77</v>
      </c>
      <c r="M3" s="33" t="n">
        <f aca="false">SUMPRODUCT(ISNUMBER(SEARCH("|"&amp;A3&amp;"|",Trechos!$AB$2:$AB$134))*Trechos!$F$2:$F$134)</f>
        <v>3136.45597247686</v>
      </c>
      <c r="N3" s="32" t="s">
        <v>401</v>
      </c>
      <c r="O3" s="32" t="n">
        <v>-9.6039526</v>
      </c>
      <c r="P3" s="32" t="n">
        <v>-48.4428937</v>
      </c>
      <c r="Q3" s="44" t="s">
        <v>396</v>
      </c>
    </row>
    <row r="4" customFormat="false" ht="15" hidden="false" customHeight="false" outlineLevel="0" collapsed="false">
      <c r="A4" s="32" t="s">
        <v>45</v>
      </c>
      <c r="B4" s="32" t="s">
        <v>442</v>
      </c>
      <c r="C4" s="32" t="s">
        <v>165</v>
      </c>
      <c r="D4" s="32" t="s">
        <v>439</v>
      </c>
      <c r="E4" s="32" t="s">
        <v>23</v>
      </c>
      <c r="F4" s="32" t="s">
        <v>23</v>
      </c>
      <c r="G4" s="32" t="n">
        <v>2</v>
      </c>
      <c r="H4" s="32" t="s">
        <v>43</v>
      </c>
      <c r="I4" s="32" t="s">
        <v>402</v>
      </c>
      <c r="J4" s="32"/>
      <c r="K4" s="32"/>
      <c r="L4" s="32"/>
      <c r="M4" s="32"/>
      <c r="N4" s="32" t="s">
        <v>404</v>
      </c>
      <c r="O4" s="32" t="n">
        <v>-9.6039526</v>
      </c>
      <c r="P4" s="32" t="n">
        <v>-48.4398871</v>
      </c>
      <c r="Q4" s="44" t="s">
        <v>396</v>
      </c>
    </row>
    <row r="5" customFormat="false" ht="15" hidden="false" customHeight="false" outlineLevel="0" collapsed="false">
      <c r="A5" s="32" t="s">
        <v>44</v>
      </c>
      <c r="B5" s="32" t="s">
        <v>400</v>
      </c>
      <c r="C5" s="32" t="s">
        <v>181</v>
      </c>
      <c r="D5" s="32" t="s">
        <v>439</v>
      </c>
      <c r="E5" s="32" t="s">
        <v>23</v>
      </c>
      <c r="F5" s="32" t="s">
        <v>23</v>
      </c>
      <c r="G5" s="32" t="n">
        <v>2</v>
      </c>
      <c r="H5" s="32" t="s">
        <v>443</v>
      </c>
      <c r="I5" s="32" t="s">
        <v>406</v>
      </c>
      <c r="J5" s="32" t="n">
        <f aca="false">COUNTIFS(Trechos!$M$2:$M$134,A5)</f>
        <v>17</v>
      </c>
      <c r="K5" s="33" t="n">
        <f aca="false">SUMIFS(Trechos!$F$2:$F$134,Trechos!$M$2:$M$134,A5)</f>
        <v>679.23039192074</v>
      </c>
      <c r="L5" s="32" t="n">
        <f aca="false">SUMPRODUCT(--ISNUMBER(SEARCH("|"&amp;A5&amp;"|",Trechos!$AB$2:$AB$134)))</f>
        <v>43</v>
      </c>
      <c r="M5" s="33" t="n">
        <f aca="false">SUMPRODUCT(ISNUMBER(SEARCH("|"&amp;A5&amp;"|",Trechos!$AB$2:$AB$134))*Trechos!$F$2:$F$134)</f>
        <v>1718.05910433104</v>
      </c>
      <c r="N5" s="32" t="s">
        <v>405</v>
      </c>
      <c r="O5" s="32" t="n">
        <v>-9.6039526</v>
      </c>
      <c r="P5" s="32" t="n">
        <v>-48.4368806</v>
      </c>
      <c r="Q5" s="44" t="s">
        <v>396</v>
      </c>
    </row>
    <row r="6" customFormat="false" ht="15" hidden="false" customHeight="false" outlineLevel="0" collapsed="false">
      <c r="A6" s="32" t="s">
        <v>66</v>
      </c>
      <c r="B6" s="32" t="s">
        <v>400</v>
      </c>
      <c r="C6" s="32" t="s">
        <v>203</v>
      </c>
      <c r="D6" s="32" t="s">
        <v>439</v>
      </c>
      <c r="E6" s="32" t="s">
        <v>23</v>
      </c>
      <c r="F6" s="32" t="s">
        <v>23</v>
      </c>
      <c r="G6" s="32" t="n">
        <v>3</v>
      </c>
      <c r="H6" s="32" t="s">
        <v>444</v>
      </c>
      <c r="I6" s="32" t="s">
        <v>422</v>
      </c>
      <c r="J6" s="32" t="n">
        <f aca="false">COUNTIFS(Trechos!$M$2:$M$134,A6)</f>
        <v>4</v>
      </c>
      <c r="K6" s="33" t="n">
        <f aca="false">SUMIFS(Trechos!$F$2:$F$134,Trechos!$M$2:$M$134,A6)</f>
        <v>159.820232331503</v>
      </c>
      <c r="L6" s="32" t="n">
        <f aca="false">SUMPRODUCT(--ISNUMBER(SEARCH("|"&amp;A6&amp;"|",Trechos!$AB$2:$AB$134)))</f>
        <v>4</v>
      </c>
      <c r="M6" s="33" t="n">
        <f aca="false">SUMPRODUCT(ISNUMBER(SEARCH("|"&amp;A6&amp;"|",Trechos!$AB$2:$AB$134))*Trechos!$F$2:$F$134)</f>
        <v>159.820232331503</v>
      </c>
      <c r="N6" s="32" t="s">
        <v>43</v>
      </c>
      <c r="O6" s="32" t="n">
        <v>-9.6021559</v>
      </c>
      <c r="P6" s="32" t="n">
        <v>-48.434694</v>
      </c>
      <c r="Q6" s="44" t="s">
        <v>396</v>
      </c>
    </row>
    <row r="7" customFormat="false" ht="15" hidden="false" customHeight="false" outlineLevel="0" collapsed="false">
      <c r="A7" s="32" t="s">
        <v>69</v>
      </c>
      <c r="B7" s="32" t="s">
        <v>413</v>
      </c>
      <c r="C7" s="32" t="s">
        <v>215</v>
      </c>
      <c r="D7" s="32" t="s">
        <v>439</v>
      </c>
      <c r="E7" s="32" t="s">
        <v>23</v>
      </c>
      <c r="F7" s="32" t="s">
        <v>24</v>
      </c>
      <c r="G7" s="32" t="n">
        <v>3</v>
      </c>
      <c r="H7" s="32" t="s">
        <v>445</v>
      </c>
      <c r="I7" s="32" t="s">
        <v>424</v>
      </c>
      <c r="J7" s="32" t="n">
        <f aca="false">COUNTIFS(Trechos!$M$2:$M$134,A7)</f>
        <v>18</v>
      </c>
      <c r="K7" s="33" t="n">
        <f aca="false">SUMIFS(Trechos!$F$2:$F$134,Trechos!$M$2:$M$134,A7)</f>
        <v>719.188247747292</v>
      </c>
      <c r="L7" s="32" t="n">
        <f aca="false">SUMPRODUCT(--ISNUMBER(SEARCH("|"&amp;A7&amp;"|",Trechos!$AB$2:$AB$134)))</f>
        <v>22</v>
      </c>
      <c r="M7" s="33" t="n">
        <f aca="false">SUMPRODUCT(ISNUMBER(SEARCH("|"&amp;A7&amp;"|",Trechos!$AB$2:$AB$134))*Trechos!$F$2:$F$134)</f>
        <v>879.008480078795</v>
      </c>
      <c r="N7" s="32" t="s">
        <v>72</v>
      </c>
      <c r="O7" s="32" t="n">
        <v>-9.6039526</v>
      </c>
      <c r="P7" s="32" t="n">
        <v>-48.4325075</v>
      </c>
      <c r="Q7" s="44" t="s">
        <v>396</v>
      </c>
    </row>
    <row r="8" customFormat="false" ht="15" hidden="false" customHeight="false" outlineLevel="0" collapsed="false">
      <c r="A8" s="32" t="s">
        <v>49</v>
      </c>
      <c r="B8" s="32" t="s">
        <v>400</v>
      </c>
      <c r="C8" s="32" t="s">
        <v>225</v>
      </c>
      <c r="D8" s="32" t="s">
        <v>446</v>
      </c>
      <c r="E8" s="32" t="s">
        <v>22</v>
      </c>
      <c r="F8" s="32" t="s">
        <v>23</v>
      </c>
      <c r="G8" s="32" t="n">
        <v>4</v>
      </c>
      <c r="H8" s="32" t="s">
        <v>447</v>
      </c>
      <c r="I8" s="32" t="s">
        <v>411</v>
      </c>
      <c r="J8" s="32" t="n">
        <f aca="false">COUNTIFS(Trechos!$M$2:$M$134,A8)</f>
        <v>5</v>
      </c>
      <c r="K8" s="33" t="n">
        <f aca="false">SUMIFS(Trechos!$F$2:$F$134,Trechos!$M$2:$M$134,A8)</f>
        <v>219.752819455684</v>
      </c>
      <c r="L8" s="32" t="n">
        <f aca="false">SUMPRODUCT(--ISNUMBER(SEARCH("|"&amp;A8&amp;"|",Trechos!$AB$2:$AB$134)))</f>
        <v>27</v>
      </c>
      <c r="M8" s="33" t="n">
        <f aca="false">SUMPRODUCT(ISNUMBER(SEARCH("|"&amp;A8&amp;"|",Trechos!$AB$2:$AB$134))*Trechos!$F$2:$F$134)</f>
        <v>1118.7275805797</v>
      </c>
      <c r="N8" s="32" t="s">
        <v>410</v>
      </c>
      <c r="O8" s="32" t="n">
        <v>-9.6057492</v>
      </c>
      <c r="P8" s="32" t="n">
        <v>-48.4469024</v>
      </c>
      <c r="Q8" s="44" t="s">
        <v>396</v>
      </c>
    </row>
    <row r="9" customFormat="false" ht="15" hidden="false" customHeight="false" outlineLevel="0" collapsed="false">
      <c r="A9" s="32" t="s">
        <v>50</v>
      </c>
      <c r="B9" s="32" t="s">
        <v>413</v>
      </c>
      <c r="C9" s="32" t="s">
        <v>235</v>
      </c>
      <c r="D9" s="32" t="s">
        <v>446</v>
      </c>
      <c r="E9" s="32" t="s">
        <v>23</v>
      </c>
      <c r="F9" s="32" t="s">
        <v>24</v>
      </c>
      <c r="G9" s="32" t="n">
        <v>5</v>
      </c>
      <c r="H9" s="32" t="s">
        <v>448</v>
      </c>
      <c r="I9" s="32" t="s">
        <v>414</v>
      </c>
      <c r="J9" s="32" t="n">
        <f aca="false">COUNTIFS(Trechos!$M$2:$M$134,A9)</f>
        <v>16</v>
      </c>
      <c r="K9" s="33" t="n">
        <f aca="false">SUMIFS(Trechos!$F$2:$F$134,Trechos!$M$2:$M$134,A9)</f>
        <v>659.251154582214</v>
      </c>
      <c r="L9" s="32" t="n">
        <f aca="false">SUMPRODUCT(--ISNUMBER(SEARCH("|"&amp;A9&amp;"|",Trechos!$AB$2:$AB$134)))</f>
        <v>22</v>
      </c>
      <c r="M9" s="33" t="n">
        <f aca="false">SUMPRODUCT(ISNUMBER(SEARCH("|"&amp;A9&amp;"|",Trechos!$AB$2:$AB$134))*Trechos!$F$2:$F$134)</f>
        <v>898.974761124014</v>
      </c>
      <c r="N9" s="32" t="s">
        <v>52</v>
      </c>
      <c r="O9" s="32" t="n">
        <v>-9.6077255</v>
      </c>
      <c r="P9" s="32" t="n">
        <v>-48.4469024</v>
      </c>
      <c r="Q9" s="44" t="s">
        <v>396</v>
      </c>
    </row>
    <row r="10" customFormat="false" ht="15" hidden="false" customHeight="false" outlineLevel="0" collapsed="false">
      <c r="A10" s="32" t="s">
        <v>52</v>
      </c>
      <c r="B10" s="32" t="s">
        <v>413</v>
      </c>
      <c r="C10" s="32" t="s">
        <v>257</v>
      </c>
      <c r="D10" s="32" t="s">
        <v>446</v>
      </c>
      <c r="E10" s="32" t="s">
        <v>24</v>
      </c>
      <c r="F10" s="32" t="s">
        <v>25</v>
      </c>
      <c r="G10" s="32" t="n">
        <v>6</v>
      </c>
      <c r="H10" s="32" t="s">
        <v>449</v>
      </c>
      <c r="I10" s="32" t="s">
        <v>416</v>
      </c>
      <c r="J10" s="32" t="n">
        <f aca="false">COUNTIFS(Trechos!$M$2:$M$134,A10)</f>
        <v>6</v>
      </c>
      <c r="K10" s="33" t="n">
        <f aca="false">SUMIFS(Trechos!$F$2:$F$134,Trechos!$M$2:$M$134,A10)</f>
        <v>239.7236065418</v>
      </c>
      <c r="L10" s="32" t="n">
        <f aca="false">SUMPRODUCT(--ISNUMBER(SEARCH("|"&amp;A10&amp;"|",Trechos!$AB$2:$AB$134)))</f>
        <v>6</v>
      </c>
      <c r="M10" s="33" t="n">
        <f aca="false">SUMPRODUCT(ISNUMBER(SEARCH("|"&amp;A10&amp;"|",Trechos!$AB$2:$AB$134))*Trechos!$F$2:$F$134)</f>
        <v>239.7236065418</v>
      </c>
      <c r="N10" s="32" t="s">
        <v>43</v>
      </c>
      <c r="O10" s="32" t="n">
        <v>-9.6095221</v>
      </c>
      <c r="P10" s="32" t="n">
        <v>-48.4445336</v>
      </c>
      <c r="Q10" s="44" t="s">
        <v>396</v>
      </c>
    </row>
    <row r="11" customFormat="false" ht="15" hidden="false" customHeight="false" outlineLevel="0" collapsed="false">
      <c r="A11" s="32" t="s">
        <v>56</v>
      </c>
      <c r="B11" s="32" t="s">
        <v>413</v>
      </c>
      <c r="C11" s="32" t="s">
        <v>289</v>
      </c>
      <c r="D11" s="32" t="s">
        <v>446</v>
      </c>
      <c r="E11" s="32" t="s">
        <v>22</v>
      </c>
      <c r="F11" s="32" t="s">
        <v>24</v>
      </c>
      <c r="G11" s="32" t="n">
        <v>8</v>
      </c>
      <c r="H11" s="32" t="s">
        <v>450</v>
      </c>
      <c r="I11" s="32" t="s">
        <v>418</v>
      </c>
      <c r="J11" s="32" t="n">
        <f aca="false">COUNTIFS(Trechos!$M$2:$M$134,A11)</f>
        <v>4</v>
      </c>
      <c r="K11" s="33" t="n">
        <f aca="false">SUMIFS(Trechos!$F$2:$F$134,Trechos!$M$2:$M$134,A11)</f>
        <v>159.820232331503</v>
      </c>
      <c r="L11" s="32" t="n">
        <f aca="false">SUMPRODUCT(--ISNUMBER(SEARCH("|"&amp;A11&amp;"|",Trechos!$AB$2:$AB$134)))</f>
        <v>4</v>
      </c>
      <c r="M11" s="33" t="n">
        <f aca="false">SUMPRODUCT(ISNUMBER(SEARCH("|"&amp;A11&amp;"|",Trechos!$AB$2:$AB$134))*Trechos!$F$2:$F$134)</f>
        <v>159.820232331503</v>
      </c>
      <c r="N11" s="32" t="s">
        <v>43</v>
      </c>
      <c r="O11" s="32" t="n">
        <v>-9.6021559</v>
      </c>
      <c r="P11" s="32" t="n">
        <v>-48.444898</v>
      </c>
      <c r="Q11" s="44" t="s">
        <v>396</v>
      </c>
    </row>
    <row r="12" customFormat="false" ht="15" hidden="false" customHeight="false" outlineLevel="0" collapsed="false">
      <c r="A12" s="32" t="s">
        <v>60</v>
      </c>
      <c r="B12" s="32" t="s">
        <v>413</v>
      </c>
      <c r="C12" s="32" t="s">
        <v>307</v>
      </c>
      <c r="D12" s="32" t="s">
        <v>446</v>
      </c>
      <c r="E12" s="32" t="s">
        <v>23</v>
      </c>
      <c r="F12" s="32" t="s">
        <v>24</v>
      </c>
      <c r="G12" s="32" t="n">
        <v>10</v>
      </c>
      <c r="H12" s="32" t="s">
        <v>451</v>
      </c>
      <c r="I12" s="32" t="s">
        <v>420</v>
      </c>
      <c r="J12" s="32" t="n">
        <f aca="false">COUNTIFS(Trechos!$M$2:$M$134,A12)</f>
        <v>5</v>
      </c>
      <c r="K12" s="33" t="n">
        <f aca="false">SUMIFS(Trechos!$F$2:$F$134,Trechos!$M$2:$M$134,A12)</f>
        <v>219.752819455684</v>
      </c>
      <c r="L12" s="32" t="n">
        <f aca="false">SUMPRODUCT(--ISNUMBER(SEARCH("|"&amp;A12&amp;"|",Trechos!$AB$2:$AB$134)))</f>
        <v>5</v>
      </c>
      <c r="M12" s="33" t="n">
        <f aca="false">SUMPRODUCT(ISNUMBER(SEARCH("|"&amp;A12&amp;"|",Trechos!$AB$2:$AB$134))*Trechos!$F$2:$F$134)</f>
        <v>219.752819455684</v>
      </c>
      <c r="N12" s="32" t="s">
        <v>43</v>
      </c>
      <c r="O12" s="32" t="n">
        <v>-9.6059289</v>
      </c>
      <c r="P12" s="32" t="n">
        <v>-48.4408893</v>
      </c>
      <c r="Q12" s="44" t="s">
        <v>396</v>
      </c>
    </row>
    <row r="13" customFormat="false" ht="15" hidden="false" customHeight="false" outlineLevel="0" collapsed="false">
      <c r="A13" s="32" t="s">
        <v>71</v>
      </c>
      <c r="B13" s="32" t="s">
        <v>442</v>
      </c>
      <c r="C13" s="32" t="s">
        <v>349</v>
      </c>
      <c r="D13" s="32" t="s">
        <v>446</v>
      </c>
      <c r="E13" s="32" t="s">
        <v>24</v>
      </c>
      <c r="F13" s="32" t="s">
        <v>24</v>
      </c>
      <c r="G13" s="32" t="n">
        <v>14</v>
      </c>
      <c r="H13" s="32" t="s">
        <v>43</v>
      </c>
      <c r="I13" s="32" t="s">
        <v>424</v>
      </c>
      <c r="J13" s="32"/>
      <c r="K13" s="32"/>
      <c r="L13" s="32"/>
      <c r="M13" s="32"/>
      <c r="N13" s="32" t="s">
        <v>72</v>
      </c>
      <c r="O13" s="32" t="n">
        <v>-9.6039526</v>
      </c>
      <c r="P13" s="32" t="n">
        <v>-48.4310497</v>
      </c>
      <c r="Q13" s="44" t="s">
        <v>396</v>
      </c>
    </row>
    <row r="14" customFormat="false" ht="15" hidden="false" customHeight="false" outlineLevel="0" collapsed="false">
      <c r="A14" s="32" t="s">
        <v>72</v>
      </c>
      <c r="B14" s="32" t="s">
        <v>413</v>
      </c>
      <c r="C14" s="32" t="s">
        <v>363</v>
      </c>
      <c r="D14" s="32" t="s">
        <v>446</v>
      </c>
      <c r="E14" s="32" t="s">
        <v>24</v>
      </c>
      <c r="F14" s="32" t="s">
        <v>25</v>
      </c>
      <c r="G14" s="32" t="n">
        <v>14</v>
      </c>
      <c r="H14" s="32" t="s">
        <v>452</v>
      </c>
      <c r="I14" s="32" t="s">
        <v>426</v>
      </c>
      <c r="J14" s="32" t="n">
        <f aca="false">COUNTIFS(Trechos!$M$2:$M$134,A14)</f>
        <v>4</v>
      </c>
      <c r="K14" s="33" t="n">
        <f aca="false">SUMIFS(Trechos!$F$2:$F$134,Trechos!$M$2:$M$134,A14)</f>
        <v>159.820232331503</v>
      </c>
      <c r="L14" s="32" t="n">
        <f aca="false">SUMPRODUCT(--ISNUMBER(SEARCH("|"&amp;A14&amp;"|",Trechos!$AB$2:$AB$134)))</f>
        <v>4</v>
      </c>
      <c r="M14" s="33" t="n">
        <f aca="false">SUMPRODUCT(ISNUMBER(SEARCH("|"&amp;A14&amp;"|",Trechos!$AB$2:$AB$134))*Trechos!$F$2:$F$134)</f>
        <v>159.820232331503</v>
      </c>
      <c r="N14" s="32" t="s">
        <v>43</v>
      </c>
      <c r="O14" s="32" t="n">
        <v>-9.6021559</v>
      </c>
      <c r="P14" s="32" t="n">
        <v>-48.4303209</v>
      </c>
      <c r="Q14" s="44" t="s">
        <v>396</v>
      </c>
    </row>
  </sheetData>
  <hyperlinks>
    <hyperlink ref="Q2" r:id="rId2" display="abrir"/>
    <hyperlink ref="Q3" r:id="rId3" display="abrir"/>
    <hyperlink ref="Q4" r:id="rId4" display="abrir"/>
    <hyperlink ref="Q5" r:id="rId5" display="abrir"/>
    <hyperlink ref="Q6" r:id="rId6" display="abrir"/>
    <hyperlink ref="Q7" r:id="rId7" display="abrir"/>
    <hyperlink ref="Q8" r:id="rId8" display="abrir"/>
    <hyperlink ref="Q9" r:id="rId9" display="abrir"/>
    <hyperlink ref="Q10" r:id="rId10" display="abrir"/>
    <hyperlink ref="Q11" r:id="rId11" display="abrir"/>
    <hyperlink ref="Q12" r:id="rId12" display="abrir"/>
    <hyperlink ref="Q13" r:id="rId13" display="abrir"/>
    <hyperlink ref="Q14" r:id="rId14" display="abri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15"/>
  <tableParts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2026-09-30T12:06:34Z</dcterms:created>
  <dc:creator>openpyxl</dc:creator>
  <dc:description/>
  <dc:language>en-US</dc:language>
  <cp:lastModifiedBy/>
  <dcterms:modified xsi:type="dcterms:W3CDTF">2026-09-30T12:06:34Z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