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1.xml" ContentType="application/vnd.openxmlformats-officedocument.spreadsheetml.table+xml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Árvore de blocos" sheetId="2" state="visible" r:id="rId4"/>
    <sheet name="Consulta" sheetId="3" state="visible" r:id="rId5"/>
    <sheet name="Blocos" sheetId="4" state="visible" r:id="rId6"/>
    <sheet name="Por bloco" sheetId="5" state="visible" r:id="rId7"/>
    <sheet name="Trechos" sheetId="6" state="visible" r:id="rId8"/>
    <sheet name="Ativo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T1" authorId="0">
      <text>
        <r>
          <rPr>
            <sz val="10"/>
            <rFont val="Arial"/>
            <family val="2"/>
          </rPr>
          <t xml:space="preserve">Junta as colunas Posterior 1…N. Edite as colunas e o texto se atualiza.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1" authorId="0">
      <text>
        <r>
          <rPr>
            <sz val="10"/>
            <rFont val="Arial"/>
            <family val="2"/>
          </rPr>
          <t xml:space="preserve">Quanto andar a partir do ativo de referência, seguindo a rede, até o fim deste vão.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L1" authorId="0">
      <text>
        <r>
          <rPr>
            <sz val="10"/>
            <rFont val="Arial"/>
            <family val="2"/>
          </rPr>
          <t xml:space="preserve">Vãos depois deste ativo, em qualquer bloco. Vazio para chaves 88, que não são ativo de referência.</t>
        </r>
      </text>
    </comment>
  </commentList>
</comments>
</file>

<file path=xl/sharedStrings.xml><?xml version="1.0" encoding="utf-8"?>
<sst xmlns="http://schemas.openxmlformats.org/spreadsheetml/2006/main" count="20615" uniqueCount="3498">
  <si>
    <t xml:space="preserve">Zonas, ramais e blocos — AL01010004</t>
  </si>
  <si>
    <t xml:space="preserve">Zona</t>
  </si>
  <si>
    <t xml:space="preserve">T1 do DJ ao 1º religador (79). Depois de qualquer religador é T2, inclusive religador em ramal: religador nunca cria T3. Depois de uma chave fusível (03) é T3; fusível depois de fusível continua T3 (não existe T4).</t>
  </si>
  <si>
    <t xml:space="preserve">Seccionamento</t>
  </si>
  <si>
    <t xml:space="preserve">Chave 03/33/02 com religador depois dela não conta como fusível: não muda a zona e aparece em "Outras chaves no bloco (88…)" como "Chave 03 de seccionamento".</t>
  </si>
  <si>
    <t xml:space="preserve">Tronco</t>
  </si>
  <si>
    <t xml:space="preserve">Caminho DJ → 1º religador → 2º religador e, depois do 2º, até os próximos ativos (religador ou fusível): o trecho entre dois ativos do tronco ainda é tronco. Pontas sem equipamento são ramal. Nunca tem T3. O resto é ramal, com o nome do poste onde sai do tronco.</t>
  </si>
  <si>
    <t xml:space="preserve">Ativo de referência</t>
  </si>
  <si>
    <t xml:space="preserve">Último DJ, 79 ou 03 antes do vão, vindo do DJ. Ele engloba o vão e tudo o que vem depois.</t>
  </si>
  <si>
    <t xml:space="preserve">Ativos posteriores englobados</t>
  </si>
  <si>
    <t xml:space="preserve">Os DJ/79/03 que ficam depois do vão ou do bloco. Se o ativo de referência abrir, todos ficam sem energia.</t>
  </si>
  <si>
    <t xml:space="preserve">Bloco</t>
  </si>
  <si>
    <t xml:space="preserve">Vãos com o mesmo ativo de referência e o mesmo ramal (de um ativo até o próximo). Chaves 88 e outras que não são DJ/79/fusível não dividem bloco: aparecem na coluna "Outras chaves no bloco (88…)". Chaves 02 e 33 contam como fusível.</t>
  </si>
  <si>
    <t xml:space="preserve">Nível 1…N</t>
  </si>
  <si>
    <t xml:space="preserve">Sequência de ativos desde o DJ até o ativo de referência. Filtrar um nível mostra tudo o que fica depois daquele ativo.</t>
  </si>
  <si>
    <t xml:space="preserve">Distâncias</t>
  </si>
  <si>
    <t xml:space="preserve">Calculadas a partir das coordenadas (haversine, raio 6.371 km), seguindo a rede.</t>
  </si>
  <si>
    <t xml:space="preserve">Abas</t>
  </si>
  <si>
    <t xml:space="preserve">Árvore de blocos: visão rápida da sequência, agrupada por tronco e ramal. Consulta: digite um poste e veja onde ele está. Blocos: um bloco por linha, com os ativos posteriores um por coluna e juntos numa coluna só. Por bloco: os vãos agrupados embaixo de cada bloco (botão + à esquerda). Trechos: um vão por linha. Ativos: resumo por ativo.</t>
  </si>
  <si>
    <t xml:space="preserve">Aviso</t>
  </si>
  <si>
    <t xml:space="preserve">1 chave(s) 03/33/02 com religador depois tratada(s) como seccionamento (não mudam a zona; entram na lista do bloco): 0349277004</t>
  </si>
  <si>
    <t xml:space="preserve">Cores das zonas</t>
  </si>
  <si>
    <t xml:space="preserve">T1</t>
  </si>
  <si>
    <t xml:space="preserve">T2</t>
  </si>
  <si>
    <t xml:space="preserve">T3</t>
  </si>
  <si>
    <t xml:space="preserve">Árvore de blocos — AL01010004</t>
  </si>
  <si>
    <t xml:space="preserve">Cada linha é um bloco. A célula colorida é o ativo de referência do bloco (cor da zona). As células em cinza à esquerda são os ativos antes dele, desde o DJ.</t>
  </si>
  <si>
    <t xml:space="preserve">Zonas:</t>
  </si>
  <si>
    <t xml:space="preserve">Nível 1</t>
  </si>
  <si>
    <t xml:space="preserve">Nível 2</t>
  </si>
  <si>
    <t xml:space="preserve">Nível 3</t>
  </si>
  <si>
    <t xml:space="preserve">Nível 4</t>
  </si>
  <si>
    <t xml:space="preserve">Nível 5</t>
  </si>
  <si>
    <t xml:space="preserve">Nível 6</t>
  </si>
  <si>
    <t xml:space="preserve">De</t>
  </si>
  <si>
    <t xml:space="preserve">Até (próximos ativos)</t>
  </si>
  <si>
    <t xml:space="preserve">Vãos</t>
  </si>
  <si>
    <t xml:space="preserve">Extensão (m)</t>
  </si>
  <si>
    <t xml:space="preserve">Outras chaves no bloco (88…)</t>
  </si>
  <si>
    <t xml:space="preserve">Ativos englobados (depois do bloco)</t>
  </si>
  <si>
    <t xml:space="preserve">TRONCO — do DJ ao 2º religador e até os próximos ativos</t>
  </si>
  <si>
    <t xml:space="preserve">DJ AL01010004</t>
  </si>
  <si>
    <t xml:space="preserve">7900106004</t>
  </si>
  <si>
    <t xml:space="preserve">8800002004, 8838716004, 8836357004, 8823701004</t>
  </si>
  <si>
    <t xml:space="preserve">7927795004</t>
  </si>
  <si>
    <t xml:space="preserve">8802390004, 0349277004, 8827796004, 8800029004</t>
  </si>
  <si>
    <t xml:space="preserve">0300031004 / 0300724004 / 0328286004 / 0314965004 / 0344627004 / 0334747004 / 0203728004 / 0328468004 / 0329025004 / 0203016004 / 0300049004 / 0203015004</t>
  </si>
  <si>
    <t xml:space="preserve">8841354004, 8800034004, 8803727004, 8828470004, 8814964004, 8855846004, 8855095004, 8855094004, 8858328004, 8804463004</t>
  </si>
  <si>
    <t xml:space="preserve">RAMAL DO 0200011004 — sai do tronco no poste 0200011004</t>
  </si>
  <si>
    <t xml:space="preserve">poste N13</t>
  </si>
  <si>
    <t xml:space="preserve">0200011004 / 0357531004 / fim 59283022 / 0303835004 / fim 554197 / 0356395004 / 3300016004 / 0201099004 / fim 48647275 / fim N107 / fim 93802 / 0301069004 / fim 555910 / fim 539462 / fim 555011 / fim N29 / fim 536530</t>
  </si>
  <si>
    <t xml:space="preserve">8801100004, 8801130004, 8800010004, 8800009004, 8804031004, 8858190004, 8800015004</t>
  </si>
  <si>
    <t xml:space="preserve">0200011004</t>
  </si>
  <si>
    <t xml:space="preserve">fim N218</t>
  </si>
  <si>
    <t xml:space="preserve">—</t>
  </si>
  <si>
    <t xml:space="preserve">0357531004</t>
  </si>
  <si>
    <t xml:space="preserve">fim 41939697</t>
  </si>
  <si>
    <t xml:space="preserve">0303835004</t>
  </si>
  <si>
    <t xml:space="preserve">fim 538289</t>
  </si>
  <si>
    <t xml:space="preserve">0356395004</t>
  </si>
  <si>
    <t xml:space="preserve">fim 41939685</t>
  </si>
  <si>
    <t xml:space="preserve">3300016004</t>
  </si>
  <si>
    <t xml:space="preserve">0301090004</t>
  </si>
  <si>
    <t xml:space="preserve">0303861004 / 0304100004 / fim 115640</t>
  </si>
  <si>
    <t xml:space="preserve">0303861004</t>
  </si>
  <si>
    <t xml:space="preserve">fim N161</t>
  </si>
  <si>
    <t xml:space="preserve">0304100004</t>
  </si>
  <si>
    <t xml:space="preserve">fim 1097675</t>
  </si>
  <si>
    <t xml:space="preserve">0201099004</t>
  </si>
  <si>
    <t xml:space="preserve">fim N215 / fim 590202</t>
  </si>
  <si>
    <t xml:space="preserve">0301069004</t>
  </si>
  <si>
    <t xml:space="preserve">fim 556216</t>
  </si>
  <si>
    <t xml:space="preserve">RAMAL 1471339 — sai do tronco no poste 1471339</t>
  </si>
  <si>
    <t xml:space="preserve">poste 1471339</t>
  </si>
  <si>
    <t xml:space="preserve">fim 1471341</t>
  </si>
  <si>
    <t xml:space="preserve">RAMAL DO 0302387004 — sai do tronco no poste 0302387004</t>
  </si>
  <si>
    <t xml:space="preserve">poste N86</t>
  </si>
  <si>
    <t xml:space="preserve">fim N91 / fim 93656 / fim 550067 / 0302387004 / fim 35013393 / fim 35013388 / 0346420004 / fim 539706 / fim 587027 / fim 29689259 / fim 29689060 / fim 29689128 / 0355088004 / 0340038004 / 0201389004 / fim 38388446 / fim 38388428 / fim 345020 / fim 586093 / 0303849004 / fim N204 / fim N318 / 0310949004 / fim N179 / 0301838004 / 0245040004 / fim N170 / 0303718004 / 0202970004 / fim N158 / fim 557105 / fim N274 / 0354089004 / fim 556507 / 0220315004 / fim 554755 / fim 557326 / fim 554754 / fim 557325 / fim 553761 / fim 553760 / fim 557877 / fim 557872 / fim 557871 / fim 557874 / fim 554507 / fim 34566747 / 0346072004 / fim 31715517 / 0345823004 / fim 31715612 / fim 554240 / fim 554237 / fim 553817 / fim N141 / 0200043004</t>
  </si>
  <si>
    <t xml:space="preserve">8802389004, 8804077004, 8844641004, 8801105004, 8802780004, 8855073004, 8803581004, 8803577004, 8845830004</t>
  </si>
  <si>
    <t xml:space="preserve">0302387004</t>
  </si>
  <si>
    <t xml:space="preserve">fim 587304 / fim 538104 / 3302865004 / fim 538331 / 0303850004 / fim 553248 / 0346260004</t>
  </si>
  <si>
    <t xml:space="preserve">3302865004</t>
  </si>
  <si>
    <t xml:space="preserve">3300065004 / 0300064004 / 0320308004 / 0301840004</t>
  </si>
  <si>
    <t xml:space="preserve">3300065004</t>
  </si>
  <si>
    <t xml:space="preserve">0320309004 / fim 173794</t>
  </si>
  <si>
    <t xml:space="preserve">0320309004</t>
  </si>
  <si>
    <t xml:space="preserve">0310307004 / 0303851004 / 0310306004 / 0303865004 / 0342709004 / 0303866004 / 0303867004 / 0302309004</t>
  </si>
  <si>
    <t xml:space="preserve">0310307004</t>
  </si>
  <si>
    <t xml:space="preserve">fim 173836</t>
  </si>
  <si>
    <t xml:space="preserve">0303851004</t>
  </si>
  <si>
    <t xml:space="preserve">fim 586318</t>
  </si>
  <si>
    <t xml:space="preserve">0310306004</t>
  </si>
  <si>
    <t xml:space="preserve">fim 173833</t>
  </si>
  <si>
    <t xml:space="preserve">0303865004</t>
  </si>
  <si>
    <t xml:space="preserve">fim 549515</t>
  </si>
  <si>
    <t xml:space="preserve">0342709004</t>
  </si>
  <si>
    <t xml:space="preserve">fim 1461337</t>
  </si>
  <si>
    <t xml:space="preserve">0303866004</t>
  </si>
  <si>
    <t xml:space="preserve">fim 590237</t>
  </si>
  <si>
    <t xml:space="preserve">0303867004</t>
  </si>
  <si>
    <t xml:space="preserve">fim 589790</t>
  </si>
  <si>
    <t xml:space="preserve">0302309004</t>
  </si>
  <si>
    <t xml:space="preserve">fim 311399</t>
  </si>
  <si>
    <t xml:space="preserve">0300064004</t>
  </si>
  <si>
    <t xml:space="preserve">fim 93637</t>
  </si>
  <si>
    <t xml:space="preserve">0320308004</t>
  </si>
  <si>
    <t xml:space="preserve">fim 173793</t>
  </si>
  <si>
    <t xml:space="preserve">0301840004</t>
  </si>
  <si>
    <t xml:space="preserve">fim 31758476</t>
  </si>
  <si>
    <t xml:space="preserve">0303850004</t>
  </si>
  <si>
    <t xml:space="preserve">0320305004 / fim 553249 / fim 538115 / fim 539707 / fim 539737</t>
  </si>
  <si>
    <t xml:space="preserve">0320305004</t>
  </si>
  <si>
    <t xml:space="preserve">fim 432617 / fim 173832</t>
  </si>
  <si>
    <t xml:space="preserve">0346260004</t>
  </si>
  <si>
    <t xml:space="preserve">fim N341 / fim N340</t>
  </si>
  <si>
    <t xml:space="preserve">0346420004</t>
  </si>
  <si>
    <t xml:space="preserve">fim N349</t>
  </si>
  <si>
    <t xml:space="preserve">0355088004</t>
  </si>
  <si>
    <t xml:space="preserve">fim 28576683</t>
  </si>
  <si>
    <t xml:space="preserve">0340038004</t>
  </si>
  <si>
    <t xml:space="preserve">fim 1107431 / fim 1394050 / fim N412 / fim 1394770</t>
  </si>
  <si>
    <t xml:space="preserve">0201389004</t>
  </si>
  <si>
    <t xml:space="preserve">fim 212906</t>
  </si>
  <si>
    <t xml:space="preserve">0303849004</t>
  </si>
  <si>
    <t xml:space="preserve">fim 537428 / fim 586089</t>
  </si>
  <si>
    <t xml:space="preserve">0310949004</t>
  </si>
  <si>
    <t xml:space="preserve">0210950004</t>
  </si>
  <si>
    <t xml:space="preserve">fim N313</t>
  </si>
  <si>
    <t xml:space="preserve">0301838004</t>
  </si>
  <si>
    <t xml:space="preserve">0301839004</t>
  </si>
  <si>
    <t xml:space="preserve">fim 557681</t>
  </si>
  <si>
    <t xml:space="preserve">0245040004</t>
  </si>
  <si>
    <t xml:space="preserve">fim N258</t>
  </si>
  <si>
    <t xml:space="preserve">0303718004</t>
  </si>
  <si>
    <t xml:space="preserve">fim N171</t>
  </si>
  <si>
    <t xml:space="preserve">0202970004</t>
  </si>
  <si>
    <t xml:space="preserve">fim N235</t>
  </si>
  <si>
    <t xml:space="preserve">0354089004</t>
  </si>
  <si>
    <t xml:space="preserve">fim N307 / 0354093004</t>
  </si>
  <si>
    <t xml:space="preserve">0354093004</t>
  </si>
  <si>
    <t xml:space="preserve">fim 32462772</t>
  </si>
  <si>
    <t xml:space="preserve">0220315004</t>
  </si>
  <si>
    <t xml:space="preserve">fim 182232</t>
  </si>
  <si>
    <t xml:space="preserve">0346072004</t>
  </si>
  <si>
    <t xml:space="preserve">fim N301</t>
  </si>
  <si>
    <t xml:space="preserve">0345823004</t>
  </si>
  <si>
    <t xml:space="preserve">fim 31715544</t>
  </si>
  <si>
    <t xml:space="preserve">0200043004</t>
  </si>
  <si>
    <t xml:space="preserve">fim N222 / fim 539672</t>
  </si>
  <si>
    <t xml:space="preserve">RAMAL N95 — sai do tronco no poste N95</t>
  </si>
  <si>
    <t xml:space="preserve">poste N95</t>
  </si>
  <si>
    <t xml:space="preserve">fim 537658 / fim 536359</t>
  </si>
  <si>
    <t xml:space="preserve">RAMAL N106 — sai do tronco no poste N106</t>
  </si>
  <si>
    <t xml:space="preserve">poste N106</t>
  </si>
  <si>
    <t xml:space="preserve">fim N108</t>
  </si>
  <si>
    <t xml:space="preserve">RAMAL N488 — sai do tronco no poste N488</t>
  </si>
  <si>
    <t xml:space="preserve">poste N488</t>
  </si>
  <si>
    <t xml:space="preserve">fim N489</t>
  </si>
  <si>
    <t xml:space="preserve">RAMAL 1187549 — sai do tronco no poste 1187549</t>
  </si>
  <si>
    <t xml:space="preserve">poste 1187549</t>
  </si>
  <si>
    <t xml:space="preserve">0204420004</t>
  </si>
  <si>
    <t xml:space="preserve">fim N815</t>
  </si>
  <si>
    <t xml:space="preserve">RAMAL 93670 — sai do tronco no poste 93670</t>
  </si>
  <si>
    <t xml:space="preserve">poste 93670</t>
  </si>
  <si>
    <t xml:space="preserve">0200023004</t>
  </si>
  <si>
    <t xml:space="preserve">fim 93669</t>
  </si>
  <si>
    <t xml:space="preserve">RAMAL 29512739 — sai do tronco no poste 29512739</t>
  </si>
  <si>
    <t xml:space="preserve">poste 29512739</t>
  </si>
  <si>
    <t xml:space="preserve">0355236004</t>
  </si>
  <si>
    <t xml:space="preserve">fim 36383178</t>
  </si>
  <si>
    <t xml:space="preserve">RAMAL 551694 — sai do tronco no poste 551694</t>
  </si>
  <si>
    <t xml:space="preserve">poste 551694</t>
  </si>
  <si>
    <t xml:space="preserve">0349562004</t>
  </si>
  <si>
    <t xml:space="preserve">fim 29315243 / 0349564004</t>
  </si>
  <si>
    <t xml:space="preserve">0349564004</t>
  </si>
  <si>
    <t xml:space="preserve">fim 29143624</t>
  </si>
  <si>
    <t xml:space="preserve">RAMAL 1347265 — sai do tronco no poste 1347265</t>
  </si>
  <si>
    <t xml:space="preserve">poste 1347265</t>
  </si>
  <si>
    <t xml:space="preserve">0300024004</t>
  </si>
  <si>
    <t xml:space="preserve">fim N529 / fim 538318 / fim 550312 / fim 550313 / fim 31324767</t>
  </si>
  <si>
    <t xml:space="preserve">ETO299199C</t>
  </si>
  <si>
    <t xml:space="preserve">RAMAL 202331 — sai do tronco no poste 202331</t>
  </si>
  <si>
    <t xml:space="preserve">poste 202331</t>
  </si>
  <si>
    <t xml:space="preserve">0200028004</t>
  </si>
  <si>
    <t xml:space="preserve">fim N820</t>
  </si>
  <si>
    <t xml:space="preserve">RAMAL 1280552 — sai do tronco no poste 1280552</t>
  </si>
  <si>
    <t xml:space="preserve">poste 1280552</t>
  </si>
  <si>
    <t xml:space="preserve">fim 37961332 / fim N568 / fim 1298033 / 0300052004 / fim 39501503 / 0200050004</t>
  </si>
  <si>
    <t xml:space="preserve">8852868004</t>
  </si>
  <si>
    <t xml:space="preserve">0300052004</t>
  </si>
  <si>
    <t xml:space="preserve">fim 539662</t>
  </si>
  <si>
    <t xml:space="preserve">0200050004</t>
  </si>
  <si>
    <t xml:space="preserve">fim 93651</t>
  </si>
  <si>
    <t xml:space="preserve">RAMAL N538 — sai do tronco no poste N538</t>
  </si>
  <si>
    <t xml:space="preserve">poste N538</t>
  </si>
  <si>
    <t xml:space="preserve">fim N822</t>
  </si>
  <si>
    <t xml:space="preserve">RAMAL N546 — sai do tronco no poste N546</t>
  </si>
  <si>
    <t xml:space="preserve">poste N546</t>
  </si>
  <si>
    <t xml:space="preserve">fim 557037</t>
  </si>
  <si>
    <t xml:space="preserve">RAMAL N573 — sai do tronco no poste N573</t>
  </si>
  <si>
    <t xml:space="preserve">poste N573</t>
  </si>
  <si>
    <t xml:space="preserve">fim 538757</t>
  </si>
  <si>
    <t xml:space="preserve">RAMAL APÓS 0300031004 — sai do fim do tronco</t>
  </si>
  <si>
    <t xml:space="preserve">0300031004</t>
  </si>
  <si>
    <t xml:space="preserve">fim 538538 / fim 93664 / fim 537181 / fim 1386474 / fim 537179 / fim 20332252 / 0345006004 / fim 20332175 / fim N615 / fim 21517529 / 0352810004</t>
  </si>
  <si>
    <t xml:space="preserve">8845005004</t>
  </si>
  <si>
    <t xml:space="preserve">0345006004</t>
  </si>
  <si>
    <t xml:space="preserve">fim 30410139</t>
  </si>
  <si>
    <t xml:space="preserve">0352810004</t>
  </si>
  <si>
    <t xml:space="preserve">fim 37327909</t>
  </si>
  <si>
    <t xml:space="preserve">RAMAL APÓS 0329025004 — sai do fim do tronco</t>
  </si>
  <si>
    <t xml:space="preserve">0329025004</t>
  </si>
  <si>
    <t xml:space="preserve">fim 538286</t>
  </si>
  <si>
    <t xml:space="preserve">RAMAL N588 — sai do tronco no poste N588</t>
  </si>
  <si>
    <t xml:space="preserve">poste N588</t>
  </si>
  <si>
    <t xml:space="preserve">fim 539252</t>
  </si>
  <si>
    <t xml:space="preserve">RAMAL N594 — sai do tronco no poste N594</t>
  </si>
  <si>
    <t xml:space="preserve">poste N594</t>
  </si>
  <si>
    <t xml:space="preserve">fim 550046 / fim 537594</t>
  </si>
  <si>
    <t xml:space="preserve">RAMAL APÓS 0203015004 — sai do fim do tronco</t>
  </si>
  <si>
    <t xml:space="preserve">0203015004</t>
  </si>
  <si>
    <t xml:space="preserve">fim 354886</t>
  </si>
  <si>
    <t xml:space="preserve">RAMAL N610 — sai do tronco no poste N610</t>
  </si>
  <si>
    <t xml:space="preserve">poste N610</t>
  </si>
  <si>
    <t xml:space="preserve">fim 539661 / fim N625</t>
  </si>
  <si>
    <t xml:space="preserve">RAMAL 246115 — sai do tronco no poste 246115</t>
  </si>
  <si>
    <t xml:space="preserve">poste 246115</t>
  </si>
  <si>
    <t xml:space="preserve">fim 538994</t>
  </si>
  <si>
    <t xml:space="preserve">RAMAL APÓS 0203016004 — sai do fim do tronco</t>
  </si>
  <si>
    <t xml:space="preserve">0203016004</t>
  </si>
  <si>
    <t xml:space="preserve">fim N829</t>
  </si>
  <si>
    <t xml:space="preserve">RAMAL APÓS 0300049004 — sai do fim do tronco</t>
  </si>
  <si>
    <t xml:space="preserve">0300049004</t>
  </si>
  <si>
    <t xml:space="preserve">fim N623</t>
  </si>
  <si>
    <t xml:space="preserve">RAMAL N638 — sai do tronco no poste N638</t>
  </si>
  <si>
    <t xml:space="preserve">poste N638</t>
  </si>
  <si>
    <t xml:space="preserve">fim 552758</t>
  </si>
  <si>
    <t xml:space="preserve">RAMAL APÓS 0300724004 — sai do fim do tronco</t>
  </si>
  <si>
    <t xml:space="preserve">0300724004</t>
  </si>
  <si>
    <t xml:space="preserve">fim 1384946 / 0342284004 / 0200038004 / fim N694 / fim 537631</t>
  </si>
  <si>
    <t xml:space="preserve">0342284004</t>
  </si>
  <si>
    <t xml:space="preserve">fim N688</t>
  </si>
  <si>
    <t xml:space="preserve">0200038004</t>
  </si>
  <si>
    <t xml:space="preserve">fim N832</t>
  </si>
  <si>
    <t xml:space="preserve">RAMAL N666 — sai do tronco no poste N666</t>
  </si>
  <si>
    <t xml:space="preserve">poste N666</t>
  </si>
  <si>
    <t xml:space="preserve">fim 585610</t>
  </si>
  <si>
    <t xml:space="preserve">RAMAL APÓS 0328468004 — sai do fim do tronco</t>
  </si>
  <si>
    <t xml:space="preserve">0328468004</t>
  </si>
  <si>
    <t xml:space="preserve">fim 536987 / fim 93659 / fim 536777</t>
  </si>
  <si>
    <t xml:space="preserve">RAMAL APÓS 0203728004 — sai do fim do tronco</t>
  </si>
  <si>
    <t xml:space="preserve">0203728004</t>
  </si>
  <si>
    <t xml:space="preserve">fim N835</t>
  </si>
  <si>
    <t xml:space="preserve">RAMAL N700 — sai do tronco no poste N700</t>
  </si>
  <si>
    <t xml:space="preserve">poste N700</t>
  </si>
  <si>
    <t xml:space="preserve">fim 1088224 / fim 1088223</t>
  </si>
  <si>
    <t xml:space="preserve">RAMAL N703 — sai do tronco no poste N703</t>
  </si>
  <si>
    <t xml:space="preserve">poste N703</t>
  </si>
  <si>
    <t xml:space="preserve">fim 1088226 / fim N733</t>
  </si>
  <si>
    <t xml:space="preserve">RAMAL N717 — sai do tronco no poste N717</t>
  </si>
  <si>
    <t xml:space="preserve">poste N717</t>
  </si>
  <si>
    <t xml:space="preserve">fim N722 / fim N837 / fim N720 / fim N721</t>
  </si>
  <si>
    <t xml:space="preserve">RAMAL N738 — sai do tronco no poste N738</t>
  </si>
  <si>
    <t xml:space="preserve">poste N738</t>
  </si>
  <si>
    <t xml:space="preserve">fim 52172834 / fim 52172832</t>
  </si>
  <si>
    <t xml:space="preserve">RAMAL N743 — sai do tronco no poste N743</t>
  </si>
  <si>
    <t xml:space="preserve">poste N743</t>
  </si>
  <si>
    <t xml:space="preserve">fim 48650830</t>
  </si>
  <si>
    <t xml:space="preserve">RAMAL 1215854 — sai do tronco no poste 1215854</t>
  </si>
  <si>
    <t xml:space="preserve">poste 1215854</t>
  </si>
  <si>
    <t xml:space="preserve">fim 1215855</t>
  </si>
  <si>
    <t xml:space="preserve">RAMAL APÓS 0314965004 — sai do fim do tronco</t>
  </si>
  <si>
    <t xml:space="preserve">0314965004</t>
  </si>
  <si>
    <t xml:space="preserve">fim 1215856</t>
  </si>
  <si>
    <t xml:space="preserve">RAMAL 38560844 — sai do tronco no poste 38560844</t>
  </si>
  <si>
    <t xml:space="preserve">poste 38560844</t>
  </si>
  <si>
    <t xml:space="preserve">fim N759</t>
  </si>
  <si>
    <t xml:space="preserve">RAMAL APÓS 0328286004 — sai do fim do tronco</t>
  </si>
  <si>
    <t xml:space="preserve">0328286004</t>
  </si>
  <si>
    <t xml:space="preserve">fim N758</t>
  </si>
  <si>
    <t xml:space="preserve">RAMAL 39503065 — sai do tronco no poste 39503065</t>
  </si>
  <si>
    <t xml:space="preserve">poste 39503065</t>
  </si>
  <si>
    <t xml:space="preserve">fim N761</t>
  </si>
  <si>
    <t xml:space="preserve">RAMAL APÓS 0334747004 — sai do fim do tronco</t>
  </si>
  <si>
    <t xml:space="preserve">0334747004</t>
  </si>
  <si>
    <t xml:space="preserve">fim 1460019 / fim 1460024 / 0347400004 / 0342738004 / fim 1460341</t>
  </si>
  <si>
    <t xml:space="preserve">0347400004</t>
  </si>
  <si>
    <t xml:space="preserve">fim 51047111 / 0358161004 / fim N805 / fim N804</t>
  </si>
  <si>
    <t xml:space="preserve">0358161004</t>
  </si>
  <si>
    <t xml:space="preserve">fim 39285836</t>
  </si>
  <si>
    <t xml:space="preserve">0342738004</t>
  </si>
  <si>
    <t xml:space="preserve">fim 1460674</t>
  </si>
  <si>
    <t xml:space="preserve">RAMAL APÓS 0344627004 — sai do fim do tronco</t>
  </si>
  <si>
    <t xml:space="preserve">0344627004</t>
  </si>
  <si>
    <t xml:space="preserve">fim 30586581 / fim N801</t>
  </si>
  <si>
    <t xml:space="preserve">Onde fica este poste?</t>
  </si>
  <si>
    <t xml:space="preserve">Digite o código do poste na célula amarela (o poste no fim do vão). A planilha mostra o vão e a sequência desde o DJ.</t>
  </si>
  <si>
    <t xml:space="preserve">Poste</t>
  </si>
  <si>
    <t xml:space="preserve">N801</t>
  </si>
  <si>
    <t xml:space="preserve">← exemplo</t>
  </si>
  <si>
    <t xml:space="preserve">Trecho (vão)</t>
  </si>
  <si>
    <t xml:space="preserve">Poste início</t>
  </si>
  <si>
    <t xml:space="preserve">Tronco/Ramal</t>
  </si>
  <si>
    <t xml:space="preserve">Ramal</t>
  </si>
  <si>
    <t xml:space="preserve">Distância do ativo de referência (m)</t>
  </si>
  <si>
    <t xml:space="preserve">Distância do DJ (m)</t>
  </si>
  <si>
    <t xml:space="preserve">Outra chave no fim do vão (88…)</t>
  </si>
  <si>
    <t xml:space="preserve">Caminho desde o DJ</t>
  </si>
  <si>
    <t xml:space="preserve">Latitude</t>
  </si>
  <si>
    <t xml:space="preserve">Longitude</t>
  </si>
  <si>
    <t xml:space="preserve">Próximo ativo 1</t>
  </si>
  <si>
    <t xml:space="preserve">Próximo ativo 2</t>
  </si>
  <si>
    <t xml:space="preserve">Próximo ativo 3</t>
  </si>
  <si>
    <t xml:space="preserve">Próximo ativo 4</t>
  </si>
  <si>
    <t xml:space="preserve">Próximo ativo 5</t>
  </si>
  <si>
    <t xml:space="preserve">Próximo ativo 6</t>
  </si>
  <si>
    <t xml:space="preserve">Próximo ativo 7</t>
  </si>
  <si>
    <t xml:space="preserve">Próximo ativo 8</t>
  </si>
  <si>
    <t xml:space="preserve">Próximo ativo 9</t>
  </si>
  <si>
    <t xml:space="preserve">Próximo ativo 10</t>
  </si>
  <si>
    <t xml:space="preserve">Próximo ativo 11</t>
  </si>
  <si>
    <t xml:space="preserve">Próximo ativo 12</t>
  </si>
  <si>
    <t xml:space="preserve">Próximo ativo 13</t>
  </si>
  <si>
    <t xml:space="preserve">Próximo ativo 14</t>
  </si>
  <si>
    <t xml:space="preserve">Próximo ativo 15</t>
  </si>
  <si>
    <t xml:space="preserve">Próximo ativo 16</t>
  </si>
  <si>
    <t xml:space="preserve">Próximo ativo 17</t>
  </si>
  <si>
    <t xml:space="preserve">Próximo ativo 18</t>
  </si>
  <si>
    <t xml:space="preserve">Próximo ativo 19</t>
  </si>
  <si>
    <t xml:space="preserve">Próximo ativo 20</t>
  </si>
  <si>
    <t xml:space="preserve">Próximo ativo 21</t>
  </si>
  <si>
    <t xml:space="preserve">Próximo ativo 22</t>
  </si>
  <si>
    <t xml:space="preserve">Próximo ativo 23</t>
  </si>
  <si>
    <t xml:space="preserve">Próximo ativo 24</t>
  </si>
  <si>
    <t xml:space="preserve">Próximo ativo 25</t>
  </si>
  <si>
    <t xml:space="preserve">Próximo ativo 26</t>
  </si>
  <si>
    <t xml:space="preserve">Próximo ativo 27</t>
  </si>
  <si>
    <t xml:space="preserve">Próximo ativo 28</t>
  </si>
  <si>
    <t xml:space="preserve">Próximo ativo 29</t>
  </si>
  <si>
    <t xml:space="preserve">Próximo ativo 30</t>
  </si>
  <si>
    <t xml:space="preserve">Próximo ativo 31</t>
  </si>
  <si>
    <t xml:space="preserve">Próximo ativo 32</t>
  </si>
  <si>
    <t xml:space="preserve">Próximo ativo 33</t>
  </si>
  <si>
    <t xml:space="preserve">Próximo ativo 34</t>
  </si>
  <si>
    <t xml:space="preserve">Próximo ativo 35</t>
  </si>
  <si>
    <t xml:space="preserve">Próximo ativo 36</t>
  </si>
  <si>
    <t xml:space="preserve">Próximo ativo 37</t>
  </si>
  <si>
    <t xml:space="preserve">Próximo ativo 38</t>
  </si>
  <si>
    <t xml:space="preserve">Próximo ativo 39</t>
  </si>
  <si>
    <t xml:space="preserve">Próximo ativo 40</t>
  </si>
  <si>
    <t xml:space="preserve">Próximo ativo 41</t>
  </si>
  <si>
    <t xml:space="preserve">Próximo ativo 42</t>
  </si>
  <si>
    <t xml:space="preserve">Próximo ativo 43</t>
  </si>
  <si>
    <t xml:space="preserve">Próximo ativo 44</t>
  </si>
  <si>
    <t xml:space="preserve">Próximo ativo 45</t>
  </si>
  <si>
    <t xml:space="preserve">Próximo ativo 46</t>
  </si>
  <si>
    <t xml:space="preserve">Próximo ativo 47</t>
  </si>
  <si>
    <t xml:space="preserve">Próximo ativo 48</t>
  </si>
  <si>
    <t xml:space="preserve">Próximo ativo 49</t>
  </si>
  <si>
    <t xml:space="preserve">Próximo ativo 50</t>
  </si>
  <si>
    <t xml:space="preserve">Próximo ativo 51</t>
  </si>
  <si>
    <t xml:space="preserve">Próximo ativo 52</t>
  </si>
  <si>
    <t xml:space="preserve">Próximo ativo 53</t>
  </si>
  <si>
    <t xml:space="preserve">Próximo ativo 54</t>
  </si>
  <si>
    <t xml:space="preserve">Próximo ativo 55</t>
  </si>
  <si>
    <t xml:space="preserve">Próximo ativo 56</t>
  </si>
  <si>
    <t xml:space="preserve">Qtd. vãos</t>
  </si>
  <si>
    <t xml:space="preserve">Extensão do bloco (m)</t>
  </si>
  <si>
    <t xml:space="preserve">Qtd. ativos posteriores</t>
  </si>
  <si>
    <t xml:space="preserve">Ativos posteriores (concatenado)</t>
  </si>
  <si>
    <t xml:space="preserve">Posterior 1</t>
  </si>
  <si>
    <t xml:space="preserve">Posterior 2</t>
  </si>
  <si>
    <t xml:space="preserve">Posterior 3</t>
  </si>
  <si>
    <t xml:space="preserve">Posterior 4</t>
  </si>
  <si>
    <t xml:space="preserve">Posterior 5</t>
  </si>
  <si>
    <t xml:space="preserve">Posterior 6</t>
  </si>
  <si>
    <t xml:space="preserve">Posterior 7</t>
  </si>
  <si>
    <t xml:space="preserve">Posterior 8</t>
  </si>
  <si>
    <t xml:space="preserve">Posterior 9</t>
  </si>
  <si>
    <t xml:space="preserve">Posterior 10</t>
  </si>
  <si>
    <t xml:space="preserve">Posterior 11</t>
  </si>
  <si>
    <t xml:space="preserve">Posterior 12</t>
  </si>
  <si>
    <t xml:space="preserve">Posterior 13</t>
  </si>
  <si>
    <t xml:space="preserve">Posterior 14</t>
  </si>
  <si>
    <t xml:space="preserve">Posterior 15</t>
  </si>
  <si>
    <t xml:space="preserve">Posterior 16</t>
  </si>
  <si>
    <t xml:space="preserve">Posterior 17</t>
  </si>
  <si>
    <t xml:space="preserve">Posterior 18</t>
  </si>
  <si>
    <t xml:space="preserve">Posterior 19</t>
  </si>
  <si>
    <t xml:space="preserve">Posterior 20</t>
  </si>
  <si>
    <t xml:space="preserve">Posterior 21</t>
  </si>
  <si>
    <t xml:space="preserve">Posterior 22</t>
  </si>
  <si>
    <t xml:space="preserve">Posterior 23</t>
  </si>
  <si>
    <t xml:space="preserve">Posterior 24</t>
  </si>
  <si>
    <t xml:space="preserve">Posterior 25</t>
  </si>
  <si>
    <t xml:space="preserve">Posterior 26</t>
  </si>
  <si>
    <t xml:space="preserve">Posterior 27</t>
  </si>
  <si>
    <t xml:space="preserve">Posterior 28</t>
  </si>
  <si>
    <t xml:space="preserve">Posterior 29</t>
  </si>
  <si>
    <t xml:space="preserve">Posterior 30</t>
  </si>
  <si>
    <t xml:space="preserve">Posterior 31</t>
  </si>
  <si>
    <t xml:space="preserve">Posterior 32</t>
  </si>
  <si>
    <t xml:space="preserve">Posterior 33</t>
  </si>
  <si>
    <t xml:space="preserve">Posterior 34</t>
  </si>
  <si>
    <t xml:space="preserve">Posterior 35</t>
  </si>
  <si>
    <t xml:space="preserve">Posterior 36</t>
  </si>
  <si>
    <t xml:space="preserve">Posterior 37</t>
  </si>
  <si>
    <t xml:space="preserve">Posterior 38</t>
  </si>
  <si>
    <t xml:space="preserve">Posterior 39</t>
  </si>
  <si>
    <t xml:space="preserve">Posterior 40</t>
  </si>
  <si>
    <t xml:space="preserve">Posterior 41</t>
  </si>
  <si>
    <t xml:space="preserve">Posterior 42</t>
  </si>
  <si>
    <t xml:space="preserve">Posterior 43</t>
  </si>
  <si>
    <t xml:space="preserve">Posterior 44</t>
  </si>
  <si>
    <t xml:space="preserve">Posterior 45</t>
  </si>
  <si>
    <t xml:space="preserve">Posterior 46</t>
  </si>
  <si>
    <t xml:space="preserve">Posterior 47</t>
  </si>
  <si>
    <t xml:space="preserve">Posterior 48</t>
  </si>
  <si>
    <t xml:space="preserve">Posterior 49</t>
  </si>
  <si>
    <t xml:space="preserve">Posterior 50</t>
  </si>
  <si>
    <t xml:space="preserve">Posterior 51</t>
  </si>
  <si>
    <t xml:space="preserve">Posterior 52</t>
  </si>
  <si>
    <t xml:space="preserve">Posterior 53</t>
  </si>
  <si>
    <t xml:space="preserve">Posterior 54</t>
  </si>
  <si>
    <t xml:space="preserve">Posterior 55</t>
  </si>
  <si>
    <t xml:space="preserve">Posterior 56</t>
  </si>
  <si>
    <t xml:space="preserve">Posterior 57</t>
  </si>
  <si>
    <t xml:space="preserve">Posterior 58</t>
  </si>
  <si>
    <t xml:space="preserve">Posterior 59</t>
  </si>
  <si>
    <t xml:space="preserve">Posterior 60</t>
  </si>
  <si>
    <t xml:space="preserve">Posterior 61</t>
  </si>
  <si>
    <t xml:space="preserve">Posterior 62</t>
  </si>
  <si>
    <t xml:space="preserve">Posterior 63</t>
  </si>
  <si>
    <t xml:space="preserve">Posterior 64</t>
  </si>
  <si>
    <t xml:space="preserve">Posterior 65</t>
  </si>
  <si>
    <t xml:space="preserve">Posterior 66</t>
  </si>
  <si>
    <t xml:space="preserve">Posterior 67</t>
  </si>
  <si>
    <t xml:space="preserve">Posterior 68</t>
  </si>
  <si>
    <t xml:space="preserve">Posterior 69</t>
  </si>
  <si>
    <t xml:space="preserve">Posterior 70</t>
  </si>
  <si>
    <t xml:space="preserve">Posterior 71</t>
  </si>
  <si>
    <t xml:space="preserve">Posterior 72</t>
  </si>
  <si>
    <t xml:space="preserve">Posterior 73</t>
  </si>
  <si>
    <t xml:space="preserve">Posterior 74</t>
  </si>
  <si>
    <t xml:space="preserve">Posterior 75</t>
  </si>
  <si>
    <t xml:space="preserve">Posterior 76</t>
  </si>
  <si>
    <t xml:space="preserve">Ramal do 0200011004</t>
  </si>
  <si>
    <t xml:space="preserve">fim 59283022</t>
  </si>
  <si>
    <t xml:space="preserve">fim 554197</t>
  </si>
  <si>
    <t xml:space="preserve">fim 48647275</t>
  </si>
  <si>
    <t xml:space="preserve">fim N107</t>
  </si>
  <si>
    <t xml:space="preserve">fim 93802</t>
  </si>
  <si>
    <t xml:space="preserve">fim 555910</t>
  </si>
  <si>
    <t xml:space="preserve">fim 539462</t>
  </si>
  <si>
    <t xml:space="preserve">fim 555011</t>
  </si>
  <si>
    <t xml:space="preserve">fim N29</t>
  </si>
  <si>
    <t xml:space="preserve">fim 536530</t>
  </si>
  <si>
    <t xml:space="preserve">fim 115640</t>
  </si>
  <si>
    <t xml:space="preserve">fim N215</t>
  </si>
  <si>
    <t xml:space="preserve">fim 590202</t>
  </si>
  <si>
    <t xml:space="preserve">Ramal 1471339</t>
  </si>
  <si>
    <t xml:space="preserve">Ramal do 0302387004</t>
  </si>
  <si>
    <t xml:space="preserve">fim N91</t>
  </si>
  <si>
    <t xml:space="preserve">fim 93656</t>
  </si>
  <si>
    <t xml:space="preserve">fim 550067</t>
  </si>
  <si>
    <t xml:space="preserve">fim 35013393</t>
  </si>
  <si>
    <t xml:space="preserve">fim 35013388</t>
  </si>
  <si>
    <t xml:space="preserve">fim 539706</t>
  </si>
  <si>
    <t xml:space="preserve">fim 587027</t>
  </si>
  <si>
    <t xml:space="preserve">fim 29689259</t>
  </si>
  <si>
    <t xml:space="preserve">fim 29689060</t>
  </si>
  <si>
    <t xml:space="preserve">fim 29689128</t>
  </si>
  <si>
    <t xml:space="preserve">fim 38388446</t>
  </si>
  <si>
    <t xml:space="preserve">fim 38388428</t>
  </si>
  <si>
    <t xml:space="preserve">fim 345020</t>
  </si>
  <si>
    <t xml:space="preserve">fim 586093</t>
  </si>
  <si>
    <t xml:space="preserve">fim N204</t>
  </si>
  <si>
    <t xml:space="preserve">fim N318</t>
  </si>
  <si>
    <t xml:space="preserve">fim N179</t>
  </si>
  <si>
    <t xml:space="preserve">fim N170</t>
  </si>
  <si>
    <t xml:space="preserve">fim N158</t>
  </si>
  <si>
    <t xml:space="preserve">fim 557105</t>
  </si>
  <si>
    <t xml:space="preserve">fim N274</t>
  </si>
  <si>
    <t xml:space="preserve">fim 556507</t>
  </si>
  <si>
    <t xml:space="preserve">fim 554755</t>
  </si>
  <si>
    <t xml:space="preserve">fim 557326</t>
  </si>
  <si>
    <t xml:space="preserve">fim 554754</t>
  </si>
  <si>
    <t xml:space="preserve">fim 557325</t>
  </si>
  <si>
    <t xml:space="preserve">fim 553761</t>
  </si>
  <si>
    <t xml:space="preserve">fim 553760</t>
  </si>
  <si>
    <t xml:space="preserve">fim 557877</t>
  </si>
  <si>
    <t xml:space="preserve">fim 557872</t>
  </si>
  <si>
    <t xml:space="preserve">fim 557871</t>
  </si>
  <si>
    <t xml:space="preserve">fim 557874</t>
  </si>
  <si>
    <t xml:space="preserve">fim 554507</t>
  </si>
  <si>
    <t xml:space="preserve">fim 34566747</t>
  </si>
  <si>
    <t xml:space="preserve">fim 31715517</t>
  </si>
  <si>
    <t xml:space="preserve">fim 31715612</t>
  </si>
  <si>
    <t xml:space="preserve">fim 554240</t>
  </si>
  <si>
    <t xml:space="preserve">fim 554237</t>
  </si>
  <si>
    <t xml:space="preserve">fim 553817</t>
  </si>
  <si>
    <t xml:space="preserve">fim N141</t>
  </si>
  <si>
    <t xml:space="preserve">fim 587304</t>
  </si>
  <si>
    <t xml:space="preserve">fim 538104</t>
  </si>
  <si>
    <t xml:space="preserve">fim 538331</t>
  </si>
  <si>
    <t xml:space="preserve">fim 553248</t>
  </si>
  <si>
    <t xml:space="preserve">fim 173794</t>
  </si>
  <si>
    <t xml:space="preserve">fim 553249</t>
  </si>
  <si>
    <t xml:space="preserve">fim 538115</t>
  </si>
  <si>
    <t xml:space="preserve">fim 539707</t>
  </si>
  <si>
    <t xml:space="preserve">fim 539737</t>
  </si>
  <si>
    <t xml:space="preserve">fim 432617</t>
  </si>
  <si>
    <t xml:space="preserve">fim 173832</t>
  </si>
  <si>
    <t xml:space="preserve">fim N341</t>
  </si>
  <si>
    <t xml:space="preserve">fim N340</t>
  </si>
  <si>
    <t xml:space="preserve">fim 1107431</t>
  </si>
  <si>
    <t xml:space="preserve">fim 1394050</t>
  </si>
  <si>
    <t xml:space="preserve">fim N412</t>
  </si>
  <si>
    <t xml:space="preserve">fim 1394770</t>
  </si>
  <si>
    <t xml:space="preserve">fim 537428</t>
  </si>
  <si>
    <t xml:space="preserve">fim 586089</t>
  </si>
  <si>
    <t xml:space="preserve">fim N307</t>
  </si>
  <si>
    <t xml:space="preserve">fim N222</t>
  </si>
  <si>
    <t xml:space="preserve">fim 539672</t>
  </si>
  <si>
    <t xml:space="preserve">Ramal N95</t>
  </si>
  <si>
    <t xml:space="preserve">fim 537658</t>
  </si>
  <si>
    <t xml:space="preserve">fim 536359</t>
  </si>
  <si>
    <t xml:space="preserve">Ramal N106</t>
  </si>
  <si>
    <t xml:space="preserve">Ramal N488</t>
  </si>
  <si>
    <t xml:space="preserve">Ramal 1187549</t>
  </si>
  <si>
    <t xml:space="preserve">Ramal 93670</t>
  </si>
  <si>
    <t xml:space="preserve">Ramal 29512739</t>
  </si>
  <si>
    <t xml:space="preserve">Ramal 551694</t>
  </si>
  <si>
    <t xml:space="preserve">fim 29315243</t>
  </si>
  <si>
    <t xml:space="preserve">Ramal 1347265</t>
  </si>
  <si>
    <t xml:space="preserve">fim N529</t>
  </si>
  <si>
    <t xml:space="preserve">fim 538318</t>
  </si>
  <si>
    <t xml:space="preserve">fim 550312</t>
  </si>
  <si>
    <t xml:space="preserve">fim 550313</t>
  </si>
  <si>
    <t xml:space="preserve">fim 31324767</t>
  </si>
  <si>
    <t xml:space="preserve">Ramal 202331</t>
  </si>
  <si>
    <t xml:space="preserve">Ramal 1280552</t>
  </si>
  <si>
    <t xml:space="preserve">fim 37961332</t>
  </si>
  <si>
    <t xml:space="preserve">fim N568</t>
  </si>
  <si>
    <t xml:space="preserve">fim 1298033</t>
  </si>
  <si>
    <t xml:space="preserve">fim 39501503</t>
  </si>
  <si>
    <t xml:space="preserve">Ramal N538</t>
  </si>
  <si>
    <t xml:space="preserve">Ramal N546</t>
  </si>
  <si>
    <t xml:space="preserve">Ramal N573</t>
  </si>
  <si>
    <t xml:space="preserve">Ramal após 0300031004</t>
  </si>
  <si>
    <t xml:space="preserve">fim 538538</t>
  </si>
  <si>
    <t xml:space="preserve">fim 93664</t>
  </si>
  <si>
    <t xml:space="preserve">fim 537181</t>
  </si>
  <si>
    <t xml:space="preserve">fim 1386474</t>
  </si>
  <si>
    <t xml:space="preserve">fim 537179</t>
  </si>
  <si>
    <t xml:space="preserve">fim 20332252</t>
  </si>
  <si>
    <t xml:space="preserve">fim 20332175</t>
  </si>
  <si>
    <t xml:space="preserve">fim N615</t>
  </si>
  <si>
    <t xml:space="preserve">fim 21517529</t>
  </si>
  <si>
    <t xml:space="preserve">Ramal após 0329025004</t>
  </si>
  <si>
    <t xml:space="preserve">Ramal N588</t>
  </si>
  <si>
    <t xml:space="preserve">Ramal N594</t>
  </si>
  <si>
    <t xml:space="preserve">fim 550046</t>
  </si>
  <si>
    <t xml:space="preserve">fim 537594</t>
  </si>
  <si>
    <t xml:space="preserve">Ramal após 0203015004</t>
  </si>
  <si>
    <t xml:space="preserve">Ramal N610</t>
  </si>
  <si>
    <t xml:space="preserve">fim 539661</t>
  </si>
  <si>
    <t xml:space="preserve">fim N625</t>
  </si>
  <si>
    <t xml:space="preserve">Ramal 246115</t>
  </si>
  <si>
    <t xml:space="preserve">Ramal após 0203016004</t>
  </si>
  <si>
    <t xml:space="preserve">Ramal após 0300049004</t>
  </si>
  <si>
    <t xml:space="preserve">Ramal N638</t>
  </si>
  <si>
    <t xml:space="preserve">Ramal após 0300724004</t>
  </si>
  <si>
    <t xml:space="preserve">fim 1384946</t>
  </si>
  <si>
    <t xml:space="preserve">fim N694</t>
  </si>
  <si>
    <t xml:space="preserve">fim 537631</t>
  </si>
  <si>
    <t xml:space="preserve">Ramal N666</t>
  </si>
  <si>
    <t xml:space="preserve">Ramal após 0328468004</t>
  </si>
  <si>
    <t xml:space="preserve">fim 536987</t>
  </si>
  <si>
    <t xml:space="preserve">fim 93659</t>
  </si>
  <si>
    <t xml:space="preserve">fim 536777</t>
  </si>
  <si>
    <t xml:space="preserve">Ramal após 0203728004</t>
  </si>
  <si>
    <t xml:space="preserve">Ramal N700</t>
  </si>
  <si>
    <t xml:space="preserve">fim 1088224</t>
  </si>
  <si>
    <t xml:space="preserve">fim 1088223</t>
  </si>
  <si>
    <t xml:space="preserve">Ramal N703</t>
  </si>
  <si>
    <t xml:space="preserve">fim 1088226</t>
  </si>
  <si>
    <t xml:space="preserve">fim N733</t>
  </si>
  <si>
    <t xml:space="preserve">Ramal N717</t>
  </si>
  <si>
    <t xml:space="preserve">fim N722</t>
  </si>
  <si>
    <t xml:space="preserve">fim N837</t>
  </si>
  <si>
    <t xml:space="preserve">fim N720</t>
  </si>
  <si>
    <t xml:space="preserve">fim N721</t>
  </si>
  <si>
    <t xml:space="preserve">Ramal N738</t>
  </si>
  <si>
    <t xml:space="preserve">fim 52172834</t>
  </si>
  <si>
    <t xml:space="preserve">fim 52172832</t>
  </si>
  <si>
    <t xml:space="preserve">Ramal N743</t>
  </si>
  <si>
    <t xml:space="preserve">Ramal 1215854</t>
  </si>
  <si>
    <t xml:space="preserve">Ramal após 0314965004</t>
  </si>
  <si>
    <t xml:space="preserve">Ramal 38560844</t>
  </si>
  <si>
    <t xml:space="preserve">Ramal após 0328286004</t>
  </si>
  <si>
    <t xml:space="preserve">Ramal 39503065</t>
  </si>
  <si>
    <t xml:space="preserve">Ramal após 0334747004</t>
  </si>
  <si>
    <t xml:space="preserve">fim 1460019</t>
  </si>
  <si>
    <t xml:space="preserve">fim 1460024</t>
  </si>
  <si>
    <t xml:space="preserve">fim 1460341</t>
  </si>
  <si>
    <t xml:space="preserve">fim 51047111</t>
  </si>
  <si>
    <t xml:space="preserve">fim N805</t>
  </si>
  <si>
    <t xml:space="preserve">fim N804</t>
  </si>
  <si>
    <t xml:space="preserve">Ramal após 0344627004</t>
  </si>
  <si>
    <t xml:space="preserve">fim 30586581</t>
  </si>
  <si>
    <t xml:space="preserve">fim N801</t>
  </si>
  <si>
    <t xml:space="preserve">TOTAL</t>
  </si>
  <si>
    <t xml:space="preserve">Trecho</t>
  </si>
  <si>
    <t xml:space="preserve">Poste fim</t>
  </si>
  <si>
    <t xml:space="preserve">Distância do ativo de referência até o fim (m)</t>
  </si>
  <si>
    <t xml:space="preserve">Próximos ativos</t>
  </si>
  <si>
    <t xml:space="preserve">Ativos posteriores</t>
  </si>
  <si>
    <t xml:space="preserve">TR-001</t>
  </si>
  <si>
    <t xml:space="preserve">N0</t>
  </si>
  <si>
    <t xml:space="preserve">N1</t>
  </si>
  <si>
    <t xml:space="preserve">TR-002</t>
  </si>
  <si>
    <t xml:space="preserve">330494</t>
  </si>
  <si>
    <t xml:space="preserve">8800002004</t>
  </si>
  <si>
    <t xml:space="preserve">TR-003</t>
  </si>
  <si>
    <t xml:space="preserve">N3</t>
  </si>
  <si>
    <t xml:space="preserve">TR-004</t>
  </si>
  <si>
    <t xml:space="preserve">535160</t>
  </si>
  <si>
    <t xml:space="preserve">TR-005</t>
  </si>
  <si>
    <t xml:space="preserve">535157</t>
  </si>
  <si>
    <t xml:space="preserve">TR-006</t>
  </si>
  <si>
    <t xml:space="preserve">N6</t>
  </si>
  <si>
    <t xml:space="preserve">TR-007</t>
  </si>
  <si>
    <t xml:space="preserve">N7</t>
  </si>
  <si>
    <t xml:space="preserve">TR-008</t>
  </si>
  <si>
    <t xml:space="preserve">N8</t>
  </si>
  <si>
    <t xml:space="preserve">TR-009</t>
  </si>
  <si>
    <t xml:space="preserve">531051</t>
  </si>
  <si>
    <t xml:space="preserve">TR-010</t>
  </si>
  <si>
    <t xml:space="preserve">N10</t>
  </si>
  <si>
    <t xml:space="preserve">TR-011</t>
  </si>
  <si>
    <t xml:space="preserve">N11</t>
  </si>
  <si>
    <t xml:space="preserve">TR-012</t>
  </si>
  <si>
    <t xml:space="preserve">536161</t>
  </si>
  <si>
    <t xml:space="preserve">TR-013</t>
  </si>
  <si>
    <t xml:space="preserve">N13</t>
  </si>
  <si>
    <t xml:space="preserve">TR-014</t>
  </si>
  <si>
    <t xml:space="preserve">N14</t>
  </si>
  <si>
    <t xml:space="preserve">TR-015</t>
  </si>
  <si>
    <t xml:space="preserve">1239378</t>
  </si>
  <si>
    <t xml:space="preserve">8838716004</t>
  </si>
  <si>
    <t xml:space="preserve">TR-016</t>
  </si>
  <si>
    <t xml:space="preserve">538537</t>
  </si>
  <si>
    <t xml:space="preserve">TR-017</t>
  </si>
  <si>
    <t xml:space="preserve">1385568</t>
  </si>
  <si>
    <t xml:space="preserve">TR-018</t>
  </si>
  <si>
    <t xml:space="preserve">N20</t>
  </si>
  <si>
    <t xml:space="preserve">TR-019</t>
  </si>
  <si>
    <t xml:space="preserve">N21</t>
  </si>
  <si>
    <t xml:space="preserve">TR-020</t>
  </si>
  <si>
    <t xml:space="preserve">N22</t>
  </si>
  <si>
    <t xml:space="preserve">TR-021</t>
  </si>
  <si>
    <t xml:space="preserve">N23</t>
  </si>
  <si>
    <t xml:space="preserve">TR-022</t>
  </si>
  <si>
    <t xml:space="preserve">1471339</t>
  </si>
  <si>
    <t xml:space="preserve">TR-023</t>
  </si>
  <si>
    <t xml:space="preserve">538784</t>
  </si>
  <si>
    <t xml:space="preserve">TR-024</t>
  </si>
  <si>
    <t xml:space="preserve">N28</t>
  </si>
  <si>
    <t xml:space="preserve">TR-025</t>
  </si>
  <si>
    <t xml:space="preserve">537819</t>
  </si>
  <si>
    <t xml:space="preserve">TR-026</t>
  </si>
  <si>
    <t xml:space="preserve">26339935</t>
  </si>
  <si>
    <t xml:space="preserve">TR-027</t>
  </si>
  <si>
    <t xml:space="preserve">N37</t>
  </si>
  <si>
    <t xml:space="preserve">TR-028</t>
  </si>
  <si>
    <t xml:space="preserve">537824</t>
  </si>
  <si>
    <t xml:space="preserve">8836357004</t>
  </si>
  <si>
    <t xml:space="preserve">TR-029</t>
  </si>
  <si>
    <t xml:space="preserve">538290</t>
  </si>
  <si>
    <t xml:space="preserve">TR-030</t>
  </si>
  <si>
    <t xml:space="preserve">N52</t>
  </si>
  <si>
    <t xml:space="preserve">TR-031</t>
  </si>
  <si>
    <t xml:space="preserve">539877</t>
  </si>
  <si>
    <t xml:space="preserve">TR-032</t>
  </si>
  <si>
    <t xml:space="preserve">23466725</t>
  </si>
  <si>
    <t xml:space="preserve">TR-033</t>
  </si>
  <si>
    <t xml:space="preserve">538761</t>
  </si>
  <si>
    <t xml:space="preserve">TR-034</t>
  </si>
  <si>
    <t xml:space="preserve">N86</t>
  </si>
  <si>
    <t xml:space="preserve">TR-035</t>
  </si>
  <si>
    <t xml:space="preserve">538767</t>
  </si>
  <si>
    <t xml:space="preserve">TR-036</t>
  </si>
  <si>
    <t xml:space="preserve">N90</t>
  </si>
  <si>
    <t xml:space="preserve">8823701004</t>
  </si>
  <si>
    <t xml:space="preserve">TR-037</t>
  </si>
  <si>
    <t xml:space="preserve">N95</t>
  </si>
  <si>
    <t xml:space="preserve">TR-038</t>
  </si>
  <si>
    <t xml:space="preserve">N96</t>
  </si>
  <si>
    <t xml:space="preserve">TR-039</t>
  </si>
  <si>
    <t xml:space="preserve">93797</t>
  </si>
  <si>
    <t xml:space="preserve">TR-040</t>
  </si>
  <si>
    <t xml:space="preserve">N106</t>
  </si>
  <si>
    <t xml:space="preserve">TR-041</t>
  </si>
  <si>
    <t xml:space="preserve">N208</t>
  </si>
  <si>
    <t xml:space="preserve">TR-042</t>
  </si>
  <si>
    <t xml:space="preserve">N209</t>
  </si>
  <si>
    <t xml:space="preserve">TR-043</t>
  </si>
  <si>
    <t xml:space="preserve">1347277</t>
  </si>
  <si>
    <t xml:space="preserve">TR-044</t>
  </si>
  <si>
    <t xml:space="preserve">N211</t>
  </si>
  <si>
    <t xml:space="preserve">TR-045</t>
  </si>
  <si>
    <t xml:space="preserve">N487</t>
  </si>
  <si>
    <t xml:space="preserve">TR-046</t>
  </si>
  <si>
    <t xml:space="preserve">N488</t>
  </si>
  <si>
    <t xml:space="preserve">TR-047</t>
  </si>
  <si>
    <t xml:space="preserve">37959724</t>
  </si>
  <si>
    <t xml:space="preserve">TR-048</t>
  </si>
  <si>
    <t xml:space="preserve">N491</t>
  </si>
  <si>
    <t xml:space="preserve">TR-049</t>
  </si>
  <si>
    <t xml:space="preserve">N492</t>
  </si>
  <si>
    <t xml:space="preserve">TR-050</t>
  </si>
  <si>
    <t xml:space="preserve">37959733</t>
  </si>
  <si>
    <t xml:space="preserve">TR-051</t>
  </si>
  <si>
    <t xml:space="preserve">N494</t>
  </si>
  <si>
    <t xml:space="preserve">TR-052</t>
  </si>
  <si>
    <t xml:space="preserve">37959738</t>
  </si>
  <si>
    <t xml:space="preserve">TR-053</t>
  </si>
  <si>
    <t xml:space="preserve">1187549</t>
  </si>
  <si>
    <t xml:space="preserve">TR-054</t>
  </si>
  <si>
    <t xml:space="preserve">N497</t>
  </si>
  <si>
    <t xml:space="preserve">TR-055</t>
  </si>
  <si>
    <t xml:space="preserve">37959755</t>
  </si>
  <si>
    <t xml:space="preserve">8802390004</t>
  </si>
  <si>
    <t xml:space="preserve">TR-056</t>
  </si>
  <si>
    <t xml:space="preserve">N499</t>
  </si>
  <si>
    <t xml:space="preserve">TR-057</t>
  </si>
  <si>
    <t xml:space="preserve">N500</t>
  </si>
  <si>
    <t xml:space="preserve">0349277004</t>
  </si>
  <si>
    <t xml:space="preserve">TR-058</t>
  </si>
  <si>
    <t xml:space="preserve">93670</t>
  </si>
  <si>
    <t xml:space="preserve">TR-059</t>
  </si>
  <si>
    <t xml:space="preserve">N502</t>
  </si>
  <si>
    <t xml:space="preserve">TR-060</t>
  </si>
  <si>
    <t xml:space="preserve">1347279</t>
  </si>
  <si>
    <t xml:space="preserve">TR-061</t>
  </si>
  <si>
    <t xml:space="preserve">551695</t>
  </si>
  <si>
    <t xml:space="preserve">TR-062</t>
  </si>
  <si>
    <t xml:space="preserve">29512739</t>
  </si>
  <si>
    <t xml:space="preserve">TR-063</t>
  </si>
  <si>
    <t xml:space="preserve">551694</t>
  </si>
  <si>
    <t xml:space="preserve">TR-064</t>
  </si>
  <si>
    <t xml:space="preserve">N510</t>
  </si>
  <si>
    <t xml:space="preserve">TR-065</t>
  </si>
  <si>
    <t xml:space="preserve">1347265</t>
  </si>
  <si>
    <t xml:space="preserve">TR-066</t>
  </si>
  <si>
    <t xml:space="preserve">N525</t>
  </si>
  <si>
    <t xml:space="preserve">TR-067</t>
  </si>
  <si>
    <t xml:space="preserve">1347276</t>
  </si>
  <si>
    <t xml:space="preserve">8827796004</t>
  </si>
  <si>
    <t xml:space="preserve">TR-068</t>
  </si>
  <si>
    <t xml:space="preserve">202331</t>
  </si>
  <si>
    <t xml:space="preserve">TR-069</t>
  </si>
  <si>
    <t xml:space="preserve">1280552</t>
  </si>
  <si>
    <t xml:space="preserve">TR-070</t>
  </si>
  <si>
    <t xml:space="preserve">N537</t>
  </si>
  <si>
    <t xml:space="preserve">8800029004</t>
  </si>
  <si>
    <t xml:space="preserve">TR-071</t>
  </si>
  <si>
    <t xml:space="preserve">N538</t>
  </si>
  <si>
    <t xml:space="preserve">TR-072</t>
  </si>
  <si>
    <t xml:space="preserve">1272609</t>
  </si>
  <si>
    <t xml:space="preserve">TR-073</t>
  </si>
  <si>
    <t xml:space="preserve">586069</t>
  </si>
  <si>
    <t xml:space="preserve">TR-074</t>
  </si>
  <si>
    <t xml:space="preserve">N546</t>
  </si>
  <si>
    <t xml:space="preserve">TR-075</t>
  </si>
  <si>
    <t xml:space="preserve">N552</t>
  </si>
  <si>
    <t xml:space="preserve">TR-076</t>
  </si>
  <si>
    <t xml:space="preserve">586299</t>
  </si>
  <si>
    <t xml:space="preserve">TR-077</t>
  </si>
  <si>
    <t xml:space="preserve">586301</t>
  </si>
  <si>
    <t xml:space="preserve">TR-078</t>
  </si>
  <si>
    <t xml:space="preserve">93666</t>
  </si>
  <si>
    <t xml:space="preserve">TR-079</t>
  </si>
  <si>
    <t xml:space="preserve">N561</t>
  </si>
  <si>
    <t xml:space="preserve">TR-080</t>
  </si>
  <si>
    <t xml:space="preserve">N573</t>
  </si>
  <si>
    <t xml:space="preserve">TR-081</t>
  </si>
  <si>
    <t xml:space="preserve">N575</t>
  </si>
  <si>
    <t xml:space="preserve">TR-082</t>
  </si>
  <si>
    <t xml:space="preserve">122557</t>
  </si>
  <si>
    <t xml:space="preserve">TR-083</t>
  </si>
  <si>
    <t xml:space="preserve">557586</t>
  </si>
  <si>
    <t xml:space="preserve">TR-084</t>
  </si>
  <si>
    <t xml:space="preserve">537584</t>
  </si>
  <si>
    <t xml:space="preserve">TR-085</t>
  </si>
  <si>
    <t xml:space="preserve">N592</t>
  </si>
  <si>
    <t xml:space="preserve">TR-086</t>
  </si>
  <si>
    <t xml:space="preserve">537587</t>
  </si>
  <si>
    <t xml:space="preserve">8841354004</t>
  </si>
  <si>
    <t xml:space="preserve">TR-087</t>
  </si>
  <si>
    <t xml:space="preserve">N638</t>
  </si>
  <si>
    <t xml:space="preserve">TR-088</t>
  </si>
  <si>
    <t xml:space="preserve">122556</t>
  </si>
  <si>
    <t xml:space="preserve">TR-089</t>
  </si>
  <si>
    <t xml:space="preserve">N643</t>
  </si>
  <si>
    <t xml:space="preserve">TR-090</t>
  </si>
  <si>
    <t xml:space="preserve">93663</t>
  </si>
  <si>
    <t xml:space="preserve">TR-091</t>
  </si>
  <si>
    <t xml:space="preserve">N640</t>
  </si>
  <si>
    <t xml:space="preserve">8800034004</t>
  </si>
  <si>
    <t xml:space="preserve">TR-092</t>
  </si>
  <si>
    <t xml:space="preserve">29748986</t>
  </si>
  <si>
    <t xml:space="preserve">TR-093</t>
  </si>
  <si>
    <t xml:space="preserve">93660</t>
  </si>
  <si>
    <t xml:space="preserve">TR-094</t>
  </si>
  <si>
    <t xml:space="preserve">N666</t>
  </si>
  <si>
    <t xml:space="preserve">TR-095</t>
  </si>
  <si>
    <t xml:space="preserve">587758</t>
  </si>
  <si>
    <t xml:space="preserve">TR-096</t>
  </si>
  <si>
    <t xml:space="preserve">N671</t>
  </si>
  <si>
    <t xml:space="preserve">8803727004</t>
  </si>
  <si>
    <t xml:space="preserve">TR-097</t>
  </si>
  <si>
    <t xml:space="preserve">585607</t>
  </si>
  <si>
    <t xml:space="preserve">TR-098</t>
  </si>
  <si>
    <t xml:space="preserve">N684</t>
  </si>
  <si>
    <t xml:space="preserve">TR-099</t>
  </si>
  <si>
    <t xml:space="preserve">586325</t>
  </si>
  <si>
    <t xml:space="preserve">TR-100</t>
  </si>
  <si>
    <t xml:space="preserve">893575</t>
  </si>
  <si>
    <t xml:space="preserve">TR-101</t>
  </si>
  <si>
    <t xml:space="preserve">587301</t>
  </si>
  <si>
    <t xml:space="preserve">TR-102</t>
  </si>
  <si>
    <t xml:space="preserve">N699</t>
  </si>
  <si>
    <t xml:space="preserve">TR-103</t>
  </si>
  <si>
    <t xml:space="preserve">N700</t>
  </si>
  <si>
    <t xml:space="preserve">TR-104</t>
  </si>
  <si>
    <t xml:space="preserve">N703</t>
  </si>
  <si>
    <t xml:space="preserve">TR-105</t>
  </si>
  <si>
    <t xml:space="preserve">N707</t>
  </si>
  <si>
    <t xml:space="preserve">TR-106</t>
  </si>
  <si>
    <t xml:space="preserve">N708</t>
  </si>
  <si>
    <t xml:space="preserve">TR-107</t>
  </si>
  <si>
    <t xml:space="preserve">N710</t>
  </si>
  <si>
    <t xml:space="preserve">TR-108</t>
  </si>
  <si>
    <t xml:space="preserve">N711</t>
  </si>
  <si>
    <t xml:space="preserve">TR-109</t>
  </si>
  <si>
    <t xml:space="preserve">45795607</t>
  </si>
  <si>
    <t xml:space="preserve">TR-110</t>
  </si>
  <si>
    <t xml:space="preserve">N716</t>
  </si>
  <si>
    <t xml:space="preserve">8828470004</t>
  </si>
  <si>
    <t xml:space="preserve">TR-111</t>
  </si>
  <si>
    <t xml:space="preserve">N717</t>
  </si>
  <si>
    <t xml:space="preserve">TR-112</t>
  </si>
  <si>
    <t xml:space="preserve">38561232</t>
  </si>
  <si>
    <t xml:space="preserve">TR-113</t>
  </si>
  <si>
    <t xml:space="preserve">N724</t>
  </si>
  <si>
    <t xml:space="preserve">8814964004</t>
  </si>
  <si>
    <t xml:space="preserve">TR-114</t>
  </si>
  <si>
    <t xml:space="preserve">38561403</t>
  </si>
  <si>
    <t xml:space="preserve">TR-115</t>
  </si>
  <si>
    <t xml:space="preserve">N726</t>
  </si>
  <si>
    <t xml:space="preserve">TR-116</t>
  </si>
  <si>
    <t xml:space="preserve">38561400</t>
  </si>
  <si>
    <t xml:space="preserve">TR-117</t>
  </si>
  <si>
    <t xml:space="preserve">N730</t>
  </si>
  <si>
    <t xml:space="preserve">TR-118</t>
  </si>
  <si>
    <t xml:space="preserve">52172661</t>
  </si>
  <si>
    <t xml:space="preserve">TR-119</t>
  </si>
  <si>
    <t xml:space="preserve">N732</t>
  </si>
  <si>
    <t xml:space="preserve">8855846004</t>
  </si>
  <si>
    <t xml:space="preserve">TR-120</t>
  </si>
  <si>
    <t xml:space="preserve">N734</t>
  </si>
  <si>
    <t xml:space="preserve">TR-121</t>
  </si>
  <si>
    <t xml:space="preserve">N735</t>
  </si>
  <si>
    <t xml:space="preserve">TR-122</t>
  </si>
  <si>
    <t xml:space="preserve">N736</t>
  </si>
  <si>
    <t xml:space="preserve">TR-123</t>
  </si>
  <si>
    <t xml:space="preserve">52172830</t>
  </si>
  <si>
    <t xml:space="preserve">TR-124</t>
  </si>
  <si>
    <t xml:space="preserve">N738</t>
  </si>
  <si>
    <t xml:space="preserve">TR-125</t>
  </si>
  <si>
    <t xml:space="preserve">N741</t>
  </si>
  <si>
    <t xml:space="preserve">TR-126</t>
  </si>
  <si>
    <t xml:space="preserve">N742</t>
  </si>
  <si>
    <t xml:space="preserve">8855095004</t>
  </si>
  <si>
    <t xml:space="preserve">TR-127</t>
  </si>
  <si>
    <t xml:space="preserve">N743</t>
  </si>
  <si>
    <t xml:space="preserve">TR-128</t>
  </si>
  <si>
    <t xml:space="preserve">38560867</t>
  </si>
  <si>
    <t xml:space="preserve">TR-129</t>
  </si>
  <si>
    <t xml:space="preserve">N745</t>
  </si>
  <si>
    <t xml:space="preserve">8855094004</t>
  </si>
  <si>
    <t xml:space="preserve">TR-130</t>
  </si>
  <si>
    <t xml:space="preserve">38560861</t>
  </si>
  <si>
    <t xml:space="preserve">TR-131</t>
  </si>
  <si>
    <t xml:space="preserve">38560844</t>
  </si>
  <si>
    <t xml:space="preserve">TR-132</t>
  </si>
  <si>
    <t xml:space="preserve">N757</t>
  </si>
  <si>
    <t xml:space="preserve">TR-133</t>
  </si>
  <si>
    <t xml:space="preserve">38560879</t>
  </si>
  <si>
    <t xml:space="preserve">TR-134</t>
  </si>
  <si>
    <t xml:space="preserve">N747</t>
  </si>
  <si>
    <t xml:space="preserve">TR-135</t>
  </si>
  <si>
    <t xml:space="preserve">1215854</t>
  </si>
  <si>
    <t xml:space="preserve">TR-136</t>
  </si>
  <si>
    <t xml:space="preserve">N753</t>
  </si>
  <si>
    <t xml:space="preserve">TR-137</t>
  </si>
  <si>
    <t xml:space="preserve">N750</t>
  </si>
  <si>
    <t xml:space="preserve">TR-138</t>
  </si>
  <si>
    <t xml:space="preserve">38560888</t>
  </si>
  <si>
    <t xml:space="preserve">TR-139</t>
  </si>
  <si>
    <t xml:space="preserve">39503065</t>
  </si>
  <si>
    <t xml:space="preserve">TR-140</t>
  </si>
  <si>
    <t xml:space="preserve">52173081</t>
  </si>
  <si>
    <t xml:space="preserve">TR-141</t>
  </si>
  <si>
    <t xml:space="preserve">N763</t>
  </si>
  <si>
    <t xml:space="preserve">8858328004</t>
  </si>
  <si>
    <t xml:space="preserve">TR-142</t>
  </si>
  <si>
    <t xml:space="preserve">52173089</t>
  </si>
  <si>
    <t xml:space="preserve">TR-143</t>
  </si>
  <si>
    <t xml:space="preserve">N765</t>
  </si>
  <si>
    <t xml:space="preserve">TR-144</t>
  </si>
  <si>
    <t xml:space="preserve">1282928</t>
  </si>
  <si>
    <t xml:space="preserve">TR-145</t>
  </si>
  <si>
    <t xml:space="preserve">N775</t>
  </si>
  <si>
    <t xml:space="preserve">TR-146</t>
  </si>
  <si>
    <t xml:space="preserve">1282929</t>
  </si>
  <si>
    <t xml:space="preserve">TR-147</t>
  </si>
  <si>
    <t xml:space="preserve">1455420</t>
  </si>
  <si>
    <t xml:space="preserve">TR-148</t>
  </si>
  <si>
    <t xml:space="preserve">N778</t>
  </si>
  <si>
    <t xml:space="preserve">TR-149</t>
  </si>
  <si>
    <t xml:space="preserve">1460344</t>
  </si>
  <si>
    <t xml:space="preserve">TR-150</t>
  </si>
  <si>
    <t xml:space="preserve">N780</t>
  </si>
  <si>
    <t xml:space="preserve">TR-151</t>
  </si>
  <si>
    <t xml:space="preserve">1478735</t>
  </si>
  <si>
    <t xml:space="preserve">TR-152</t>
  </si>
  <si>
    <t xml:space="preserve">N782</t>
  </si>
  <si>
    <t xml:space="preserve">TR-153</t>
  </si>
  <si>
    <t xml:space="preserve">1478857</t>
  </si>
  <si>
    <t xml:space="preserve">TR-154</t>
  </si>
  <si>
    <t xml:space="preserve">29470285</t>
  </si>
  <si>
    <t xml:space="preserve">TR-155</t>
  </si>
  <si>
    <t xml:space="preserve">N791</t>
  </si>
  <si>
    <t xml:space="preserve">TR-156</t>
  </si>
  <si>
    <t xml:space="preserve">29470284</t>
  </si>
  <si>
    <t xml:space="preserve">TR-157</t>
  </si>
  <si>
    <t xml:space="preserve">N796</t>
  </si>
  <si>
    <t xml:space="preserve">TR-158</t>
  </si>
  <si>
    <t xml:space="preserve">29470283</t>
  </si>
  <si>
    <t xml:space="preserve">TR-159</t>
  </si>
  <si>
    <t xml:space="preserve">N798</t>
  </si>
  <si>
    <t xml:space="preserve">TR-160</t>
  </si>
  <si>
    <t xml:space="preserve">N799</t>
  </si>
  <si>
    <t xml:space="preserve">TR-161</t>
  </si>
  <si>
    <t xml:space="preserve">29470281</t>
  </si>
  <si>
    <t xml:space="preserve">TR-162</t>
  </si>
  <si>
    <t xml:space="preserve">N766</t>
  </si>
  <si>
    <t xml:space="preserve">TR-163</t>
  </si>
  <si>
    <t xml:space="preserve">48650798</t>
  </si>
  <si>
    <t xml:space="preserve">TR-164</t>
  </si>
  <si>
    <t xml:space="preserve">1460342</t>
  </si>
  <si>
    <t xml:space="preserve">TR-165</t>
  </si>
  <si>
    <t xml:space="preserve">N769</t>
  </si>
  <si>
    <t xml:space="preserve">TR-166</t>
  </si>
  <si>
    <t xml:space="preserve">N833</t>
  </si>
  <si>
    <t xml:space="preserve">TR-167</t>
  </si>
  <si>
    <t xml:space="preserve">587764</t>
  </si>
  <si>
    <t xml:space="preserve">TR-168</t>
  </si>
  <si>
    <t xml:space="preserve">N668</t>
  </si>
  <si>
    <t xml:space="preserve">TR-169</t>
  </si>
  <si>
    <t xml:space="preserve">N579</t>
  </si>
  <si>
    <t xml:space="preserve">TR-170</t>
  </si>
  <si>
    <t xml:space="preserve">557033</t>
  </si>
  <si>
    <t xml:space="preserve">TR-171</t>
  </si>
  <si>
    <t xml:space="preserve">557032</t>
  </si>
  <si>
    <t xml:space="preserve">TR-172</t>
  </si>
  <si>
    <t xml:space="preserve">N565</t>
  </si>
  <si>
    <t xml:space="preserve">8804463004</t>
  </si>
  <si>
    <t xml:space="preserve">TR-173</t>
  </si>
  <si>
    <t xml:space="preserve">555610</t>
  </si>
  <si>
    <t xml:space="preserve">TR-174</t>
  </si>
  <si>
    <t xml:space="preserve">N587</t>
  </si>
  <si>
    <t xml:space="preserve">TR-175</t>
  </si>
  <si>
    <t xml:space="preserve">N588</t>
  </si>
  <si>
    <t xml:space="preserve">TR-176</t>
  </si>
  <si>
    <t xml:space="preserve">N594</t>
  </si>
  <si>
    <t xml:space="preserve">TR-177</t>
  </si>
  <si>
    <t xml:space="preserve">246115</t>
  </si>
  <si>
    <t xml:space="preserve">TR-178</t>
  </si>
  <si>
    <t xml:space="preserve">N827</t>
  </si>
  <si>
    <t xml:space="preserve">TR-179</t>
  </si>
  <si>
    <t xml:space="preserve">122553</t>
  </si>
  <si>
    <t xml:space="preserve">TR-180</t>
  </si>
  <si>
    <t xml:space="preserve">N607</t>
  </si>
  <si>
    <t xml:space="preserve">TR-181</t>
  </si>
  <si>
    <t xml:space="preserve">539256</t>
  </si>
  <si>
    <t xml:space="preserve">TR-182</t>
  </si>
  <si>
    <t xml:space="preserve">N610</t>
  </si>
  <si>
    <t xml:space="preserve">TR-183</t>
  </si>
  <si>
    <t xml:space="preserve">93654</t>
  </si>
  <si>
    <t xml:space="preserve">TR-184</t>
  </si>
  <si>
    <t xml:space="preserve">93653</t>
  </si>
  <si>
    <t xml:space="preserve">TR-185</t>
  </si>
  <si>
    <t xml:space="preserve">N622</t>
  </si>
  <si>
    <t xml:space="preserve">TR-186</t>
  </si>
  <si>
    <t xml:space="preserve">N825</t>
  </si>
  <si>
    <t xml:space="preserve">TR-187</t>
  </si>
  <si>
    <t xml:space="preserve">N17</t>
  </si>
  <si>
    <t xml:space="preserve">TR-188</t>
  </si>
  <si>
    <t xml:space="preserve">48650413</t>
  </si>
  <si>
    <t xml:space="preserve">8801100004</t>
  </si>
  <si>
    <t xml:space="preserve">TR-189</t>
  </si>
  <si>
    <t xml:space="preserve">48646840</t>
  </si>
  <si>
    <t xml:space="preserve">TR-190</t>
  </si>
  <si>
    <t xml:space="preserve">N26</t>
  </si>
  <si>
    <t xml:space="preserve">TR-191</t>
  </si>
  <si>
    <t xml:space="preserve">N32</t>
  </si>
  <si>
    <t xml:space="preserve">TR-192</t>
  </si>
  <si>
    <t xml:space="preserve">N34</t>
  </si>
  <si>
    <t xml:space="preserve">TR-193</t>
  </si>
  <si>
    <t xml:space="preserve">N36</t>
  </si>
  <si>
    <t xml:space="preserve">TR-194</t>
  </si>
  <si>
    <t xml:space="preserve">N42</t>
  </si>
  <si>
    <t xml:space="preserve">TR-195</t>
  </si>
  <si>
    <t xml:space="preserve">N43</t>
  </si>
  <si>
    <t xml:space="preserve">8801130004</t>
  </si>
  <si>
    <t xml:space="preserve">TR-196</t>
  </si>
  <si>
    <t xml:space="preserve">N48</t>
  </si>
  <si>
    <t xml:space="preserve">TR-197</t>
  </si>
  <si>
    <t xml:space="preserve">538992</t>
  </si>
  <si>
    <t xml:space="preserve">TR-198</t>
  </si>
  <si>
    <t xml:space="preserve">59283010</t>
  </si>
  <si>
    <t xml:space="preserve">TR-199</t>
  </si>
  <si>
    <t xml:space="preserve">N73</t>
  </si>
  <si>
    <t xml:space="preserve">TR-200</t>
  </si>
  <si>
    <t xml:space="preserve">N109</t>
  </si>
  <si>
    <t xml:space="preserve">TR-201</t>
  </si>
  <si>
    <t xml:space="preserve">N110</t>
  </si>
  <si>
    <t xml:space="preserve">TR-202</t>
  </si>
  <si>
    <t xml:space="preserve">93632</t>
  </si>
  <si>
    <t xml:space="preserve">8800010004</t>
  </si>
  <si>
    <t xml:space="preserve">TR-203</t>
  </si>
  <si>
    <t xml:space="preserve">41939700</t>
  </si>
  <si>
    <t xml:space="preserve">TR-204</t>
  </si>
  <si>
    <t xml:space="preserve">N117</t>
  </si>
  <si>
    <t xml:space="preserve">TR-205</t>
  </si>
  <si>
    <t xml:space="preserve">587502</t>
  </si>
  <si>
    <t xml:space="preserve">TR-206</t>
  </si>
  <si>
    <t xml:space="preserve">587503</t>
  </si>
  <si>
    <t xml:space="preserve">TR-207</t>
  </si>
  <si>
    <t xml:space="preserve">N216</t>
  </si>
  <si>
    <t xml:space="preserve">TR-208</t>
  </si>
  <si>
    <t xml:space="preserve">N113</t>
  </si>
  <si>
    <t xml:space="preserve">TR-209</t>
  </si>
  <si>
    <t xml:space="preserve">59283022</t>
  </si>
  <si>
    <t xml:space="preserve">TR-210</t>
  </si>
  <si>
    <t xml:space="preserve">48646969</t>
  </si>
  <si>
    <t xml:space="preserve">TR-211</t>
  </si>
  <si>
    <t xml:space="preserve">N41</t>
  </si>
  <si>
    <t xml:space="preserve">8800009004</t>
  </si>
  <si>
    <t xml:space="preserve">TR-212</t>
  </si>
  <si>
    <t xml:space="preserve">93804</t>
  </si>
  <si>
    <t xml:space="preserve">TR-213</t>
  </si>
  <si>
    <t xml:space="preserve">48647100</t>
  </si>
  <si>
    <t xml:space="preserve">TR-214</t>
  </si>
  <si>
    <t xml:space="preserve">N54</t>
  </si>
  <si>
    <t xml:space="preserve">TR-215</t>
  </si>
  <si>
    <t xml:space="preserve">555012</t>
  </si>
  <si>
    <t xml:space="preserve">TR-216</t>
  </si>
  <si>
    <t xml:space="preserve">536521</t>
  </si>
  <si>
    <t xml:space="preserve">TR-217</t>
  </si>
  <si>
    <t xml:space="preserve">N65</t>
  </si>
  <si>
    <t xml:space="preserve">TR-218</t>
  </si>
  <si>
    <t xml:space="preserve">550562</t>
  </si>
  <si>
    <t xml:space="preserve">TR-219</t>
  </si>
  <si>
    <t xml:space="preserve">N69</t>
  </si>
  <si>
    <t xml:space="preserve">TR-220</t>
  </si>
  <si>
    <t xml:space="preserve">554197</t>
  </si>
  <si>
    <t xml:space="preserve">TR-221</t>
  </si>
  <si>
    <t xml:space="preserve">48647597</t>
  </si>
  <si>
    <t xml:space="preserve">TR-222</t>
  </si>
  <si>
    <t xml:space="preserve">N59</t>
  </si>
  <si>
    <t xml:space="preserve">8804031004</t>
  </si>
  <si>
    <t xml:space="preserve">TR-223</t>
  </si>
  <si>
    <t xml:space="preserve">93803</t>
  </si>
  <si>
    <t xml:space="preserve">TR-224</t>
  </si>
  <si>
    <t xml:space="preserve">48647209</t>
  </si>
  <si>
    <t xml:space="preserve">TR-225</t>
  </si>
  <si>
    <t xml:space="preserve">N67</t>
  </si>
  <si>
    <t xml:space="preserve">8858190004</t>
  </si>
  <si>
    <t xml:space="preserve">TR-226</t>
  </si>
  <si>
    <t xml:space="preserve">48647212</t>
  </si>
  <si>
    <t xml:space="preserve">TR-227</t>
  </si>
  <si>
    <t xml:space="preserve">N71</t>
  </si>
  <si>
    <t xml:space="preserve">TR-228</t>
  </si>
  <si>
    <t xml:space="preserve">N75</t>
  </si>
  <si>
    <t xml:space="preserve">TR-229</t>
  </si>
  <si>
    <t xml:space="preserve">48647232</t>
  </si>
  <si>
    <t xml:space="preserve">TR-230</t>
  </si>
  <si>
    <t xml:space="preserve">48647257</t>
  </si>
  <si>
    <t xml:space="preserve">TR-231</t>
  </si>
  <si>
    <t xml:space="preserve">N84</t>
  </si>
  <si>
    <t xml:space="preserve">TR-232</t>
  </si>
  <si>
    <t xml:space="preserve">N88</t>
  </si>
  <si>
    <t xml:space="preserve">TR-233</t>
  </si>
  <si>
    <t xml:space="preserve">48647266</t>
  </si>
  <si>
    <t xml:space="preserve">TR-234</t>
  </si>
  <si>
    <t xml:space="preserve">N94</t>
  </si>
  <si>
    <t xml:space="preserve">8800015004</t>
  </si>
  <si>
    <t xml:space="preserve">TR-235</t>
  </si>
  <si>
    <t xml:space="preserve">93799</t>
  </si>
  <si>
    <t xml:space="preserve">TR-236</t>
  </si>
  <si>
    <t xml:space="preserve">484601</t>
  </si>
  <si>
    <t xml:space="preserve">TR-237</t>
  </si>
  <si>
    <t xml:space="preserve">93800</t>
  </si>
  <si>
    <t xml:space="preserve">TR-238</t>
  </si>
  <si>
    <t xml:space="preserve">N121</t>
  </si>
  <si>
    <t xml:space="preserve">TR-239</t>
  </si>
  <si>
    <t xml:space="preserve">41939678</t>
  </si>
  <si>
    <t xml:space="preserve">TR-240</t>
  </si>
  <si>
    <t xml:space="preserve">N124</t>
  </si>
  <si>
    <t xml:space="preserve">TR-241</t>
  </si>
  <si>
    <t xml:space="preserve">N122</t>
  </si>
  <si>
    <t xml:space="preserve">TR-242</t>
  </si>
  <si>
    <t xml:space="preserve">N212</t>
  </si>
  <si>
    <t xml:space="preserve">TR-243</t>
  </si>
  <si>
    <t xml:space="preserve">48647275</t>
  </si>
  <si>
    <t xml:space="preserve">TR-244</t>
  </si>
  <si>
    <t xml:space="preserve">N98</t>
  </si>
  <si>
    <t xml:space="preserve">TR-245</t>
  </si>
  <si>
    <t xml:space="preserve">48647304</t>
  </si>
  <si>
    <t xml:space="preserve">TR-246</t>
  </si>
  <si>
    <t xml:space="preserve">N107</t>
  </si>
  <si>
    <t xml:space="preserve">TR-247</t>
  </si>
  <si>
    <t xml:space="preserve">555911</t>
  </si>
  <si>
    <t xml:space="preserve">TR-248</t>
  </si>
  <si>
    <t xml:space="preserve">104974</t>
  </si>
  <si>
    <t xml:space="preserve">TR-249</t>
  </si>
  <si>
    <t xml:space="preserve">93802</t>
  </si>
  <si>
    <t xml:space="preserve">TR-250</t>
  </si>
  <si>
    <t xml:space="preserve">N79</t>
  </si>
  <si>
    <t xml:space="preserve">TR-251</t>
  </si>
  <si>
    <t xml:space="preserve">555910</t>
  </si>
  <si>
    <t xml:space="preserve">TR-252</t>
  </si>
  <si>
    <t xml:space="preserve">N47</t>
  </si>
  <si>
    <t xml:space="preserve">TR-253</t>
  </si>
  <si>
    <t xml:space="preserve">52173456</t>
  </si>
  <si>
    <t xml:space="preserve">TR-254</t>
  </si>
  <si>
    <t xml:space="preserve">N51</t>
  </si>
  <si>
    <t xml:space="preserve">TR-255</t>
  </si>
  <si>
    <t xml:space="preserve">1219336</t>
  </si>
  <si>
    <t xml:space="preserve">TR-256</t>
  </si>
  <si>
    <t xml:space="preserve">539462</t>
  </si>
  <si>
    <t xml:space="preserve">TR-257</t>
  </si>
  <si>
    <t xml:space="preserve">555011</t>
  </si>
  <si>
    <t xml:space="preserve">TR-258</t>
  </si>
  <si>
    <t xml:space="preserve">N29</t>
  </si>
  <si>
    <t xml:space="preserve">TR-259</t>
  </si>
  <si>
    <t xml:space="preserve">536530</t>
  </si>
  <si>
    <t xml:space="preserve">TR-260</t>
  </si>
  <si>
    <t xml:space="preserve">93631</t>
  </si>
  <si>
    <t xml:space="preserve">TR-261</t>
  </si>
  <si>
    <t xml:space="preserve">N218</t>
  </si>
  <si>
    <t xml:space="preserve">TR-262</t>
  </si>
  <si>
    <t xml:space="preserve">41939698</t>
  </si>
  <si>
    <t xml:space="preserve">TR-263</t>
  </si>
  <si>
    <t xml:space="preserve">41939697</t>
  </si>
  <si>
    <t xml:space="preserve">TR-264</t>
  </si>
  <si>
    <t xml:space="preserve">550558</t>
  </si>
  <si>
    <t xml:space="preserve">TR-265</t>
  </si>
  <si>
    <t xml:space="preserve">538289</t>
  </si>
  <si>
    <t xml:space="preserve">TR-266</t>
  </si>
  <si>
    <t xml:space="preserve">41939679</t>
  </si>
  <si>
    <t xml:space="preserve">TR-267</t>
  </si>
  <si>
    <t xml:space="preserve">N126</t>
  </si>
  <si>
    <t xml:space="preserve">TR-268</t>
  </si>
  <si>
    <t xml:space="preserve">41939681</t>
  </si>
  <si>
    <t xml:space="preserve">TR-269</t>
  </si>
  <si>
    <t xml:space="preserve">41939685</t>
  </si>
  <si>
    <t xml:space="preserve">TR-270</t>
  </si>
  <si>
    <t xml:space="preserve">538984</t>
  </si>
  <si>
    <t xml:space="preserve">TR-271</t>
  </si>
  <si>
    <t xml:space="preserve">N128</t>
  </si>
  <si>
    <t xml:space="preserve">TR-272</t>
  </si>
  <si>
    <t xml:space="preserve">N129</t>
  </si>
  <si>
    <t xml:space="preserve">TR-273</t>
  </si>
  <si>
    <t xml:space="preserve">32059084</t>
  </si>
  <si>
    <t xml:space="preserve">TR-274</t>
  </si>
  <si>
    <t xml:space="preserve">115641</t>
  </si>
  <si>
    <t xml:space="preserve">TR-275</t>
  </si>
  <si>
    <t xml:space="preserve">N138</t>
  </si>
  <si>
    <t xml:space="preserve">TR-276</t>
  </si>
  <si>
    <t xml:space="preserve">554718</t>
  </si>
  <si>
    <t xml:space="preserve">TR-277</t>
  </si>
  <si>
    <t xml:space="preserve">N143</t>
  </si>
  <si>
    <t xml:space="preserve">TR-278</t>
  </si>
  <si>
    <t xml:space="preserve">1097674</t>
  </si>
  <si>
    <t xml:space="preserve">TR-279</t>
  </si>
  <si>
    <t xml:space="preserve">556486</t>
  </si>
  <si>
    <t xml:space="preserve">TR-280</t>
  </si>
  <si>
    <t xml:space="preserve">N153</t>
  </si>
  <si>
    <t xml:space="preserve">TR-281</t>
  </si>
  <si>
    <t xml:space="preserve">N151</t>
  </si>
  <si>
    <t xml:space="preserve">TR-282</t>
  </si>
  <si>
    <t xml:space="preserve">115640</t>
  </si>
  <si>
    <t xml:space="preserve">TR-283</t>
  </si>
  <si>
    <t xml:space="preserve">N161</t>
  </si>
  <si>
    <t xml:space="preserve">TR-284</t>
  </si>
  <si>
    <t xml:space="preserve">1097675</t>
  </si>
  <si>
    <t xml:space="preserve">TR-285</t>
  </si>
  <si>
    <t xml:space="preserve">135736</t>
  </si>
  <si>
    <t xml:space="preserve">TR-286</t>
  </si>
  <si>
    <t xml:space="preserve">N215</t>
  </si>
  <si>
    <t xml:space="preserve">TR-287</t>
  </si>
  <si>
    <t xml:space="preserve">590202</t>
  </si>
  <si>
    <t xml:space="preserve">TR-288</t>
  </si>
  <si>
    <t xml:space="preserve">556216</t>
  </si>
  <si>
    <t xml:space="preserve">TR-289</t>
  </si>
  <si>
    <t xml:space="preserve">1471341</t>
  </si>
  <si>
    <t xml:space="preserve">TR-290</t>
  </si>
  <si>
    <t xml:space="preserve">N91</t>
  </si>
  <si>
    <t xml:space="preserve">TR-291</t>
  </si>
  <si>
    <t xml:space="preserve">N102</t>
  </si>
  <si>
    <t xml:space="preserve">TR-292</t>
  </si>
  <si>
    <t xml:space="preserve">122818</t>
  </si>
  <si>
    <t xml:space="preserve">TR-293</t>
  </si>
  <si>
    <t xml:space="preserve">N105</t>
  </si>
  <si>
    <t xml:space="preserve">8802389004</t>
  </si>
  <si>
    <t xml:space="preserve">TR-294</t>
  </si>
  <si>
    <t xml:space="preserve">539465</t>
  </si>
  <si>
    <t xml:space="preserve">TR-295</t>
  </si>
  <si>
    <t xml:space="preserve">N132</t>
  </si>
  <si>
    <t xml:space="preserve">TR-296</t>
  </si>
  <si>
    <t xml:space="preserve">539468</t>
  </si>
  <si>
    <t xml:space="preserve">TR-297</t>
  </si>
  <si>
    <t xml:space="preserve">N136</t>
  </si>
  <si>
    <t xml:space="preserve">8804077004</t>
  </si>
  <si>
    <t xml:space="preserve">TR-298</t>
  </si>
  <si>
    <t xml:space="preserve">122903</t>
  </si>
  <si>
    <t xml:space="preserve">TR-299</t>
  </si>
  <si>
    <t xml:space="preserve">122904</t>
  </si>
  <si>
    <t xml:space="preserve">TR-300</t>
  </si>
  <si>
    <t xml:space="preserve">554712</t>
  </si>
  <si>
    <t xml:space="preserve">TR-301</t>
  </si>
  <si>
    <t xml:space="preserve">N146</t>
  </si>
  <si>
    <t xml:space="preserve">8844641004</t>
  </si>
  <si>
    <t xml:space="preserve">TR-302</t>
  </si>
  <si>
    <t xml:space="preserve">556588</t>
  </si>
  <si>
    <t xml:space="preserve">TR-303</t>
  </si>
  <si>
    <t xml:space="preserve">136527</t>
  </si>
  <si>
    <t xml:space="preserve">TR-304</t>
  </si>
  <si>
    <t xml:space="preserve">60442377</t>
  </si>
  <si>
    <t xml:space="preserve">TR-305</t>
  </si>
  <si>
    <t xml:space="preserve">553767</t>
  </si>
  <si>
    <t xml:space="preserve">TR-306</t>
  </si>
  <si>
    <t xml:space="preserve">N160</t>
  </si>
  <si>
    <t xml:space="preserve">TR-307</t>
  </si>
  <si>
    <t xml:space="preserve">93656</t>
  </si>
  <si>
    <t xml:space="preserve">TR-308</t>
  </si>
  <si>
    <t xml:space="preserve">93648</t>
  </si>
  <si>
    <t xml:space="preserve">TR-309</t>
  </si>
  <si>
    <t xml:space="preserve">122902</t>
  </si>
  <si>
    <t xml:space="preserve">TR-310</t>
  </si>
  <si>
    <t xml:space="preserve">122901</t>
  </si>
  <si>
    <t xml:space="preserve">TR-311</t>
  </si>
  <si>
    <t xml:space="preserve">N166</t>
  </si>
  <si>
    <t xml:space="preserve">8801105004</t>
  </si>
  <si>
    <t xml:space="preserve">TR-312</t>
  </si>
  <si>
    <t xml:space="preserve">122900</t>
  </si>
  <si>
    <t xml:space="preserve">TR-313</t>
  </si>
  <si>
    <t xml:space="preserve">30092361</t>
  </si>
  <si>
    <t xml:space="preserve">TR-314</t>
  </si>
  <si>
    <t xml:space="preserve">93647</t>
  </si>
  <si>
    <t xml:space="preserve">TR-315</t>
  </si>
  <si>
    <t xml:space="preserve">122899</t>
  </si>
  <si>
    <t xml:space="preserve">TR-316</t>
  </si>
  <si>
    <t xml:space="preserve">122898</t>
  </si>
  <si>
    <t xml:space="preserve">TR-317</t>
  </si>
  <si>
    <t xml:space="preserve">N180</t>
  </si>
  <si>
    <t xml:space="preserve">TR-318</t>
  </si>
  <si>
    <t xml:space="preserve">557676</t>
  </si>
  <si>
    <t xml:space="preserve">TR-319</t>
  </si>
  <si>
    <t xml:space="preserve">122897</t>
  </si>
  <si>
    <t xml:space="preserve">TR-320</t>
  </si>
  <si>
    <t xml:space="preserve">N186</t>
  </si>
  <si>
    <t xml:space="preserve">TR-321</t>
  </si>
  <si>
    <t xml:space="preserve">450865</t>
  </si>
  <si>
    <t xml:space="preserve">8802780004</t>
  </si>
  <si>
    <t xml:space="preserve">TR-322</t>
  </si>
  <si>
    <t xml:space="preserve">N188</t>
  </si>
  <si>
    <t xml:space="preserve">TR-323</t>
  </si>
  <si>
    <t xml:space="preserve">552729</t>
  </si>
  <si>
    <t xml:space="preserve">TR-324</t>
  </si>
  <si>
    <t xml:space="preserve">N197</t>
  </si>
  <si>
    <t xml:space="preserve">TR-325</t>
  </si>
  <si>
    <t xml:space="preserve">552712</t>
  </si>
  <si>
    <t xml:space="preserve">TR-326</t>
  </si>
  <si>
    <t xml:space="preserve">N199</t>
  </si>
  <si>
    <t xml:space="preserve">TR-327</t>
  </si>
  <si>
    <t xml:space="preserve">550067</t>
  </si>
  <si>
    <t xml:space="preserve">TR-328</t>
  </si>
  <si>
    <t xml:space="preserve">N201</t>
  </si>
  <si>
    <t xml:space="preserve">TR-329</t>
  </si>
  <si>
    <t xml:space="preserve">345387</t>
  </si>
  <si>
    <t xml:space="preserve">TR-330</t>
  </si>
  <si>
    <t xml:space="preserve">N314</t>
  </si>
  <si>
    <t xml:space="preserve">TR-331</t>
  </si>
  <si>
    <t xml:space="preserve">N321</t>
  </si>
  <si>
    <t xml:space="preserve">TR-332</t>
  </si>
  <si>
    <t xml:space="preserve">552730</t>
  </si>
  <si>
    <t xml:space="preserve">TR-333</t>
  </si>
  <si>
    <t xml:space="preserve">N324</t>
  </si>
  <si>
    <t xml:space="preserve">TR-334</t>
  </si>
  <si>
    <t xml:space="preserve">N325</t>
  </si>
  <si>
    <t xml:space="preserve">TR-335</t>
  </si>
  <si>
    <t xml:space="preserve">35013393</t>
  </si>
  <si>
    <t xml:space="preserve">TR-336</t>
  </si>
  <si>
    <t xml:space="preserve">35013424</t>
  </si>
  <si>
    <t xml:space="preserve">TR-337</t>
  </si>
  <si>
    <t xml:space="preserve">35013388</t>
  </si>
  <si>
    <t xml:space="preserve">TR-338</t>
  </si>
  <si>
    <t xml:space="preserve">N346</t>
  </si>
  <si>
    <t xml:space="preserve">TR-339</t>
  </si>
  <si>
    <t xml:space="preserve">338300</t>
  </si>
  <si>
    <t xml:space="preserve">TR-340</t>
  </si>
  <si>
    <t xml:space="preserve">N329</t>
  </si>
  <si>
    <t xml:space="preserve">TR-341</t>
  </si>
  <si>
    <t xml:space="preserve">539706</t>
  </si>
  <si>
    <t xml:space="preserve">TR-342</t>
  </si>
  <si>
    <t xml:space="preserve">338678</t>
  </si>
  <si>
    <t xml:space="preserve">TR-343</t>
  </si>
  <si>
    <t xml:space="preserve">587027</t>
  </si>
  <si>
    <t xml:space="preserve">TR-344</t>
  </si>
  <si>
    <t xml:space="preserve">N357</t>
  </si>
  <si>
    <t xml:space="preserve">TR-345</t>
  </si>
  <si>
    <t xml:space="preserve">1107432</t>
  </si>
  <si>
    <t xml:space="preserve">TR-346</t>
  </si>
  <si>
    <t xml:space="preserve">N362</t>
  </si>
  <si>
    <t xml:space="preserve">TR-347</t>
  </si>
  <si>
    <t xml:space="preserve">1105062</t>
  </si>
  <si>
    <t xml:space="preserve">TR-348</t>
  </si>
  <si>
    <t xml:space="preserve">N366</t>
  </si>
  <si>
    <t xml:space="preserve">TR-349</t>
  </si>
  <si>
    <t xml:space="preserve">1105061</t>
  </si>
  <si>
    <t xml:space="preserve">TR-350</t>
  </si>
  <si>
    <t xml:space="preserve">N380</t>
  </si>
  <si>
    <t xml:space="preserve">TR-351</t>
  </si>
  <si>
    <t xml:space="preserve">1105065</t>
  </si>
  <si>
    <t xml:space="preserve">TR-352</t>
  </si>
  <si>
    <t xml:space="preserve">1106677</t>
  </si>
  <si>
    <t xml:space="preserve">TR-353</t>
  </si>
  <si>
    <t xml:space="preserve">N388</t>
  </si>
  <si>
    <t xml:space="preserve">TR-354</t>
  </si>
  <si>
    <t xml:space="preserve">29688945</t>
  </si>
  <si>
    <t xml:space="preserve">TR-355</t>
  </si>
  <si>
    <t xml:space="preserve">29688953</t>
  </si>
  <si>
    <t xml:space="preserve">TR-356</t>
  </si>
  <si>
    <t xml:space="preserve">N392</t>
  </si>
  <si>
    <t xml:space="preserve">8855073004</t>
  </si>
  <si>
    <t xml:space="preserve">TR-357</t>
  </si>
  <si>
    <t xml:space="preserve">N413</t>
  </si>
  <si>
    <t xml:space="preserve">TR-358</t>
  </si>
  <si>
    <t xml:space="preserve">29689259</t>
  </si>
  <si>
    <t xml:space="preserve">TR-359</t>
  </si>
  <si>
    <t xml:space="preserve">29689060</t>
  </si>
  <si>
    <t xml:space="preserve">TR-360</t>
  </si>
  <si>
    <t xml:space="preserve">29689127</t>
  </si>
  <si>
    <t xml:space="preserve">TR-361</t>
  </si>
  <si>
    <t xml:space="preserve">29689128</t>
  </si>
  <si>
    <t xml:space="preserve">TR-362</t>
  </si>
  <si>
    <t xml:space="preserve">N422</t>
  </si>
  <si>
    <t xml:space="preserve">TR-363</t>
  </si>
  <si>
    <t xml:space="preserve">N387</t>
  </si>
  <si>
    <t xml:space="preserve">TR-364</t>
  </si>
  <si>
    <t xml:space="preserve">N365</t>
  </si>
  <si>
    <t xml:space="preserve">TR-365</t>
  </si>
  <si>
    <t xml:space="preserve">N709</t>
  </si>
  <si>
    <t xml:space="preserve">TR-366</t>
  </si>
  <si>
    <t xml:space="preserve">38388446</t>
  </si>
  <si>
    <t xml:space="preserve">TR-367</t>
  </si>
  <si>
    <t xml:space="preserve">38388419</t>
  </si>
  <si>
    <t xml:space="preserve">TR-368</t>
  </si>
  <si>
    <t xml:space="preserve">38388428</t>
  </si>
  <si>
    <t xml:space="preserve">TR-369</t>
  </si>
  <si>
    <t xml:space="preserve">338299</t>
  </si>
  <si>
    <t xml:space="preserve">TR-370</t>
  </si>
  <si>
    <t xml:space="preserve">N331</t>
  </si>
  <si>
    <t xml:space="preserve">TR-371</t>
  </si>
  <si>
    <t xml:space="preserve">345020</t>
  </si>
  <si>
    <t xml:space="preserve">TR-372</t>
  </si>
  <si>
    <t xml:space="preserve">586093</t>
  </si>
  <si>
    <t xml:space="preserve">TR-373</t>
  </si>
  <si>
    <t xml:space="preserve">N332</t>
  </si>
  <si>
    <t xml:space="preserve">TR-374</t>
  </si>
  <si>
    <t xml:space="preserve">586092</t>
  </si>
  <si>
    <t xml:space="preserve">TR-375</t>
  </si>
  <si>
    <t xml:space="preserve">N203</t>
  </si>
  <si>
    <t xml:space="preserve">TR-376</t>
  </si>
  <si>
    <t xml:space="preserve">N204</t>
  </si>
  <si>
    <t xml:space="preserve">TR-377</t>
  </si>
  <si>
    <t xml:space="preserve">549290</t>
  </si>
  <si>
    <t xml:space="preserve">TR-378</t>
  </si>
  <si>
    <t xml:space="preserve">N318</t>
  </si>
  <si>
    <t xml:space="preserve">TR-379</t>
  </si>
  <si>
    <t xml:space="preserve">N183</t>
  </si>
  <si>
    <t xml:space="preserve">TR-380</t>
  </si>
  <si>
    <t xml:space="preserve">N179</t>
  </si>
  <si>
    <t xml:space="preserve">TR-381</t>
  </si>
  <si>
    <t xml:space="preserve">N175</t>
  </si>
  <si>
    <t xml:space="preserve">TR-382</t>
  </si>
  <si>
    <t xml:space="preserve">243581</t>
  </si>
  <si>
    <t xml:space="preserve">TR-383</t>
  </si>
  <si>
    <t xml:space="preserve">N177</t>
  </si>
  <si>
    <t xml:space="preserve">TR-384</t>
  </si>
  <si>
    <t xml:space="preserve">N255</t>
  </si>
  <si>
    <t xml:space="preserve">TR-385</t>
  </si>
  <si>
    <t xml:space="preserve">N170</t>
  </si>
  <si>
    <t xml:space="preserve">TR-386</t>
  </si>
  <si>
    <t xml:space="preserve">N168</t>
  </si>
  <si>
    <t xml:space="preserve">TR-387</t>
  </si>
  <si>
    <t xml:space="preserve">N232</t>
  </si>
  <si>
    <t xml:space="preserve">TR-388</t>
  </si>
  <si>
    <t xml:space="preserve">93657</t>
  </si>
  <si>
    <t xml:space="preserve">TR-389</t>
  </si>
  <si>
    <t xml:space="preserve">N158</t>
  </si>
  <si>
    <t xml:space="preserve">TR-390</t>
  </si>
  <si>
    <t xml:space="preserve">N148</t>
  </si>
  <si>
    <t xml:space="preserve">TR-391</t>
  </si>
  <si>
    <t xml:space="preserve">N149</t>
  </si>
  <si>
    <t xml:space="preserve">TR-392</t>
  </si>
  <si>
    <t xml:space="preserve">182230</t>
  </si>
  <si>
    <t xml:space="preserve">TR-393</t>
  </si>
  <si>
    <t xml:space="preserve">N224</t>
  </si>
  <si>
    <t xml:space="preserve">TR-394</t>
  </si>
  <si>
    <t xml:space="preserve">554239</t>
  </si>
  <si>
    <t xml:space="preserve">TR-395</t>
  </si>
  <si>
    <t xml:space="preserve">N230</t>
  </si>
  <si>
    <t xml:space="preserve">TR-396</t>
  </si>
  <si>
    <t xml:space="preserve">381629</t>
  </si>
  <si>
    <t xml:space="preserve">TR-397</t>
  </si>
  <si>
    <t xml:space="preserve">N236</t>
  </si>
  <si>
    <t xml:space="preserve">TR-398</t>
  </si>
  <si>
    <t xml:space="preserve">381630</t>
  </si>
  <si>
    <t xml:space="preserve">TR-399</t>
  </si>
  <si>
    <t xml:space="preserve">381631</t>
  </si>
  <si>
    <t xml:space="preserve">TR-400</t>
  </si>
  <si>
    <t xml:space="preserve">N244</t>
  </si>
  <si>
    <t xml:space="preserve">TR-401</t>
  </si>
  <si>
    <t xml:space="preserve">557105</t>
  </si>
  <si>
    <t xml:space="preserve">TR-402</t>
  </si>
  <si>
    <t xml:space="preserve">381823</t>
  </si>
  <si>
    <t xml:space="preserve">TR-403</t>
  </si>
  <si>
    <t xml:space="preserve">557595</t>
  </si>
  <si>
    <t xml:space="preserve">TR-404</t>
  </si>
  <si>
    <t xml:space="preserve">N260</t>
  </si>
  <si>
    <t xml:space="preserve">TR-405</t>
  </si>
  <si>
    <t xml:space="preserve">32462738</t>
  </si>
  <si>
    <t xml:space="preserve">TR-406</t>
  </si>
  <si>
    <t xml:space="preserve">N263</t>
  </si>
  <si>
    <t xml:space="preserve">TR-407</t>
  </si>
  <si>
    <t xml:space="preserve">32462731</t>
  </si>
  <si>
    <t xml:space="preserve">TR-408</t>
  </si>
  <si>
    <t xml:space="preserve">N274</t>
  </si>
  <si>
    <t xml:space="preserve">TR-409</t>
  </si>
  <si>
    <t xml:space="preserve">32462729</t>
  </si>
  <si>
    <t xml:space="preserve">TR-410</t>
  </si>
  <si>
    <t xml:space="preserve">N281</t>
  </si>
  <si>
    <t xml:space="preserve">TR-411</t>
  </si>
  <si>
    <t xml:space="preserve">32462745</t>
  </si>
  <si>
    <t xml:space="preserve">TR-412</t>
  </si>
  <si>
    <t xml:space="preserve">N285</t>
  </si>
  <si>
    <t xml:space="preserve">TR-413</t>
  </si>
  <si>
    <t xml:space="preserve">182231</t>
  </si>
  <si>
    <t xml:space="preserve">TR-414</t>
  </si>
  <si>
    <t xml:space="preserve">556507</t>
  </si>
  <si>
    <t xml:space="preserve">TR-415</t>
  </si>
  <si>
    <t xml:space="preserve">N609</t>
  </si>
  <si>
    <t xml:space="preserve">TR-416</t>
  </si>
  <si>
    <t xml:space="preserve">381632</t>
  </si>
  <si>
    <t xml:space="preserve">TR-417</t>
  </si>
  <si>
    <t xml:space="preserve">N250</t>
  </si>
  <si>
    <t xml:space="preserve">TR-418</t>
  </si>
  <si>
    <t xml:space="preserve">381633</t>
  </si>
  <si>
    <t xml:space="preserve">8803581004</t>
  </si>
  <si>
    <t xml:space="preserve">TR-419</t>
  </si>
  <si>
    <t xml:space="preserve">381634</t>
  </si>
  <si>
    <t xml:space="preserve">TR-420</t>
  </si>
  <si>
    <t xml:space="preserve">555365</t>
  </si>
  <si>
    <t xml:space="preserve">TR-421</t>
  </si>
  <si>
    <t xml:space="preserve">554755</t>
  </si>
  <si>
    <t xml:space="preserve">TR-422</t>
  </si>
  <si>
    <t xml:space="preserve">N264</t>
  </si>
  <si>
    <t xml:space="preserve">TR-423</t>
  </si>
  <si>
    <t xml:space="preserve">557326</t>
  </si>
  <si>
    <t xml:space="preserve">TR-424</t>
  </si>
  <si>
    <t xml:space="preserve">381822</t>
  </si>
  <si>
    <t xml:space="preserve">TR-425</t>
  </si>
  <si>
    <t xml:space="preserve">554754</t>
  </si>
  <si>
    <t xml:space="preserve">TR-426</t>
  </si>
  <si>
    <t xml:space="preserve">557325</t>
  </si>
  <si>
    <t xml:space="preserve">TR-427</t>
  </si>
  <si>
    <t xml:space="preserve">381635</t>
  </si>
  <si>
    <t xml:space="preserve">TR-428</t>
  </si>
  <si>
    <t xml:space="preserve">N265</t>
  </si>
  <si>
    <t xml:space="preserve">TR-429</t>
  </si>
  <si>
    <t xml:space="preserve">381636</t>
  </si>
  <si>
    <t xml:space="preserve">TR-430</t>
  </si>
  <si>
    <t xml:space="preserve">553761</t>
  </si>
  <si>
    <t xml:space="preserve">TR-431</t>
  </si>
  <si>
    <t xml:space="preserve">553760</t>
  </si>
  <si>
    <t xml:space="preserve">TR-432</t>
  </si>
  <si>
    <t xml:space="preserve">381637</t>
  </si>
  <si>
    <t xml:space="preserve">TR-433</t>
  </si>
  <si>
    <t xml:space="preserve">557877</t>
  </si>
  <si>
    <t xml:space="preserve">TR-434</t>
  </si>
  <si>
    <t xml:space="preserve">N278</t>
  </si>
  <si>
    <t xml:space="preserve">8803577004</t>
  </si>
  <si>
    <t xml:space="preserve">TR-435</t>
  </si>
  <si>
    <t xml:space="preserve">N283</t>
  </si>
  <si>
    <t xml:space="preserve">TR-436</t>
  </si>
  <si>
    <t xml:space="preserve">553844</t>
  </si>
  <si>
    <t xml:space="preserve">TR-437</t>
  </si>
  <si>
    <t xml:space="preserve">N286</t>
  </si>
  <si>
    <t xml:space="preserve">TR-438</t>
  </si>
  <si>
    <t xml:space="preserve">N292</t>
  </si>
  <si>
    <t xml:space="preserve">TR-439</t>
  </si>
  <si>
    <t xml:space="preserve">557872</t>
  </si>
  <si>
    <t xml:space="preserve">TR-440</t>
  </si>
  <si>
    <t xml:space="preserve">557871</t>
  </si>
  <si>
    <t xml:space="preserve">TR-441</t>
  </si>
  <si>
    <t xml:space="preserve">381821</t>
  </si>
  <si>
    <t xml:space="preserve">TR-442</t>
  </si>
  <si>
    <t xml:space="preserve">557874</t>
  </si>
  <si>
    <t xml:space="preserve">TR-443</t>
  </si>
  <si>
    <t xml:space="preserve">554507</t>
  </si>
  <si>
    <t xml:space="preserve">TR-444</t>
  </si>
  <si>
    <t xml:space="preserve">381820</t>
  </si>
  <si>
    <t xml:space="preserve">TR-445</t>
  </si>
  <si>
    <t xml:space="preserve">34566717</t>
  </si>
  <si>
    <t xml:space="preserve">TR-446</t>
  </si>
  <si>
    <t xml:space="preserve">34566743</t>
  </si>
  <si>
    <t xml:space="preserve">TR-447</t>
  </si>
  <si>
    <t xml:space="preserve">34566747</t>
  </si>
  <si>
    <t xml:space="preserve">TR-448</t>
  </si>
  <si>
    <t xml:space="preserve">N299</t>
  </si>
  <si>
    <t xml:space="preserve">TR-449</t>
  </si>
  <si>
    <t xml:space="preserve">31715582</t>
  </si>
  <si>
    <t xml:space="preserve">TR-450</t>
  </si>
  <si>
    <t xml:space="preserve">N239</t>
  </si>
  <si>
    <t xml:space="preserve">8845830004</t>
  </si>
  <si>
    <t xml:space="preserve">TR-451</t>
  </si>
  <si>
    <t xml:space="preserve">31715484</t>
  </si>
  <si>
    <t xml:space="preserve">TR-452</t>
  </si>
  <si>
    <t xml:space="preserve">31715517</t>
  </si>
  <si>
    <t xml:space="preserve">TR-453</t>
  </si>
  <si>
    <t xml:space="preserve">31715536</t>
  </si>
  <si>
    <t xml:space="preserve">TR-454</t>
  </si>
  <si>
    <t xml:space="preserve">N245</t>
  </si>
  <si>
    <t xml:space="preserve">TR-455</t>
  </si>
  <si>
    <t xml:space="preserve">31715612</t>
  </si>
  <si>
    <t xml:space="preserve">TR-456</t>
  </si>
  <si>
    <t xml:space="preserve">554240</t>
  </si>
  <si>
    <t xml:space="preserve">TR-457</t>
  </si>
  <si>
    <t xml:space="preserve">553818</t>
  </si>
  <si>
    <t xml:space="preserve">TR-458</t>
  </si>
  <si>
    <t xml:space="preserve">N227</t>
  </si>
  <si>
    <t xml:space="preserve">TR-459</t>
  </si>
  <si>
    <t xml:space="preserve">554237</t>
  </si>
  <si>
    <t xml:space="preserve">TR-460</t>
  </si>
  <si>
    <t xml:space="preserve">553817</t>
  </si>
  <si>
    <t xml:space="preserve">TR-461</t>
  </si>
  <si>
    <t xml:space="preserve">N141</t>
  </si>
  <si>
    <t xml:space="preserve">TR-462</t>
  </si>
  <si>
    <t xml:space="preserve">N219</t>
  </si>
  <si>
    <t xml:space="preserve">TR-463</t>
  </si>
  <si>
    <t xml:space="preserve">33196991</t>
  </si>
  <si>
    <t xml:space="preserve">TR-464</t>
  </si>
  <si>
    <t xml:space="preserve">N354</t>
  </si>
  <si>
    <t xml:space="preserve">TR-465</t>
  </si>
  <si>
    <t xml:space="preserve">587304</t>
  </si>
  <si>
    <t xml:space="preserve">TR-466</t>
  </si>
  <si>
    <t xml:space="preserve">336150</t>
  </si>
  <si>
    <t xml:space="preserve">TR-467</t>
  </si>
  <si>
    <t xml:space="preserve">N398</t>
  </si>
  <si>
    <t xml:space="preserve">TR-468</t>
  </si>
  <si>
    <t xml:space="preserve">538104</t>
  </si>
  <si>
    <t xml:space="preserve">TR-469</t>
  </si>
  <si>
    <t xml:space="preserve">328248</t>
  </si>
  <si>
    <t xml:space="preserve">TR-470</t>
  </si>
  <si>
    <t xml:space="preserve">N404</t>
  </si>
  <si>
    <t xml:space="preserve">TR-471</t>
  </si>
  <si>
    <t xml:space="preserve">34365320</t>
  </si>
  <si>
    <t xml:space="preserve">TR-472</t>
  </si>
  <si>
    <t xml:space="preserve">538331</t>
  </si>
  <si>
    <t xml:space="preserve">TR-473</t>
  </si>
  <si>
    <t xml:space="preserve">N369</t>
  </si>
  <si>
    <t xml:space="preserve">TR-474</t>
  </si>
  <si>
    <t xml:space="preserve">553248</t>
  </si>
  <si>
    <t xml:space="preserve">TR-475</t>
  </si>
  <si>
    <t xml:space="preserve">N336</t>
  </si>
  <si>
    <t xml:space="preserve">TR-476</t>
  </si>
  <si>
    <t xml:space="preserve">536332</t>
  </si>
  <si>
    <t xml:space="preserve">TR-477</t>
  </si>
  <si>
    <t xml:space="preserve">N426</t>
  </si>
  <si>
    <t xml:space="preserve">TR-478</t>
  </si>
  <si>
    <t xml:space="preserve">173831</t>
  </si>
  <si>
    <t xml:space="preserve">TR-479</t>
  </si>
  <si>
    <t xml:space="preserve">173792</t>
  </si>
  <si>
    <t xml:space="preserve">TR-480</t>
  </si>
  <si>
    <t xml:space="preserve">N434</t>
  </si>
  <si>
    <t xml:space="preserve">TR-481</t>
  </si>
  <si>
    <t xml:space="preserve">N436</t>
  </si>
  <si>
    <t xml:space="preserve">TR-482</t>
  </si>
  <si>
    <t xml:space="preserve">93704</t>
  </si>
  <si>
    <t xml:space="preserve">TR-483</t>
  </si>
  <si>
    <t xml:space="preserve">N440</t>
  </si>
  <si>
    <t xml:space="preserve">TR-484</t>
  </si>
  <si>
    <t xml:space="preserve">93638</t>
  </si>
  <si>
    <t xml:space="preserve">TR-485</t>
  </si>
  <si>
    <t xml:space="preserve">N437</t>
  </si>
  <si>
    <t xml:space="preserve">TR-486</t>
  </si>
  <si>
    <t xml:space="preserve">N432</t>
  </si>
  <si>
    <t xml:space="preserve">TR-487</t>
  </si>
  <si>
    <t xml:space="preserve">N429</t>
  </si>
  <si>
    <t xml:space="preserve">TR-488</t>
  </si>
  <si>
    <t xml:space="preserve">536771</t>
  </si>
  <si>
    <t xml:space="preserve">TR-489</t>
  </si>
  <si>
    <t xml:space="preserve">N442</t>
  </si>
  <si>
    <t xml:space="preserve">TR-490</t>
  </si>
  <si>
    <t xml:space="preserve">173834</t>
  </si>
  <si>
    <t xml:space="preserve">TR-491</t>
  </si>
  <si>
    <t xml:space="preserve">N444</t>
  </si>
  <si>
    <t xml:space="preserve">TR-492</t>
  </si>
  <si>
    <t xml:space="preserve">173794</t>
  </si>
  <si>
    <t xml:space="preserve">TR-493</t>
  </si>
  <si>
    <t xml:space="preserve">587521</t>
  </si>
  <si>
    <t xml:space="preserve">TR-494</t>
  </si>
  <si>
    <t xml:space="preserve">173835</t>
  </si>
  <si>
    <t xml:space="preserve">TR-495</t>
  </si>
  <si>
    <t xml:space="preserve">N450</t>
  </si>
  <si>
    <t xml:space="preserve">TR-496</t>
  </si>
  <si>
    <t xml:space="preserve">N456</t>
  </si>
  <si>
    <t xml:space="preserve">TR-497</t>
  </si>
  <si>
    <t xml:space="preserve">173837</t>
  </si>
  <si>
    <t xml:space="preserve">TR-498</t>
  </si>
  <si>
    <t xml:space="preserve">N459</t>
  </si>
  <si>
    <t xml:space="preserve">TR-499</t>
  </si>
  <si>
    <t xml:space="preserve">N458</t>
  </si>
  <si>
    <t xml:space="preserve">TR-500</t>
  </si>
  <si>
    <t xml:space="preserve">586090</t>
  </si>
  <si>
    <t xml:space="preserve">TR-501</t>
  </si>
  <si>
    <t xml:space="preserve">N463</t>
  </si>
  <si>
    <t xml:space="preserve">TR-502</t>
  </si>
  <si>
    <t xml:space="preserve">N449</t>
  </si>
  <si>
    <t xml:space="preserve">TR-503</t>
  </si>
  <si>
    <t xml:space="preserve">N451</t>
  </si>
  <si>
    <t xml:space="preserve">TR-504</t>
  </si>
  <si>
    <t xml:space="preserve">N447</t>
  </si>
  <si>
    <t xml:space="preserve">TR-505</t>
  </si>
  <si>
    <t xml:space="preserve">241548</t>
  </si>
  <si>
    <t xml:space="preserve">TR-506</t>
  </si>
  <si>
    <t xml:space="preserve">590239</t>
  </si>
  <si>
    <t xml:space="preserve">TR-507</t>
  </si>
  <si>
    <t xml:space="preserve">N461</t>
  </si>
  <si>
    <t xml:space="preserve">TR-508</t>
  </si>
  <si>
    <t xml:space="preserve">587541</t>
  </si>
  <si>
    <t xml:space="preserve">TR-509</t>
  </si>
  <si>
    <t xml:space="preserve">586106</t>
  </si>
  <si>
    <t xml:space="preserve">TR-510</t>
  </si>
  <si>
    <t xml:space="preserve">N476</t>
  </si>
  <si>
    <t xml:space="preserve">TR-511</t>
  </si>
  <si>
    <t xml:space="preserve">549516</t>
  </si>
  <si>
    <t xml:space="preserve">TR-512</t>
  </si>
  <si>
    <t xml:space="preserve">N485</t>
  </si>
  <si>
    <t xml:space="preserve">TR-513</t>
  </si>
  <si>
    <t xml:space="preserve">N469</t>
  </si>
  <si>
    <t xml:space="preserve">TR-514</t>
  </si>
  <si>
    <t xml:space="preserve">590238</t>
  </si>
  <si>
    <t xml:space="preserve">TR-515</t>
  </si>
  <si>
    <t xml:space="preserve">N466</t>
  </si>
  <si>
    <t xml:space="preserve">TR-516</t>
  </si>
  <si>
    <t xml:space="preserve">587542</t>
  </si>
  <si>
    <t xml:space="preserve">TR-517</t>
  </si>
  <si>
    <t xml:space="preserve">587543</t>
  </si>
  <si>
    <t xml:space="preserve">TR-518</t>
  </si>
  <si>
    <t xml:space="preserve">N473</t>
  </si>
  <si>
    <t xml:space="preserve">TR-519</t>
  </si>
  <si>
    <t xml:space="preserve">590236</t>
  </si>
  <si>
    <t xml:space="preserve">TR-520</t>
  </si>
  <si>
    <t xml:space="preserve">N481</t>
  </si>
  <si>
    <t xml:space="preserve">TR-521</t>
  </si>
  <si>
    <t xml:space="preserve">589789</t>
  </si>
  <si>
    <t xml:space="preserve">TR-522</t>
  </si>
  <si>
    <t xml:space="preserve">N478</t>
  </si>
  <si>
    <t xml:space="preserve">TR-523</t>
  </si>
  <si>
    <t xml:space="preserve">N453</t>
  </si>
  <si>
    <t xml:space="preserve">TR-524</t>
  </si>
  <si>
    <t xml:space="preserve">173836</t>
  </si>
  <si>
    <t xml:space="preserve">TR-525</t>
  </si>
  <si>
    <t xml:space="preserve">586318</t>
  </si>
  <si>
    <t xml:space="preserve">TR-526</t>
  </si>
  <si>
    <t xml:space="preserve">173833</t>
  </si>
  <si>
    <t xml:space="preserve">TR-527</t>
  </si>
  <si>
    <t xml:space="preserve">549515</t>
  </si>
  <si>
    <t xml:space="preserve">TR-528</t>
  </si>
  <si>
    <t xml:space="preserve">1461338</t>
  </si>
  <si>
    <t xml:space="preserve">TR-529</t>
  </si>
  <si>
    <t xml:space="preserve">N471</t>
  </si>
  <si>
    <t xml:space="preserve">TR-530</t>
  </si>
  <si>
    <t xml:space="preserve">1461337</t>
  </si>
  <si>
    <t xml:space="preserve">TR-531</t>
  </si>
  <si>
    <t xml:space="preserve">590237</t>
  </si>
  <si>
    <t xml:space="preserve">TR-532</t>
  </si>
  <si>
    <t xml:space="preserve">589790</t>
  </si>
  <si>
    <t xml:space="preserve">TR-533</t>
  </si>
  <si>
    <t xml:space="preserve">311399</t>
  </si>
  <si>
    <t xml:space="preserve">TR-534</t>
  </si>
  <si>
    <t xml:space="preserve">93637</t>
  </si>
  <si>
    <t xml:space="preserve">TR-535</t>
  </si>
  <si>
    <t xml:space="preserve">173793</t>
  </si>
  <si>
    <t xml:space="preserve">TR-536</t>
  </si>
  <si>
    <t xml:space="preserve">31758476</t>
  </si>
  <si>
    <t xml:space="preserve">TR-537</t>
  </si>
  <si>
    <t xml:space="preserve">N371</t>
  </si>
  <si>
    <t xml:space="preserve">TR-538</t>
  </si>
  <si>
    <t xml:space="preserve">332437</t>
  </si>
  <si>
    <t xml:space="preserve">TR-539</t>
  </si>
  <si>
    <t xml:space="preserve">552699</t>
  </si>
  <si>
    <t xml:space="preserve">TR-540</t>
  </si>
  <si>
    <t xml:space="preserve">N379</t>
  </si>
  <si>
    <t xml:space="preserve">TR-541</t>
  </si>
  <si>
    <t xml:space="preserve">450864</t>
  </si>
  <si>
    <t xml:space="preserve">TR-542</t>
  </si>
  <si>
    <t xml:space="preserve">N383</t>
  </si>
  <si>
    <t xml:space="preserve">TR-543</t>
  </si>
  <si>
    <t xml:space="preserve">553249</t>
  </si>
  <si>
    <t xml:space="preserve">TR-544</t>
  </si>
  <si>
    <t xml:space="preserve">N374</t>
  </si>
  <si>
    <t xml:space="preserve">TR-545</t>
  </si>
  <si>
    <t xml:space="preserve">538115</t>
  </si>
  <si>
    <t xml:space="preserve">TR-546</t>
  </si>
  <si>
    <t xml:space="preserve">539707</t>
  </si>
  <si>
    <t xml:space="preserve">TR-547</t>
  </si>
  <si>
    <t xml:space="preserve">332438</t>
  </si>
  <si>
    <t xml:space="preserve">TR-548</t>
  </si>
  <si>
    <t xml:space="preserve">539737</t>
  </si>
  <si>
    <t xml:space="preserve">TR-549</t>
  </si>
  <si>
    <t xml:space="preserve">552703</t>
  </si>
  <si>
    <t xml:space="preserve">TR-550</t>
  </si>
  <si>
    <t xml:space="preserve">552705</t>
  </si>
  <si>
    <t xml:space="preserve">TR-551</t>
  </si>
  <si>
    <t xml:space="preserve">N397</t>
  </si>
  <si>
    <t xml:space="preserve">TR-552</t>
  </si>
  <si>
    <t xml:space="preserve">N408</t>
  </si>
  <si>
    <t xml:space="preserve">TR-553</t>
  </si>
  <si>
    <t xml:space="preserve">552707</t>
  </si>
  <si>
    <t xml:space="preserve">TR-554</t>
  </si>
  <si>
    <t xml:space="preserve">432617</t>
  </si>
  <si>
    <t xml:space="preserve">TR-555</t>
  </si>
  <si>
    <t xml:space="preserve">N395</t>
  </si>
  <si>
    <t xml:space="preserve">TR-556</t>
  </si>
  <si>
    <t xml:space="preserve">N399</t>
  </si>
  <si>
    <t xml:space="preserve">TR-557</t>
  </si>
  <si>
    <t xml:space="preserve">537866</t>
  </si>
  <si>
    <t xml:space="preserve">TR-558</t>
  </si>
  <si>
    <t xml:space="preserve">173832</t>
  </si>
  <si>
    <t xml:space="preserve">TR-559</t>
  </si>
  <si>
    <t xml:space="preserve">36443735</t>
  </si>
  <si>
    <t xml:space="preserve">TR-560</t>
  </si>
  <si>
    <t xml:space="preserve">N341</t>
  </si>
  <si>
    <t xml:space="preserve">TR-561</t>
  </si>
  <si>
    <t xml:space="preserve">N340</t>
  </si>
  <si>
    <t xml:space="preserve">TR-562</t>
  </si>
  <si>
    <t xml:space="preserve">29104773</t>
  </si>
  <si>
    <t xml:space="preserve">TR-563</t>
  </si>
  <si>
    <t xml:space="preserve">N349</t>
  </si>
  <si>
    <t xml:space="preserve">TR-564</t>
  </si>
  <si>
    <t xml:space="preserve">28576683</t>
  </si>
  <si>
    <t xml:space="preserve">TR-565</t>
  </si>
  <si>
    <t xml:space="preserve">1107434</t>
  </si>
  <si>
    <t xml:space="preserve">TR-566</t>
  </si>
  <si>
    <t xml:space="preserve">N407</t>
  </si>
  <si>
    <t xml:space="preserve">TR-567</t>
  </si>
  <si>
    <t xml:space="preserve">1107431</t>
  </si>
  <si>
    <t xml:space="preserve">TR-568</t>
  </si>
  <si>
    <t xml:space="preserve">1394772</t>
  </si>
  <si>
    <t xml:space="preserve">TR-569</t>
  </si>
  <si>
    <t xml:space="preserve">1394050</t>
  </si>
  <si>
    <t xml:space="preserve">TR-570</t>
  </si>
  <si>
    <t xml:space="preserve">N412</t>
  </si>
  <si>
    <t xml:space="preserve">TR-571</t>
  </si>
  <si>
    <t xml:space="preserve">N393</t>
  </si>
  <si>
    <t xml:space="preserve">TR-572</t>
  </si>
  <si>
    <t xml:space="preserve">N401</t>
  </si>
  <si>
    <t xml:space="preserve">TR-573</t>
  </si>
  <si>
    <t xml:space="preserve">1395091</t>
  </si>
  <si>
    <t xml:space="preserve">TR-574</t>
  </si>
  <si>
    <t xml:space="preserve">1394768</t>
  </si>
  <si>
    <t xml:space="preserve">TR-575</t>
  </si>
  <si>
    <t xml:space="preserve">1394770</t>
  </si>
  <si>
    <t xml:space="preserve">TR-576</t>
  </si>
  <si>
    <t xml:space="preserve">212906</t>
  </si>
  <si>
    <t xml:space="preserve">TR-577</t>
  </si>
  <si>
    <t xml:space="preserve">586091</t>
  </si>
  <si>
    <t xml:space="preserve">TR-578</t>
  </si>
  <si>
    <t xml:space="preserve">N343</t>
  </si>
  <si>
    <t xml:space="preserve">TR-579</t>
  </si>
  <si>
    <t xml:space="preserve">345021</t>
  </si>
  <si>
    <t xml:space="preserve">TR-580</t>
  </si>
  <si>
    <t xml:space="preserve">345385</t>
  </si>
  <si>
    <t xml:space="preserve">TR-581</t>
  </si>
  <si>
    <t xml:space="preserve">345386</t>
  </si>
  <si>
    <t xml:space="preserve">TR-582</t>
  </si>
  <si>
    <t xml:space="preserve">537428</t>
  </si>
  <si>
    <t xml:space="preserve">TR-583</t>
  </si>
  <si>
    <t xml:space="preserve">586089</t>
  </si>
  <si>
    <t xml:space="preserve">TR-584</t>
  </si>
  <si>
    <t xml:space="preserve">539045</t>
  </si>
  <si>
    <t xml:space="preserve">TR-585</t>
  </si>
  <si>
    <t xml:space="preserve">N185</t>
  </si>
  <si>
    <t xml:space="preserve">TR-586</t>
  </si>
  <si>
    <t xml:space="preserve">539043</t>
  </si>
  <si>
    <t xml:space="preserve">TR-587</t>
  </si>
  <si>
    <t xml:space="preserve">N193</t>
  </si>
  <si>
    <t xml:space="preserve">TR-588</t>
  </si>
  <si>
    <t xml:space="preserve">208055</t>
  </si>
  <si>
    <t xml:space="preserve">TR-589</t>
  </si>
  <si>
    <t xml:space="preserve">N311</t>
  </si>
  <si>
    <t xml:space="preserve">TR-590</t>
  </si>
  <si>
    <t xml:space="preserve">208056</t>
  </si>
  <si>
    <t xml:space="preserve">TR-591</t>
  </si>
  <si>
    <t xml:space="preserve">N313</t>
  </si>
  <si>
    <t xml:space="preserve">TR-592</t>
  </si>
  <si>
    <t xml:space="preserve">557687</t>
  </si>
  <si>
    <t xml:space="preserve">TR-593</t>
  </si>
  <si>
    <t xml:space="preserve">N191</t>
  </si>
  <si>
    <t xml:space="preserve">TR-594</t>
  </si>
  <si>
    <t xml:space="preserve">557686</t>
  </si>
  <si>
    <t xml:space="preserve">TR-595</t>
  </si>
  <si>
    <t xml:space="preserve">N196</t>
  </si>
  <si>
    <t xml:space="preserve">TR-596</t>
  </si>
  <si>
    <t xml:space="preserve">243582</t>
  </si>
  <si>
    <t xml:space="preserve">TR-597</t>
  </si>
  <si>
    <t xml:space="preserve">N206</t>
  </si>
  <si>
    <t xml:space="preserve">TR-598</t>
  </si>
  <si>
    <t xml:space="preserve">557681</t>
  </si>
  <si>
    <t xml:space="preserve">TR-599</t>
  </si>
  <si>
    <t xml:space="preserve">1096043</t>
  </si>
  <si>
    <t xml:space="preserve">TR-600</t>
  </si>
  <si>
    <t xml:space="preserve">N258</t>
  </si>
  <si>
    <t xml:space="preserve">TR-601</t>
  </si>
  <si>
    <t xml:space="preserve">N169</t>
  </si>
  <si>
    <t xml:space="preserve">TR-602</t>
  </si>
  <si>
    <t xml:space="preserve">N171</t>
  </si>
  <si>
    <t xml:space="preserve">TR-603</t>
  </si>
  <si>
    <t xml:space="preserve">376757</t>
  </si>
  <si>
    <t xml:space="preserve">TR-604</t>
  </si>
  <si>
    <t xml:space="preserve">N235</t>
  </si>
  <si>
    <t xml:space="preserve">TR-605</t>
  </si>
  <si>
    <t xml:space="preserve">32462746</t>
  </si>
  <si>
    <t xml:space="preserve">TR-606</t>
  </si>
  <si>
    <t xml:space="preserve">N289</t>
  </si>
  <si>
    <t xml:space="preserve">TR-607</t>
  </si>
  <si>
    <t xml:space="preserve">N296</t>
  </si>
  <si>
    <t xml:space="preserve">TR-608</t>
  </si>
  <si>
    <t xml:space="preserve">N297</t>
  </si>
  <si>
    <t xml:space="preserve">TR-609</t>
  </si>
  <si>
    <t xml:space="preserve">32462749</t>
  </si>
  <si>
    <t xml:space="preserve">TR-610</t>
  </si>
  <si>
    <t xml:space="preserve">N305</t>
  </si>
  <si>
    <t xml:space="preserve">TR-611</t>
  </si>
  <si>
    <t xml:space="preserve">32462750</t>
  </si>
  <si>
    <t xml:space="preserve">TR-612</t>
  </si>
  <si>
    <t xml:space="preserve">N307</t>
  </si>
  <si>
    <t xml:space="preserve">TR-613</t>
  </si>
  <si>
    <t xml:space="preserve">32462761</t>
  </si>
  <si>
    <t xml:space="preserve">TR-614</t>
  </si>
  <si>
    <t xml:space="preserve">32462755</t>
  </si>
  <si>
    <t xml:space="preserve">TR-615</t>
  </si>
  <si>
    <t xml:space="preserve">N310</t>
  </si>
  <si>
    <t xml:space="preserve">TR-616</t>
  </si>
  <si>
    <t xml:space="preserve">32462764</t>
  </si>
  <si>
    <t xml:space="preserve">TR-617</t>
  </si>
  <si>
    <t xml:space="preserve">N316</t>
  </si>
  <si>
    <t xml:space="preserve">TR-618</t>
  </si>
  <si>
    <t xml:space="preserve">32462768</t>
  </si>
  <si>
    <t xml:space="preserve">TR-619</t>
  </si>
  <si>
    <t xml:space="preserve">N320</t>
  </si>
  <si>
    <t xml:space="preserve">TR-620</t>
  </si>
  <si>
    <t xml:space="preserve">N328</t>
  </si>
  <si>
    <t xml:space="preserve">TR-621</t>
  </si>
  <si>
    <t xml:space="preserve">N330</t>
  </si>
  <si>
    <t xml:space="preserve">TR-622</t>
  </si>
  <si>
    <t xml:space="preserve">32462772</t>
  </si>
  <si>
    <t xml:space="preserve">TR-623</t>
  </si>
  <si>
    <t xml:space="preserve">182232</t>
  </si>
  <si>
    <t xml:space="preserve">TR-624</t>
  </si>
  <si>
    <t xml:space="preserve">33403692</t>
  </si>
  <si>
    <t xml:space="preserve">TR-625</t>
  </si>
  <si>
    <t xml:space="preserve">N301</t>
  </si>
  <si>
    <t xml:space="preserve">TR-626</t>
  </si>
  <si>
    <t xml:space="preserve">31715544</t>
  </si>
  <si>
    <t xml:space="preserve">TR-627</t>
  </si>
  <si>
    <t xml:space="preserve">93658</t>
  </si>
  <si>
    <t xml:space="preserve">TR-628</t>
  </si>
  <si>
    <t xml:space="preserve">N222</t>
  </si>
  <si>
    <t xml:space="preserve">TR-629</t>
  </si>
  <si>
    <t xml:space="preserve">539672</t>
  </si>
  <si>
    <t xml:space="preserve">TR-630</t>
  </si>
  <si>
    <t xml:space="preserve">537658</t>
  </si>
  <si>
    <t xml:space="preserve">TR-631</t>
  </si>
  <si>
    <t xml:space="preserve">536359</t>
  </si>
  <si>
    <t xml:space="preserve">TR-632</t>
  </si>
  <si>
    <t xml:space="preserve">N108</t>
  </si>
  <si>
    <t xml:space="preserve">TR-633</t>
  </si>
  <si>
    <t xml:space="preserve">N489</t>
  </si>
  <si>
    <t xml:space="preserve">TR-634</t>
  </si>
  <si>
    <t xml:space="preserve">N811</t>
  </si>
  <si>
    <t xml:space="preserve">TR-635</t>
  </si>
  <si>
    <t xml:space="preserve">35348320</t>
  </si>
  <si>
    <t xml:space="preserve">TR-636</t>
  </si>
  <si>
    <t xml:space="preserve">N813</t>
  </si>
  <si>
    <t xml:space="preserve">TR-637</t>
  </si>
  <si>
    <t xml:space="preserve">35348340</t>
  </si>
  <si>
    <t xml:space="preserve">TR-638</t>
  </si>
  <si>
    <t xml:space="preserve">N815</t>
  </si>
  <si>
    <t xml:space="preserve">TR-639</t>
  </si>
  <si>
    <t xml:space="preserve">N816</t>
  </si>
  <si>
    <t xml:space="preserve">TR-640</t>
  </si>
  <si>
    <t xml:space="preserve">93669</t>
  </si>
  <si>
    <t xml:space="preserve">TR-641</t>
  </si>
  <si>
    <t xml:space="preserve">29512743</t>
  </si>
  <si>
    <t xml:space="preserve">TR-642</t>
  </si>
  <si>
    <t xml:space="preserve">N507</t>
  </si>
  <si>
    <t xml:space="preserve">TR-643</t>
  </si>
  <si>
    <t xml:space="preserve">36383178</t>
  </si>
  <si>
    <t xml:space="preserve">TR-644</t>
  </si>
  <si>
    <t xml:space="preserve">N511</t>
  </si>
  <si>
    <t xml:space="preserve">TR-645</t>
  </si>
  <si>
    <t xml:space="preserve">29315194</t>
  </si>
  <si>
    <t xml:space="preserve">TR-646</t>
  </si>
  <si>
    <t xml:space="preserve">N513</t>
  </si>
  <si>
    <t xml:space="preserve">TR-647</t>
  </si>
  <si>
    <t xml:space="preserve">29315206</t>
  </si>
  <si>
    <t xml:space="preserve">TR-648</t>
  </si>
  <si>
    <t xml:space="preserve">29315207</t>
  </si>
  <si>
    <t xml:space="preserve">TR-649</t>
  </si>
  <si>
    <t xml:space="preserve">29315240</t>
  </si>
  <si>
    <t xml:space="preserve">TR-650</t>
  </si>
  <si>
    <t xml:space="preserve">29315243</t>
  </si>
  <si>
    <t xml:space="preserve">TR-651</t>
  </si>
  <si>
    <t xml:space="preserve">N519</t>
  </si>
  <si>
    <t xml:space="preserve">TR-652</t>
  </si>
  <si>
    <t xml:space="preserve">29143624</t>
  </si>
  <si>
    <t xml:space="preserve">TR-653</t>
  </si>
  <si>
    <t xml:space="preserve">N517</t>
  </si>
  <si>
    <t xml:space="preserve">TR-654</t>
  </si>
  <si>
    <t xml:space="preserve">36778529</t>
  </si>
  <si>
    <t xml:space="preserve">TR-655</t>
  </si>
  <si>
    <t xml:space="preserve">55418389</t>
  </si>
  <si>
    <t xml:space="preserve">TR-656</t>
  </si>
  <si>
    <t xml:space="preserve">N529</t>
  </si>
  <si>
    <t xml:space="preserve">TR-657</t>
  </si>
  <si>
    <t xml:space="preserve">N528</t>
  </si>
  <si>
    <t xml:space="preserve">TR-658</t>
  </si>
  <si>
    <t xml:space="preserve">538318</t>
  </si>
  <si>
    <t xml:space="preserve">TR-659</t>
  </si>
  <si>
    <t xml:space="preserve">550312</t>
  </si>
  <si>
    <t xml:space="preserve">TR-660</t>
  </si>
  <si>
    <t xml:space="preserve">550313</t>
  </si>
  <si>
    <t xml:space="preserve">TR-661</t>
  </si>
  <si>
    <t xml:space="preserve">N522</t>
  </si>
  <si>
    <t xml:space="preserve">TR-662</t>
  </si>
  <si>
    <t xml:space="preserve">31324764</t>
  </si>
  <si>
    <t xml:space="preserve">TR-663</t>
  </si>
  <si>
    <t xml:space="preserve">31324766</t>
  </si>
  <si>
    <t xml:space="preserve">TR-664</t>
  </si>
  <si>
    <t xml:space="preserve">31324767</t>
  </si>
  <si>
    <t xml:space="preserve">TR-665</t>
  </si>
  <si>
    <t xml:space="preserve">N818</t>
  </si>
  <si>
    <t xml:space="preserve">TR-666</t>
  </si>
  <si>
    <t xml:space="preserve">202332</t>
  </si>
  <si>
    <t xml:space="preserve">TR-667</t>
  </si>
  <si>
    <t xml:space="preserve">N820</t>
  </si>
  <si>
    <t xml:space="preserve">TR-668</t>
  </si>
  <si>
    <t xml:space="preserve">N540</t>
  </si>
  <si>
    <t xml:space="preserve">TR-669</t>
  </si>
  <si>
    <t xml:space="preserve">37960313</t>
  </si>
  <si>
    <t xml:space="preserve">TR-670</t>
  </si>
  <si>
    <t xml:space="preserve">N543</t>
  </si>
  <si>
    <t xml:space="preserve">TR-671</t>
  </si>
  <si>
    <t xml:space="preserve">N544</t>
  </si>
  <si>
    <t xml:space="preserve">TR-672</t>
  </si>
  <si>
    <t xml:space="preserve">37960332</t>
  </si>
  <si>
    <t xml:space="preserve">TR-673</t>
  </si>
  <si>
    <t xml:space="preserve">37960338</t>
  </si>
  <si>
    <t xml:space="preserve">TR-674</t>
  </si>
  <si>
    <t xml:space="preserve">N549</t>
  </si>
  <si>
    <t xml:space="preserve">TR-675</t>
  </si>
  <si>
    <t xml:space="preserve">37960928</t>
  </si>
  <si>
    <t xml:space="preserve">TR-676</t>
  </si>
  <si>
    <t xml:space="preserve">N551</t>
  </si>
  <si>
    <t xml:space="preserve">TR-677</t>
  </si>
  <si>
    <t xml:space="preserve">N562</t>
  </si>
  <si>
    <t xml:space="preserve">TR-678</t>
  </si>
  <si>
    <t xml:space="preserve">N563</t>
  </si>
  <si>
    <t xml:space="preserve">TR-679</t>
  </si>
  <si>
    <t xml:space="preserve">37961212</t>
  </si>
  <si>
    <t xml:space="preserve">TR-680</t>
  </si>
  <si>
    <t xml:space="preserve">N572</t>
  </si>
  <si>
    <t xml:space="preserve">TR-681</t>
  </si>
  <si>
    <t xml:space="preserve">N589</t>
  </si>
  <si>
    <t xml:space="preserve">TR-682</t>
  </si>
  <si>
    <t xml:space="preserve">37961232</t>
  </si>
  <si>
    <t xml:space="preserve">TR-683</t>
  </si>
  <si>
    <t xml:space="preserve">37961271</t>
  </si>
  <si>
    <t xml:space="preserve">TR-684</t>
  </si>
  <si>
    <t xml:space="preserve">N628</t>
  </si>
  <si>
    <t xml:space="preserve">TR-685</t>
  </si>
  <si>
    <t xml:space="preserve">N647</t>
  </si>
  <si>
    <t xml:space="preserve">TR-686</t>
  </si>
  <si>
    <t xml:space="preserve">37961292</t>
  </si>
  <si>
    <t xml:space="preserve">TR-687</t>
  </si>
  <si>
    <t xml:space="preserve">N650</t>
  </si>
  <si>
    <t xml:space="preserve">TR-688</t>
  </si>
  <si>
    <t xml:space="preserve">37961296</t>
  </si>
  <si>
    <t xml:space="preserve">TR-689</t>
  </si>
  <si>
    <t xml:space="preserve">37961332</t>
  </si>
  <si>
    <t xml:space="preserve">TR-690</t>
  </si>
  <si>
    <t xml:space="preserve">N554</t>
  </si>
  <si>
    <t xml:space="preserve">TR-691</t>
  </si>
  <si>
    <t xml:space="preserve">37960340</t>
  </si>
  <si>
    <t xml:space="preserve">TR-692</t>
  </si>
  <si>
    <t xml:space="preserve">37960354</t>
  </si>
  <si>
    <t xml:space="preserve">TR-693</t>
  </si>
  <si>
    <t xml:space="preserve">N558</t>
  </si>
  <si>
    <t xml:space="preserve">TR-694</t>
  </si>
  <si>
    <t xml:space="preserve">37960362</t>
  </si>
  <si>
    <t xml:space="preserve">TR-695</t>
  </si>
  <si>
    <t xml:space="preserve">N567</t>
  </si>
  <si>
    <t xml:space="preserve">TR-696</t>
  </si>
  <si>
    <t xml:space="preserve">N568</t>
  </si>
  <si>
    <t xml:space="preserve">TR-697</t>
  </si>
  <si>
    <t xml:space="preserve">37960366</t>
  </si>
  <si>
    <t xml:space="preserve">TR-698</t>
  </si>
  <si>
    <t xml:space="preserve">N570</t>
  </si>
  <si>
    <t xml:space="preserve">TR-699</t>
  </si>
  <si>
    <t xml:space="preserve">39501462</t>
  </si>
  <si>
    <t xml:space="preserve">TR-700</t>
  </si>
  <si>
    <t xml:space="preserve">39501477</t>
  </si>
  <si>
    <t xml:space="preserve">TR-701</t>
  </si>
  <si>
    <t xml:space="preserve">N582</t>
  </si>
  <si>
    <t xml:space="preserve">TR-702</t>
  </si>
  <si>
    <t xml:space="preserve">39501489</t>
  </si>
  <si>
    <t xml:space="preserve">TR-703</t>
  </si>
  <si>
    <t xml:space="preserve">N585</t>
  </si>
  <si>
    <t xml:space="preserve">TR-704</t>
  </si>
  <si>
    <t xml:space="preserve">1298032</t>
  </si>
  <si>
    <t xml:space="preserve">TR-705</t>
  </si>
  <si>
    <t xml:space="preserve">1298033</t>
  </si>
  <si>
    <t xml:space="preserve">TR-706</t>
  </si>
  <si>
    <t xml:space="preserve">N600</t>
  </si>
  <si>
    <t xml:space="preserve">TR-707</t>
  </si>
  <si>
    <t xml:space="preserve">39501503</t>
  </si>
  <si>
    <t xml:space="preserve">TR-708</t>
  </si>
  <si>
    <t xml:space="preserve">N823</t>
  </si>
  <si>
    <t xml:space="preserve">TR-709</t>
  </si>
  <si>
    <t xml:space="preserve">539662</t>
  </si>
  <si>
    <t xml:space="preserve">TR-710</t>
  </si>
  <si>
    <t xml:space="preserve">93651</t>
  </si>
  <si>
    <t xml:space="preserve">TR-711</t>
  </si>
  <si>
    <t xml:space="preserve">N821</t>
  </si>
  <si>
    <t xml:space="preserve">TR-712</t>
  </si>
  <si>
    <t xml:space="preserve">N822</t>
  </si>
  <si>
    <t xml:space="preserve">TR-713</t>
  </si>
  <si>
    <t xml:space="preserve">557037</t>
  </si>
  <si>
    <t xml:space="preserve">TR-714</t>
  </si>
  <si>
    <t xml:space="preserve">538757</t>
  </si>
  <si>
    <t xml:space="preserve">TR-715</t>
  </si>
  <si>
    <t xml:space="preserve">536965</t>
  </si>
  <si>
    <t xml:space="preserve">TR-716</t>
  </si>
  <si>
    <t xml:space="preserve">21517342</t>
  </si>
  <si>
    <t xml:space="preserve">TR-717</t>
  </si>
  <si>
    <t xml:space="preserve">558147</t>
  </si>
  <si>
    <t xml:space="preserve">TR-718</t>
  </si>
  <si>
    <t xml:space="preserve">N614</t>
  </si>
  <si>
    <t xml:space="preserve">TR-719</t>
  </si>
  <si>
    <t xml:space="preserve">536934</t>
  </si>
  <si>
    <t xml:space="preserve">TR-720</t>
  </si>
  <si>
    <t xml:space="preserve">N654</t>
  </si>
  <si>
    <t xml:space="preserve">TR-721</t>
  </si>
  <si>
    <t xml:space="preserve">538538</t>
  </si>
  <si>
    <t xml:space="preserve">TR-722</t>
  </si>
  <si>
    <t xml:space="preserve">93664</t>
  </si>
  <si>
    <t xml:space="preserve">TR-723</t>
  </si>
  <si>
    <t xml:space="preserve">536504</t>
  </si>
  <si>
    <t xml:space="preserve">TR-724</t>
  </si>
  <si>
    <t xml:space="preserve">N657</t>
  </si>
  <si>
    <t xml:space="preserve">TR-725</t>
  </si>
  <si>
    <t xml:space="preserve">N658</t>
  </si>
  <si>
    <t xml:space="preserve">TR-726</t>
  </si>
  <si>
    <t xml:space="preserve">537181</t>
  </si>
  <si>
    <t xml:space="preserve">TR-727</t>
  </si>
  <si>
    <t xml:space="preserve">1386474</t>
  </si>
  <si>
    <t xml:space="preserve">TR-728</t>
  </si>
  <si>
    <t xml:space="preserve">1386472</t>
  </si>
  <si>
    <t xml:space="preserve">TR-729</t>
  </si>
  <si>
    <t xml:space="preserve">537179</t>
  </si>
  <si>
    <t xml:space="preserve">TR-730</t>
  </si>
  <si>
    <t xml:space="preserve">20332208</t>
  </si>
  <si>
    <t xml:space="preserve">TR-731</t>
  </si>
  <si>
    <t xml:space="preserve">N617</t>
  </si>
  <si>
    <t xml:space="preserve">TR-732</t>
  </si>
  <si>
    <t xml:space="preserve">20332243</t>
  </si>
  <si>
    <t xml:space="preserve">TR-733</t>
  </si>
  <si>
    <t xml:space="preserve">20332252</t>
  </si>
  <si>
    <t xml:space="preserve">TR-734</t>
  </si>
  <si>
    <t xml:space="preserve">N634</t>
  </si>
  <si>
    <t xml:space="preserve">TR-735</t>
  </si>
  <si>
    <t xml:space="preserve">20332175</t>
  </si>
  <si>
    <t xml:space="preserve">TR-736</t>
  </si>
  <si>
    <t xml:space="preserve">N615</t>
  </si>
  <si>
    <t xml:space="preserve">TR-737</t>
  </si>
  <si>
    <t xml:space="preserve">N604</t>
  </si>
  <si>
    <t xml:space="preserve">TR-738</t>
  </si>
  <si>
    <t xml:space="preserve">21517512</t>
  </si>
  <si>
    <t xml:space="preserve">TR-739</t>
  </si>
  <si>
    <t xml:space="preserve">21517529</t>
  </si>
  <si>
    <t xml:space="preserve">TR-740</t>
  </si>
  <si>
    <t xml:space="preserve">N631</t>
  </si>
  <si>
    <t xml:space="preserve">TR-741</t>
  </si>
  <si>
    <t xml:space="preserve">30410139</t>
  </si>
  <si>
    <t xml:space="preserve">TR-742</t>
  </si>
  <si>
    <t xml:space="preserve">37327909</t>
  </si>
  <si>
    <t xml:space="preserve">TR-743</t>
  </si>
  <si>
    <t xml:space="preserve">44498772</t>
  </si>
  <si>
    <t xml:space="preserve">TR-744</t>
  </si>
  <si>
    <t xml:space="preserve">538286</t>
  </si>
  <si>
    <t xml:space="preserve">TR-745</t>
  </si>
  <si>
    <t xml:space="preserve">122554</t>
  </si>
  <si>
    <t xml:space="preserve">TR-746</t>
  </si>
  <si>
    <t xml:space="preserve">539252</t>
  </si>
  <si>
    <t xml:space="preserve">TR-747</t>
  </si>
  <si>
    <t xml:space="preserve">550046</t>
  </si>
  <si>
    <t xml:space="preserve">TR-748</t>
  </si>
  <si>
    <t xml:space="preserve">537589</t>
  </si>
  <si>
    <t xml:space="preserve">TR-749</t>
  </si>
  <si>
    <t xml:space="preserve">N598</t>
  </si>
  <si>
    <t xml:space="preserve">TR-750</t>
  </si>
  <si>
    <t xml:space="preserve">537593</t>
  </si>
  <si>
    <t xml:space="preserve">TR-751</t>
  </si>
  <si>
    <t xml:space="preserve">537594</t>
  </si>
  <si>
    <t xml:space="preserve">TR-752</t>
  </si>
  <si>
    <t xml:space="preserve">354886</t>
  </si>
  <si>
    <t xml:space="preserve">TR-753</t>
  </si>
  <si>
    <t xml:space="preserve">539661</t>
  </si>
  <si>
    <t xml:space="preserve">TR-754</t>
  </si>
  <si>
    <t xml:space="preserve">N625</t>
  </si>
  <si>
    <t xml:space="preserve">TR-755</t>
  </si>
  <si>
    <t xml:space="preserve">538994</t>
  </si>
  <si>
    <t xml:space="preserve">TR-756</t>
  </si>
  <si>
    <t xml:space="preserve">354888</t>
  </si>
  <si>
    <t xml:space="preserve">TR-757</t>
  </si>
  <si>
    <t xml:space="preserve">N829</t>
  </si>
  <si>
    <t xml:space="preserve">TR-758</t>
  </si>
  <si>
    <t xml:space="preserve">N623</t>
  </si>
  <si>
    <t xml:space="preserve">TR-759</t>
  </si>
  <si>
    <t xml:space="preserve">N644</t>
  </si>
  <si>
    <t xml:space="preserve">TR-760</t>
  </si>
  <si>
    <t xml:space="preserve">536313</t>
  </si>
  <si>
    <t xml:space="preserve">TR-761</t>
  </si>
  <si>
    <t xml:space="preserve">N649</t>
  </si>
  <si>
    <t xml:space="preserve">TR-762</t>
  </si>
  <si>
    <t xml:space="preserve">552758</t>
  </si>
  <si>
    <t xml:space="preserve">TR-763</t>
  </si>
  <si>
    <t xml:space="preserve">N673</t>
  </si>
  <si>
    <t xml:space="preserve">TR-764</t>
  </si>
  <si>
    <t xml:space="preserve">93662</t>
  </si>
  <si>
    <t xml:space="preserve">TR-765</t>
  </si>
  <si>
    <t xml:space="preserve">538804</t>
  </si>
  <si>
    <t xml:space="preserve">TR-766</t>
  </si>
  <si>
    <t xml:space="preserve">N681</t>
  </si>
  <si>
    <t xml:space="preserve">TR-767</t>
  </si>
  <si>
    <t xml:space="preserve">1384947</t>
  </si>
  <si>
    <t xml:space="preserve">TR-768</t>
  </si>
  <si>
    <t xml:space="preserve">1384946</t>
  </si>
  <si>
    <t xml:space="preserve">TR-769</t>
  </si>
  <si>
    <t xml:space="preserve">N686</t>
  </si>
  <si>
    <t xml:space="preserve">TR-770</t>
  </si>
  <si>
    <t xml:space="preserve">N830</t>
  </si>
  <si>
    <t xml:space="preserve">TR-771</t>
  </si>
  <si>
    <t xml:space="preserve">N675</t>
  </si>
  <si>
    <t xml:space="preserve">TR-772</t>
  </si>
  <si>
    <t xml:space="preserve">537630</t>
  </si>
  <si>
    <t xml:space="preserve">TR-773</t>
  </si>
  <si>
    <t xml:space="preserve">102277</t>
  </si>
  <si>
    <t xml:space="preserve">TR-774</t>
  </si>
  <si>
    <t xml:space="preserve">N694</t>
  </si>
  <si>
    <t xml:space="preserve">TR-775</t>
  </si>
  <si>
    <t xml:space="preserve">537631</t>
  </si>
  <si>
    <t xml:space="preserve">TR-776</t>
  </si>
  <si>
    <t xml:space="preserve">32385382</t>
  </si>
  <si>
    <t xml:space="preserve">TR-777</t>
  </si>
  <si>
    <t xml:space="preserve">N688</t>
  </si>
  <si>
    <t xml:space="preserve">TR-778</t>
  </si>
  <si>
    <t xml:space="preserve">93661</t>
  </si>
  <si>
    <t xml:space="preserve">TR-779</t>
  </si>
  <si>
    <t xml:space="preserve">N832</t>
  </si>
  <si>
    <t xml:space="preserve">TR-780</t>
  </si>
  <si>
    <t xml:space="preserve">585610</t>
  </si>
  <si>
    <t xml:space="preserve">TR-781</t>
  </si>
  <si>
    <t xml:space="preserve">N672</t>
  </si>
  <si>
    <t xml:space="preserve">TR-782</t>
  </si>
  <si>
    <t xml:space="preserve">587765</t>
  </si>
  <si>
    <t xml:space="preserve">TR-783</t>
  </si>
  <si>
    <t xml:space="preserve">52502742</t>
  </si>
  <si>
    <t xml:space="preserve">TR-784</t>
  </si>
  <si>
    <t xml:space="preserve">N690</t>
  </si>
  <si>
    <t xml:space="preserve">TR-785</t>
  </si>
  <si>
    <t xml:space="preserve">536987</t>
  </si>
  <si>
    <t xml:space="preserve">TR-786</t>
  </si>
  <si>
    <t xml:space="preserve">93659</t>
  </si>
  <si>
    <t xml:space="preserve">TR-787</t>
  </si>
  <si>
    <t xml:space="preserve">536777</t>
  </si>
  <si>
    <t xml:space="preserve">TR-788</t>
  </si>
  <si>
    <t xml:space="preserve">N834</t>
  </si>
  <si>
    <t xml:space="preserve">TR-789</t>
  </si>
  <si>
    <t xml:space="preserve">N835</t>
  </si>
  <si>
    <t xml:space="preserve">TR-790</t>
  </si>
  <si>
    <t xml:space="preserve">1088224</t>
  </si>
  <si>
    <t xml:space="preserve">TR-791</t>
  </si>
  <si>
    <t xml:space="preserve">1088223</t>
  </si>
  <si>
    <t xml:space="preserve">TR-792</t>
  </si>
  <si>
    <t xml:space="preserve">1088226</t>
  </si>
  <si>
    <t xml:space="preserve">TR-793</t>
  </si>
  <si>
    <t xml:space="preserve">N704</t>
  </si>
  <si>
    <t xml:space="preserve">TR-794</t>
  </si>
  <si>
    <t xml:space="preserve">48650962</t>
  </si>
  <si>
    <t xml:space="preserve">TR-795</t>
  </si>
  <si>
    <t xml:space="preserve">48651006</t>
  </si>
  <si>
    <t xml:space="preserve">TR-796</t>
  </si>
  <si>
    <t xml:space="preserve">N714</t>
  </si>
  <si>
    <t xml:space="preserve">TR-797</t>
  </si>
  <si>
    <t xml:space="preserve">37961358</t>
  </si>
  <si>
    <t xml:space="preserve">TR-798</t>
  </si>
  <si>
    <t xml:space="preserve">N728</t>
  </si>
  <si>
    <t xml:space="preserve">TR-799</t>
  </si>
  <si>
    <t xml:space="preserve">N733</t>
  </si>
  <si>
    <t xml:space="preserve">TR-800</t>
  </si>
  <si>
    <t xml:space="preserve">N719</t>
  </si>
  <si>
    <t xml:space="preserve">TR-801</t>
  </si>
  <si>
    <t xml:space="preserve">N722</t>
  </si>
  <si>
    <t xml:space="preserve">TR-802</t>
  </si>
  <si>
    <t xml:space="preserve">N836</t>
  </si>
  <si>
    <t xml:space="preserve">TR-803</t>
  </si>
  <si>
    <t xml:space="preserve">N837</t>
  </si>
  <si>
    <t xml:space="preserve">TR-804</t>
  </si>
  <si>
    <t xml:space="preserve">1088233</t>
  </si>
  <si>
    <t xml:space="preserve">TR-805</t>
  </si>
  <si>
    <t xml:space="preserve">N720</t>
  </si>
  <si>
    <t xml:space="preserve">TR-806</t>
  </si>
  <si>
    <t xml:space="preserve">N721</t>
  </si>
  <si>
    <t xml:space="preserve">TR-807</t>
  </si>
  <si>
    <t xml:space="preserve">52172834</t>
  </si>
  <si>
    <t xml:space="preserve">TR-808</t>
  </si>
  <si>
    <t xml:space="preserve">52172832</t>
  </si>
  <si>
    <t xml:space="preserve">TR-809</t>
  </si>
  <si>
    <t xml:space="preserve">48650830</t>
  </si>
  <si>
    <t xml:space="preserve">TR-810</t>
  </si>
  <si>
    <t xml:space="preserve">1215855</t>
  </si>
  <si>
    <t xml:space="preserve">TR-811</t>
  </si>
  <si>
    <t xml:space="preserve">1215856</t>
  </si>
  <si>
    <t xml:space="preserve">TR-812</t>
  </si>
  <si>
    <t xml:space="preserve">N759</t>
  </si>
  <si>
    <t xml:space="preserve">TR-813</t>
  </si>
  <si>
    <t xml:space="preserve">N758</t>
  </si>
  <si>
    <t xml:space="preserve">TR-814</t>
  </si>
  <si>
    <t xml:space="preserve">N761</t>
  </si>
  <si>
    <t xml:space="preserve">TR-815</t>
  </si>
  <si>
    <t xml:space="preserve">1455421</t>
  </si>
  <si>
    <t xml:space="preserve">TR-816</t>
  </si>
  <si>
    <t xml:space="preserve">N771</t>
  </si>
  <si>
    <t xml:space="preserve">TR-817</t>
  </si>
  <si>
    <t xml:space="preserve">1460019</t>
  </si>
  <si>
    <t xml:space="preserve">TR-818</t>
  </si>
  <si>
    <t xml:space="preserve">1460024</t>
  </si>
  <si>
    <t xml:space="preserve">TR-819</t>
  </si>
  <si>
    <t xml:space="preserve">N783</t>
  </si>
  <si>
    <t xml:space="preserve">TR-820</t>
  </si>
  <si>
    <t xml:space="preserve">1454561</t>
  </si>
  <si>
    <t xml:space="preserve">TR-821</t>
  </si>
  <si>
    <t xml:space="preserve">1460023</t>
  </si>
  <si>
    <t xml:space="preserve">TR-822</t>
  </si>
  <si>
    <t xml:space="preserve">1460673</t>
  </si>
  <si>
    <t xml:space="preserve">TR-823</t>
  </si>
  <si>
    <t xml:space="preserve">1460345</t>
  </si>
  <si>
    <t xml:space="preserve">TR-824</t>
  </si>
  <si>
    <t xml:space="preserve">N794</t>
  </si>
  <si>
    <t xml:space="preserve">TR-825</t>
  </si>
  <si>
    <t xml:space="preserve">N789</t>
  </si>
  <si>
    <t xml:space="preserve">TR-826</t>
  </si>
  <si>
    <t xml:space="preserve">1460341</t>
  </si>
  <si>
    <t xml:space="preserve">TR-827</t>
  </si>
  <si>
    <t xml:space="preserve">25377574</t>
  </si>
  <si>
    <t xml:space="preserve">TR-828</t>
  </si>
  <si>
    <t xml:space="preserve">N806</t>
  </si>
  <si>
    <t xml:space="preserve">TR-829</t>
  </si>
  <si>
    <t xml:space="preserve">51047101</t>
  </si>
  <si>
    <t xml:space="preserve">TR-830</t>
  </si>
  <si>
    <t xml:space="preserve">51047111</t>
  </si>
  <si>
    <t xml:space="preserve">TR-831</t>
  </si>
  <si>
    <t xml:space="preserve">N807</t>
  </si>
  <si>
    <t xml:space="preserve">TR-832</t>
  </si>
  <si>
    <t xml:space="preserve">N805</t>
  </si>
  <si>
    <t xml:space="preserve">TR-833</t>
  </si>
  <si>
    <t xml:space="preserve">N804</t>
  </si>
  <si>
    <t xml:space="preserve">TR-834</t>
  </si>
  <si>
    <t xml:space="preserve">39285836</t>
  </si>
  <si>
    <t xml:space="preserve">TR-835</t>
  </si>
  <si>
    <t xml:space="preserve">1460674</t>
  </si>
  <si>
    <t xml:space="preserve">TR-836</t>
  </si>
  <si>
    <t xml:space="preserve">30586581</t>
  </si>
  <si>
    <t xml:space="preserve">TR-837</t>
  </si>
  <si>
    <t xml:space="preserve">Seq</t>
  </si>
  <si>
    <t xml:space="preserve">Trecho no Daimon</t>
  </si>
  <si>
    <t xml:space="preserve">Distância do DJ até o fim (m)</t>
  </si>
  <si>
    <t xml:space="preserve">Tipo do ativo de referência</t>
  </si>
  <si>
    <t xml:space="preserve">Próximo(s) ativo(s)</t>
  </si>
  <si>
    <t xml:space="preserve">Latitude (meio do vão)</t>
  </si>
  <si>
    <t xml:space="preserve">Longitude (meio do vão)</t>
  </si>
  <si>
    <t xml:space="preserve">Mapa</t>
  </si>
  <si>
    <t xml:space="preserve">Chave do caminho (uso das fórmulas)</t>
  </si>
  <si>
    <t xml:space="preserve">2517480</t>
  </si>
  <si>
    <t xml:space="preserve">Disjuntor (DJ)</t>
  </si>
  <si>
    <t xml:space="preserve">7900106004, 7927795004, 0300031004, 0345006004, 0352810004, 0300724004, 0342284004, 0200038004, 0328286004, 0314965004, 0344627004, 0334747004, 0347400004, 0358161004, 0342738004, 0203728004, 0328468004, 0329025004, 0203016004, 0300049004, 0203015004, 0300052004, 0200050004, 0200028004, 0300024004, 0349562004, 0349564004, 0355236004, 0200023004, 0204420004, 0302387004, 3302865004, 3300065004, 0320309004, 0310307004, 0303851004, 0310306004, 0303865004, 0342709004, 0303866004, 0303867004, 0302309004, 0300064004, 0320308004, 0301840004, 0303850004, 0320305004, 0346260004, 0346420004, 0355088004, 0340038004, 0201389004, 0303849004, 0310949004, 0210950004, 0301838004, 0301839004, 0245040004, 0303718004, 0202970004, 0354089004, 0354093004, 0220315004, 0346072004, 0345823004, 0200043004, 0200011004, 0357531004, 0303835004, 0356395004, 3300016004, 0301090004, 0303861004, 0304100004, 0201099004, 0301069004</t>
  </si>
  <si>
    <t xml:space="preserve">abrir</t>
  </si>
  <si>
    <t xml:space="preserve">|DJ AL01010004|</t>
  </si>
  <si>
    <t xml:space="preserve">Suporte Chave 8800002004</t>
  </si>
  <si>
    <t xml:space="preserve">2520098</t>
  </si>
  <si>
    <t xml:space="preserve">12072724</t>
  </si>
  <si>
    <t xml:space="preserve">2796761</t>
  </si>
  <si>
    <t xml:space="preserve">12074471</t>
  </si>
  <si>
    <t xml:space="preserve">2518760</t>
  </si>
  <si>
    <t xml:space="preserve">12072739</t>
  </si>
  <si>
    <t xml:space="preserve">2518013</t>
  </si>
  <si>
    <t xml:space="preserve">12074779</t>
  </si>
  <si>
    <t xml:space="preserve">2518454</t>
  </si>
  <si>
    <t xml:space="preserve">12072726</t>
  </si>
  <si>
    <t xml:space="preserve">2516814</t>
  </si>
  <si>
    <t xml:space="preserve">48650427</t>
  </si>
  <si>
    <t xml:space="preserve">7900106004, 7927795004, 0300031004, 0345006004, 0352810004, 0300724004, 0342284004, 0200038004, 0328286004, 0314965004, 0344627004, 0334747004, 0347400004, 0358161004, 0342738004, 0203728004, 0328468004, 0329025004, 0203016004, 0300049004, 0203015004, 0300052004, 0200050004, 0200028004, 0300024004, 0349562004, 0349564004, 0355236004, 0200023004, 0204420004, 0302387004, 3302865004, 3300065004, 0320309004, 0310307004, 0303851004, 0310306004, 0303865004, 0342709004, 0303866004, 0303867004, 0302309004, 0300064004, 0320308004, 0301840004, 0303850004, 0320305004, 0346260004, 0346420004, 0355088004, 0340038004, 0201389004, 0303849004, 0310949004, 0210950004, 0301838004, 0301839004, 0245040004, 0303718004, 0202970004, 0354089004, 0354093004, 0220315004, 0346072004, 0345823004, 0200043004</t>
  </si>
  <si>
    <t xml:space="preserve">Suporte Chave 8838716004</t>
  </si>
  <si>
    <t xml:space="preserve">3616817</t>
  </si>
  <si>
    <t xml:space="preserve">3619035</t>
  </si>
  <si>
    <t xml:space="preserve">12084034</t>
  </si>
  <si>
    <t xml:space="preserve">3619031</t>
  </si>
  <si>
    <t xml:space="preserve">12083801</t>
  </si>
  <si>
    <t xml:space="preserve">3615827</t>
  </si>
  <si>
    <t xml:space="preserve">12084028</t>
  </si>
  <si>
    <t xml:space="preserve">3615556</t>
  </si>
  <si>
    <t xml:space="preserve">12071828</t>
  </si>
  <si>
    <t xml:space="preserve">2660792</t>
  </si>
  <si>
    <t xml:space="preserve">26339928</t>
  </si>
  <si>
    <t xml:space="preserve">2768765</t>
  </si>
  <si>
    <t xml:space="preserve">Suporte Chave 8836357004</t>
  </si>
  <si>
    <t xml:space="preserve">3154316</t>
  </si>
  <si>
    <t xml:space="preserve">3154318</t>
  </si>
  <si>
    <t xml:space="preserve">12077422</t>
  </si>
  <si>
    <t xml:space="preserve">3223270</t>
  </si>
  <si>
    <t xml:space="preserve">3504220</t>
  </si>
  <si>
    <t xml:space="preserve">3504218</t>
  </si>
  <si>
    <t xml:space="preserve">2921822</t>
  </si>
  <si>
    <t xml:space="preserve">7900106004, 7927795004, 0300031004, 0345006004, 0352810004, 0300724004, 0342284004, 0200038004, 0328286004, 0314965004, 0344627004, 0334747004, 0347400004, 0358161004, 0342738004, 0203728004, 0328468004, 0329025004, 0203016004, 0300049004, 0203015004, 0300052004, 0200050004, 0200028004, 0300024004, 0349562004, 0349564004, 0355236004, 0200023004, 0204420004</t>
  </si>
  <si>
    <t xml:space="preserve">Suporte Chave 8823701004</t>
  </si>
  <si>
    <t xml:space="preserve">2532343</t>
  </si>
  <si>
    <t xml:space="preserve">3026227</t>
  </si>
  <si>
    <t xml:space="preserve">12085055</t>
  </si>
  <si>
    <t xml:space="preserve">2653548</t>
  </si>
  <si>
    <t xml:space="preserve">Suporte Chave 9000106004</t>
  </si>
  <si>
    <t xml:space="preserve">3660575</t>
  </si>
  <si>
    <t xml:space="preserve">Suporte Chave 7900106004</t>
  </si>
  <si>
    <t xml:space="preserve">3660574</t>
  </si>
  <si>
    <t xml:space="preserve">Religador (79)</t>
  </si>
  <si>
    <t xml:space="preserve">7927795004, 0300031004, 0345006004, 0352810004, 0300724004, 0342284004, 0200038004, 0328286004, 0314965004, 0344627004, 0334747004, 0347400004, 0358161004, 0342738004, 0203728004, 0328468004, 0329025004, 0203016004, 0300049004, 0203015004, 0300052004, 0200050004, 0200028004, 0300024004, 0349562004, 0349564004, 0355236004, 0200023004, 0204420004</t>
  </si>
  <si>
    <t xml:space="preserve">DJ AL01010004 › 7900106004</t>
  </si>
  <si>
    <t xml:space="preserve">|DJ AL01010004|7900106004|</t>
  </si>
  <si>
    <t xml:space="preserve">Suporte Chave 9000323004</t>
  </si>
  <si>
    <t xml:space="preserve">3656965</t>
  </si>
  <si>
    <t xml:space="preserve">3594125</t>
  </si>
  <si>
    <t xml:space="preserve">12085113</t>
  </si>
  <si>
    <t xml:space="preserve">3601347</t>
  </si>
  <si>
    <t xml:space="preserve">12085112</t>
  </si>
  <si>
    <t xml:space="preserve">3601067</t>
  </si>
  <si>
    <t xml:space="preserve">37960245</t>
  </si>
  <si>
    <t xml:space="preserve">3601058</t>
  </si>
  <si>
    <t xml:space="preserve">2958759</t>
  </si>
  <si>
    <t xml:space="preserve">7927795004, 0300031004, 0345006004, 0352810004, 0300724004, 0342284004, 0200038004, 0328286004, 0314965004, 0344627004, 0334747004, 0347400004, 0358161004, 0342738004, 0203728004, 0328468004, 0329025004, 0203016004, 0300049004, 0203015004, 0300052004, 0200050004, 0200028004, 0300024004, 0349562004, 0349564004, 0355236004, 0200023004</t>
  </si>
  <si>
    <t xml:space="preserve">Suporte Chave 8802390004</t>
  </si>
  <si>
    <t xml:space="preserve">56603555</t>
  </si>
  <si>
    <t xml:space="preserve">Suporte Chave 0349277004</t>
  </si>
  <si>
    <t xml:space="preserve">3601078</t>
  </si>
  <si>
    <t xml:space="preserve">3554923</t>
  </si>
  <si>
    <t xml:space="preserve">7927795004, 0300031004, 0345006004, 0352810004, 0300724004, 0342284004, 0200038004, 0328286004, 0314965004, 0344627004, 0334747004, 0347400004, 0358161004, 0342738004, 0203728004, 0328468004, 0329025004, 0203016004, 0300049004, 0203015004, 0300052004, 0200050004, 0200028004, 0300024004, 0349562004, 0349564004, 0355236004</t>
  </si>
  <si>
    <t xml:space="preserve">12078764</t>
  </si>
  <si>
    <t xml:space="preserve">3595978</t>
  </si>
  <si>
    <t xml:space="preserve">3595979</t>
  </si>
  <si>
    <t xml:space="preserve">3601350</t>
  </si>
  <si>
    <t xml:space="preserve">7927795004, 0300031004, 0345006004, 0352810004, 0300724004, 0342284004, 0200038004, 0328286004, 0314965004, 0344627004, 0334747004, 0347400004, 0358161004, 0342738004, 0203728004, 0328468004, 0329025004, 0203016004, 0300049004, 0203015004, 0300052004, 0200050004, 0200028004, 0300024004, 0349562004, 0349564004</t>
  </si>
  <si>
    <t xml:space="preserve">12072840</t>
  </si>
  <si>
    <t xml:space="preserve">7927795004, 0300031004, 0345006004, 0352810004, 0300724004, 0342284004, 0200038004, 0328286004, 0314965004, 0344627004, 0334747004, 0347400004, 0358161004, 0342738004, 0203728004, 0328468004, 0329025004, 0203016004, 0300049004, 0203015004, 0300052004, 0200050004, 0200028004, 0300024004</t>
  </si>
  <si>
    <t xml:space="preserve">3601070</t>
  </si>
  <si>
    <t xml:space="preserve">3601061</t>
  </si>
  <si>
    <t xml:space="preserve">7927795004, 0300031004, 0345006004, 0352810004, 0300724004, 0342284004, 0200038004, 0328286004, 0314965004, 0344627004, 0334747004, 0347400004, 0358161004, 0342738004, 0203728004, 0328468004, 0329025004, 0203016004, 0300049004, 0203015004, 0300052004, 0200050004, 0200028004</t>
  </si>
  <si>
    <t xml:space="preserve">Suporte Chave 8827796004</t>
  </si>
  <si>
    <t xml:space="preserve">3554922</t>
  </si>
  <si>
    <t xml:space="preserve">3601076</t>
  </si>
  <si>
    <t xml:space="preserve">7927795004, 0300031004, 0345006004, 0352810004, 0300724004, 0342284004, 0200038004, 0328286004, 0314965004, 0344627004, 0334747004, 0347400004, 0358161004, 0342738004, 0203728004, 0328468004, 0329025004, 0203016004, 0300049004, 0203015004, 0300052004, 0200050004</t>
  </si>
  <si>
    <t xml:space="preserve">Suporte Chave 8800029004</t>
  </si>
  <si>
    <t xml:space="preserve">7927795004, 0300031004, 0345006004, 0352810004, 0300724004, 0342284004, 0200038004, 0328286004, 0314965004, 0344627004, 0334747004, 0347400004, 0358161004, 0342738004, 0203728004, 0328468004, 0329025004, 0203016004, 0300049004, 0203015004</t>
  </si>
  <si>
    <t xml:space="preserve">3554924</t>
  </si>
  <si>
    <t xml:space="preserve">Suporte Chave 7927795004</t>
  </si>
  <si>
    <t xml:space="preserve">3564563</t>
  </si>
  <si>
    <t xml:space="preserve">0300031004, 0345006004, 0352810004, 0300724004, 0342284004, 0200038004, 0328286004, 0314965004, 0344627004, 0334747004, 0347400004, 0358161004, 0342738004, 0203728004, 0328468004, 0329025004, 0203016004, 0300049004, 0203015004</t>
  </si>
  <si>
    <t xml:space="preserve">DJ AL01010004 › 7900106004 › 7927795004</t>
  </si>
  <si>
    <t xml:space="preserve">|DJ AL01010004|7900106004|7927795004|</t>
  </si>
  <si>
    <t xml:space="preserve">2682403</t>
  </si>
  <si>
    <t xml:space="preserve">2682404</t>
  </si>
  <si>
    <t xml:space="preserve">0300031004, 0345006004, 0352810004, 0300724004, 0342284004, 0200038004, 0328286004, 0314965004, 0344627004, 0334747004, 0347400004, 0358161004, 0342738004, 0203728004, 0328468004, 0329025004</t>
  </si>
  <si>
    <t xml:space="preserve">12077414</t>
  </si>
  <si>
    <t xml:space="preserve">2649355</t>
  </si>
  <si>
    <t xml:space="preserve">2654014</t>
  </si>
  <si>
    <t xml:space="preserve">12077310</t>
  </si>
  <si>
    <t xml:space="preserve">2765897</t>
  </si>
  <si>
    <t xml:space="preserve">2541918</t>
  </si>
  <si>
    <t xml:space="preserve">0300031004, 0345006004, 0352810004</t>
  </si>
  <si>
    <t xml:space="preserve">Suporte Chave 0300031004</t>
  </si>
  <si>
    <t xml:space="preserve">2660754</t>
  </si>
  <si>
    <t xml:space="preserve">0300724004, 0342284004, 0200038004, 0328286004, 0314965004, 0344627004, 0334747004, 0347400004, 0358161004, 0342738004, 0203728004, 0328468004, 0329025004</t>
  </si>
  <si>
    <t xml:space="preserve">2762596</t>
  </si>
  <si>
    <t xml:space="preserve">0300724004, 0342284004, 0200038004, 0328286004, 0314965004, 0344627004, 0334747004, 0347400004, 0358161004, 0342738004, 0203728004, 0328468004</t>
  </si>
  <si>
    <t xml:space="preserve">2756959</t>
  </si>
  <si>
    <t xml:space="preserve">Suporte Chave 8841354004</t>
  </si>
  <si>
    <t xml:space="preserve">2659307</t>
  </si>
  <si>
    <t xml:space="preserve">2541810</t>
  </si>
  <si>
    <t xml:space="preserve">0300724004, 0342284004, 0200038004</t>
  </si>
  <si>
    <t xml:space="preserve">Suporte Chave 0300724004</t>
  </si>
  <si>
    <t xml:space="preserve">2541812</t>
  </si>
  <si>
    <t xml:space="preserve">0328286004, 0314965004, 0344627004, 0334747004, 0347400004, 0358161004, 0342738004, 0203728004, 0328468004</t>
  </si>
  <si>
    <t xml:space="preserve">Suporte Chave 8800034004</t>
  </si>
  <si>
    <t xml:space="preserve">2757834</t>
  </si>
  <si>
    <t xml:space="preserve">2762813</t>
  </si>
  <si>
    <t xml:space="preserve">2647449</t>
  </si>
  <si>
    <t xml:space="preserve">2810274</t>
  </si>
  <si>
    <t xml:space="preserve">0328286004, 0314965004, 0344627004, 0334747004, 0347400004, 0358161004, 0342738004, 0203728004</t>
  </si>
  <si>
    <t xml:space="preserve">Suporte Chave 8803727004</t>
  </si>
  <si>
    <t xml:space="preserve">2810270</t>
  </si>
  <si>
    <t xml:space="preserve">12076214</t>
  </si>
  <si>
    <t xml:space="preserve">2810281</t>
  </si>
  <si>
    <t xml:space="preserve">2810268</t>
  </si>
  <si>
    <t xml:space="preserve">2810275</t>
  </si>
  <si>
    <t xml:space="preserve">0328286004, 0314965004, 0344627004, 0334747004, 0347400004, 0358161004, 0342738004</t>
  </si>
  <si>
    <t xml:space="preserve">12074920</t>
  </si>
  <si>
    <t xml:space="preserve">2941961</t>
  </si>
  <si>
    <t xml:space="preserve">2941965</t>
  </si>
  <si>
    <t xml:space="preserve">52172458</t>
  </si>
  <si>
    <t xml:space="preserve">52173377</t>
  </si>
  <si>
    <t xml:space="preserve">52172501</t>
  </si>
  <si>
    <t xml:space="preserve">52173369</t>
  </si>
  <si>
    <t xml:space="preserve">52172529</t>
  </si>
  <si>
    <t xml:space="preserve">Suporte Chave 8828470004</t>
  </si>
  <si>
    <t xml:space="preserve">52172532</t>
  </si>
  <si>
    <t xml:space="preserve">52172616</t>
  </si>
  <si>
    <t xml:space="preserve">Suporte Chave 8814964004</t>
  </si>
  <si>
    <t xml:space="preserve">52172688</t>
  </si>
  <si>
    <t xml:space="preserve">52173361</t>
  </si>
  <si>
    <t xml:space="preserve">52172730</t>
  </si>
  <si>
    <t xml:space="preserve">52172961</t>
  </si>
  <si>
    <t xml:space="preserve">52172750</t>
  </si>
  <si>
    <t xml:space="preserve">Suporte Chave 8855846004</t>
  </si>
  <si>
    <t xml:space="preserve">52172778</t>
  </si>
  <si>
    <t xml:space="preserve">12076598</t>
  </si>
  <si>
    <t xml:space="preserve">52172859</t>
  </si>
  <si>
    <t xml:space="preserve">52172932</t>
  </si>
  <si>
    <t xml:space="preserve">52172923</t>
  </si>
  <si>
    <t xml:space="preserve">52172988</t>
  </si>
  <si>
    <t xml:space="preserve">Suporte Chave 8855095004</t>
  </si>
  <si>
    <t xml:space="preserve">48650884</t>
  </si>
  <si>
    <t xml:space="preserve">48650902</t>
  </si>
  <si>
    <t xml:space="preserve">Suporte Chave 8855094004</t>
  </si>
  <si>
    <t xml:space="preserve">3570523</t>
  </si>
  <si>
    <t xml:space="preserve">3570760</t>
  </si>
  <si>
    <t xml:space="preserve">Suporte Chave 0328286004</t>
  </si>
  <si>
    <t xml:space="preserve">48650893</t>
  </si>
  <si>
    <t xml:space="preserve">0314965004, 0344627004, 0334747004, 0347400004, 0358161004, 0342738004</t>
  </si>
  <si>
    <t xml:space="preserve">12076599</t>
  </si>
  <si>
    <t xml:space="preserve">2891960</t>
  </si>
  <si>
    <t xml:space="preserve">Suporte Chave 0314965004</t>
  </si>
  <si>
    <t xml:space="preserve">52173092</t>
  </si>
  <si>
    <t xml:space="preserve">0344627004, 0334747004, 0347400004, 0358161004, 0342738004</t>
  </si>
  <si>
    <t xml:space="preserve">12085125</t>
  </si>
  <si>
    <t xml:space="preserve">52173125</t>
  </si>
  <si>
    <t xml:space="preserve">52173177</t>
  </si>
  <si>
    <t xml:space="preserve">Suporte Chave 8858328004</t>
  </si>
  <si>
    <t xml:space="preserve">52173165</t>
  </si>
  <si>
    <t xml:space="preserve">52173209</t>
  </si>
  <si>
    <t xml:space="preserve">3598279</t>
  </si>
  <si>
    <t xml:space="preserve">3598276</t>
  </si>
  <si>
    <t xml:space="preserve">12084904</t>
  </si>
  <si>
    <t xml:space="preserve">3655459</t>
  </si>
  <si>
    <t xml:space="preserve">12084903</t>
  </si>
  <si>
    <t xml:space="preserve">3655464</t>
  </si>
  <si>
    <t xml:space="preserve">12084902</t>
  </si>
  <si>
    <t xml:space="preserve">3655460</t>
  </si>
  <si>
    <t xml:space="preserve">12084901</t>
  </si>
  <si>
    <t xml:space="preserve">3655465</t>
  </si>
  <si>
    <t xml:space="preserve">29470372</t>
  </si>
  <si>
    <t xml:space="preserve">29470364</t>
  </si>
  <si>
    <t xml:space="preserve">29470353</t>
  </si>
  <si>
    <t xml:space="preserve">29470345</t>
  </si>
  <si>
    <t xml:space="preserve">29470334</t>
  </si>
  <si>
    <t xml:space="preserve">29470326</t>
  </si>
  <si>
    <t xml:space="preserve">29470316</t>
  </si>
  <si>
    <t xml:space="preserve">Suporte Chave 0344627004</t>
  </si>
  <si>
    <t xml:space="preserve">52173187</t>
  </si>
  <si>
    <t xml:space="preserve">0334747004, 0347400004, 0358161004, 0342738004</t>
  </si>
  <si>
    <t xml:space="preserve">52173201</t>
  </si>
  <si>
    <t xml:space="preserve">3648359</t>
  </si>
  <si>
    <t xml:space="preserve">Suporte Chave 0334747004</t>
  </si>
  <si>
    <t xml:space="preserve">Suporte Chave 0203728004</t>
  </si>
  <si>
    <t xml:space="preserve">2810278</t>
  </si>
  <si>
    <t xml:space="preserve">Suporte Chave 0328468004</t>
  </si>
  <si>
    <t xml:space="preserve">Suporte Chave 0329025004</t>
  </si>
  <si>
    <t xml:space="preserve">2682406</t>
  </si>
  <si>
    <t xml:space="preserve">0203016004, 0300049004, 0203015004</t>
  </si>
  <si>
    <t xml:space="preserve">2682579</t>
  </si>
  <si>
    <t xml:space="preserve">Suporte Chave 8804463004</t>
  </si>
  <si>
    <t xml:space="preserve">3591437</t>
  </si>
  <si>
    <t xml:space="preserve">12084639</t>
  </si>
  <si>
    <t xml:space="preserve">2541522</t>
  </si>
  <si>
    <t xml:space="preserve">2921816</t>
  </si>
  <si>
    <t xml:space="preserve">2658512</t>
  </si>
  <si>
    <t xml:space="preserve">Suporte Chave 0203016004</t>
  </si>
  <si>
    <t xml:space="preserve">2793623</t>
  </si>
  <si>
    <t xml:space="preserve">0300049004, 0203015004</t>
  </si>
  <si>
    <t xml:space="preserve">2793621</t>
  </si>
  <si>
    <t xml:space="preserve">12071838</t>
  </si>
  <si>
    <t xml:space="preserve">2923809</t>
  </si>
  <si>
    <t xml:space="preserve">2923806</t>
  </si>
  <si>
    <t xml:space="preserve">2752204</t>
  </si>
  <si>
    <t xml:space="preserve">Suporte Chave 0300049004</t>
  </si>
  <si>
    <t xml:space="preserve">Suporte Chave 0203015004</t>
  </si>
  <si>
    <t xml:space="preserve">3555804</t>
  </si>
  <si>
    <t xml:space="preserve">0200011004, 0357531004, 0303835004, 0356395004, 3300016004, 0301090004, 0303861004, 0304100004, 0201099004, 0301069004</t>
  </si>
  <si>
    <t xml:space="preserve">Suporte Chave 8801100004</t>
  </si>
  <si>
    <t xml:space="preserve">48648073</t>
  </si>
  <si>
    <t xml:space="preserve">48649483</t>
  </si>
  <si>
    <t xml:space="preserve">48648102</t>
  </si>
  <si>
    <t xml:space="preserve">48649475</t>
  </si>
  <si>
    <t xml:space="preserve">48648957</t>
  </si>
  <si>
    <t xml:space="preserve">2541580</t>
  </si>
  <si>
    <t xml:space="preserve">0200011004, 0357531004</t>
  </si>
  <si>
    <t xml:space="preserve">Suporte Chave 8801130004</t>
  </si>
  <si>
    <t xml:space="preserve">2795535</t>
  </si>
  <si>
    <t xml:space="preserve">12077659</t>
  </si>
  <si>
    <t xml:space="preserve">2795536</t>
  </si>
  <si>
    <t xml:space="preserve">12083439</t>
  </si>
  <si>
    <t xml:space="preserve">2651476</t>
  </si>
  <si>
    <t xml:space="preserve">T_8800010004</t>
  </si>
  <si>
    <t xml:space="preserve">Suporte Chave 8800010004</t>
  </si>
  <si>
    <t xml:space="preserve">41939752</t>
  </si>
  <si>
    <t xml:space="preserve">2651478</t>
  </si>
  <si>
    <t xml:space="preserve">12083440</t>
  </si>
  <si>
    <t xml:space="preserve">2651811</t>
  </si>
  <si>
    <t xml:space="preserve">Suporte Chave 0200011004</t>
  </si>
  <si>
    <t xml:space="preserve">Suporte Chave 0357531004</t>
  </si>
  <si>
    <t xml:space="preserve">2653219</t>
  </si>
  <si>
    <t xml:space="preserve">48648956</t>
  </si>
  <si>
    <t xml:space="preserve">0303835004, 0356395004, 3300016004, 0301090004, 0303861004, 0304100004, 0201099004, 0301069004</t>
  </si>
  <si>
    <t xml:space="preserve">Suporte Chave 8800009004</t>
  </si>
  <si>
    <t xml:space="preserve">48648886</t>
  </si>
  <si>
    <t xml:space="preserve">48648885</t>
  </si>
  <si>
    <t xml:space="preserve">48648985</t>
  </si>
  <si>
    <t xml:space="preserve">2504630</t>
  </si>
  <si>
    <t xml:space="preserve">2504811</t>
  </si>
  <si>
    <t xml:space="preserve">12067815</t>
  </si>
  <si>
    <t xml:space="preserve">2504629</t>
  </si>
  <si>
    <t xml:space="preserve">Suporte Chave 0303835004</t>
  </si>
  <si>
    <t xml:space="preserve">2921744</t>
  </si>
  <si>
    <t xml:space="preserve">48648995</t>
  </si>
  <si>
    <t xml:space="preserve">0356395004, 3300016004, 0301090004, 0303861004, 0304100004, 0201099004, 0301069004</t>
  </si>
  <si>
    <t xml:space="preserve">Suporte Chave 8804031004</t>
  </si>
  <si>
    <t xml:space="preserve">48649066</t>
  </si>
  <si>
    <t xml:space="preserve">48649048</t>
  </si>
  <si>
    <t xml:space="preserve">Suporte Chave 8858190004</t>
  </si>
  <si>
    <t xml:space="preserve">48649136</t>
  </si>
  <si>
    <t xml:space="preserve">48650589</t>
  </si>
  <si>
    <t xml:space="preserve">48649137</t>
  </si>
  <si>
    <t xml:space="preserve">48649189</t>
  </si>
  <si>
    <t xml:space="preserve">0356395004, 3300016004, 0301090004, 0303861004, 0304100004, 0201099004</t>
  </si>
  <si>
    <t xml:space="preserve">48649190</t>
  </si>
  <si>
    <t xml:space="preserve">48650672</t>
  </si>
  <si>
    <t xml:space="preserve">48649192</t>
  </si>
  <si>
    <t xml:space="preserve">48649239</t>
  </si>
  <si>
    <t xml:space="preserve">Suporte Chave 8800015004</t>
  </si>
  <si>
    <t xml:space="preserve">2660808</t>
  </si>
  <si>
    <t xml:space="preserve">2660809</t>
  </si>
  <si>
    <t xml:space="preserve">2752935</t>
  </si>
  <si>
    <t xml:space="preserve">0356395004, 3300016004, 0301090004, 0303861004, 0304100004</t>
  </si>
  <si>
    <t xml:space="preserve">41940196</t>
  </si>
  <si>
    <t xml:space="preserve">41939810</t>
  </si>
  <si>
    <t xml:space="preserve">Suporte Chave 0356395004</t>
  </si>
  <si>
    <t xml:space="preserve">Suporte Chave 3300016004</t>
  </si>
  <si>
    <t xml:space="preserve">3300016004, 0301090004, 0303861004, 0304100004</t>
  </si>
  <si>
    <t xml:space="preserve">Suporte Chave 0201099004</t>
  </si>
  <si>
    <t xml:space="preserve">48649175</t>
  </si>
  <si>
    <t xml:space="preserve">48649267</t>
  </si>
  <si>
    <t xml:space="preserve">48650689</t>
  </si>
  <si>
    <t xml:space="preserve">48649249</t>
  </si>
  <si>
    <t xml:space="preserve">48649125</t>
  </si>
  <si>
    <t xml:space="preserve">2793628</t>
  </si>
  <si>
    <t xml:space="preserve">2653994</t>
  </si>
  <si>
    <t xml:space="preserve">Suporte Chave 0301069004</t>
  </si>
  <si>
    <t xml:space="preserve">48649155</t>
  </si>
  <si>
    <t xml:space="preserve">48649443</t>
  </si>
  <si>
    <t xml:space="preserve">48649434</t>
  </si>
  <si>
    <t xml:space="preserve">52173474</t>
  </si>
  <si>
    <t xml:space="preserve">3163153</t>
  </si>
  <si>
    <t xml:space="preserve">3155994</t>
  </si>
  <si>
    <t xml:space="preserve">2541559</t>
  </si>
  <si>
    <t xml:space="preserve">48648059</t>
  </si>
  <si>
    <t xml:space="preserve">3619030</t>
  </si>
  <si>
    <t xml:space="preserve">2660806</t>
  </si>
  <si>
    <t xml:space="preserve">Chave 02 (conta como fusível)</t>
  </si>
  <si>
    <t xml:space="preserve">DJ AL01010004 › 0200011004</t>
  </si>
  <si>
    <t xml:space="preserve">|DJ AL01010004|0200011004|</t>
  </si>
  <si>
    <t xml:space="preserve">24489721</t>
  </si>
  <si>
    <t xml:space="preserve">41939767</t>
  </si>
  <si>
    <t xml:space="preserve">Chave fusível (03)</t>
  </si>
  <si>
    <t xml:space="preserve">DJ AL01010004 › 0357531004</t>
  </si>
  <si>
    <t xml:space="preserve">|DJ AL01010004|0357531004|</t>
  </si>
  <si>
    <t xml:space="preserve">41939760</t>
  </si>
  <si>
    <t xml:space="preserve">2782256</t>
  </si>
  <si>
    <t xml:space="preserve">DJ AL01010004 › 0303835004</t>
  </si>
  <si>
    <t xml:space="preserve">|DJ AL01010004|0303835004|</t>
  </si>
  <si>
    <t xml:space="preserve">2782253</t>
  </si>
  <si>
    <t xml:space="preserve">41939804</t>
  </si>
  <si>
    <t xml:space="preserve">DJ AL01010004 › 0356395004</t>
  </si>
  <si>
    <t xml:space="preserve">|DJ AL01010004|0356395004|</t>
  </si>
  <si>
    <t xml:space="preserve">41940203</t>
  </si>
  <si>
    <t xml:space="preserve">41939787</t>
  </si>
  <si>
    <t xml:space="preserve">41939774</t>
  </si>
  <si>
    <t xml:space="preserve">2649941</t>
  </si>
  <si>
    <t xml:space="preserve">Chave fusível (33)</t>
  </si>
  <si>
    <t xml:space="preserve">0301090004, 0303861004, 0304100004</t>
  </si>
  <si>
    <t xml:space="preserve">DJ AL01010004 › 3300016004</t>
  </si>
  <si>
    <t xml:space="preserve">|DJ AL01010004|3300016004|</t>
  </si>
  <si>
    <t xml:space="preserve">12026257</t>
  </si>
  <si>
    <t xml:space="preserve">2655724</t>
  </si>
  <si>
    <t xml:space="preserve">12026258</t>
  </si>
  <si>
    <t xml:space="preserve">2650865</t>
  </si>
  <si>
    <t xml:space="preserve">Suporte Chave 0301090004</t>
  </si>
  <si>
    <t xml:space="preserve">2648489</t>
  </si>
  <si>
    <t xml:space="preserve">0303861004, 0304100004</t>
  </si>
  <si>
    <t xml:space="preserve">DJ AL01010004 › 3300016004 › 0301090004</t>
  </si>
  <si>
    <t xml:space="preserve">|DJ AL01010004|3300016004|0301090004|</t>
  </si>
  <si>
    <t xml:space="preserve">12025804</t>
  </si>
  <si>
    <t xml:space="preserve">3212406</t>
  </si>
  <si>
    <t xml:space="preserve">3212407</t>
  </si>
  <si>
    <t xml:space="preserve">Suporte Chave 0303861004</t>
  </si>
  <si>
    <t xml:space="preserve">Suporte Chave 0304100004</t>
  </si>
  <si>
    <t xml:space="preserve">2755263</t>
  </si>
  <si>
    <t xml:space="preserve">32463312</t>
  </si>
  <si>
    <t xml:space="preserve">DJ AL01010004 › 3300016004 › 0301090004 › 0303861004</t>
  </si>
  <si>
    <t xml:space="preserve">|DJ AL01010004|3300016004|0301090004|0303861004|</t>
  </si>
  <si>
    <t xml:space="preserve">3212408</t>
  </si>
  <si>
    <t xml:space="preserve">DJ AL01010004 › 3300016004 › 0301090004 › 0304100004</t>
  </si>
  <si>
    <t xml:space="preserve">|DJ AL01010004|3300016004|0301090004|0304100004|</t>
  </si>
  <si>
    <t xml:space="preserve">2769237</t>
  </si>
  <si>
    <t xml:space="preserve">DJ AL01010004 › 0201099004</t>
  </si>
  <si>
    <t xml:space="preserve">|DJ AL01010004|0201099004|</t>
  </si>
  <si>
    <t xml:space="preserve">3673206</t>
  </si>
  <si>
    <t xml:space="preserve">2765896</t>
  </si>
  <si>
    <t xml:space="preserve">2653993</t>
  </si>
  <si>
    <t xml:space="preserve">DJ AL01010004 › 0301069004</t>
  </si>
  <si>
    <t xml:space="preserve">|DJ AL01010004|0301069004|</t>
  </si>
  <si>
    <t xml:space="preserve">3615823</t>
  </si>
  <si>
    <t xml:space="preserve">2921823</t>
  </si>
  <si>
    <t xml:space="preserve">2660800</t>
  </si>
  <si>
    <t xml:space="preserve">0302387004, 3302865004, 3300065004, 0320309004, 0310307004, 0303851004, 0310306004, 0303865004, 0342709004, 0303866004, 0303867004, 0302309004, 0300064004, 0320308004, 0301840004, 0303850004, 0320305004, 0346260004, 0346420004, 0355088004, 0340038004, 0201389004, 0303849004, 0310949004, 0210950004, 0301838004, 0301839004, 0245040004, 0303718004, 0202970004, 0354089004, 0354093004, 0220315004, 0346072004, 0345823004, 0200043004</t>
  </si>
  <si>
    <t xml:space="preserve">T_8802389004</t>
  </si>
  <si>
    <t xml:space="preserve">Suporte Chave 8802389004</t>
  </si>
  <si>
    <t xml:space="preserve">2794195</t>
  </si>
  <si>
    <t xml:space="preserve">12071831</t>
  </si>
  <si>
    <t xml:space="preserve">2645953</t>
  </si>
  <si>
    <t xml:space="preserve">Suporte Chave 8804077004</t>
  </si>
  <si>
    <t xml:space="preserve">3260116</t>
  </si>
  <si>
    <t xml:space="preserve">2645954</t>
  </si>
  <si>
    <t xml:space="preserve">0302387004, 3302865004, 3300065004, 0320309004, 0310307004, 0303851004, 0310306004, 0303865004, 0342709004, 0303866004, 0303867004, 0302309004, 0300064004, 0320308004, 0301840004, 0303850004, 0320305004, 0346260004, 0346420004, 0355088004, 0340038004, 0201389004, 0303849004, 0310949004, 0210950004, 0301838004, 0301839004, 0245040004, 0303718004, 0202970004, 0354089004, 0354093004, 0220315004, 0346072004, 0345823004</t>
  </si>
  <si>
    <t xml:space="preserve">2795534</t>
  </si>
  <si>
    <t xml:space="preserve">Suporte Chave 8844641004</t>
  </si>
  <si>
    <t xml:space="preserve">2756856</t>
  </si>
  <si>
    <t xml:space="preserve">2760261</t>
  </si>
  <si>
    <t xml:space="preserve">0302387004, 3302865004, 3300065004, 0320309004, 0310307004, 0303851004, 0310306004, 0303865004, 0342709004, 0303866004, 0303867004, 0302309004, 0300064004, 0320308004, 0301840004, 0303850004, 0320305004, 0346260004, 0346420004, 0355088004, 0340038004, 0201389004, 0303849004, 0310949004, 0210950004, 0301838004, 0301839004, 0245040004, 0303718004, 0202970004</t>
  </si>
  <si>
    <t xml:space="preserve">60442380</t>
  </si>
  <si>
    <t xml:space="preserve">2764286</t>
  </si>
  <si>
    <t xml:space="preserve">12077317</t>
  </si>
  <si>
    <t xml:space="preserve">2764287</t>
  </si>
  <si>
    <t xml:space="preserve">2649369</t>
  </si>
  <si>
    <t xml:space="preserve">2647199</t>
  </si>
  <si>
    <t xml:space="preserve">0302387004, 3302865004, 3300065004, 0320309004, 0310307004, 0303851004, 0310306004, 0303865004, 0342709004, 0303866004, 0303867004, 0302309004, 0300064004, 0320308004, 0301840004, 0303850004, 0320305004, 0346260004, 0346420004, 0355088004, 0340038004, 0201389004, 0303849004, 0310949004, 0210950004, 0301838004, 0301839004, 0245040004, 0303718004</t>
  </si>
  <si>
    <t xml:space="preserve">2649368</t>
  </si>
  <si>
    <t xml:space="preserve">Suporte Chave 8801105004</t>
  </si>
  <si>
    <t xml:space="preserve">2649364</t>
  </si>
  <si>
    <t xml:space="preserve">30092352</t>
  </si>
  <si>
    <t xml:space="preserve">0302387004, 3302865004, 3300065004, 0320309004, 0310307004, 0303851004, 0310306004, 0303865004, 0342709004, 0303866004, 0303867004, 0302309004, 0300064004, 0320308004, 0301840004, 0303850004, 0320305004, 0346260004, 0346420004, 0355088004, 0340038004, 0201389004, 0303849004, 0310949004, 0210950004, 0301838004, 0301839004, 0245040004</t>
  </si>
  <si>
    <t xml:space="preserve">2649363</t>
  </si>
  <si>
    <t xml:space="preserve">2649362</t>
  </si>
  <si>
    <t xml:space="preserve">0302387004, 3302865004, 3300065004, 0320309004, 0310307004, 0303851004, 0310306004, 0303865004, 0342709004, 0303866004, 0303867004, 0302309004, 0300064004, 0320308004, 0301840004, 0303850004, 0320305004, 0346260004, 0346420004, 0355088004, 0340038004, 0201389004, 0303849004, 0310949004, 0210950004, 0301838004, 0301839004</t>
  </si>
  <si>
    <t xml:space="preserve">2649086</t>
  </si>
  <si>
    <t xml:space="preserve">0302387004, 3302865004, 3300065004, 0320309004, 0310307004, 0303851004, 0310306004, 0303865004, 0342709004, 0303866004, 0303867004, 0302309004, 0300064004, 0320308004, 0301840004, 0303850004, 0320305004, 0346260004, 0346420004, 0355088004, 0340038004, 0201389004, 0303849004, 0310949004, 0210950004</t>
  </si>
  <si>
    <t xml:space="preserve">2649087</t>
  </si>
  <si>
    <t xml:space="preserve">12077774</t>
  </si>
  <si>
    <t xml:space="preserve">2652402</t>
  </si>
  <si>
    <t xml:space="preserve">2645335</t>
  </si>
  <si>
    <t xml:space="preserve">0302387004, 3302865004, 3300065004, 0320309004, 0310307004, 0303851004, 0310306004, 0303865004, 0342709004, 0303866004, 0303867004, 0302309004, 0300064004, 0320308004, 0301840004, 0303850004, 0320305004, 0346260004, 0346420004, 0355088004, 0340038004, 0201389004, 0303849004</t>
  </si>
  <si>
    <t xml:space="preserve">Suporte Chave 8802780004</t>
  </si>
  <si>
    <t xml:space="preserve">2751700</t>
  </si>
  <si>
    <t xml:space="preserve">12071845</t>
  </si>
  <si>
    <t xml:space="preserve">2751702</t>
  </si>
  <si>
    <t xml:space="preserve">12071237</t>
  </si>
  <si>
    <t xml:space="preserve">3140742</t>
  </si>
  <si>
    <t xml:space="preserve">3140741</t>
  </si>
  <si>
    <t xml:space="preserve">3140740</t>
  </si>
  <si>
    <t xml:space="preserve">T_6802383004</t>
  </si>
  <si>
    <t xml:space="preserve">Suporte Chave 6802383004</t>
  </si>
  <si>
    <t xml:space="preserve">2770590</t>
  </si>
  <si>
    <t xml:space="preserve">2753237</t>
  </si>
  <si>
    <t xml:space="preserve">0302387004, 3302865004, 3300065004, 0320309004, 0310307004, 0303851004, 0310306004, 0303865004, 0342709004, 0303866004, 0303867004, 0302309004, 0300064004, 0320308004, 0301840004, 0303850004, 0320305004, 0346260004</t>
  </si>
  <si>
    <t xml:space="preserve">Suporte Chave 0302387004</t>
  </si>
  <si>
    <t xml:space="preserve">2757366</t>
  </si>
  <si>
    <t xml:space="preserve">0346420004, 0355088004, 0340038004, 0201389004</t>
  </si>
  <si>
    <t xml:space="preserve">35013440</t>
  </si>
  <si>
    <t xml:space="preserve">35013461</t>
  </si>
  <si>
    <t xml:space="preserve">35013448</t>
  </si>
  <si>
    <t xml:space="preserve">Suporte Chave 0346420004</t>
  </si>
  <si>
    <t xml:space="preserve">2757363</t>
  </si>
  <si>
    <t xml:space="preserve">0355088004, 0340038004, 0201389004</t>
  </si>
  <si>
    <t xml:space="preserve">2532189</t>
  </si>
  <si>
    <t xml:space="preserve">2532187</t>
  </si>
  <si>
    <t xml:space="preserve">2763556</t>
  </si>
  <si>
    <t xml:space="preserve">2750795</t>
  </si>
  <si>
    <t xml:space="preserve">2532218</t>
  </si>
  <si>
    <t xml:space="preserve">2532183</t>
  </si>
  <si>
    <t xml:space="preserve">12073988</t>
  </si>
  <si>
    <t xml:space="preserve">2532216</t>
  </si>
  <si>
    <t xml:space="preserve">12076647</t>
  </si>
  <si>
    <t xml:space="preserve">0355088004, 0340038004</t>
  </si>
  <si>
    <t xml:space="preserve">2803762</t>
  </si>
  <si>
    <t xml:space="preserve">2803761</t>
  </si>
  <si>
    <t xml:space="preserve">12083390</t>
  </si>
  <si>
    <t xml:space="preserve">3605839</t>
  </si>
  <si>
    <t xml:space="preserve">3606129</t>
  </si>
  <si>
    <t xml:space="preserve">29689418</t>
  </si>
  <si>
    <t xml:space="preserve">29689140</t>
  </si>
  <si>
    <t xml:space="preserve">Suporte Chave 8855073004</t>
  </si>
  <si>
    <t xml:space="preserve">29689264</t>
  </si>
  <si>
    <t xml:space="preserve">29689273</t>
  </si>
  <si>
    <t xml:space="preserve">29689299</t>
  </si>
  <si>
    <t xml:space="preserve">29689232</t>
  </si>
  <si>
    <t xml:space="preserve">29689242</t>
  </si>
  <si>
    <t xml:space="preserve">Suporte Chave 0355088004</t>
  </si>
  <si>
    <t xml:space="preserve">Suporte Chave 0340038004</t>
  </si>
  <si>
    <t xml:space="preserve">3664848</t>
  </si>
  <si>
    <t xml:space="preserve">Suporte Chave 0201389004</t>
  </si>
  <si>
    <t xml:space="preserve">38388768</t>
  </si>
  <si>
    <t xml:space="preserve">38388522</t>
  </si>
  <si>
    <t xml:space="preserve">38388615</t>
  </si>
  <si>
    <t xml:space="preserve">2541941</t>
  </si>
  <si>
    <t xml:space="preserve">2922522</t>
  </si>
  <si>
    <t xml:space="preserve">2922523</t>
  </si>
  <si>
    <t xml:space="preserve">2922521</t>
  </si>
  <si>
    <t xml:space="preserve">2922520</t>
  </si>
  <si>
    <t xml:space="preserve">Suporte Chave 0303849004</t>
  </si>
  <si>
    <t xml:space="preserve">2652631</t>
  </si>
  <si>
    <t xml:space="preserve">3660572</t>
  </si>
  <si>
    <t xml:space="preserve">Suporte Chave 9000322004</t>
  </si>
  <si>
    <t xml:space="preserve">3656654</t>
  </si>
  <si>
    <t xml:space="preserve">Suporte Chave 0310949004</t>
  </si>
  <si>
    <t xml:space="preserve">0310949004, 0210950004</t>
  </si>
  <si>
    <t xml:space="preserve">6388147</t>
  </si>
  <si>
    <t xml:space="preserve">12026235</t>
  </si>
  <si>
    <t xml:space="preserve">0301838004, 0301839004</t>
  </si>
  <si>
    <t xml:space="preserve">2759187</t>
  </si>
  <si>
    <t xml:space="preserve">Suporte Chave 0301838004</t>
  </si>
  <si>
    <t xml:space="preserve">Suporte Chave 0245040004</t>
  </si>
  <si>
    <t xml:space="preserve">65633797</t>
  </si>
  <si>
    <t xml:space="preserve">Suporte Chave 0303718004</t>
  </si>
  <si>
    <t xml:space="preserve">Suporte Chave 0202970004</t>
  </si>
  <si>
    <t xml:space="preserve">2760259</t>
  </si>
  <si>
    <t xml:space="preserve">24587716</t>
  </si>
  <si>
    <t xml:space="preserve">12077770</t>
  </si>
  <si>
    <t xml:space="preserve">0354089004, 0354093004, 0220315004, 0346072004, 0345823004</t>
  </si>
  <si>
    <t xml:space="preserve">2764289</t>
  </si>
  <si>
    <t xml:space="preserve">Suporte Chave 6803585004</t>
  </si>
  <si>
    <t xml:space="preserve">2764060</t>
  </si>
  <si>
    <t xml:space="preserve">2645397</t>
  </si>
  <si>
    <t xml:space="preserve">12077773</t>
  </si>
  <si>
    <t xml:space="preserve">2645399</t>
  </si>
  <si>
    <t xml:space="preserve">2647209</t>
  </si>
  <si>
    <t xml:space="preserve">2647210</t>
  </si>
  <si>
    <t xml:space="preserve">0354089004, 0354093004, 0220315004, 0346072004</t>
  </si>
  <si>
    <t xml:space="preserve">2759719</t>
  </si>
  <si>
    <t xml:space="preserve">2541962</t>
  </si>
  <si>
    <t xml:space="preserve">2541976</t>
  </si>
  <si>
    <t xml:space="preserve">2754948</t>
  </si>
  <si>
    <t xml:space="preserve">0354089004, 0354093004, 0220315004</t>
  </si>
  <si>
    <t xml:space="preserve">2758743</t>
  </si>
  <si>
    <t xml:space="preserve">12071248</t>
  </si>
  <si>
    <t xml:space="preserve">2754951</t>
  </si>
  <si>
    <t xml:space="preserve">12077318</t>
  </si>
  <si>
    <t xml:space="preserve">32463017</t>
  </si>
  <si>
    <t xml:space="preserve">0354089004, 0354093004</t>
  </si>
  <si>
    <t xml:space="preserve">2754950</t>
  </si>
  <si>
    <t xml:space="preserve">32463003</t>
  </si>
  <si>
    <t xml:space="preserve">32462983</t>
  </si>
  <si>
    <t xml:space="preserve">32462994</t>
  </si>
  <si>
    <t xml:space="preserve">Suporte Chave 0354089004</t>
  </si>
  <si>
    <t xml:space="preserve">2764057</t>
  </si>
  <si>
    <t xml:space="preserve">2764059</t>
  </si>
  <si>
    <t xml:space="preserve">Suporte Chave 0220315004</t>
  </si>
  <si>
    <t xml:space="preserve">2541963</t>
  </si>
  <si>
    <t xml:space="preserve">2649117</t>
  </si>
  <si>
    <t xml:space="preserve">Suporte Chave 8803581004</t>
  </si>
  <si>
    <t xml:space="preserve">2649118</t>
  </si>
  <si>
    <t xml:space="preserve">2541784</t>
  </si>
  <si>
    <t xml:space="preserve">2541786</t>
  </si>
  <si>
    <t xml:space="preserve">2541787</t>
  </si>
  <si>
    <t xml:space="preserve">2541894</t>
  </si>
  <si>
    <t xml:space="preserve">2541892</t>
  </si>
  <si>
    <t xml:space="preserve">2761771</t>
  </si>
  <si>
    <t xml:space="preserve">2541891</t>
  </si>
  <si>
    <t xml:space="preserve">2541785</t>
  </si>
  <si>
    <t xml:space="preserve">2665346</t>
  </si>
  <si>
    <t xml:space="preserve">2541956</t>
  </si>
  <si>
    <t xml:space="preserve">2649085</t>
  </si>
  <si>
    <t xml:space="preserve">2541955</t>
  </si>
  <si>
    <t xml:space="preserve">2541957</t>
  </si>
  <si>
    <t xml:space="preserve">2657099</t>
  </si>
  <si>
    <t xml:space="preserve">Suporte Chave 8803577004</t>
  </si>
  <si>
    <t xml:space="preserve">2657101</t>
  </si>
  <si>
    <t xml:space="preserve">12071247</t>
  </si>
  <si>
    <t xml:space="preserve">2541913</t>
  </si>
  <si>
    <t xml:space="preserve">2541852</t>
  </si>
  <si>
    <t xml:space="preserve">2541851</t>
  </si>
  <si>
    <t xml:space="preserve">2541879</t>
  </si>
  <si>
    <t xml:space="preserve">2541850</t>
  </si>
  <si>
    <t xml:space="preserve">2761221</t>
  </si>
  <si>
    <t xml:space="preserve">2541916</t>
  </si>
  <si>
    <t xml:space="preserve">2761759</t>
  </si>
  <si>
    <t xml:space="preserve">2761758</t>
  </si>
  <si>
    <t xml:space="preserve">34566855</t>
  </si>
  <si>
    <t xml:space="preserve">34566841</t>
  </si>
  <si>
    <t xml:space="preserve">Suporte Chave 0346072004</t>
  </si>
  <si>
    <t xml:space="preserve">31715816</t>
  </si>
  <si>
    <t xml:space="preserve">Suporte Chave 8845830004</t>
  </si>
  <si>
    <t xml:space="preserve">31715845</t>
  </si>
  <si>
    <t xml:space="preserve">31715903</t>
  </si>
  <si>
    <t xml:space="preserve">31715894</t>
  </si>
  <si>
    <t xml:space="preserve">Suporte Chave 0345823004</t>
  </si>
  <si>
    <t xml:space="preserve">31715836</t>
  </si>
  <si>
    <t xml:space="preserve">2645398</t>
  </si>
  <si>
    <t xml:space="preserve">2541807</t>
  </si>
  <si>
    <t xml:space="preserve">12077772</t>
  </si>
  <si>
    <t xml:space="preserve">2665152</t>
  </si>
  <si>
    <t xml:space="preserve">2541805</t>
  </si>
  <si>
    <t xml:space="preserve">6388548</t>
  </si>
  <si>
    <t xml:space="preserve">Suporte Chave 0200043004</t>
  </si>
  <si>
    <t xml:space="preserve">2752552</t>
  </si>
  <si>
    <t xml:space="preserve">3302865004, 3300065004, 0320309004, 0310307004, 0303851004, 0310306004, 0303865004, 0342709004, 0303866004, 0303867004, 0302309004, 0300064004, 0320308004, 0301840004, 0303850004, 0320305004, 0346260004</t>
  </si>
  <si>
    <t xml:space="preserve">DJ AL01010004 › 0302387004</t>
  </si>
  <si>
    <t xml:space="preserve">|DJ AL01010004|0302387004|</t>
  </si>
  <si>
    <t xml:space="preserve">2752549</t>
  </si>
  <si>
    <t xml:space="preserve">3302865004, 3300065004, 0320309004, 0310307004, 0303851004, 0310306004, 0303865004, 0342709004, 0303866004, 0303867004, 0302309004, 0300064004, 0320308004, 0301840004, 0303850004, 0320305004</t>
  </si>
  <si>
    <t xml:space="preserve">2921554</t>
  </si>
  <si>
    <t xml:space="preserve">2921555</t>
  </si>
  <si>
    <t xml:space="preserve">2653798</t>
  </si>
  <si>
    <t xml:space="preserve">3302865004, 3300065004, 0320309004, 0310307004, 0303851004, 0310306004, 0303865004, 0342709004, 0303866004, 0303867004, 0302309004, 0300064004, 0320308004, 0301840004</t>
  </si>
  <si>
    <t xml:space="preserve">2541345</t>
  </si>
  <si>
    <t xml:space="preserve">2541348</t>
  </si>
  <si>
    <t xml:space="preserve">Suporte Chave 3302865004</t>
  </si>
  <si>
    <t xml:space="preserve">2541346</t>
  </si>
  <si>
    <t xml:space="preserve">2658785</t>
  </si>
  <si>
    <t xml:space="preserve">Suporte Chave 0303850004</t>
  </si>
  <si>
    <t xml:space="preserve">0303850004, 0320305004</t>
  </si>
  <si>
    <t xml:space="preserve">2920676</t>
  </si>
  <si>
    <t xml:space="preserve">Suporte Chave 0346260004</t>
  </si>
  <si>
    <t xml:space="preserve">2650545</t>
  </si>
  <si>
    <t xml:space="preserve">3300065004, 0320309004, 0310307004, 0303851004, 0310306004, 0303865004, 0342709004, 0303866004, 0303867004, 0302309004, 0300064004, 0320308004, 0301840004</t>
  </si>
  <si>
    <t xml:space="preserve">DJ AL01010004 › 0302387004 › 3302865004</t>
  </si>
  <si>
    <t xml:space="preserve">|DJ AL01010004|0302387004|3302865004|</t>
  </si>
  <si>
    <t xml:space="preserve">12071841</t>
  </si>
  <si>
    <t xml:space="preserve">2650267</t>
  </si>
  <si>
    <t xml:space="preserve">2753683</t>
  </si>
  <si>
    <t xml:space="preserve">3300065004, 0320309004, 0310307004, 0303851004, 0310306004, 0303865004, 0342709004, 0303866004, 0303867004, 0302309004, 0300064004, 0320308004</t>
  </si>
  <si>
    <t xml:space="preserve">2753682</t>
  </si>
  <si>
    <t xml:space="preserve">3300065004, 0320309004, 0310307004, 0303851004, 0310306004, 0303865004, 0342709004, 0303866004, 0303867004, 0302309004, 0300064004</t>
  </si>
  <si>
    <t xml:space="preserve">12025813</t>
  </si>
  <si>
    <t xml:space="preserve">3300065004, 0320309004, 0310307004, 0303851004, 0310306004, 0303865004, 0342709004, 0303866004, 0303867004, 0302309004</t>
  </si>
  <si>
    <t xml:space="preserve">2770373</t>
  </si>
  <si>
    <t xml:space="preserve">Suporte Chave 3300065004</t>
  </si>
  <si>
    <t xml:space="preserve">3664842</t>
  </si>
  <si>
    <t xml:space="preserve">Suporte Chave 0300064004</t>
  </si>
  <si>
    <t xml:space="preserve">Suporte Chave 0320308004</t>
  </si>
  <si>
    <t xml:space="preserve">Suporte Chave 0301840004</t>
  </si>
  <si>
    <t xml:space="preserve">2770374</t>
  </si>
  <si>
    <t xml:space="preserve">0320309004, 0310307004, 0303851004, 0310306004, 0303865004, 0342709004, 0303866004, 0303867004, 0302309004</t>
  </si>
  <si>
    <t xml:space="preserve">DJ AL01010004 › 0302387004 › 3302865004 › 3300065004</t>
  </si>
  <si>
    <t xml:space="preserve">|DJ AL01010004|0302387004|3302865004|3300065004|</t>
  </si>
  <si>
    <t xml:space="preserve">12025810</t>
  </si>
  <si>
    <t xml:space="preserve">2756906</t>
  </si>
  <si>
    <t xml:space="preserve">Suporte Chave 0320309004</t>
  </si>
  <si>
    <t xml:space="preserve">2756907</t>
  </si>
  <si>
    <t xml:space="preserve">2770593</t>
  </si>
  <si>
    <t xml:space="preserve">0310307004, 0303851004, 0310306004, 0303865004, 0342709004, 0303866004, 0303867004, 0302309004</t>
  </si>
  <si>
    <t xml:space="preserve">DJ AL01010004 › 0302387004 › 3302865004 › 3300065004 › 0320309004</t>
  </si>
  <si>
    <t xml:space="preserve">|DJ AL01010004|0302387004|3302865004|3300065004|0320309004|</t>
  </si>
  <si>
    <t xml:space="preserve">2756910</t>
  </si>
  <si>
    <t xml:space="preserve">0310307004, 0303851004, 0310306004</t>
  </si>
  <si>
    <t xml:space="preserve">12025807</t>
  </si>
  <si>
    <t xml:space="preserve">0310307004, 0303851004</t>
  </si>
  <si>
    <t xml:space="preserve">2645677</t>
  </si>
  <si>
    <t xml:space="preserve">3664844</t>
  </si>
  <si>
    <t xml:space="preserve">Suporte Chave 0310307004</t>
  </si>
  <si>
    <t xml:space="preserve">12025808</t>
  </si>
  <si>
    <t xml:space="preserve">2645676</t>
  </si>
  <si>
    <t xml:space="preserve">Suporte Chave 0303851004</t>
  </si>
  <si>
    <t xml:space="preserve">3664843</t>
  </si>
  <si>
    <t xml:space="preserve">Suporte Chave 0310306004</t>
  </si>
  <si>
    <t xml:space="preserve">12025809</t>
  </si>
  <si>
    <t xml:space="preserve">0303865004, 0342709004, 0303866004, 0303867004, 0302309004</t>
  </si>
  <si>
    <t xml:space="preserve">2756911</t>
  </si>
  <si>
    <t xml:space="preserve">2751529</t>
  </si>
  <si>
    <t xml:space="preserve">0303865004, 0342709004, 0303866004, 0303867004</t>
  </si>
  <si>
    <t xml:space="preserve">12025806</t>
  </si>
  <si>
    <t xml:space="preserve">0303865004, 0342709004</t>
  </si>
  <si>
    <t xml:space="preserve">2751016</t>
  </si>
  <si>
    <t xml:space="preserve">2756347</t>
  </si>
  <si>
    <t xml:space="preserve">12025811</t>
  </si>
  <si>
    <t xml:space="preserve">2648373</t>
  </si>
  <si>
    <t xml:space="preserve">Suporte Chave 0303865004</t>
  </si>
  <si>
    <t xml:space="preserve">Suporte Chave 0342709004</t>
  </si>
  <si>
    <t xml:space="preserve">2751528</t>
  </si>
  <si>
    <t xml:space="preserve">0303866004, 0303867004</t>
  </si>
  <si>
    <t xml:space="preserve">12025805</t>
  </si>
  <si>
    <t xml:space="preserve">2751527</t>
  </si>
  <si>
    <t xml:space="preserve">2756529</t>
  </si>
  <si>
    <t xml:space="preserve">12025812</t>
  </si>
  <si>
    <t xml:space="preserve">2762706</t>
  </si>
  <si>
    <t xml:space="preserve">Suporte Chave 0303866004</t>
  </si>
  <si>
    <t xml:space="preserve">2750805</t>
  </si>
  <si>
    <t xml:space="preserve">Suporte Chave 0303867004</t>
  </si>
  <si>
    <t xml:space="preserve">Suporte Chave 0302309004</t>
  </si>
  <si>
    <t xml:space="preserve">2645674</t>
  </si>
  <si>
    <t xml:space="preserve">DJ AL01010004 › 0302387004 › 3302865004 › 3300065004 › 0320309004 › 0310307004</t>
  </si>
  <si>
    <t xml:space="preserve">|DJ AL01010004|0302387004|3302865004|3300065004|0320309004|0310307004|</t>
  </si>
  <si>
    <t xml:space="preserve">2646959</t>
  </si>
  <si>
    <t xml:space="preserve">DJ AL01010004 › 0302387004 › 3302865004 › 3300065004 › 0320309004 › 0303851004</t>
  </si>
  <si>
    <t xml:space="preserve">|DJ AL01010004|0302387004|3302865004|3300065004|0320309004|0303851004|</t>
  </si>
  <si>
    <t xml:space="preserve">2646975</t>
  </si>
  <si>
    <t xml:space="preserve">DJ AL01010004 › 0302387004 › 3302865004 › 3300065004 › 0320309004 › 0310306004</t>
  </si>
  <si>
    <t xml:space="preserve">|DJ AL01010004|0302387004|3302865004|3300065004|0320309004|0310306004|</t>
  </si>
  <si>
    <t xml:space="preserve">2753442</t>
  </si>
  <si>
    <t xml:space="preserve">DJ AL01010004 › 0302387004 › 3302865004 › 3300065004 › 0320309004 › 0303865004</t>
  </si>
  <si>
    <t xml:space="preserve">|DJ AL01010004|0302387004|3302865004|3300065004|0320309004|0303865004|</t>
  </si>
  <si>
    <t xml:space="preserve">3648579</t>
  </si>
  <si>
    <t xml:space="preserve">DJ AL01010004 › 0302387004 › 3302865004 › 3300065004 › 0320309004 › 0342709004</t>
  </si>
  <si>
    <t xml:space="preserve">|DJ AL01010004|0302387004|3302865004|3300065004|0320309004|0342709004|</t>
  </si>
  <si>
    <t xml:space="preserve">12033136</t>
  </si>
  <si>
    <t xml:space="preserve">3648578</t>
  </si>
  <si>
    <t xml:space="preserve">2750808</t>
  </si>
  <si>
    <t xml:space="preserve">DJ AL01010004 › 0302387004 › 3302865004 › 3300065004 › 0320309004 › 0303866004</t>
  </si>
  <si>
    <t xml:space="preserve">|DJ AL01010004|0302387004|3302865004|3300065004|0320309004|0303866004|</t>
  </si>
  <si>
    <t xml:space="preserve">2750806</t>
  </si>
  <si>
    <t xml:space="preserve">DJ AL01010004 › 0302387004 › 3302865004 › 3300065004 › 0320309004 › 0303867004</t>
  </si>
  <si>
    <t xml:space="preserve">|DJ AL01010004|0302387004|3302865004|3300065004|0320309004|0303867004|</t>
  </si>
  <si>
    <t xml:space="preserve">2649835</t>
  </si>
  <si>
    <t xml:space="preserve">DJ AL01010004 › 0302387004 › 3302865004 › 3300065004 › 0320309004 › 0302309004</t>
  </si>
  <si>
    <t xml:space="preserve">|DJ AL01010004|0302387004|3302865004|3300065004|0320309004|0302309004|</t>
  </si>
  <si>
    <t xml:space="preserve">2753681</t>
  </si>
  <si>
    <t xml:space="preserve">DJ AL01010004 › 0302387004 › 3302865004 › 0300064004</t>
  </si>
  <si>
    <t xml:space="preserve">|DJ AL01010004|0302387004|3302865004|0300064004|</t>
  </si>
  <si>
    <t xml:space="preserve">2753684</t>
  </si>
  <si>
    <t xml:space="preserve">DJ AL01010004 › 0302387004 › 3302865004 › 0320308004</t>
  </si>
  <si>
    <t xml:space="preserve">|DJ AL01010004|0302387004|3302865004|0320308004|</t>
  </si>
  <si>
    <t xml:space="preserve">2755779</t>
  </si>
  <si>
    <t xml:space="preserve">DJ AL01010004 › 0302387004 › 3302865004 › 0301840004</t>
  </si>
  <si>
    <t xml:space="preserve">|DJ AL01010004|0302387004|3302865004|0301840004|</t>
  </si>
  <si>
    <t xml:space="preserve">2542182</t>
  </si>
  <si>
    <t xml:space="preserve">DJ AL01010004 › 0302387004 › 0303850004</t>
  </si>
  <si>
    <t xml:space="preserve">|DJ AL01010004|0302387004|0303850004|</t>
  </si>
  <si>
    <t xml:space="preserve">2757362</t>
  </si>
  <si>
    <t xml:space="preserve">2767739</t>
  </si>
  <si>
    <t xml:space="preserve">12026255</t>
  </si>
  <si>
    <t xml:space="preserve">2767740</t>
  </si>
  <si>
    <t xml:space="preserve">Suporte Chave 0320305004</t>
  </si>
  <si>
    <t xml:space="preserve">2542181</t>
  </si>
  <si>
    <t xml:space="preserve">2763555</t>
  </si>
  <si>
    <t xml:space="preserve">2922116</t>
  </si>
  <si>
    <t xml:space="preserve">2922115</t>
  </si>
  <si>
    <t xml:space="preserve">2653752</t>
  </si>
  <si>
    <t xml:space="preserve">2653753</t>
  </si>
  <si>
    <t xml:space="preserve">2767741</t>
  </si>
  <si>
    <t xml:space="preserve">DJ AL01010004 › 0302387004 › 0303850004 › 0320305004</t>
  </si>
  <si>
    <t xml:space="preserve">|DJ AL01010004|0302387004|0303850004|0320305004|</t>
  </si>
  <si>
    <t xml:space="preserve">2650259</t>
  </si>
  <si>
    <t xml:space="preserve">12026256</t>
  </si>
  <si>
    <t xml:space="preserve">2650260</t>
  </si>
  <si>
    <t xml:space="preserve">12026328</t>
  </si>
  <si>
    <t xml:space="preserve">2659798</t>
  </si>
  <si>
    <t xml:space="preserve">12025814</t>
  </si>
  <si>
    <t xml:space="preserve">2750793</t>
  </si>
  <si>
    <t xml:space="preserve">12026246</t>
  </si>
  <si>
    <t xml:space="preserve">2750792</t>
  </si>
  <si>
    <t xml:space="preserve">36443726</t>
  </si>
  <si>
    <t xml:space="preserve">DJ AL01010004 › 0302387004 › 0346260004</t>
  </si>
  <si>
    <t xml:space="preserve">|DJ AL01010004|0302387004|0346260004|</t>
  </si>
  <si>
    <t xml:space="preserve">46128730</t>
  </si>
  <si>
    <t xml:space="preserve">26838581</t>
  </si>
  <si>
    <t xml:space="preserve">29104764</t>
  </si>
  <si>
    <t xml:space="preserve">DJ AL01010004 › 0346420004</t>
  </si>
  <si>
    <t xml:space="preserve">|DJ AL01010004|0346420004|</t>
  </si>
  <si>
    <t xml:space="preserve">8120315</t>
  </si>
  <si>
    <t xml:space="preserve">28576674</t>
  </si>
  <si>
    <t xml:space="preserve">DJ AL01010004 › 0355088004</t>
  </si>
  <si>
    <t xml:space="preserve">|DJ AL01010004|0355088004|</t>
  </si>
  <si>
    <t xml:space="preserve">3606134</t>
  </si>
  <si>
    <t xml:space="preserve">DJ AL01010004 › 0340038004</t>
  </si>
  <si>
    <t xml:space="preserve">|DJ AL01010004|0340038004|</t>
  </si>
  <si>
    <t xml:space="preserve">3601997</t>
  </si>
  <si>
    <t xml:space="preserve">3606132</t>
  </si>
  <si>
    <t xml:space="preserve">3605842</t>
  </si>
  <si>
    <t xml:space="preserve">3606133</t>
  </si>
  <si>
    <t xml:space="preserve">3604105</t>
  </si>
  <si>
    <t xml:space="preserve">12083389</t>
  </si>
  <si>
    <t xml:space="preserve">3606130</t>
  </si>
  <si>
    <t xml:space="preserve">12083392</t>
  </si>
  <si>
    <t xml:space="preserve">3606131</t>
  </si>
  <si>
    <t xml:space="preserve">3605841</t>
  </si>
  <si>
    <t xml:space="preserve">2532221</t>
  </si>
  <si>
    <t xml:space="preserve">DJ AL01010004 › 0201389004</t>
  </si>
  <si>
    <t xml:space="preserve">|DJ AL01010004|0201389004|</t>
  </si>
  <si>
    <t xml:space="preserve">2770588</t>
  </si>
  <si>
    <t xml:space="preserve">DJ AL01010004 › 0303849004</t>
  </si>
  <si>
    <t xml:space="preserve">|DJ AL01010004|0303849004|</t>
  </si>
  <si>
    <t xml:space="preserve">12077665</t>
  </si>
  <si>
    <t xml:space="preserve">2653482</t>
  </si>
  <si>
    <t xml:space="preserve">2652630</t>
  </si>
  <si>
    <t xml:space="preserve">2653475</t>
  </si>
  <si>
    <t xml:space="preserve">2653480</t>
  </si>
  <si>
    <t xml:space="preserve">2645675</t>
  </si>
  <si>
    <t xml:space="preserve">2645334</t>
  </si>
  <si>
    <t xml:space="preserve">DJ AL01010004 › 0310949004</t>
  </si>
  <si>
    <t xml:space="preserve">|DJ AL01010004|0310949004|</t>
  </si>
  <si>
    <t xml:space="preserve">12071844</t>
  </si>
  <si>
    <t xml:space="preserve">3604514</t>
  </si>
  <si>
    <t xml:space="preserve">12071843</t>
  </si>
  <si>
    <t xml:space="preserve">2755568</t>
  </si>
  <si>
    <t xml:space="preserve">Suporte Chave 0210950004</t>
  </si>
  <si>
    <t xml:space="preserve">2653749</t>
  </si>
  <si>
    <t xml:space="preserve">DJ AL01010004 › 0310949004 › 0210950004</t>
  </si>
  <si>
    <t xml:space="preserve">|DJ AL01010004|0310949004|0210950004|</t>
  </si>
  <si>
    <t xml:space="preserve">3673264</t>
  </si>
  <si>
    <t xml:space="preserve">2764284</t>
  </si>
  <si>
    <t xml:space="preserve">DJ AL01010004 › 0301838004</t>
  </si>
  <si>
    <t xml:space="preserve">|DJ AL01010004|0301838004|</t>
  </si>
  <si>
    <t xml:space="preserve">12026345</t>
  </si>
  <si>
    <t xml:space="preserve">2759710</t>
  </si>
  <si>
    <t xml:space="preserve">12026344</t>
  </si>
  <si>
    <t xml:space="preserve">2759708</t>
  </si>
  <si>
    <t xml:space="preserve">Suporte Chave 0301839004</t>
  </si>
  <si>
    <t xml:space="preserve">2763062</t>
  </si>
  <si>
    <t xml:space="preserve">DJ AL01010004 › 0301838004 › 0301839004</t>
  </si>
  <si>
    <t xml:space="preserve">|DJ AL01010004|0301838004|0301839004|</t>
  </si>
  <si>
    <t xml:space="preserve">3536548</t>
  </si>
  <si>
    <t xml:space="preserve">DJ AL01010004 › 0245040004</t>
  </si>
  <si>
    <t xml:space="preserve">|DJ AL01010004|0245040004|</t>
  </si>
  <si>
    <t xml:space="preserve">24489305</t>
  </si>
  <si>
    <t xml:space="preserve">3660566</t>
  </si>
  <si>
    <t xml:space="preserve">DJ AL01010004 › 0303718004</t>
  </si>
  <si>
    <t xml:space="preserve">|DJ AL01010004|0303718004|</t>
  </si>
  <si>
    <t xml:space="preserve">65633790</t>
  </si>
  <si>
    <t xml:space="preserve">2647200</t>
  </si>
  <si>
    <t xml:space="preserve">DJ AL01010004 › 0202970004</t>
  </si>
  <si>
    <t xml:space="preserve">|DJ AL01010004|0202970004|</t>
  </si>
  <si>
    <t xml:space="preserve">24500309</t>
  </si>
  <si>
    <t xml:space="preserve">32462974</t>
  </si>
  <si>
    <t xml:space="preserve">DJ AL01010004 › 0354089004</t>
  </si>
  <si>
    <t xml:space="preserve">|DJ AL01010004|0354089004|</t>
  </si>
  <si>
    <t xml:space="preserve">32462946</t>
  </si>
  <si>
    <t xml:space="preserve">32462956</t>
  </si>
  <si>
    <t xml:space="preserve">32462938</t>
  </si>
  <si>
    <t xml:space="preserve">32462930</t>
  </si>
  <si>
    <t xml:space="preserve">32462883</t>
  </si>
  <si>
    <t xml:space="preserve">32462906</t>
  </si>
  <si>
    <t xml:space="preserve">32463098</t>
  </si>
  <si>
    <t xml:space="preserve">32462907</t>
  </si>
  <si>
    <t xml:space="preserve">32462894</t>
  </si>
  <si>
    <t xml:space="preserve">32462875</t>
  </si>
  <si>
    <t xml:space="preserve">32462867</t>
  </si>
  <si>
    <t xml:space="preserve">32462849</t>
  </si>
  <si>
    <t xml:space="preserve">32462840</t>
  </si>
  <si>
    <t xml:space="preserve">32462832</t>
  </si>
  <si>
    <t xml:space="preserve">32462816</t>
  </si>
  <si>
    <t xml:space="preserve">Suporte Chave 0354093004</t>
  </si>
  <si>
    <t xml:space="preserve">32462803</t>
  </si>
  <si>
    <t xml:space="preserve">DJ AL01010004 › 0354089004 › 0354093004</t>
  </si>
  <si>
    <t xml:space="preserve">|DJ AL01010004|0354089004|0354093004|</t>
  </si>
  <si>
    <t xml:space="preserve">2764058</t>
  </si>
  <si>
    <t xml:space="preserve">DJ AL01010004 › 0220315004</t>
  </si>
  <si>
    <t xml:space="preserve">|DJ AL01010004|0220315004|</t>
  </si>
  <si>
    <t xml:space="preserve">33403683</t>
  </si>
  <si>
    <t xml:space="preserve">DJ AL01010004 › 0346072004</t>
  </si>
  <si>
    <t xml:space="preserve">|DJ AL01010004|0346072004|</t>
  </si>
  <si>
    <t xml:space="preserve">46128831</t>
  </si>
  <si>
    <t xml:space="preserve">31715918</t>
  </si>
  <si>
    <t xml:space="preserve">DJ AL01010004 › 0345823004</t>
  </si>
  <si>
    <t xml:space="preserve">|DJ AL01010004|0345823004|</t>
  </si>
  <si>
    <t xml:space="preserve">2795533</t>
  </si>
  <si>
    <t xml:space="preserve">DJ AL01010004 › 0200043004</t>
  </si>
  <si>
    <t xml:space="preserve">|DJ AL01010004|0200043004|</t>
  </si>
  <si>
    <t xml:space="preserve">24586394</t>
  </si>
  <si>
    <t xml:space="preserve">2767148</t>
  </si>
  <si>
    <t xml:space="preserve">2653793</t>
  </si>
  <si>
    <t xml:space="preserve">3026966</t>
  </si>
  <si>
    <t xml:space="preserve">3656964</t>
  </si>
  <si>
    <t xml:space="preserve">3656966</t>
  </si>
  <si>
    <t xml:space="preserve">Suporte Chave 0204420004</t>
  </si>
  <si>
    <t xml:space="preserve">3595977</t>
  </si>
  <si>
    <t xml:space="preserve">DJ AL01010004 › 7900106004 › 0204420004</t>
  </si>
  <si>
    <t xml:space="preserve">|DJ AL01010004|7900106004|0204420004|</t>
  </si>
  <si>
    <t xml:space="preserve">12084880</t>
  </si>
  <si>
    <t xml:space="preserve">3595976</t>
  </si>
  <si>
    <t xml:space="preserve">43838190</t>
  </si>
  <si>
    <t xml:space="preserve">Suporte Chave 0200023004</t>
  </si>
  <si>
    <t xml:space="preserve">2658782</t>
  </si>
  <si>
    <t xml:space="preserve">DJ AL01010004 › 7900106004 › 0200023004</t>
  </si>
  <si>
    <t xml:space="preserve">|DJ AL01010004|7900106004|0200023004|</t>
  </si>
  <si>
    <t xml:space="preserve">29512761</t>
  </si>
  <si>
    <t xml:space="preserve">Suporte Chave 0355236004</t>
  </si>
  <si>
    <t xml:space="preserve">29512786</t>
  </si>
  <si>
    <t xml:space="preserve">DJ AL01010004 › 7900106004 › 0355236004</t>
  </si>
  <si>
    <t xml:space="preserve">|DJ AL01010004|7900106004|0355236004|</t>
  </si>
  <si>
    <t xml:space="preserve">37960277</t>
  </si>
  <si>
    <t xml:space="preserve">0349562004, 0349564004</t>
  </si>
  <si>
    <t xml:space="preserve">26343769</t>
  </si>
  <si>
    <t xml:space="preserve">Suporte Chave 0349562004</t>
  </si>
  <si>
    <t xml:space="preserve">29315221</t>
  </si>
  <si>
    <t xml:space="preserve">DJ AL01010004 › 7900106004 › 0349562004</t>
  </si>
  <si>
    <t xml:space="preserve">|DJ AL01010004|7900106004|0349562004|</t>
  </si>
  <si>
    <t xml:space="preserve">29315208</t>
  </si>
  <si>
    <t xml:space="preserve">29315258</t>
  </si>
  <si>
    <t xml:space="preserve">29315244</t>
  </si>
  <si>
    <t xml:space="preserve">Suporte Chave 0349564004</t>
  </si>
  <si>
    <t xml:space="preserve">29315295</t>
  </si>
  <si>
    <t xml:space="preserve">DJ AL01010004 › 7900106004 › 0349562004 › 0349564004</t>
  </si>
  <si>
    <t xml:space="preserve">|DJ AL01010004|7900106004|0349562004|0349564004|</t>
  </si>
  <si>
    <t xml:space="preserve">Suporte Chave 0300024004</t>
  </si>
  <si>
    <t xml:space="preserve">2757168</t>
  </si>
  <si>
    <t xml:space="preserve">DJ AL01010004 › 7900106004 › 0300024004</t>
  </si>
  <si>
    <t xml:space="preserve">|DJ AL01010004|7900106004|0300024004|</t>
  </si>
  <si>
    <t xml:space="preserve">2765898</t>
  </si>
  <si>
    <t xml:space="preserve">26235215</t>
  </si>
  <si>
    <t xml:space="preserve">2541950</t>
  </si>
  <si>
    <t xml:space="preserve">2541951</t>
  </si>
  <si>
    <t xml:space="preserve">2541953</t>
  </si>
  <si>
    <t xml:space="preserve">2541952</t>
  </si>
  <si>
    <t xml:space="preserve">Suporte Chave ETO299199C</t>
  </si>
  <si>
    <t xml:space="preserve">31324899</t>
  </si>
  <si>
    <t xml:space="preserve">31324959</t>
  </si>
  <si>
    <t xml:space="preserve">31324797</t>
  </si>
  <si>
    <t xml:space="preserve">Suporte Chave 0200028004</t>
  </si>
  <si>
    <t xml:space="preserve">2757167</t>
  </si>
  <si>
    <t xml:space="preserve">DJ AL01010004 › 7900106004 › 0200028004</t>
  </si>
  <si>
    <t xml:space="preserve">|DJ AL01010004|7900106004|0200028004|</t>
  </si>
  <si>
    <t xml:space="preserve">24564740</t>
  </si>
  <si>
    <t xml:space="preserve">3560399</t>
  </si>
  <si>
    <t xml:space="preserve">0300052004, 0200050004</t>
  </si>
  <si>
    <t xml:space="preserve">51661162</t>
  </si>
  <si>
    <t xml:space="preserve">37960868</t>
  </si>
  <si>
    <t xml:space="preserve">37960423</t>
  </si>
  <si>
    <t xml:space="preserve">37960766</t>
  </si>
  <si>
    <t xml:space="preserve">37960492</t>
  </si>
  <si>
    <t xml:space="preserve">39503220</t>
  </si>
  <si>
    <t xml:space="preserve">39500874</t>
  </si>
  <si>
    <t xml:space="preserve">39501410</t>
  </si>
  <si>
    <t xml:space="preserve">39500904</t>
  </si>
  <si>
    <t xml:space="preserve">39501400</t>
  </si>
  <si>
    <t xml:space="preserve">39500955</t>
  </si>
  <si>
    <t xml:space="preserve">39501392</t>
  </si>
  <si>
    <t xml:space="preserve">39500992</t>
  </si>
  <si>
    <t xml:space="preserve">39501384</t>
  </si>
  <si>
    <t xml:space="preserve">39501057</t>
  </si>
  <si>
    <t xml:space="preserve">39501370</t>
  </si>
  <si>
    <t xml:space="preserve">39501106</t>
  </si>
  <si>
    <t xml:space="preserve">39501430</t>
  </si>
  <si>
    <t xml:space="preserve">39501150</t>
  </si>
  <si>
    <t xml:space="preserve">39501362</t>
  </si>
  <si>
    <t xml:space="preserve">39501180</t>
  </si>
  <si>
    <t xml:space="preserve">37960479</t>
  </si>
  <si>
    <t xml:space="preserve">37960750</t>
  </si>
  <si>
    <t xml:space="preserve">37960528</t>
  </si>
  <si>
    <t xml:space="preserve">Suporte Chave 8852868004</t>
  </si>
  <si>
    <t xml:space="preserve">37960568</t>
  </si>
  <si>
    <t xml:space="preserve">39501441</t>
  </si>
  <si>
    <t xml:space="preserve">3664840</t>
  </si>
  <si>
    <t xml:space="preserve">37960590</t>
  </si>
  <si>
    <t xml:space="preserve">39501449</t>
  </si>
  <si>
    <t xml:space="preserve">37960600</t>
  </si>
  <si>
    <t xml:space="preserve">39501940</t>
  </si>
  <si>
    <t xml:space="preserve">39502508</t>
  </si>
  <si>
    <t xml:space="preserve">39501964</t>
  </si>
  <si>
    <t xml:space="preserve">12077418</t>
  </si>
  <si>
    <t xml:space="preserve">2654017</t>
  </si>
  <si>
    <t xml:space="preserve">2752205</t>
  </si>
  <si>
    <t xml:space="preserve">Suporte Chave 0300052004</t>
  </si>
  <si>
    <t xml:space="preserve">39501966</t>
  </si>
  <si>
    <t xml:space="preserve">Suporte Chave 0200050004</t>
  </si>
  <si>
    <t xml:space="preserve">2752206</t>
  </si>
  <si>
    <t xml:space="preserve">DJ AL01010004 › 7900106004 › 0300052004</t>
  </si>
  <si>
    <t xml:space="preserve">|DJ AL01010004|7900106004|0300052004|</t>
  </si>
  <si>
    <t xml:space="preserve">2654018</t>
  </si>
  <si>
    <t xml:space="preserve">DJ AL01010004 › 7900106004 › 0200050004</t>
  </si>
  <si>
    <t xml:space="preserve">|DJ AL01010004|7900106004|0200050004|</t>
  </si>
  <si>
    <t xml:space="preserve">Suporte Chave 9027795004</t>
  </si>
  <si>
    <t xml:space="preserve">52173249</t>
  </si>
  <si>
    <t xml:space="preserve">2682405</t>
  </si>
  <si>
    <t xml:space="preserve">2541917</t>
  </si>
  <si>
    <t xml:space="preserve">2767959</t>
  </si>
  <si>
    <t xml:space="preserve">0345006004, 0352810004</t>
  </si>
  <si>
    <t xml:space="preserve">DJ AL01010004 › 7900106004 › 7927795004 › 0300031004</t>
  </si>
  <si>
    <t xml:space="preserve">|DJ AL01010004|7900106004|7927795004|0300031004|</t>
  </si>
  <si>
    <t xml:space="preserve">2754758</t>
  </si>
  <si>
    <t xml:space="preserve">2648338</t>
  </si>
  <si>
    <t xml:space="preserve">20332163</t>
  </si>
  <si>
    <t xml:space="preserve">2767704</t>
  </si>
  <si>
    <t xml:space="preserve">2767702</t>
  </si>
  <si>
    <t xml:space="preserve">2541597</t>
  </si>
  <si>
    <t xml:space="preserve">2767957</t>
  </si>
  <si>
    <t xml:space="preserve">2541584</t>
  </si>
  <si>
    <t xml:space="preserve">12083338</t>
  </si>
  <si>
    <t xml:space="preserve">3608072</t>
  </si>
  <si>
    <t xml:space="preserve">3610676</t>
  </si>
  <si>
    <t xml:space="preserve">3610677</t>
  </si>
  <si>
    <t xml:space="preserve">3610679</t>
  </si>
  <si>
    <t xml:space="preserve">3610675</t>
  </si>
  <si>
    <t xml:space="preserve">20332114</t>
  </si>
  <si>
    <t xml:space="preserve">Suporte Chave 8845005004</t>
  </si>
  <si>
    <t xml:space="preserve">20332112</t>
  </si>
  <si>
    <t xml:space="preserve">20332110</t>
  </si>
  <si>
    <t xml:space="preserve">Suporte Chave 0345006004</t>
  </si>
  <si>
    <t xml:space="preserve">20332100</t>
  </si>
  <si>
    <t xml:space="preserve">4114332</t>
  </si>
  <si>
    <t xml:space="preserve">21517691</t>
  </si>
  <si>
    <t xml:space="preserve">21517588</t>
  </si>
  <si>
    <t xml:space="preserve">21517566</t>
  </si>
  <si>
    <t xml:space="preserve">Suporte Chave 0352810004</t>
  </si>
  <si>
    <t xml:space="preserve">30410142</t>
  </si>
  <si>
    <t xml:space="preserve">DJ AL01010004 › 7900106004 › 7927795004 › 0300031004 › 0345006004</t>
  </si>
  <si>
    <t xml:space="preserve">|DJ AL01010004|7900106004|7927795004|0300031004|0345006004|</t>
  </si>
  <si>
    <t xml:space="preserve">37327900</t>
  </si>
  <si>
    <t xml:space="preserve">DJ AL01010004 › 7900106004 › 7927795004 › 0300031004 › 0352810004</t>
  </si>
  <si>
    <t xml:space="preserve">|DJ AL01010004|7900106004|7927795004|0300031004|0352810004|</t>
  </si>
  <si>
    <t xml:space="preserve">2767150</t>
  </si>
  <si>
    <t xml:space="preserve">DJ AL01010004 › 7900106004 › 7927795004 › 0329025004</t>
  </si>
  <si>
    <t xml:space="preserve">|DJ AL01010004|7900106004|7927795004|0329025004|</t>
  </si>
  <si>
    <t xml:space="preserve">3641009</t>
  </si>
  <si>
    <t xml:space="preserve">2541521</t>
  </si>
  <si>
    <t xml:space="preserve">2793624</t>
  </si>
  <si>
    <t xml:space="preserve">2921819</t>
  </si>
  <si>
    <t xml:space="preserve">2921817</t>
  </si>
  <si>
    <t xml:space="preserve">12078340</t>
  </si>
  <si>
    <t xml:space="preserve">3576565</t>
  </si>
  <si>
    <t xml:space="preserve">3576567</t>
  </si>
  <si>
    <t xml:space="preserve">2793622</t>
  </si>
  <si>
    <t xml:space="preserve">DJ AL01010004 › 7900106004 › 7927795004 › 0203015004</t>
  </si>
  <si>
    <t xml:space="preserve">|DJ AL01010004|7900106004|7927795004|0203015004|</t>
  </si>
  <si>
    <t xml:space="preserve">2923807</t>
  </si>
  <si>
    <t xml:space="preserve">2756266</t>
  </si>
  <si>
    <t xml:space="preserve">2650204</t>
  </si>
  <si>
    <t xml:space="preserve">2661378</t>
  </si>
  <si>
    <t xml:space="preserve">DJ AL01010004 › 7900106004 › 7927795004 › 0203016004</t>
  </si>
  <si>
    <t xml:space="preserve">|DJ AL01010004|7900106004|7927795004|0203016004|</t>
  </si>
  <si>
    <t xml:space="preserve">24493084</t>
  </si>
  <si>
    <t xml:space="preserve">3660565</t>
  </si>
  <si>
    <t xml:space="preserve">DJ AL01010004 › 7900106004 › 7927795004 › 0300049004</t>
  </si>
  <si>
    <t xml:space="preserve">|DJ AL01010004|7900106004|7927795004|0300049004|</t>
  </si>
  <si>
    <t xml:space="preserve">2541811</t>
  </si>
  <si>
    <t xml:space="preserve">12077974</t>
  </si>
  <si>
    <t xml:space="preserve">3570182</t>
  </si>
  <si>
    <t xml:space="preserve">3570193</t>
  </si>
  <si>
    <t xml:space="preserve">2757835</t>
  </si>
  <si>
    <t xml:space="preserve">0342284004, 0200038004</t>
  </si>
  <si>
    <t xml:space="preserve">DJ AL01010004 › 7900106004 › 7927795004 › 0300724004</t>
  </si>
  <si>
    <t xml:space="preserve">|DJ AL01010004|7900106004|7927795004|0300724004|</t>
  </si>
  <si>
    <t xml:space="preserve">2541864</t>
  </si>
  <si>
    <t xml:space="preserve">3603199</t>
  </si>
  <si>
    <t xml:space="preserve">12084700</t>
  </si>
  <si>
    <t xml:space="preserve">3603201</t>
  </si>
  <si>
    <t xml:space="preserve">3603200</t>
  </si>
  <si>
    <t xml:space="preserve">Suporte Chave 0342284004</t>
  </si>
  <si>
    <t xml:space="preserve">Suporte Chave 0200038004</t>
  </si>
  <si>
    <t xml:space="preserve">2541866</t>
  </si>
  <si>
    <t xml:space="preserve">12077421</t>
  </si>
  <si>
    <t xml:space="preserve">2654309</t>
  </si>
  <si>
    <t xml:space="preserve">36383074</t>
  </si>
  <si>
    <t xml:space="preserve">2541863</t>
  </si>
  <si>
    <t xml:space="preserve">32385363</t>
  </si>
  <si>
    <t xml:space="preserve">DJ AL01010004 › 7900106004 › 7927795004 › 0300724004 › 0342284004</t>
  </si>
  <si>
    <t xml:space="preserve">|DJ AL01010004|7900106004|7927795004|0300724004|0342284004|</t>
  </si>
  <si>
    <t xml:space="preserve">45217239</t>
  </si>
  <si>
    <t xml:space="preserve">2653797</t>
  </si>
  <si>
    <t xml:space="preserve">DJ AL01010004 › 7900106004 › 7927795004 › 0300724004 › 0200038004</t>
  </si>
  <si>
    <t xml:space="preserve">|DJ AL01010004|7900106004|7927795004|0300724004|0200038004|</t>
  </si>
  <si>
    <t xml:space="preserve">24587375</t>
  </si>
  <si>
    <t xml:space="preserve">2810282</t>
  </si>
  <si>
    <t xml:space="preserve">3567159</t>
  </si>
  <si>
    <t xml:space="preserve">DJ AL01010004 › 7900106004 › 7927795004 › 0328468004</t>
  </si>
  <si>
    <t xml:space="preserve">|DJ AL01010004|7900106004|7927795004|0328468004|</t>
  </si>
  <si>
    <t xml:space="preserve">12077666</t>
  </si>
  <si>
    <t xml:space="preserve">2756895</t>
  </si>
  <si>
    <t xml:space="preserve">2542279</t>
  </si>
  <si>
    <t xml:space="preserve">2542299</t>
  </si>
  <si>
    <t xml:space="preserve">2658786</t>
  </si>
  <si>
    <t xml:space="preserve">2542298</t>
  </si>
  <si>
    <t xml:space="preserve">2810273</t>
  </si>
  <si>
    <t xml:space="preserve">DJ AL01010004 › 7900106004 › 7927795004 › 0203728004</t>
  </si>
  <si>
    <t xml:space="preserve">|DJ AL01010004|7900106004|7927795004|0203728004|</t>
  </si>
  <si>
    <t xml:space="preserve">24517698</t>
  </si>
  <si>
    <t xml:space="preserve">2941963</t>
  </si>
  <si>
    <t xml:space="preserve">2941962</t>
  </si>
  <si>
    <t xml:space="preserve">2941966</t>
  </si>
  <si>
    <t xml:space="preserve">52172237</t>
  </si>
  <si>
    <t xml:space="preserve">52172450</t>
  </si>
  <si>
    <t xml:space="preserve">52172267</t>
  </si>
  <si>
    <t xml:space="preserve">52173390</t>
  </si>
  <si>
    <t xml:space="preserve">39501318</t>
  </si>
  <si>
    <t xml:space="preserve">39501347</t>
  </si>
  <si>
    <t xml:space="preserve">39501237</t>
  </si>
  <si>
    <t xml:space="preserve">52172586</t>
  </si>
  <si>
    <t xml:space="preserve">3656644</t>
  </si>
  <si>
    <t xml:space="preserve">Suporte Chave 9004449004</t>
  </si>
  <si>
    <t xml:space="preserve">3656651</t>
  </si>
  <si>
    <t xml:space="preserve">52172512</t>
  </si>
  <si>
    <t xml:space="preserve">52172596</t>
  </si>
  <si>
    <t xml:space="preserve">24506768</t>
  </si>
  <si>
    <t xml:space="preserve">52172977</t>
  </si>
  <si>
    <t xml:space="preserve">52172912</t>
  </si>
  <si>
    <t xml:space="preserve">48650911</t>
  </si>
  <si>
    <t xml:space="preserve">2891756</t>
  </si>
  <si>
    <t xml:space="preserve">2890451</t>
  </si>
  <si>
    <t xml:space="preserve">DJ AL01010004 › 7900106004 › 7927795004 › 0314965004</t>
  </si>
  <si>
    <t xml:space="preserve">|DJ AL01010004|7900106004|7927795004|0314965004|</t>
  </si>
  <si>
    <t xml:space="preserve">3570761</t>
  </si>
  <si>
    <t xml:space="preserve">3570762</t>
  </si>
  <si>
    <t xml:space="preserve">DJ AL01010004 › 7900106004 › 7927795004 › 0328286004</t>
  </si>
  <si>
    <t xml:space="preserve">|DJ AL01010004|7900106004|7927795004|0328286004|</t>
  </si>
  <si>
    <t xml:space="preserve">52172779</t>
  </si>
  <si>
    <t xml:space="preserve">3648479</t>
  </si>
  <si>
    <t xml:space="preserve">0347400004, 0358161004, 0342738004</t>
  </si>
  <si>
    <t xml:space="preserve">DJ AL01010004 › 7900106004 › 7927795004 › 0334747004</t>
  </si>
  <si>
    <t xml:space="preserve">|DJ AL01010004|7900106004|7927795004|0334747004|</t>
  </si>
  <si>
    <t xml:space="preserve">3648484</t>
  </si>
  <si>
    <t xml:space="preserve">3648360</t>
  </si>
  <si>
    <t xml:space="preserve">3648357</t>
  </si>
  <si>
    <t xml:space="preserve">3648480</t>
  </si>
  <si>
    <t xml:space="preserve">12084085</t>
  </si>
  <si>
    <t xml:space="preserve">3647310</t>
  </si>
  <si>
    <t xml:space="preserve">3648482</t>
  </si>
  <si>
    <t xml:space="preserve">3647050</t>
  </si>
  <si>
    <t xml:space="preserve">0347400004, 0358161004</t>
  </si>
  <si>
    <t xml:space="preserve">Suporte Chave 0347400004</t>
  </si>
  <si>
    <t xml:space="preserve">Suporte Chave 0342738004</t>
  </si>
  <si>
    <t xml:space="preserve">3647313</t>
  </si>
  <si>
    <t xml:space="preserve">25377826</t>
  </si>
  <si>
    <t xml:space="preserve">DJ AL01010004 › 7900106004 › 7927795004 › 0334747004 › 0347400004</t>
  </si>
  <si>
    <t xml:space="preserve">|DJ AL01010004|7900106004|7927795004|0334747004|0347400004|</t>
  </si>
  <si>
    <t xml:space="preserve">51047177</t>
  </si>
  <si>
    <t xml:space="preserve">51047248</t>
  </si>
  <si>
    <t xml:space="preserve">51047258</t>
  </si>
  <si>
    <t xml:space="preserve">Suporte Chave 0358161004</t>
  </si>
  <si>
    <t xml:space="preserve">24547603</t>
  </si>
  <si>
    <t xml:space="preserve">34801861</t>
  </si>
  <si>
    <t xml:space="preserve">26443476</t>
  </si>
  <si>
    <t xml:space="preserve">DJ AL01010004 › 7900106004 › 7927795004 › 0334747004 › 0347400004 › 0358161004</t>
  </si>
  <si>
    <t xml:space="preserve">|DJ AL01010004|7900106004|7927795004|0334747004|0347400004|0358161004|</t>
  </si>
  <si>
    <t xml:space="preserve">3647051</t>
  </si>
  <si>
    <t xml:space="preserve">DJ AL01010004 › 7900106004 › 7927795004 › 0334747004 › 0342738004</t>
  </si>
  <si>
    <t xml:space="preserve">|DJ AL01010004|7900106004|7927795004|0334747004|0342738004|</t>
  </si>
  <si>
    <t xml:space="preserve">30586584</t>
  </si>
  <si>
    <t xml:space="preserve">DJ AL01010004 › 7900106004 › 7927795004 › 0344627004</t>
  </si>
  <si>
    <t xml:space="preserve">|DJ AL01010004|7900106004|7927795004|0344627004|</t>
  </si>
  <si>
    <t xml:space="preserve">3660579</t>
  </si>
  <si>
    <t xml:space="preserve">Ativo</t>
  </si>
  <si>
    <t xml:space="preserve">Tipo</t>
  </si>
  <si>
    <t xml:space="preserve">No tronco</t>
  </si>
  <si>
    <t xml:space="preserve">Zona antes</t>
  </si>
  <si>
    <t xml:space="preserve">Zona depois</t>
  </si>
  <si>
    <t xml:space="preserve">Bloco onde está</t>
  </si>
  <si>
    <t xml:space="preserve">Blocos em que é referência</t>
  </si>
  <si>
    <t xml:space="preserve">Vãos em que é a referência</t>
  </si>
  <si>
    <t xml:space="preserve">Extensão em que é a referência (m)</t>
  </si>
  <si>
    <t xml:space="preserve">Vãos englobados (tudo a jusante)</t>
  </si>
  <si>
    <t xml:space="preserve">Extensão englobada (m)</t>
  </si>
  <si>
    <t xml:space="preserve">sim</t>
  </si>
  <si>
    <t xml:space="preserve">1, 4, 15, 16, 53, 54</t>
  </si>
  <si>
    <t xml:space="preserve">Chave 88</t>
  </si>
  <si>
    <t xml:space="preserve">2, 55, 56, 58, 60, 62, 65, 67, 69, 72</t>
  </si>
  <si>
    <t xml:space="preserve">Chave 03 de seccionamento (tem religador depois)</t>
  </si>
  <si>
    <t xml:space="preserve">3, 73, 74, 79, 80, 82, 83, 86, 90, 93, 94, 95, 96, 97, 98, 100, 102</t>
  </si>
  <si>
    <t xml:space="preserve">75</t>
  </si>
  <si>
    <t xml:space="preserve">87</t>
  </si>
  <si>
    <t xml:space="preserve">101</t>
  </si>
  <si>
    <t xml:space="preserve">99</t>
  </si>
  <si>
    <t xml:space="preserve">107</t>
  </si>
  <si>
    <t xml:space="preserve">103</t>
  </si>
  <si>
    <t xml:space="preserve">92</t>
  </si>
  <si>
    <t xml:space="preserve">91</t>
  </si>
  <si>
    <t xml:space="preserve">78</t>
  </si>
  <si>
    <t xml:space="preserve">84</t>
  </si>
  <si>
    <t xml:space="preserve">85</t>
  </si>
  <si>
    <t xml:space="preserve">81</t>
  </si>
  <si>
    <t xml:space="preserve">não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</si>
  <si>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</si>
  <si>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</si>
  <si>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</si>
  <si>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</si>
  <si>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</si>
  <si>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13</t>
  </si>
  <si>
    <t xml:space="preserve">14</t>
  </si>
  <si>
    <t xml:space="preserve">10</t>
  </si>
  <si>
    <t xml:space="preserve">11</t>
  </si>
  <si>
    <t xml:space="preserve">12</t>
  </si>
  <si>
    <t xml:space="preserve">17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</si>
  <si>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</si>
  <si>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</si>
  <si>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</si>
  <si>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</si>
  <si>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</si>
  <si>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</si>
  <si>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42</t>
  </si>
  <si>
    <t xml:space="preserve">44</t>
  </si>
  <si>
    <t xml:space="preserve">45</t>
  </si>
  <si>
    <t xml:space="preserve">46</t>
  </si>
  <si>
    <t xml:space="preserve">47</t>
  </si>
  <si>
    <t xml:space="preserve">49</t>
  </si>
  <si>
    <t xml:space="preserve">50</t>
  </si>
  <si>
    <t xml:space="preserve">51</t>
  </si>
  <si>
    <t xml:space="preserve">52</t>
  </si>
  <si>
    <t xml:space="preserve">18</t>
  </si>
  <si>
    <t xml:space="preserve">32</t>
  </si>
  <si>
    <t xml:space="preserve">34</t>
  </si>
  <si>
    <t xml:space="preserve">19</t>
  </si>
  <si>
    <t xml:space="preserve">29</t>
  </si>
  <si>
    <t xml:space="preserve">30</t>
  </si>
  <si>
    <t xml:space="preserve">31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</si>
  <si>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</si>
  <si>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</si>
  <si>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</si>
  <si>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</si>
  <si>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</si>
  <si>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</si>
  <si>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</si>
  <si>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</si>
  <si>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</si>
  <si>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33</t>
  </si>
  <si>
    <t xml:space="preserve">41</t>
  </si>
  <si>
    <t xml:space="preserve">43</t>
  </si>
  <si>
    <t xml:space="preserve">48</t>
  </si>
  <si>
    <t xml:space="preserve">57</t>
  </si>
  <si>
    <t xml:space="preserve">59</t>
  </si>
  <si>
    <t xml:space="preserve">61</t>
  </si>
  <si>
    <t xml:space="preserve">63</t>
  </si>
  <si>
    <t xml:space="preserve">64</t>
  </si>
  <si>
    <t xml:space="preserve">66</t>
  </si>
  <si>
    <t xml:space="preserve">Chave (ETO299199C)</t>
  </si>
  <si>
    <t xml:space="preserve">68</t>
  </si>
  <si>
    <t xml:space="preserve">70</t>
  </si>
  <si>
    <t xml:space="preserve">71</t>
  </si>
  <si>
    <t xml:space="preserve">76</t>
  </si>
  <si>
    <t xml:space="preserve">77</t>
  </si>
  <si>
    <t xml:space="preserve">88</t>
  </si>
  <si>
    <t xml:space="preserve">89</t>
  </si>
  <si>
    <t xml:space="preserve">104</t>
  </si>
  <si>
    <t xml:space="preserve">106</t>
  </si>
  <si>
    <t xml:space="preserve">105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</si>
</sst>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8A9096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10"/>
      <name val="Arial"/>
      <family val="2"/>
    </font>
    <font>
      <u val="single"/>
      <sz val="10"/>
      <color rgb="FF1F4E9E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DBEAFE"/>
        <bgColor rgb="FFDCFCE7"/>
      </patternFill>
    </fill>
    <fill>
      <patternFill patternType="solid">
        <fgColor rgb="FFDCFCE7"/>
        <bgColor rgb="FFCCFFCC"/>
      </patternFill>
    </fill>
    <fill>
      <patternFill patternType="solid">
        <fgColor rgb="FFFEF3C7"/>
        <bgColor rgb="FFFFFF99"/>
      </patternFill>
    </fill>
    <fill>
      <patternFill patternType="solid">
        <fgColor rgb="FF2B3136"/>
        <bgColor rgb="FF3A4248"/>
      </patternFill>
    </fill>
    <fill>
      <patternFill patternType="solid">
        <fgColor rgb="FF3A4248"/>
        <bgColor rgb="FF2B3136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5D9D6"/>
      </bottom>
      <diagonal/>
    </border>
    <border diagonalUp="false" diagonalDown="false">
      <left style="thin">
        <color rgb="FF2B3136"/>
      </left>
      <right style="thin">
        <color rgb="FF2B3136"/>
      </right>
      <top style="thin">
        <color rgb="FF2B3136"/>
      </top>
      <bottom style="thin">
        <color rgb="FF2B313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2B313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BEAFE"/>
          <bgColor rgb="FF000000"/>
        </patternFill>
      </fill>
    </dxf>
    <dxf>
      <fill>
        <patternFill patternType="solid">
          <fgColor rgb="FFDCFCE7"/>
          <bgColor rgb="FF000000"/>
        </patternFill>
      </fill>
    </dxf>
    <dxf>
      <fill>
        <patternFill patternType="solid">
          <fgColor rgb="FFFEF3C7"/>
          <bgColor rgb="FF000000"/>
        </patternFill>
      </fill>
    </dxf>
    <dxf>
      <fill>
        <patternFill patternType="solid">
          <fgColor rgb="FF1F4E9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DCFCE7"/>
      <rgbColor rgb="FF660066"/>
      <rgbColor rgb="FFFF8080"/>
      <rgbColor rgb="FF0066CC"/>
      <rgbColor rgb="FFD5D9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8A9096"/>
      <rgbColor rgb="FF003366"/>
      <rgbColor rgb="FF339966"/>
      <rgbColor rgb="FF003300"/>
      <rgbColor rgb="FF3A4248"/>
      <rgbColor rgb="FF993300"/>
      <rgbColor rgb="FF993366"/>
      <rgbColor rgb="FF1F4E9E"/>
      <rgbColor rgb="FF2B313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Ativos" displayName="Ativos" ref="A1:Q115" headerRowCount="1" totalsRowCount="0" totalsRowShown="0">
  <autoFilter ref="A1:Q115"/>
  <tableColumns count="17">
    <tableColumn id="1" name="Ativo"/>
    <tableColumn id="2" name="Tipo"/>
    <tableColumn id="3" name="Poste"/>
    <tableColumn id="4" name="No tronco"/>
    <tableColumn id="5" name="Zona antes"/>
    <tableColumn id="6" name="Zona depois"/>
    <tableColumn id="7" name="Bloco onde está"/>
    <tableColumn id="8" name="Blocos em que é referência"/>
    <tableColumn id="9" name="Caminho desde o DJ"/>
    <tableColumn id="10" name="Vãos em que é a referência"/>
    <tableColumn id="11" name="Extensão em que é a referência (m)"/>
    <tableColumn id="12" name="Vãos englobados (tudo a jusante)"/>
    <tableColumn id="13" name="Extensão englobada (m)"/>
    <tableColumn id="14" name="Ativos posteriores englobados"/>
    <tableColumn id="15" name="Latitude"/>
    <tableColumn id="16" name="Longitude"/>
    <tableColumn id="17" name="Mapa"/>
  </tableColumns>
</table>
</file>

<file path=xl/tables/table2.xml><?xml version="1.0" encoding="utf-8"?>
<table xmlns="http://schemas.openxmlformats.org/spreadsheetml/2006/main" id="2" name="Blocos" displayName="Blocos" ref="A1:ES108" headerRowCount="1" totalsRowCount="0" totalsRowShown="0">
  <autoFilter ref="A1:ES108"/>
  <tableColumns count="149">
    <tableColumn id="1" name="Bloco"/>
    <tableColumn id="2" name="Zona"/>
    <tableColumn id="3" name="Tronco/Ramal"/>
    <tableColumn id="4" name="Ramal"/>
    <tableColumn id="5" name="Ativo de referência"/>
    <tableColumn id="6" name="De"/>
    <tableColumn id="7" name="Próximo ativo 1"/>
    <tableColumn id="8" name="Próximo ativo 2"/>
    <tableColumn id="9" name="Próximo ativo 3"/>
    <tableColumn id="10" name="Próximo ativo 4"/>
    <tableColumn id="11" name="Próximo ativo 5"/>
    <tableColumn id="12" name="Próximo ativo 6"/>
    <tableColumn id="13" name="Próximo ativo 7"/>
    <tableColumn id="14" name="Próximo ativo 8"/>
    <tableColumn id="15" name="Próximo ativo 9"/>
    <tableColumn id="16" name="Próximo ativo 10"/>
    <tableColumn id="17" name="Próximo ativo 11"/>
    <tableColumn id="18" name="Próximo ativo 12"/>
    <tableColumn id="19" name="Próximo ativo 13"/>
    <tableColumn id="20" name="Próximo ativo 14"/>
    <tableColumn id="21" name="Próximo ativo 15"/>
    <tableColumn id="22" name="Próximo ativo 16"/>
    <tableColumn id="23" name="Próximo ativo 17"/>
    <tableColumn id="24" name="Próximo ativo 18"/>
    <tableColumn id="25" name="Próximo ativo 19"/>
    <tableColumn id="26" name="Próximo ativo 20"/>
    <tableColumn id="27" name="Próximo ativo 21"/>
    <tableColumn id="28" name="Próximo ativo 22"/>
    <tableColumn id="29" name="Próximo ativo 23"/>
    <tableColumn id="30" name="Próximo ativo 24"/>
    <tableColumn id="31" name="Próximo ativo 25"/>
    <tableColumn id="32" name="Próximo ativo 26"/>
    <tableColumn id="33" name="Próximo ativo 27"/>
    <tableColumn id="34" name="Próximo ativo 28"/>
    <tableColumn id="35" name="Próximo ativo 29"/>
    <tableColumn id="36" name="Próximo ativo 30"/>
    <tableColumn id="37" name="Próximo ativo 31"/>
    <tableColumn id="38" name="Próximo ativo 32"/>
    <tableColumn id="39" name="Próximo ativo 33"/>
    <tableColumn id="40" name="Próximo ativo 34"/>
    <tableColumn id="41" name="Próximo ativo 35"/>
    <tableColumn id="42" name="Próximo ativo 36"/>
    <tableColumn id="43" name="Próximo ativo 37"/>
    <tableColumn id="44" name="Próximo ativo 38"/>
    <tableColumn id="45" name="Próximo ativo 39"/>
    <tableColumn id="46" name="Próximo ativo 40"/>
    <tableColumn id="47" name="Próximo ativo 41"/>
    <tableColumn id="48" name="Próximo ativo 42"/>
    <tableColumn id="49" name="Próximo ativo 43"/>
    <tableColumn id="50" name="Próximo ativo 44"/>
    <tableColumn id="51" name="Próximo ativo 45"/>
    <tableColumn id="52" name="Próximo ativo 46"/>
    <tableColumn id="53" name="Próximo ativo 47"/>
    <tableColumn id="54" name="Próximo ativo 48"/>
    <tableColumn id="55" name="Próximo ativo 49"/>
    <tableColumn id="56" name="Próximo ativo 50"/>
    <tableColumn id="57" name="Próximo ativo 51"/>
    <tableColumn id="58" name="Próximo ativo 52"/>
    <tableColumn id="59" name="Próximo ativo 53"/>
    <tableColumn id="60" name="Próximo ativo 54"/>
    <tableColumn id="61" name="Próximo ativo 55"/>
    <tableColumn id="62" name="Próximo ativo 56"/>
    <tableColumn id="63" name="Nível 1"/>
    <tableColumn id="64" name="Nível 2"/>
    <tableColumn id="65" name="Nível 3"/>
    <tableColumn id="66" name="Nível 4"/>
    <tableColumn id="67" name="Nível 5"/>
    <tableColumn id="68" name="Nível 6"/>
    <tableColumn id="69" name="Qtd. vãos"/>
    <tableColumn id="70" name="Extensão do bloco (m)"/>
    <tableColumn id="71" name="Qtd. ativos posteriores"/>
    <tableColumn id="72" name="Ativos posteriores (concatenado)"/>
    <tableColumn id="73" name="Outras chaves no bloco (88…)"/>
    <tableColumn id="74" name="Posterior 1"/>
    <tableColumn id="75" name="Posterior 2"/>
    <tableColumn id="76" name="Posterior 3"/>
    <tableColumn id="77" name="Posterior 4"/>
    <tableColumn id="78" name="Posterior 5"/>
    <tableColumn id="79" name="Posterior 6"/>
    <tableColumn id="80" name="Posterior 7"/>
    <tableColumn id="81" name="Posterior 8"/>
    <tableColumn id="82" name="Posterior 9"/>
    <tableColumn id="83" name="Posterior 10"/>
    <tableColumn id="84" name="Posterior 11"/>
    <tableColumn id="85" name="Posterior 12"/>
    <tableColumn id="86" name="Posterior 13"/>
    <tableColumn id="87" name="Posterior 14"/>
    <tableColumn id="88" name="Posterior 15"/>
    <tableColumn id="89" name="Posterior 16"/>
    <tableColumn id="90" name="Posterior 17"/>
    <tableColumn id="91" name="Posterior 18"/>
    <tableColumn id="92" name="Posterior 19"/>
    <tableColumn id="93" name="Posterior 20"/>
    <tableColumn id="94" name="Posterior 21"/>
    <tableColumn id="95" name="Posterior 22"/>
    <tableColumn id="96" name="Posterior 23"/>
    <tableColumn id="97" name="Posterior 24"/>
    <tableColumn id="98" name="Posterior 25"/>
    <tableColumn id="99" name="Posterior 26"/>
    <tableColumn id="100" name="Posterior 27"/>
    <tableColumn id="101" name="Posterior 28"/>
    <tableColumn id="102" name="Posterior 29"/>
    <tableColumn id="103" name="Posterior 30"/>
    <tableColumn id="104" name="Posterior 31"/>
    <tableColumn id="105" name="Posterior 32"/>
    <tableColumn id="106" name="Posterior 33"/>
    <tableColumn id="107" name="Posterior 34"/>
    <tableColumn id="108" name="Posterior 35"/>
    <tableColumn id="109" name="Posterior 36"/>
    <tableColumn id="110" name="Posterior 37"/>
    <tableColumn id="111" name="Posterior 38"/>
    <tableColumn id="112" name="Posterior 39"/>
    <tableColumn id="113" name="Posterior 40"/>
    <tableColumn id="114" name="Posterior 41"/>
    <tableColumn id="115" name="Posterior 42"/>
    <tableColumn id="116" name="Posterior 43"/>
    <tableColumn id="117" name="Posterior 44"/>
    <tableColumn id="118" name="Posterior 45"/>
    <tableColumn id="119" name="Posterior 46"/>
    <tableColumn id="120" name="Posterior 47"/>
    <tableColumn id="121" name="Posterior 48"/>
    <tableColumn id="122" name="Posterior 49"/>
    <tableColumn id="123" name="Posterior 50"/>
    <tableColumn id="124" name="Posterior 51"/>
    <tableColumn id="125" name="Posterior 52"/>
    <tableColumn id="126" name="Posterior 53"/>
    <tableColumn id="127" name="Posterior 54"/>
    <tableColumn id="128" name="Posterior 55"/>
    <tableColumn id="129" name="Posterior 56"/>
    <tableColumn id="130" name="Posterior 57"/>
    <tableColumn id="131" name="Posterior 58"/>
    <tableColumn id="132" name="Posterior 59"/>
    <tableColumn id="133" name="Posterior 60"/>
    <tableColumn id="134" name="Posterior 61"/>
    <tableColumn id="135" name="Posterior 62"/>
    <tableColumn id="136" name="Posterior 63"/>
    <tableColumn id="137" name="Posterior 64"/>
    <tableColumn id="138" name="Posterior 65"/>
    <tableColumn id="139" name="Posterior 66"/>
    <tableColumn id="140" name="Posterior 67"/>
    <tableColumn id="141" name="Posterior 68"/>
    <tableColumn id="142" name="Posterior 69"/>
    <tableColumn id="143" name="Posterior 70"/>
    <tableColumn id="144" name="Posterior 71"/>
    <tableColumn id="145" name="Posterior 72"/>
    <tableColumn id="146" name="Posterior 73"/>
    <tableColumn id="147" name="Posterior 74"/>
    <tableColumn id="148" name="Posterior 75"/>
    <tableColumn id="149" name="Posterior 76"/>
  </tableColumns>
</table>
</file>

<file path=xl/tables/table3.xml><?xml version="1.0" encoding="utf-8"?>
<table xmlns="http://schemas.openxmlformats.org/spreadsheetml/2006/main" id="3" name="Trechos" displayName="Trechos" ref="A1:AC838" headerRowCount="1" totalsRowCount="0" totalsRowShown="0">
  <autoFilter ref="A1:AC838"/>
  <tableColumns count="29">
    <tableColumn id="1" name="Seq"/>
    <tableColumn id="2" name="Trecho"/>
    <tableColumn id="3" name="Trecho no Daimon"/>
    <tableColumn id="4" name="Poste início"/>
    <tableColumn id="5" name="Poste fim"/>
    <tableColumn id="6" name="Extensão (m)"/>
    <tableColumn id="7" name="Distância do DJ até o fim (m)"/>
    <tableColumn id="8" name="Distância do ativo de referência até o fim (m)"/>
    <tableColumn id="9" name="Zona"/>
    <tableColumn id="10" name="Tronco/Ramal"/>
    <tableColumn id="11" name="Ramal"/>
    <tableColumn id="12" name="Bloco"/>
    <tableColumn id="13" name="Ativo de referência"/>
    <tableColumn id="14" name="Tipo do ativo de referência"/>
    <tableColumn id="15" name="Próximo(s) ativo(s)"/>
    <tableColumn id="16" name="Ativos posteriores englobados"/>
    <tableColumn id="17" name="Qtd. ativos posteriores"/>
    <tableColumn id="18" name="Outra chave no fim do vão (88…)"/>
    <tableColumn id="19" name="Nível 1"/>
    <tableColumn id="20" name="Nível 2"/>
    <tableColumn id="21" name="Nível 3"/>
    <tableColumn id="22" name="Nível 4"/>
    <tableColumn id="23" name="Nível 5"/>
    <tableColumn id="24" name="Nível 6"/>
    <tableColumn id="25" name="Caminho desde o DJ"/>
    <tableColumn id="26" name="Latitude (meio do vão)"/>
    <tableColumn id="27" name="Longitude (meio do vão)"/>
    <tableColumn id="28" name="Mapa"/>
    <tableColumn id="29" name="Chave do caminho (uso das fórmulas)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hyperlink" Target="https://www.google.com/maps?q=-7.1953800,-48.2381100" TargetMode="External"/><Relationship Id="rId3" Type="http://schemas.openxmlformats.org/officeDocument/2006/relationships/hyperlink" Target="https://www.google.com/maps?q=-7.1955055,-48.2382580" TargetMode="External"/><Relationship Id="rId4" Type="http://schemas.openxmlformats.org/officeDocument/2006/relationships/hyperlink" Target="https://www.google.com/maps?q=-7.1955785,-48.2383040" TargetMode="External"/><Relationship Id="rId5" Type="http://schemas.openxmlformats.org/officeDocument/2006/relationships/hyperlink" Target="https://www.google.com/maps?q=-7.1956570,-48.2383430" TargetMode="External"/><Relationship Id="rId6" Type="http://schemas.openxmlformats.org/officeDocument/2006/relationships/hyperlink" Target="https://www.google.com/maps?q=-7.1957880,-48.2382290" TargetMode="External"/><Relationship Id="rId7" Type="http://schemas.openxmlformats.org/officeDocument/2006/relationships/hyperlink" Target="https://www.google.com/maps?q=-7.1959115,-48.2381025" TargetMode="External"/><Relationship Id="rId8" Type="http://schemas.openxmlformats.org/officeDocument/2006/relationships/hyperlink" Target="https://www.google.com/maps?q=-7.1959480,-48.2380025" TargetMode="External"/><Relationship Id="rId9" Type="http://schemas.openxmlformats.org/officeDocument/2006/relationships/hyperlink" Target="https://www.google.com/maps?q=-7.1959870,-48.2379055" TargetMode="External"/><Relationship Id="rId10" Type="http://schemas.openxmlformats.org/officeDocument/2006/relationships/hyperlink" Target="https://www.google.com/maps?q=-7.1960930,-48.2376865" TargetMode="External"/><Relationship Id="rId11" Type="http://schemas.openxmlformats.org/officeDocument/2006/relationships/hyperlink" Target="https://www.google.com/maps?q=-7.1962065,-48.2374785" TargetMode="External"/><Relationship Id="rId12" Type="http://schemas.openxmlformats.org/officeDocument/2006/relationships/hyperlink" Target="https://www.google.com/maps?q=-7.1962875,-48.2375090" TargetMode="External"/><Relationship Id="rId13" Type="http://schemas.openxmlformats.org/officeDocument/2006/relationships/hyperlink" Target="https://www.google.com/maps?q=-7.1963680,-48.2375475" TargetMode="External"/><Relationship Id="rId14" Type="http://schemas.openxmlformats.org/officeDocument/2006/relationships/hyperlink" Target="https://www.google.com/maps?q=-7.1967800,-48.2377385" TargetMode="External"/><Relationship Id="rId15" Type="http://schemas.openxmlformats.org/officeDocument/2006/relationships/hyperlink" Target="https://www.google.com/maps?q=-7.1972005,-48.2378715" TargetMode="External"/><Relationship Id="rId16" Type="http://schemas.openxmlformats.org/officeDocument/2006/relationships/hyperlink" Target="https://www.google.com/maps?q=-7.1972215,-48.2378255" TargetMode="External"/><Relationship Id="rId17" Type="http://schemas.openxmlformats.org/officeDocument/2006/relationships/hyperlink" Target="https://www.google.com/maps?q=-7.1972325,-48.2378020" TargetMode="External"/><Relationship Id="rId18" Type="http://schemas.openxmlformats.org/officeDocument/2006/relationships/hyperlink" Target="https://www.google.com/maps?q=-7.1972980,-48.2376590" TargetMode="External"/><Relationship Id="rId19" Type="http://schemas.openxmlformats.org/officeDocument/2006/relationships/hyperlink" Target="https://www.google.com/maps?q=-7.1973550,-48.2375285" TargetMode="External"/><Relationship Id="rId20" Type="http://schemas.openxmlformats.org/officeDocument/2006/relationships/hyperlink" Target="https://www.google.com/maps?q=-7.1973870,-48.2374610" TargetMode="External"/><Relationship Id="rId21" Type="http://schemas.openxmlformats.org/officeDocument/2006/relationships/hyperlink" Target="https://www.google.com/maps?q=-7.1974230,-48.2373945" TargetMode="External"/><Relationship Id="rId22" Type="http://schemas.openxmlformats.org/officeDocument/2006/relationships/hyperlink" Target="https://www.google.com/maps?q=-7.1974550,-48.2373210" TargetMode="External"/><Relationship Id="rId23" Type="http://schemas.openxmlformats.org/officeDocument/2006/relationships/hyperlink" Target="https://www.google.com/maps?q=-7.1974845,-48.2372470" TargetMode="External"/><Relationship Id="rId24" Type="http://schemas.openxmlformats.org/officeDocument/2006/relationships/hyperlink" Target="https://www.google.com/maps?q=-7.1975725,-48.2372705" TargetMode="External"/><Relationship Id="rId25" Type="http://schemas.openxmlformats.org/officeDocument/2006/relationships/hyperlink" Target="https://www.google.com/maps?q=-7.1976690,-48.2373150" TargetMode="External"/><Relationship Id="rId26" Type="http://schemas.openxmlformats.org/officeDocument/2006/relationships/hyperlink" Target="https://www.google.com/maps?q=-7.1978635,-48.2374135" TargetMode="External"/><Relationship Id="rId27" Type="http://schemas.openxmlformats.org/officeDocument/2006/relationships/hyperlink" Target="https://www.google.com/maps?q=-7.1990205,-48.2379610" TargetMode="External"/><Relationship Id="rId28" Type="http://schemas.openxmlformats.org/officeDocument/2006/relationships/hyperlink" Target="https://www.google.com/maps?q=-7.2001820,-48.2385040" TargetMode="External"/><Relationship Id="rId29" Type="http://schemas.openxmlformats.org/officeDocument/2006/relationships/hyperlink" Target="https://www.google.com/maps?q=-7.2003800,-48.2385985" TargetMode="External"/><Relationship Id="rId30" Type="http://schemas.openxmlformats.org/officeDocument/2006/relationships/hyperlink" Target="https://www.google.com/maps?q=-7.2009505,-48.2388655" TargetMode="External"/><Relationship Id="rId31" Type="http://schemas.openxmlformats.org/officeDocument/2006/relationships/hyperlink" Target="https://www.google.com/maps?q=-7.2020720,-48.2393890" TargetMode="External"/><Relationship Id="rId32" Type="http://schemas.openxmlformats.org/officeDocument/2006/relationships/hyperlink" Target="https://www.google.com/maps?q=-7.2026520,-48.2396595" TargetMode="External"/><Relationship Id="rId33" Type="http://schemas.openxmlformats.org/officeDocument/2006/relationships/hyperlink" Target="https://www.google.com/maps?q=-7.2031485,-48.2398920" TargetMode="External"/><Relationship Id="rId34" Type="http://schemas.openxmlformats.org/officeDocument/2006/relationships/hyperlink" Target="https://www.google.com/maps?q=-7.2040355,-48.2403065" TargetMode="External"/><Relationship Id="rId35" Type="http://schemas.openxmlformats.org/officeDocument/2006/relationships/hyperlink" Target="https://www.google.com/maps?q=-7.2056435,-48.2410575" TargetMode="External"/><Relationship Id="rId36" Type="http://schemas.openxmlformats.org/officeDocument/2006/relationships/hyperlink" Target="https://www.google.com/maps?q=-7.2068925,-48.2415020" TargetMode="External"/><Relationship Id="rId37" Type="http://schemas.openxmlformats.org/officeDocument/2006/relationships/hyperlink" Target="https://www.google.com/maps?q=-7.2069535,-48.2413670" TargetMode="External"/><Relationship Id="rId38" Type="http://schemas.openxmlformats.org/officeDocument/2006/relationships/hyperlink" Target="https://www.google.com/maps?q=-7.2070980,-48.2411890" TargetMode="External"/><Relationship Id="rId39" Type="http://schemas.openxmlformats.org/officeDocument/2006/relationships/hyperlink" Target="https://www.google.com/maps?q=-7.2072415,-48.2410355" TargetMode="External"/><Relationship Id="rId40" Type="http://schemas.openxmlformats.org/officeDocument/2006/relationships/hyperlink" Target="https://www.google.com/maps?q=-7.2072715,-48.2410490" TargetMode="External"/><Relationship Id="rId41" Type="http://schemas.openxmlformats.org/officeDocument/2006/relationships/hyperlink" Target="https://www.google.com/maps?q=-7.2075715,-48.2411855" TargetMode="External"/><Relationship Id="rId42" Type="http://schemas.openxmlformats.org/officeDocument/2006/relationships/hyperlink" Target="https://www.google.com/maps?q=-7.2078560,-48.2413150" TargetMode="External"/><Relationship Id="rId43" Type="http://schemas.openxmlformats.org/officeDocument/2006/relationships/hyperlink" Target="https://www.google.com/maps?q=-7.2078695,-48.2413130" TargetMode="External"/><Relationship Id="rId44" Type="http://schemas.openxmlformats.org/officeDocument/2006/relationships/hyperlink" Target="https://www.google.com/maps?q=-7.2078830,-48.2413115" TargetMode="External"/><Relationship Id="rId45" Type="http://schemas.openxmlformats.org/officeDocument/2006/relationships/hyperlink" Target="https://www.google.com/maps?q=-7.2078915,-48.2413145" TargetMode="External"/><Relationship Id="rId46" Type="http://schemas.openxmlformats.org/officeDocument/2006/relationships/hyperlink" Target="https://www.google.com/maps?q=-7.2079000,-48.2413185" TargetMode="External"/><Relationship Id="rId47" Type="http://schemas.openxmlformats.org/officeDocument/2006/relationships/hyperlink" Target="https://www.google.com/maps?q=-7.2079065,-48.2413310" TargetMode="External"/><Relationship Id="rId48" Type="http://schemas.openxmlformats.org/officeDocument/2006/relationships/hyperlink" Target="https://www.google.com/maps?q=-7.2083610,-48.2415540" TargetMode="External"/><Relationship Id="rId49" Type="http://schemas.openxmlformats.org/officeDocument/2006/relationships/hyperlink" Target="https://www.google.com/maps?q=-7.2088250,-48.2417730" TargetMode="External"/><Relationship Id="rId50" Type="http://schemas.openxmlformats.org/officeDocument/2006/relationships/hyperlink" Target="https://www.google.com/maps?q=-7.2091495,-48.2419320" TargetMode="External"/><Relationship Id="rId51" Type="http://schemas.openxmlformats.org/officeDocument/2006/relationships/hyperlink" Target="https://www.google.com/maps?q=-7.2094735,-48.2420880" TargetMode="External"/><Relationship Id="rId52" Type="http://schemas.openxmlformats.org/officeDocument/2006/relationships/hyperlink" Target="https://www.google.com/maps?q=-7.2096250,-48.2421570" TargetMode="External"/><Relationship Id="rId53" Type="http://schemas.openxmlformats.org/officeDocument/2006/relationships/hyperlink" Target="https://www.google.com/maps?q=-7.2097750,-48.2422305" TargetMode="External"/><Relationship Id="rId54" Type="http://schemas.openxmlformats.org/officeDocument/2006/relationships/hyperlink" Target="https://www.google.com/maps?q=-7.2105510,-48.2425970" TargetMode="External"/><Relationship Id="rId55" Type="http://schemas.openxmlformats.org/officeDocument/2006/relationships/hyperlink" Target="https://www.google.com/maps?q=-7.2114150,-48.2430030" TargetMode="External"/><Relationship Id="rId56" Type="http://schemas.openxmlformats.org/officeDocument/2006/relationships/hyperlink" Target="https://www.google.com/maps?q=-7.2115195,-48.2430520" TargetMode="External"/><Relationship Id="rId57" Type="http://schemas.openxmlformats.org/officeDocument/2006/relationships/hyperlink" Target="https://www.google.com/maps?q=-7.2115480,-48.2430645" TargetMode="External"/><Relationship Id="rId58" Type="http://schemas.openxmlformats.org/officeDocument/2006/relationships/hyperlink" Target="https://www.google.com/maps?q=-7.2115845,-48.2430815" TargetMode="External"/><Relationship Id="rId59" Type="http://schemas.openxmlformats.org/officeDocument/2006/relationships/hyperlink" Target="https://www.google.com/maps?q=-7.2124745,-48.2435055" TargetMode="External"/><Relationship Id="rId60" Type="http://schemas.openxmlformats.org/officeDocument/2006/relationships/hyperlink" Target="https://www.google.com/maps?q=-7.2134965,-48.2439925" TargetMode="External"/><Relationship Id="rId61" Type="http://schemas.openxmlformats.org/officeDocument/2006/relationships/hyperlink" Target="https://www.google.com/maps?q=-7.2136555,-48.2440675" TargetMode="External"/><Relationship Id="rId62" Type="http://schemas.openxmlformats.org/officeDocument/2006/relationships/hyperlink" Target="https://www.google.com/maps?q=-7.2138920,-48.2441820" TargetMode="External"/><Relationship Id="rId63" Type="http://schemas.openxmlformats.org/officeDocument/2006/relationships/hyperlink" Target="https://www.google.com/maps?q=-7.2145140,-48.2445100" TargetMode="External"/><Relationship Id="rId64" Type="http://schemas.openxmlformats.org/officeDocument/2006/relationships/hyperlink" Target="https://www.google.com/maps?q=-7.2150485,-48.2447930" TargetMode="External"/><Relationship Id="rId65" Type="http://schemas.openxmlformats.org/officeDocument/2006/relationships/hyperlink" Target="https://www.google.com/maps?q=-7.2151895,-48.2448590" TargetMode="External"/><Relationship Id="rId66" Type="http://schemas.openxmlformats.org/officeDocument/2006/relationships/hyperlink" Target="https://www.google.com/maps?q=-7.2161785,-48.2453245" TargetMode="External"/><Relationship Id="rId67" Type="http://schemas.openxmlformats.org/officeDocument/2006/relationships/hyperlink" Target="https://www.google.com/maps?q=-7.2175445,-48.2459580" TargetMode="External"/><Relationship Id="rId68" Type="http://schemas.openxmlformats.org/officeDocument/2006/relationships/hyperlink" Target="https://www.google.com/maps?q=-7.2179125,-48.2461215" TargetMode="External"/><Relationship Id="rId69" Type="http://schemas.openxmlformats.org/officeDocument/2006/relationships/hyperlink" Target="https://www.google.com/maps?q=-7.2180685,-48.2461660" TargetMode="External"/><Relationship Id="rId70" Type="http://schemas.openxmlformats.org/officeDocument/2006/relationships/hyperlink" Target="https://www.google.com/maps?q=-7.2186175,-48.2463925" TargetMode="External"/><Relationship Id="rId71" Type="http://schemas.openxmlformats.org/officeDocument/2006/relationships/hyperlink" Target="https://www.google.com/maps?q=-7.2189990,-48.2465580" TargetMode="External"/><Relationship Id="rId72" Type="http://schemas.openxmlformats.org/officeDocument/2006/relationships/hyperlink" Target="https://www.google.com/maps?q=-7.2190440,-48.2464700" TargetMode="External"/><Relationship Id="rId73" Type="http://schemas.openxmlformats.org/officeDocument/2006/relationships/hyperlink" Target="https://www.google.com/maps?q=-7.2190870,-48.2463855" TargetMode="External"/><Relationship Id="rId74" Type="http://schemas.openxmlformats.org/officeDocument/2006/relationships/hyperlink" Target="https://www.google.com/maps?q=-7.2191175,-48.2463250" TargetMode="External"/><Relationship Id="rId75" Type="http://schemas.openxmlformats.org/officeDocument/2006/relationships/hyperlink" Target="https://www.google.com/maps?q=-7.2195085,-48.2454655" TargetMode="External"/><Relationship Id="rId76" Type="http://schemas.openxmlformats.org/officeDocument/2006/relationships/hyperlink" Target="https://www.google.com/maps?q=-7.2199625,-48.2444905" TargetMode="External"/><Relationship Id="rId77" Type="http://schemas.openxmlformats.org/officeDocument/2006/relationships/hyperlink" Target="https://www.google.com/maps?q=-7.2200560,-48.2443035" TargetMode="External"/><Relationship Id="rId78" Type="http://schemas.openxmlformats.org/officeDocument/2006/relationships/hyperlink" Target="https://www.google.com/maps?q=-7.2199920,-48.2439465" TargetMode="External"/><Relationship Id="rId79" Type="http://schemas.openxmlformats.org/officeDocument/2006/relationships/hyperlink" Target="https://www.google.com/maps?q=-7.2198330,-48.2432785" TargetMode="External"/><Relationship Id="rId80" Type="http://schemas.openxmlformats.org/officeDocument/2006/relationships/hyperlink" Target="https://www.google.com/maps?q=-7.2197370,-48.2429345" TargetMode="External"/><Relationship Id="rId81" Type="http://schemas.openxmlformats.org/officeDocument/2006/relationships/hyperlink" Target="https://www.google.com/maps?q=-7.2195685,-48.2423780" TargetMode="External"/><Relationship Id="rId82" Type="http://schemas.openxmlformats.org/officeDocument/2006/relationships/hyperlink" Target="https://www.google.com/maps?q=-7.2195130,-48.2417945" TargetMode="External"/><Relationship Id="rId83" Type="http://schemas.openxmlformats.org/officeDocument/2006/relationships/hyperlink" Target="https://www.google.com/maps?q=-7.2196375,-48.2417470" TargetMode="External"/><Relationship Id="rId84" Type="http://schemas.openxmlformats.org/officeDocument/2006/relationships/hyperlink" Target="https://www.google.com/maps?q=-7.2193290,-48.2416350" TargetMode="External"/><Relationship Id="rId85" Type="http://schemas.openxmlformats.org/officeDocument/2006/relationships/hyperlink" Target="https://www.google.com/maps?q=-7.2192370,-48.2413410" TargetMode="External"/><Relationship Id="rId86" Type="http://schemas.openxmlformats.org/officeDocument/2006/relationships/hyperlink" Target="https://www.google.com/maps?q=-7.2190660,-48.2407370" TargetMode="External"/><Relationship Id="rId87" Type="http://schemas.openxmlformats.org/officeDocument/2006/relationships/hyperlink" Target="https://www.google.com/maps?q=-7.2189075,-48.2402085" TargetMode="External"/><Relationship Id="rId88" Type="http://schemas.openxmlformats.org/officeDocument/2006/relationships/hyperlink" Target="https://www.google.com/maps?q=-7.2185690,-48.2390550" TargetMode="External"/><Relationship Id="rId89" Type="http://schemas.openxmlformats.org/officeDocument/2006/relationships/hyperlink" Target="https://www.google.com/maps?q=-7.2182095,-48.2378275" TargetMode="External"/><Relationship Id="rId90" Type="http://schemas.openxmlformats.org/officeDocument/2006/relationships/hyperlink" Target="https://www.google.com/maps?q=-7.2181795,-48.2377220" TargetMode="External"/><Relationship Id="rId91" Type="http://schemas.openxmlformats.org/officeDocument/2006/relationships/hyperlink" Target="https://www.google.com/maps?q=-7.2182560,-48.2379085" TargetMode="External"/><Relationship Id="rId92" Type="http://schemas.openxmlformats.org/officeDocument/2006/relationships/hyperlink" Target="https://www.google.com/maps?q=-7.2182955,-48.2378965" TargetMode="External"/><Relationship Id="rId93" Type="http://schemas.openxmlformats.org/officeDocument/2006/relationships/hyperlink" Target="https://www.google.com/maps?q=-7.2188025,-48.2377610" TargetMode="External"/><Relationship Id="rId94" Type="http://schemas.openxmlformats.org/officeDocument/2006/relationships/hyperlink" Target="https://www.google.com/maps?q=-7.2199750,-48.2374305" TargetMode="External"/><Relationship Id="rId95" Type="http://schemas.openxmlformats.org/officeDocument/2006/relationships/hyperlink" Target="https://www.google.com/maps?q=-7.2210830,-48.2371090" TargetMode="External"/><Relationship Id="rId96" Type="http://schemas.openxmlformats.org/officeDocument/2006/relationships/hyperlink" Target="https://www.google.com/maps?q=-7.2214775,-48.2368745" TargetMode="External"/><Relationship Id="rId97" Type="http://schemas.openxmlformats.org/officeDocument/2006/relationships/hyperlink" Target="https://www.google.com/maps?q=-7.2214425,-48.2367445" TargetMode="External"/><Relationship Id="rId98" Type="http://schemas.openxmlformats.org/officeDocument/2006/relationships/hyperlink" Target="https://www.google.com/maps?q=-7.2212350,-48.2360455" TargetMode="External"/><Relationship Id="rId99" Type="http://schemas.openxmlformats.org/officeDocument/2006/relationships/hyperlink" Target="https://www.google.com/maps?q=-7.2210300,-48.2353510" TargetMode="External"/><Relationship Id="rId100" Type="http://schemas.openxmlformats.org/officeDocument/2006/relationships/hyperlink" Target="https://www.google.com/maps?q=-7.2208200,-48.2346525" TargetMode="External"/><Relationship Id="rId101" Type="http://schemas.openxmlformats.org/officeDocument/2006/relationships/hyperlink" Target="https://www.google.com/maps?q=-7.2203185,-48.2329880" TargetMode="External"/><Relationship Id="rId102" Type="http://schemas.openxmlformats.org/officeDocument/2006/relationships/hyperlink" Target="https://www.google.com/maps?q=-7.2199875,-48.2318860" TargetMode="External"/><Relationship Id="rId103" Type="http://schemas.openxmlformats.org/officeDocument/2006/relationships/hyperlink" Target="https://www.google.com/maps?q=-7.2199480,-48.2317495" TargetMode="External"/><Relationship Id="rId104" Type="http://schemas.openxmlformats.org/officeDocument/2006/relationships/hyperlink" Target="https://www.google.com/maps?q=-7.2199150,-48.2316185" TargetMode="External"/><Relationship Id="rId105" Type="http://schemas.openxmlformats.org/officeDocument/2006/relationships/hyperlink" Target="https://www.google.com/maps?q=-7.2203340,-48.2313645" TargetMode="External"/><Relationship Id="rId106" Type="http://schemas.openxmlformats.org/officeDocument/2006/relationships/hyperlink" Target="https://www.google.com/maps?q=-7.2206440,-48.2307080" TargetMode="External"/><Relationship Id="rId107" Type="http://schemas.openxmlformats.org/officeDocument/2006/relationships/hyperlink" Target="https://www.google.com/maps?q=-7.2205025,-48.2301770" TargetMode="External"/><Relationship Id="rId108" Type="http://schemas.openxmlformats.org/officeDocument/2006/relationships/hyperlink" Target="https://www.google.com/maps?q=-7.2204980,-48.2300370" TargetMode="External"/><Relationship Id="rId109" Type="http://schemas.openxmlformats.org/officeDocument/2006/relationships/hyperlink" Target="https://www.google.com/maps?q=-7.2204960,-48.2298965" TargetMode="External"/><Relationship Id="rId110" Type="http://schemas.openxmlformats.org/officeDocument/2006/relationships/hyperlink" Target="https://www.google.com/maps?q=-7.2206700,-48.2291030" TargetMode="External"/><Relationship Id="rId111" Type="http://schemas.openxmlformats.org/officeDocument/2006/relationships/hyperlink" Target="https://www.google.com/maps?q=-7.2208430,-48.2283095" TargetMode="External"/><Relationship Id="rId112" Type="http://schemas.openxmlformats.org/officeDocument/2006/relationships/hyperlink" Target="https://www.google.com/maps?q=-7.2208310,-48.2281795" TargetMode="External"/><Relationship Id="rId113" Type="http://schemas.openxmlformats.org/officeDocument/2006/relationships/hyperlink" Target="https://www.google.com/maps?q=-7.2206400,-48.2280630" TargetMode="External"/><Relationship Id="rId114" Type="http://schemas.openxmlformats.org/officeDocument/2006/relationships/hyperlink" Target="https://www.google.com/maps?q=-7.2204410,-48.2280645" TargetMode="External"/><Relationship Id="rId115" Type="http://schemas.openxmlformats.org/officeDocument/2006/relationships/hyperlink" Target="https://www.google.com/maps?q=-7.2195295,-48.2280740" TargetMode="External"/><Relationship Id="rId116" Type="http://schemas.openxmlformats.org/officeDocument/2006/relationships/hyperlink" Target="https://www.google.com/maps?q=-7.2186265,-48.2280790" TargetMode="External"/><Relationship Id="rId117" Type="http://schemas.openxmlformats.org/officeDocument/2006/relationships/hyperlink" Target="https://www.google.com/maps?q=-7.2181420,-48.2280795" TargetMode="External"/><Relationship Id="rId118" Type="http://schemas.openxmlformats.org/officeDocument/2006/relationships/hyperlink" Target="https://www.google.com/maps?q=-7.2176545,-48.2280915" TargetMode="External"/><Relationship Id="rId119" Type="http://schemas.openxmlformats.org/officeDocument/2006/relationships/hyperlink" Target="https://www.google.com/maps?q=-7.2176220,-48.2280695" TargetMode="External"/><Relationship Id="rId120" Type="http://schemas.openxmlformats.org/officeDocument/2006/relationships/hyperlink" Target="https://www.google.com/maps?q=-7.2176030,-48.2280330" TargetMode="External"/><Relationship Id="rId121" Type="http://schemas.openxmlformats.org/officeDocument/2006/relationships/hyperlink" Target="https://www.google.com/maps?q=-7.2175950,-48.2270105" TargetMode="External"/><Relationship Id="rId122" Type="http://schemas.openxmlformats.org/officeDocument/2006/relationships/hyperlink" Target="https://www.google.com/maps?q=-7.2175870,-48.2259760" TargetMode="External"/><Relationship Id="rId123" Type="http://schemas.openxmlformats.org/officeDocument/2006/relationships/hyperlink" Target="https://www.google.com/maps?q=-7.2175825,-48.2250060" TargetMode="External"/><Relationship Id="rId124" Type="http://schemas.openxmlformats.org/officeDocument/2006/relationships/hyperlink" Target="https://www.google.com/maps?q=-7.2175765,-48.2240420" TargetMode="External"/><Relationship Id="rId125" Type="http://schemas.openxmlformats.org/officeDocument/2006/relationships/hyperlink" Target="https://www.google.com/maps?q=-7.2175750,-48.2239410" TargetMode="External"/><Relationship Id="rId126" Type="http://schemas.openxmlformats.org/officeDocument/2006/relationships/hyperlink" Target="https://www.google.com/maps?q=-7.2171505,-48.2238550" TargetMode="External"/><Relationship Id="rId127" Type="http://schemas.openxmlformats.org/officeDocument/2006/relationships/hyperlink" Target="https://www.google.com/maps?q=-7.2167415,-48.2238570" TargetMode="External"/><Relationship Id="rId128" Type="http://schemas.openxmlformats.org/officeDocument/2006/relationships/hyperlink" Target="https://www.google.com/maps?q=-7.2167245,-48.2238580" TargetMode="External"/><Relationship Id="rId129" Type="http://schemas.openxmlformats.org/officeDocument/2006/relationships/hyperlink" Target="https://www.google.com/maps?q=-7.2166955,-48.2239575" TargetMode="External"/><Relationship Id="rId130" Type="http://schemas.openxmlformats.org/officeDocument/2006/relationships/hyperlink" Target="https://www.google.com/maps?q=-7.2166995,-48.2240745" TargetMode="External"/><Relationship Id="rId131" Type="http://schemas.openxmlformats.org/officeDocument/2006/relationships/hyperlink" Target="https://www.google.com/maps?q=-7.2167015,-48.2242595" TargetMode="External"/><Relationship Id="rId132" Type="http://schemas.openxmlformats.org/officeDocument/2006/relationships/hyperlink" Target="https://www.google.com/maps?q=-7.2167110,-48.2252675" TargetMode="External"/><Relationship Id="rId133" Type="http://schemas.openxmlformats.org/officeDocument/2006/relationships/hyperlink" Target="https://www.google.com/maps?q=-7.2167140,-48.2261115" TargetMode="External"/><Relationship Id="rId134" Type="http://schemas.openxmlformats.org/officeDocument/2006/relationships/hyperlink" Target="https://www.google.com/maps?q=-7.2166950,-48.2236580" TargetMode="External"/><Relationship Id="rId135" Type="http://schemas.openxmlformats.org/officeDocument/2006/relationships/hyperlink" Target="https://www.google.com/maps?q=-7.2166895,-48.2234570" TargetMode="External"/><Relationship Id="rId136" Type="http://schemas.openxmlformats.org/officeDocument/2006/relationships/hyperlink" Target="https://www.google.com/maps?q=-7.2161000,-48.2234590" TargetMode="External"/><Relationship Id="rId137" Type="http://schemas.openxmlformats.org/officeDocument/2006/relationships/hyperlink" Target="https://www.google.com/maps?q=-7.2155190,-48.2234590" TargetMode="External"/><Relationship Id="rId138" Type="http://schemas.openxmlformats.org/officeDocument/2006/relationships/hyperlink" Target="https://www.google.com/maps?q=-7.2166975,-48.2232955" TargetMode="External"/><Relationship Id="rId139" Type="http://schemas.openxmlformats.org/officeDocument/2006/relationships/hyperlink" Target="https://www.google.com/maps?q=-7.2166970,-48.2231175" TargetMode="External"/><Relationship Id="rId140" Type="http://schemas.openxmlformats.org/officeDocument/2006/relationships/hyperlink" Target="https://www.google.com/maps?q=-7.2166860,-48.2220485" TargetMode="External"/><Relationship Id="rId141" Type="http://schemas.openxmlformats.org/officeDocument/2006/relationships/hyperlink" Target="https://www.google.com/maps?q=-7.2166760,-48.2209155" TargetMode="External"/><Relationship Id="rId142" Type="http://schemas.openxmlformats.org/officeDocument/2006/relationships/hyperlink" Target="https://www.google.com/maps?q=-7.2166770,-48.2208200" TargetMode="External"/><Relationship Id="rId143" Type="http://schemas.openxmlformats.org/officeDocument/2006/relationships/hyperlink" Target="https://www.google.com/maps?q=-7.2166745,-48.2206695" TargetMode="External"/><Relationship Id="rId144" Type="http://schemas.openxmlformats.org/officeDocument/2006/relationships/hyperlink" Target="https://www.google.com/maps?q=-7.2166720,-48.2205220" TargetMode="External"/><Relationship Id="rId145" Type="http://schemas.openxmlformats.org/officeDocument/2006/relationships/hyperlink" Target="https://www.google.com/maps?q=-7.2166670,-48.2198920" TargetMode="External"/><Relationship Id="rId146" Type="http://schemas.openxmlformats.org/officeDocument/2006/relationships/hyperlink" Target="https://www.google.com/maps?q=-7.2166605,-48.2191065" TargetMode="External"/><Relationship Id="rId147" Type="http://schemas.openxmlformats.org/officeDocument/2006/relationships/hyperlink" Target="https://www.google.com/maps?q=-7.2166585,-48.2189225" TargetMode="External"/><Relationship Id="rId148" Type="http://schemas.openxmlformats.org/officeDocument/2006/relationships/hyperlink" Target="https://www.google.com/maps?q=-7.2166630,-48.2188240" TargetMode="External"/><Relationship Id="rId149" Type="http://schemas.openxmlformats.org/officeDocument/2006/relationships/hyperlink" Target="https://www.google.com/maps?q=-7.2166670,-48.2187280" TargetMode="External"/><Relationship Id="rId150" Type="http://schemas.openxmlformats.org/officeDocument/2006/relationships/hyperlink" Target="https://www.google.com/maps?q=-7.2167340,-48.2186470" TargetMode="External"/><Relationship Id="rId151" Type="http://schemas.openxmlformats.org/officeDocument/2006/relationships/hyperlink" Target="https://www.google.com/maps?q=-7.2168085,-48.2185695" TargetMode="External"/><Relationship Id="rId152" Type="http://schemas.openxmlformats.org/officeDocument/2006/relationships/hyperlink" Target="https://www.google.com/maps?q=-7.2166050,-48.2184730" TargetMode="External"/><Relationship Id="rId153" Type="http://schemas.openxmlformats.org/officeDocument/2006/relationships/hyperlink" Target="https://www.google.com/maps?q=-7.2163815,-48.2183870" TargetMode="External"/><Relationship Id="rId154" Type="http://schemas.openxmlformats.org/officeDocument/2006/relationships/hyperlink" Target="https://www.google.com/maps?q=-7.2161645,-48.2183915" TargetMode="External"/><Relationship Id="rId155" Type="http://schemas.openxmlformats.org/officeDocument/2006/relationships/hyperlink" Target="https://www.google.com/maps?q=-7.2157870,-48.2183295" TargetMode="External"/><Relationship Id="rId156" Type="http://schemas.openxmlformats.org/officeDocument/2006/relationships/hyperlink" Target="https://www.google.com/maps?q=-7.2156035,-48.2182540" TargetMode="External"/><Relationship Id="rId157" Type="http://schemas.openxmlformats.org/officeDocument/2006/relationships/hyperlink" Target="https://www.google.com/maps?q=-7.2154720,-48.2181285" TargetMode="External"/><Relationship Id="rId158" Type="http://schemas.openxmlformats.org/officeDocument/2006/relationships/hyperlink" Target="https://www.google.com/maps?q=-7.2153505,-48.2180020" TargetMode="External"/><Relationship Id="rId159" Type="http://schemas.openxmlformats.org/officeDocument/2006/relationships/hyperlink" Target="https://www.google.com/maps?q=-7.2153530,-48.2179530" TargetMode="External"/><Relationship Id="rId160" Type="http://schemas.openxmlformats.org/officeDocument/2006/relationships/hyperlink" Target="https://www.google.com/maps?q=-7.2153655,-48.2179045" TargetMode="External"/><Relationship Id="rId161" Type="http://schemas.openxmlformats.org/officeDocument/2006/relationships/hyperlink" Target="https://www.google.com/maps?q=-7.2156315,-48.2176325" TargetMode="External"/><Relationship Id="rId162" Type="http://schemas.openxmlformats.org/officeDocument/2006/relationships/hyperlink" Target="https://www.google.com/maps?q=-7.2158735,-48.2173830" TargetMode="External"/><Relationship Id="rId163" Type="http://schemas.openxmlformats.org/officeDocument/2006/relationships/hyperlink" Target="https://www.google.com/maps?q=-7.2166915,-48.2205010" TargetMode="External"/><Relationship Id="rId164" Type="http://schemas.openxmlformats.org/officeDocument/2006/relationships/hyperlink" Target="https://www.google.com/maps?q=-7.2167185,-48.2204880" TargetMode="External"/><Relationship Id="rId165" Type="http://schemas.openxmlformats.org/officeDocument/2006/relationships/hyperlink" Target="https://www.google.com/maps?q=-7.2167855,-48.2204835" TargetMode="External"/><Relationship Id="rId166" Type="http://schemas.openxmlformats.org/officeDocument/2006/relationships/hyperlink" Target="https://www.google.com/maps?q=-7.2168395,-48.2204830" TargetMode="External"/><Relationship Id="rId167" Type="http://schemas.openxmlformats.org/officeDocument/2006/relationships/hyperlink" Target="https://www.google.com/maps?q=-7.2200270,-48.2320075" TargetMode="External"/><Relationship Id="rId168" Type="http://schemas.openxmlformats.org/officeDocument/2006/relationships/hyperlink" Target="https://www.google.com/maps?q=-7.2215440,-48.2369755" TargetMode="External"/><Relationship Id="rId169" Type="http://schemas.openxmlformats.org/officeDocument/2006/relationships/hyperlink" Target="https://www.google.com/maps?q=-7.2215970,-48.2369600" TargetMode="External"/><Relationship Id="rId170" Type="http://schemas.openxmlformats.org/officeDocument/2006/relationships/hyperlink" Target="https://www.google.com/maps?q=-7.2192415,-48.2414310" TargetMode="External"/><Relationship Id="rId171" Type="http://schemas.openxmlformats.org/officeDocument/2006/relationships/hyperlink" Target="https://www.google.com/maps?q=-7.2206385,-48.2450195" TargetMode="External"/><Relationship Id="rId172" Type="http://schemas.openxmlformats.org/officeDocument/2006/relationships/hyperlink" Target="https://www.google.com/maps?q=-7.2215305,-48.2454305" TargetMode="External"/><Relationship Id="rId173" Type="http://schemas.openxmlformats.org/officeDocument/2006/relationships/hyperlink" Target="https://www.google.com/maps?q=-7.2216760,-48.2454925" TargetMode="External"/><Relationship Id="rId174" Type="http://schemas.openxmlformats.org/officeDocument/2006/relationships/hyperlink" Target="https://www.google.com/maps?q=-7.2226635,-48.2459585" TargetMode="External"/><Relationship Id="rId175" Type="http://schemas.openxmlformats.org/officeDocument/2006/relationships/hyperlink" Target="https://www.google.com/maps?q=-7.2236455,-48.2464230" TargetMode="External"/><Relationship Id="rId176" Type="http://schemas.openxmlformats.org/officeDocument/2006/relationships/hyperlink" Target="https://www.google.com/maps?q=-7.2237510,-48.2464765" TargetMode="External"/><Relationship Id="rId177" Type="http://schemas.openxmlformats.org/officeDocument/2006/relationships/hyperlink" Target="https://www.google.com/maps?q=-7.2239175,-48.2463615" TargetMode="External"/><Relationship Id="rId178" Type="http://schemas.openxmlformats.org/officeDocument/2006/relationships/hyperlink" Target="https://www.google.com/maps?q=-7.2244995,-48.2464490" TargetMode="External"/><Relationship Id="rId179" Type="http://schemas.openxmlformats.org/officeDocument/2006/relationships/hyperlink" Target="https://www.google.com/maps?q=-7.2250080,-48.2466940" TargetMode="External"/><Relationship Id="rId180" Type="http://schemas.openxmlformats.org/officeDocument/2006/relationships/hyperlink" Target="https://www.google.com/maps?q=-7.2237815,-48.2466925" TargetMode="External"/><Relationship Id="rId181" Type="http://schemas.openxmlformats.org/officeDocument/2006/relationships/hyperlink" Target="https://www.google.com/maps?q=-7.2235985,-48.2470940" TargetMode="External"/><Relationship Id="rId182" Type="http://schemas.openxmlformats.org/officeDocument/2006/relationships/hyperlink" Target="https://www.google.com/maps?q=-7.2234690,-48.2473400" TargetMode="External"/><Relationship Id="rId183" Type="http://schemas.openxmlformats.org/officeDocument/2006/relationships/hyperlink" Target="https://www.google.com/maps?q=-7.2234455,-48.2473885" TargetMode="External"/><Relationship Id="rId184" Type="http://schemas.openxmlformats.org/officeDocument/2006/relationships/hyperlink" Target="https://www.google.com/maps?q=-7.2232735,-48.2473470" TargetMode="External"/><Relationship Id="rId185" Type="http://schemas.openxmlformats.org/officeDocument/2006/relationships/hyperlink" Target="https://www.google.com/maps?q=-7.2229105,-48.2471665" TargetMode="External"/><Relationship Id="rId186" Type="http://schemas.openxmlformats.org/officeDocument/2006/relationships/hyperlink" Target="https://www.google.com/maps?q=-7.2227030,-48.2470605" TargetMode="External"/><Relationship Id="rId187" Type="http://schemas.openxmlformats.org/officeDocument/2006/relationships/hyperlink" Target="https://www.google.com/maps?q=-7.2237240,-48.2468630" TargetMode="External"/><Relationship Id="rId188" Type="http://schemas.openxmlformats.org/officeDocument/2006/relationships/hyperlink" Target="https://www.google.com/maps?q=-7.1971010,-48.2380860" TargetMode="External"/><Relationship Id="rId189" Type="http://schemas.openxmlformats.org/officeDocument/2006/relationships/hyperlink" Target="https://www.google.com/maps?q=-7.1970315,-48.2382350" TargetMode="External"/><Relationship Id="rId190" Type="http://schemas.openxmlformats.org/officeDocument/2006/relationships/hyperlink" Target="https://www.google.com/maps?q=-7.1969435,-48.2384225" TargetMode="External"/><Relationship Id="rId191" Type="http://schemas.openxmlformats.org/officeDocument/2006/relationships/hyperlink" Target="https://www.google.com/maps?q=-7.1968535,-48.2386300" TargetMode="External"/><Relationship Id="rId192" Type="http://schemas.openxmlformats.org/officeDocument/2006/relationships/hyperlink" Target="https://www.google.com/maps?q=-7.1971420,-48.2387705" TargetMode="External"/><Relationship Id="rId193" Type="http://schemas.openxmlformats.org/officeDocument/2006/relationships/hyperlink" Target="https://www.google.com/maps?q=-7.1974395,-48.2389120" TargetMode="External"/><Relationship Id="rId194" Type="http://schemas.openxmlformats.org/officeDocument/2006/relationships/hyperlink" Target="https://www.google.com/maps?q=-7.1985355,-48.2394230" TargetMode="External"/><Relationship Id="rId195" Type="http://schemas.openxmlformats.org/officeDocument/2006/relationships/hyperlink" Target="https://www.google.com/maps?q=-7.1994525,-48.2402845" TargetMode="External"/><Relationship Id="rId196" Type="http://schemas.openxmlformats.org/officeDocument/2006/relationships/hyperlink" Target="https://www.google.com/maps?q=-7.1992790,-48.2406770" TargetMode="External"/><Relationship Id="rId197" Type="http://schemas.openxmlformats.org/officeDocument/2006/relationships/hyperlink" Target="https://www.google.com/maps?q=-7.1990215,-48.2412435" TargetMode="External"/><Relationship Id="rId198" Type="http://schemas.openxmlformats.org/officeDocument/2006/relationships/hyperlink" Target="https://www.google.com/maps?q=-7.1987670,-48.2417890" TargetMode="External"/><Relationship Id="rId199" Type="http://schemas.openxmlformats.org/officeDocument/2006/relationships/hyperlink" Target="https://www.google.com/maps?q=-7.1986240,-48.2438150" TargetMode="External"/><Relationship Id="rId200" Type="http://schemas.openxmlformats.org/officeDocument/2006/relationships/hyperlink" Target="https://www.google.com/maps?q=-7.1984845,-48.2458425" TargetMode="External"/><Relationship Id="rId201" Type="http://schemas.openxmlformats.org/officeDocument/2006/relationships/hyperlink" Target="https://www.google.com/maps?q=-7.1986980,-48.2477950" TargetMode="External"/><Relationship Id="rId202" Type="http://schemas.openxmlformats.org/officeDocument/2006/relationships/hyperlink" Target="https://www.google.com/maps?q=-7.1989150,-48.2497540" TargetMode="External"/><Relationship Id="rId203" Type="http://schemas.openxmlformats.org/officeDocument/2006/relationships/hyperlink" Target="https://www.google.com/maps?q=-7.1989235,-48.2497805" TargetMode="External"/><Relationship Id="rId204" Type="http://schemas.openxmlformats.org/officeDocument/2006/relationships/hyperlink" Target="https://www.google.com/maps?q=-7.1989855,-48.2498160" TargetMode="External"/><Relationship Id="rId205" Type="http://schemas.openxmlformats.org/officeDocument/2006/relationships/hyperlink" Target="https://www.google.com/maps?q=-7.1995485,-48.2501475" TargetMode="External"/><Relationship Id="rId206" Type="http://schemas.openxmlformats.org/officeDocument/2006/relationships/hyperlink" Target="https://www.google.com/maps?q=-7.2000575,-48.2504575" TargetMode="External"/><Relationship Id="rId207" Type="http://schemas.openxmlformats.org/officeDocument/2006/relationships/hyperlink" Target="https://www.google.com/maps?q=-7.2000405,-48.2504950" TargetMode="External"/><Relationship Id="rId208" Type="http://schemas.openxmlformats.org/officeDocument/2006/relationships/hyperlink" Target="https://www.google.com/maps?q=-7.2000245,-48.2505245" TargetMode="External"/><Relationship Id="rId209" Type="http://schemas.openxmlformats.org/officeDocument/2006/relationships/hyperlink" Target="https://www.google.com/maps?q=-7.1990455,-48.2498405" TargetMode="External"/><Relationship Id="rId210" Type="http://schemas.openxmlformats.org/officeDocument/2006/relationships/hyperlink" Target="https://www.google.com/maps?q=-7.1985080,-48.2458475" TargetMode="External"/><Relationship Id="rId211" Type="http://schemas.openxmlformats.org/officeDocument/2006/relationships/hyperlink" Target="https://www.google.com/maps?q=-7.1996920,-48.2399650" TargetMode="External"/><Relationship Id="rId212" Type="http://schemas.openxmlformats.org/officeDocument/2006/relationships/hyperlink" Target="https://www.google.com/maps?q=-7.1997805,-48.2400090" TargetMode="External"/><Relationship Id="rId213" Type="http://schemas.openxmlformats.org/officeDocument/2006/relationships/hyperlink" Target="https://www.google.com/maps?q=-7.2004750,-48.2403355" TargetMode="External"/><Relationship Id="rId214" Type="http://schemas.openxmlformats.org/officeDocument/2006/relationships/hyperlink" Target="https://www.google.com/maps?q=-7.2012790,-48.2407120" TargetMode="External"/><Relationship Id="rId215" Type="http://schemas.openxmlformats.org/officeDocument/2006/relationships/hyperlink" Target="https://www.google.com/maps?q=-7.2019420,-48.2410215" TargetMode="External"/><Relationship Id="rId216" Type="http://schemas.openxmlformats.org/officeDocument/2006/relationships/hyperlink" Target="https://www.google.com/maps?q=-7.2022230,-48.2418080" TargetMode="External"/><Relationship Id="rId217" Type="http://schemas.openxmlformats.org/officeDocument/2006/relationships/hyperlink" Target="https://www.google.com/maps?q=-7.2017440,-48.2428030" TargetMode="External"/><Relationship Id="rId218" Type="http://schemas.openxmlformats.org/officeDocument/2006/relationships/hyperlink" Target="https://www.google.com/maps?q=-7.2015150,-48.2432780" TargetMode="External"/><Relationship Id="rId219" Type="http://schemas.openxmlformats.org/officeDocument/2006/relationships/hyperlink" Target="https://www.google.com/maps?q=-7.2014315,-48.2435290" TargetMode="External"/><Relationship Id="rId220" Type="http://schemas.openxmlformats.org/officeDocument/2006/relationships/hyperlink" Target="https://www.google.com/maps?q=-7.2013575,-48.2437825" TargetMode="External"/><Relationship Id="rId221" Type="http://schemas.openxmlformats.org/officeDocument/2006/relationships/hyperlink" Target="https://www.google.com/maps?q=-7.2025140,-48.2412045" TargetMode="External"/><Relationship Id="rId222" Type="http://schemas.openxmlformats.org/officeDocument/2006/relationships/hyperlink" Target="https://www.google.com/maps?q=-7.2026830,-48.2413685" TargetMode="External"/><Relationship Id="rId223" Type="http://schemas.openxmlformats.org/officeDocument/2006/relationships/hyperlink" Target="https://www.google.com/maps?q=-7.2028975,-48.2414690" TargetMode="External"/><Relationship Id="rId224" Type="http://schemas.openxmlformats.org/officeDocument/2006/relationships/hyperlink" Target="https://www.google.com/maps?q=-7.2033720,-48.2416910" TargetMode="External"/><Relationship Id="rId225" Type="http://schemas.openxmlformats.org/officeDocument/2006/relationships/hyperlink" Target="https://www.google.com/maps?q=-7.2042765,-48.2421140" TargetMode="External"/><Relationship Id="rId226" Type="http://schemas.openxmlformats.org/officeDocument/2006/relationships/hyperlink" Target="https://www.google.com/maps?q=-7.2047325,-48.2423270" TargetMode="External"/><Relationship Id="rId227" Type="http://schemas.openxmlformats.org/officeDocument/2006/relationships/hyperlink" Target="https://www.google.com/maps?q=-7.2048645,-48.2423875" TargetMode="External"/><Relationship Id="rId228" Type="http://schemas.openxmlformats.org/officeDocument/2006/relationships/hyperlink" Target="https://www.google.com/maps?q=-7.2049945,-48.2424485" TargetMode="External"/><Relationship Id="rId229" Type="http://schemas.openxmlformats.org/officeDocument/2006/relationships/hyperlink" Target="https://www.google.com/maps?q=-7.2051065,-48.2425040" TargetMode="External"/><Relationship Id="rId230" Type="http://schemas.openxmlformats.org/officeDocument/2006/relationships/hyperlink" Target="https://www.google.com/maps?q=-7.2053805,-48.2426340" TargetMode="External"/><Relationship Id="rId231" Type="http://schemas.openxmlformats.org/officeDocument/2006/relationships/hyperlink" Target="https://www.google.com/maps?q=-7.2057045,-48.2427860" TargetMode="External"/><Relationship Id="rId232" Type="http://schemas.openxmlformats.org/officeDocument/2006/relationships/hyperlink" Target="https://www.google.com/maps?q=-7.2058685,-48.2428625" TargetMode="External"/><Relationship Id="rId233" Type="http://schemas.openxmlformats.org/officeDocument/2006/relationships/hyperlink" Target="https://www.google.com/maps?q=-7.2061185,-48.2429770" TargetMode="External"/><Relationship Id="rId234" Type="http://schemas.openxmlformats.org/officeDocument/2006/relationships/hyperlink" Target="https://www.google.com/maps?q=-7.2063270,-48.2431725" TargetMode="External"/><Relationship Id="rId235" Type="http://schemas.openxmlformats.org/officeDocument/2006/relationships/hyperlink" Target="https://www.google.com/maps?q=-7.2062940,-48.2432755" TargetMode="External"/><Relationship Id="rId236" Type="http://schemas.openxmlformats.org/officeDocument/2006/relationships/hyperlink" Target="https://www.google.com/maps?q=-7.2062420,-48.2434390" TargetMode="External"/><Relationship Id="rId237" Type="http://schemas.openxmlformats.org/officeDocument/2006/relationships/hyperlink" Target="https://www.google.com/maps?q=-7.2058620,-48.2446750" TargetMode="External"/><Relationship Id="rId238" Type="http://schemas.openxmlformats.org/officeDocument/2006/relationships/hyperlink" Target="https://www.google.com/maps?q=-7.2050470,-48.2464480" TargetMode="External"/><Relationship Id="rId239" Type="http://schemas.openxmlformats.org/officeDocument/2006/relationships/hyperlink" Target="https://www.google.com/maps?q=-7.2045530,-48.2471475" TargetMode="External"/><Relationship Id="rId240" Type="http://schemas.openxmlformats.org/officeDocument/2006/relationships/hyperlink" Target="https://www.google.com/maps?q=-7.2044200,-48.2472205" TargetMode="External"/><Relationship Id="rId241" Type="http://schemas.openxmlformats.org/officeDocument/2006/relationships/hyperlink" Target="https://www.google.com/maps?q=-7.2042855,-48.2472845" TargetMode="External"/><Relationship Id="rId242" Type="http://schemas.openxmlformats.org/officeDocument/2006/relationships/hyperlink" Target="https://www.google.com/maps?q=-7.2046010,-48.2471535" TargetMode="External"/><Relationship Id="rId243" Type="http://schemas.openxmlformats.org/officeDocument/2006/relationships/hyperlink" Target="https://www.google.com/maps?q=-7.2055330,-48.2457655" TargetMode="External"/><Relationship Id="rId244" Type="http://schemas.openxmlformats.org/officeDocument/2006/relationships/hyperlink" Target="https://www.google.com/maps?q=-7.2064105,-48.2431115" TargetMode="External"/><Relationship Id="rId245" Type="http://schemas.openxmlformats.org/officeDocument/2006/relationships/hyperlink" Target="https://www.google.com/maps?q=-7.2064415,-48.2428355" TargetMode="External"/><Relationship Id="rId246" Type="http://schemas.openxmlformats.org/officeDocument/2006/relationships/hyperlink" Target="https://www.google.com/maps?q=-7.2065320,-48.2425710" TargetMode="External"/><Relationship Id="rId247" Type="http://schemas.openxmlformats.org/officeDocument/2006/relationships/hyperlink" Target="https://www.google.com/maps?q=-7.2066295,-48.2422505" TargetMode="External"/><Relationship Id="rId248" Type="http://schemas.openxmlformats.org/officeDocument/2006/relationships/hyperlink" Target="https://www.google.com/maps?q=-7.2051940,-48.2425825" TargetMode="External"/><Relationship Id="rId249" Type="http://schemas.openxmlformats.org/officeDocument/2006/relationships/hyperlink" Target="https://www.google.com/maps?q=-7.2051335,-48.2427130" TargetMode="External"/><Relationship Id="rId250" Type="http://schemas.openxmlformats.org/officeDocument/2006/relationships/hyperlink" Target="https://www.google.com/maps?q=-7.2050615,-48.2428670" TargetMode="External"/><Relationship Id="rId251" Type="http://schemas.openxmlformats.org/officeDocument/2006/relationships/hyperlink" Target="https://www.google.com/maps?q=-7.2050890,-48.2428155" TargetMode="External"/><Relationship Id="rId252" Type="http://schemas.openxmlformats.org/officeDocument/2006/relationships/hyperlink" Target="https://www.google.com/maps?q=-7.2052630,-48.2424350" TargetMode="External"/><Relationship Id="rId253" Type="http://schemas.openxmlformats.org/officeDocument/2006/relationships/hyperlink" Target="https://www.google.com/maps?q=-7.2014115,-48.2407745" TargetMode="External"/><Relationship Id="rId254" Type="http://schemas.openxmlformats.org/officeDocument/2006/relationships/hyperlink" Target="https://www.google.com/maps?q=-7.2014755,-48.2408190" TargetMode="External"/><Relationship Id="rId255" Type="http://schemas.openxmlformats.org/officeDocument/2006/relationships/hyperlink" Target="https://www.google.com/maps?q=-7.2015285,-48.2408695" TargetMode="External"/><Relationship Id="rId256" Type="http://schemas.openxmlformats.org/officeDocument/2006/relationships/hyperlink" Target="https://www.google.com/maps?q=-7.2012745,-48.2414140" TargetMode="External"/><Relationship Id="rId257" Type="http://schemas.openxmlformats.org/officeDocument/2006/relationships/hyperlink" Target="https://www.google.com/maps?q=-7.2009600,-48.2420820" TargetMode="External"/><Relationship Id="rId258" Type="http://schemas.openxmlformats.org/officeDocument/2006/relationships/hyperlink" Target="https://www.google.com/maps?q=-7.1996400,-48.2398785" TargetMode="External"/><Relationship Id="rId259" Type="http://schemas.openxmlformats.org/officeDocument/2006/relationships/hyperlink" Target="https://www.google.com/maps?q=-7.1968090,-48.2387135" TargetMode="External"/><Relationship Id="rId260" Type="http://schemas.openxmlformats.org/officeDocument/2006/relationships/hyperlink" Target="https://www.google.com/maps?q=-7.1977500,-48.2381935" TargetMode="External"/><Relationship Id="rId261" Type="http://schemas.openxmlformats.org/officeDocument/2006/relationships/hyperlink" Target="https://www.google.com/maps?q=-7.2000485,-48.2505515" TargetMode="External"/><Relationship Id="rId262" Type="http://schemas.openxmlformats.org/officeDocument/2006/relationships/hyperlink" Target="https://www.google.com/maps?q=-7.2000770,-48.2504900" TargetMode="External"/><Relationship Id="rId263" Type="http://schemas.openxmlformats.org/officeDocument/2006/relationships/hyperlink" Target="https://www.google.com/maps?q=-7.1991595,-48.2496280" TargetMode="External"/><Relationship Id="rId264" Type="http://schemas.openxmlformats.org/officeDocument/2006/relationships/hyperlink" Target="https://www.google.com/maps?q=-7.1993290,-48.2492770" TargetMode="External"/><Relationship Id="rId265" Type="http://schemas.openxmlformats.org/officeDocument/2006/relationships/hyperlink" Target="https://www.google.com/maps?q=-7.2014055,-48.2443975" TargetMode="External"/><Relationship Id="rId266" Type="http://schemas.openxmlformats.org/officeDocument/2006/relationships/hyperlink" Target="https://www.google.com/maps?q=-7.2014570,-48.2451415" TargetMode="External"/><Relationship Id="rId267" Type="http://schemas.openxmlformats.org/officeDocument/2006/relationships/hyperlink" Target="https://www.google.com/maps?q=-7.2041495,-48.2473485" TargetMode="External"/><Relationship Id="rId268" Type="http://schemas.openxmlformats.org/officeDocument/2006/relationships/hyperlink" Target="https://www.google.com/maps?q=-7.2040075,-48.2474165" TargetMode="External"/><Relationship Id="rId269" Type="http://schemas.openxmlformats.org/officeDocument/2006/relationships/hyperlink" Target="https://www.google.com/maps?q=-7.2032315,-48.2472940" TargetMode="External"/><Relationship Id="rId270" Type="http://schemas.openxmlformats.org/officeDocument/2006/relationships/hyperlink" Target="https://www.google.com/maps?q=-7.2023160,-48.2471225" TargetMode="External"/><Relationship Id="rId271" Type="http://schemas.openxmlformats.org/officeDocument/2006/relationships/hyperlink" Target="https://www.google.com/maps?q=-7.2049595,-48.2473660" TargetMode="External"/><Relationship Id="rId272" Type="http://schemas.openxmlformats.org/officeDocument/2006/relationships/hyperlink" Target="https://www.google.com/maps?q=-7.2052960,-48.2475650" TargetMode="External"/><Relationship Id="rId273" Type="http://schemas.openxmlformats.org/officeDocument/2006/relationships/hyperlink" Target="https://www.google.com/maps?q=-7.2053860,-48.2476360" TargetMode="External"/><Relationship Id="rId274" Type="http://schemas.openxmlformats.org/officeDocument/2006/relationships/hyperlink" Target="https://www.google.com/maps?q=-7.2054740,-48.2477105" TargetMode="External"/><Relationship Id="rId275" Type="http://schemas.openxmlformats.org/officeDocument/2006/relationships/hyperlink" Target="https://www.google.com/maps?q=-7.2063240,-48.2487765" TargetMode="External"/><Relationship Id="rId276" Type="http://schemas.openxmlformats.org/officeDocument/2006/relationships/hyperlink" Target="https://www.google.com/maps?q=-7.2071995,-48.2498485" TargetMode="External"/><Relationship Id="rId277" Type="http://schemas.openxmlformats.org/officeDocument/2006/relationships/hyperlink" Target="https://www.google.com/maps?q=-7.2083795,-48.2502250" TargetMode="External"/><Relationship Id="rId278" Type="http://schemas.openxmlformats.org/officeDocument/2006/relationships/hyperlink" Target="https://www.google.com/maps?q=-7.2095225,-48.2505925" TargetMode="External"/><Relationship Id="rId279" Type="http://schemas.openxmlformats.org/officeDocument/2006/relationships/hyperlink" Target="https://www.google.com/maps?q=-7.2098725,-48.2511555" TargetMode="External"/><Relationship Id="rId280" Type="http://schemas.openxmlformats.org/officeDocument/2006/relationships/hyperlink" Target="https://www.google.com/maps?q=-7.2103020,-48.2517770" TargetMode="External"/><Relationship Id="rId281" Type="http://schemas.openxmlformats.org/officeDocument/2006/relationships/hyperlink" Target="https://www.google.com/maps?q=-7.2104170,-48.2519030" TargetMode="External"/><Relationship Id="rId282" Type="http://schemas.openxmlformats.org/officeDocument/2006/relationships/hyperlink" Target="https://www.google.com/maps?q=-7.2102330,-48.2516855" TargetMode="External"/><Relationship Id="rId283" Type="http://schemas.openxmlformats.org/officeDocument/2006/relationships/hyperlink" Target="https://www.google.com/maps?q=-7.2097040,-48.2507025" TargetMode="External"/><Relationship Id="rId284" Type="http://schemas.openxmlformats.org/officeDocument/2006/relationships/hyperlink" Target="https://www.google.com/maps?q=-7.2107335,-48.2524395" TargetMode="External"/><Relationship Id="rId285" Type="http://schemas.openxmlformats.org/officeDocument/2006/relationships/hyperlink" Target="https://www.google.com/maps?q=-7.2103395,-48.2514390" TargetMode="External"/><Relationship Id="rId286" Type="http://schemas.openxmlformats.org/officeDocument/2006/relationships/hyperlink" Target="https://www.google.com/maps?q=-7.2055665,-48.2457790" TargetMode="External"/><Relationship Id="rId287" Type="http://schemas.openxmlformats.org/officeDocument/2006/relationships/hyperlink" Target="https://www.google.com/maps?q=-7.2056205,-48.2457745" TargetMode="External"/><Relationship Id="rId288" Type="http://schemas.openxmlformats.org/officeDocument/2006/relationships/hyperlink" Target="https://www.google.com/maps?q=-7.2055885,-48.2458075" TargetMode="External"/><Relationship Id="rId289" Type="http://schemas.openxmlformats.org/officeDocument/2006/relationships/hyperlink" Target="https://www.google.com/maps?q=-7.2051125,-48.2428280" TargetMode="External"/><Relationship Id="rId290" Type="http://schemas.openxmlformats.org/officeDocument/2006/relationships/hyperlink" Target="https://www.google.com/maps?q=-7.1971620,-48.2370720" TargetMode="External"/><Relationship Id="rId291" Type="http://schemas.openxmlformats.org/officeDocument/2006/relationships/hyperlink" Target="https://www.google.com/maps?q=-7.2067870,-48.2417710" TargetMode="External"/><Relationship Id="rId292" Type="http://schemas.openxmlformats.org/officeDocument/2006/relationships/hyperlink" Target="https://www.google.com/maps?q=-7.2073090,-48.2418365" TargetMode="External"/><Relationship Id="rId293" Type="http://schemas.openxmlformats.org/officeDocument/2006/relationships/hyperlink" Target="https://www.google.com/maps?q=-7.2077890,-48.2420615" TargetMode="External"/><Relationship Id="rId294" Type="http://schemas.openxmlformats.org/officeDocument/2006/relationships/hyperlink" Target="https://www.google.com/maps?q=-7.2078275,-48.2420790" TargetMode="External"/><Relationship Id="rId295" Type="http://schemas.openxmlformats.org/officeDocument/2006/relationships/hyperlink" Target="https://www.google.com/maps?q=-7.2100765,-48.2431295" TargetMode="External"/><Relationship Id="rId296" Type="http://schemas.openxmlformats.org/officeDocument/2006/relationships/hyperlink" Target="https://www.google.com/maps?q=-7.2123190,-48.2441780" TargetMode="External"/><Relationship Id="rId297" Type="http://schemas.openxmlformats.org/officeDocument/2006/relationships/hyperlink" Target="https://www.google.com/maps?q=-7.2132100,-48.2446395" TargetMode="External"/><Relationship Id="rId298" Type="http://schemas.openxmlformats.org/officeDocument/2006/relationships/hyperlink" Target="https://www.google.com/maps?q=-7.2141130,-48.2451050" TargetMode="External"/><Relationship Id="rId299" Type="http://schemas.openxmlformats.org/officeDocument/2006/relationships/hyperlink" Target="https://www.google.com/maps?q=-7.2143840,-48.2452220" TargetMode="External"/><Relationship Id="rId300" Type="http://schemas.openxmlformats.org/officeDocument/2006/relationships/hyperlink" Target="https://www.google.com/maps?q=-7.2148090,-48.2454555" TargetMode="External"/><Relationship Id="rId301" Type="http://schemas.openxmlformats.org/officeDocument/2006/relationships/hyperlink" Target="https://www.google.com/maps?q=-7.2161310,-48.2460830" TargetMode="External"/><Relationship Id="rId302" Type="http://schemas.openxmlformats.org/officeDocument/2006/relationships/hyperlink" Target="https://www.google.com/maps?q=-7.2172865,-48.2465880" TargetMode="External"/><Relationship Id="rId303" Type="http://schemas.openxmlformats.org/officeDocument/2006/relationships/hyperlink" Target="https://www.google.com/maps?q=-7.2174270,-48.2466425" TargetMode="External"/><Relationship Id="rId304" Type="http://schemas.openxmlformats.org/officeDocument/2006/relationships/hyperlink" Target="https://www.google.com/maps?q=-7.2180345,-48.2469095" TargetMode="External"/><Relationship Id="rId305" Type="http://schemas.openxmlformats.org/officeDocument/2006/relationships/hyperlink" Target="https://www.google.com/maps?q=-7.2185890,-48.2471625" TargetMode="External"/><Relationship Id="rId306" Type="http://schemas.openxmlformats.org/officeDocument/2006/relationships/hyperlink" Target="https://www.google.com/maps?q=-7.2188935,-48.2473085" TargetMode="External"/><Relationship Id="rId307" Type="http://schemas.openxmlformats.org/officeDocument/2006/relationships/hyperlink" Target="https://www.google.com/maps?q=-7.2191210,-48.2474275" TargetMode="External"/><Relationship Id="rId308" Type="http://schemas.openxmlformats.org/officeDocument/2006/relationships/hyperlink" Target="https://www.google.com/maps?q=-7.2188940,-48.2479485" TargetMode="External"/><Relationship Id="rId309" Type="http://schemas.openxmlformats.org/officeDocument/2006/relationships/hyperlink" Target="https://www.google.com/maps?q=-7.2195305,-48.2476140" TargetMode="External"/><Relationship Id="rId310" Type="http://schemas.openxmlformats.org/officeDocument/2006/relationships/hyperlink" Target="https://www.google.com/maps?q=-7.2203595,-48.2480240" TargetMode="External"/><Relationship Id="rId311" Type="http://schemas.openxmlformats.org/officeDocument/2006/relationships/hyperlink" Target="https://www.google.com/maps?q=-7.2216550,-48.2486480" TargetMode="External"/><Relationship Id="rId312" Type="http://schemas.openxmlformats.org/officeDocument/2006/relationships/hyperlink" Target="https://www.google.com/maps?q=-7.2225605,-48.2490700" TargetMode="External"/><Relationship Id="rId313" Type="http://schemas.openxmlformats.org/officeDocument/2006/relationships/hyperlink" Target="https://www.google.com/maps?q=-7.2231765,-48.2493460" TargetMode="External"/><Relationship Id="rId314" Type="http://schemas.openxmlformats.org/officeDocument/2006/relationships/hyperlink" Target="https://www.google.com/maps?q=-7.2237945,-48.2496225" TargetMode="External"/><Relationship Id="rId315" Type="http://schemas.openxmlformats.org/officeDocument/2006/relationships/hyperlink" Target="https://www.google.com/maps?q=-7.2240945,-48.2497610" TargetMode="External"/><Relationship Id="rId316" Type="http://schemas.openxmlformats.org/officeDocument/2006/relationships/hyperlink" Target="https://www.google.com/maps?q=-7.2247740,-48.2500950" TargetMode="External"/><Relationship Id="rId317" Type="http://schemas.openxmlformats.org/officeDocument/2006/relationships/hyperlink" Target="https://www.google.com/maps?q=-7.2255265,-48.2504615" TargetMode="External"/><Relationship Id="rId318" Type="http://schemas.openxmlformats.org/officeDocument/2006/relationships/hyperlink" Target="https://www.google.com/maps?q=-7.2264745,-48.2509025" TargetMode="External"/><Relationship Id="rId319" Type="http://schemas.openxmlformats.org/officeDocument/2006/relationships/hyperlink" Target="https://www.google.com/maps?q=-7.2270995,-48.2511945" TargetMode="External"/><Relationship Id="rId320" Type="http://schemas.openxmlformats.org/officeDocument/2006/relationships/hyperlink" Target="https://www.google.com/maps?q=-7.2274000,-48.2513310" TargetMode="External"/><Relationship Id="rId321" Type="http://schemas.openxmlformats.org/officeDocument/2006/relationships/hyperlink" Target="https://www.google.com/maps?q=-7.2281325,-48.2516660" TargetMode="External"/><Relationship Id="rId322" Type="http://schemas.openxmlformats.org/officeDocument/2006/relationships/hyperlink" Target="https://www.google.com/maps?q=-7.2285875,-48.2518835" TargetMode="External"/><Relationship Id="rId323" Type="http://schemas.openxmlformats.org/officeDocument/2006/relationships/hyperlink" Target="https://www.google.com/maps?q=-7.2286670,-48.2519930" TargetMode="External"/><Relationship Id="rId324" Type="http://schemas.openxmlformats.org/officeDocument/2006/relationships/hyperlink" Target="https://www.google.com/maps?q=-7.2287510,-48.2521005" TargetMode="External"/><Relationship Id="rId325" Type="http://schemas.openxmlformats.org/officeDocument/2006/relationships/hyperlink" Target="https://www.google.com/maps?q=-7.2301090,-48.2525285" TargetMode="External"/><Relationship Id="rId326" Type="http://schemas.openxmlformats.org/officeDocument/2006/relationships/hyperlink" Target="https://www.google.com/maps?q=-7.2314700,-48.2529525" TargetMode="External"/><Relationship Id="rId327" Type="http://schemas.openxmlformats.org/officeDocument/2006/relationships/hyperlink" Target="https://www.google.com/maps?q=-7.2316725,-48.2530165" TargetMode="External"/><Relationship Id="rId328" Type="http://schemas.openxmlformats.org/officeDocument/2006/relationships/hyperlink" Target="https://www.google.com/maps?q=-7.2318685,-48.2530405" TargetMode="External"/><Relationship Id="rId329" Type="http://schemas.openxmlformats.org/officeDocument/2006/relationships/hyperlink" Target="https://www.google.com/maps?q=-7.2318195,-48.2532170" TargetMode="External"/><Relationship Id="rId330" Type="http://schemas.openxmlformats.org/officeDocument/2006/relationships/hyperlink" Target="https://www.google.com/maps?q=-7.2317750,-48.2533745" TargetMode="External"/><Relationship Id="rId331" Type="http://schemas.openxmlformats.org/officeDocument/2006/relationships/hyperlink" Target="https://www.google.com/maps?q=-7.2317640,-48.2534095" TargetMode="External"/><Relationship Id="rId332" Type="http://schemas.openxmlformats.org/officeDocument/2006/relationships/hyperlink" Target="https://www.google.com/maps?q=-7.2315515,-48.2540930" TargetMode="External"/><Relationship Id="rId333" Type="http://schemas.openxmlformats.org/officeDocument/2006/relationships/hyperlink" Target="https://www.google.com/maps?q=-7.2312590,-48.2550320" TargetMode="External"/><Relationship Id="rId334" Type="http://schemas.openxmlformats.org/officeDocument/2006/relationships/hyperlink" Target="https://www.google.com/maps?q=-7.2311670,-48.2553265" TargetMode="External"/><Relationship Id="rId335" Type="http://schemas.openxmlformats.org/officeDocument/2006/relationships/hyperlink" Target="https://www.google.com/maps?q=-7.2310365,-48.2546660" TargetMode="External"/><Relationship Id="rId336" Type="http://schemas.openxmlformats.org/officeDocument/2006/relationships/hyperlink" Target="https://www.google.com/maps?q=-7.2307185,-48.2546055" TargetMode="External"/><Relationship Id="rId337" Type="http://schemas.openxmlformats.org/officeDocument/2006/relationships/hyperlink" Target="https://www.google.com/maps?q=-7.2309195,-48.2539285" TargetMode="External"/><Relationship Id="rId338" Type="http://schemas.openxmlformats.org/officeDocument/2006/relationships/hyperlink" Target="https://www.google.com/maps?q=-7.2311365,-48.2531945" TargetMode="External"/><Relationship Id="rId339" Type="http://schemas.openxmlformats.org/officeDocument/2006/relationships/hyperlink" Target="https://www.google.com/maps?q=-7.2311080,-48.2532815" TargetMode="External"/><Relationship Id="rId340" Type="http://schemas.openxmlformats.org/officeDocument/2006/relationships/hyperlink" Target="https://www.google.com/maps?q=-7.2305480,-48.2545220" TargetMode="External"/><Relationship Id="rId341" Type="http://schemas.openxmlformats.org/officeDocument/2006/relationships/hyperlink" Target="https://www.google.com/maps?q=-7.2302340,-48.2544290" TargetMode="External"/><Relationship Id="rId342" Type="http://schemas.openxmlformats.org/officeDocument/2006/relationships/hyperlink" Target="https://www.google.com/maps?q=-7.2301370,-48.2542465" TargetMode="External"/><Relationship Id="rId343" Type="http://schemas.openxmlformats.org/officeDocument/2006/relationships/hyperlink" Target="https://www.google.com/maps?q=-7.2297000,-48.2542715" TargetMode="External"/><Relationship Id="rId344" Type="http://schemas.openxmlformats.org/officeDocument/2006/relationships/hyperlink" Target="https://www.google.com/maps?q=-7.2291295,-48.2541040" TargetMode="External"/><Relationship Id="rId345" Type="http://schemas.openxmlformats.org/officeDocument/2006/relationships/hyperlink" Target="https://www.google.com/maps?q=-7.2298370,-48.2552225" TargetMode="External"/><Relationship Id="rId346" Type="http://schemas.openxmlformats.org/officeDocument/2006/relationships/hyperlink" Target="https://www.google.com/maps?q=-7.2293960,-48.2566305" TargetMode="External"/><Relationship Id="rId347" Type="http://schemas.openxmlformats.org/officeDocument/2006/relationships/hyperlink" Target="https://www.google.com/maps?q=-7.2292205,-48.2572210" TargetMode="External"/><Relationship Id="rId348" Type="http://schemas.openxmlformats.org/officeDocument/2006/relationships/hyperlink" Target="https://www.google.com/maps?q=-7.2292860,-48.2573905" TargetMode="External"/><Relationship Id="rId349" Type="http://schemas.openxmlformats.org/officeDocument/2006/relationships/hyperlink" Target="https://www.google.com/maps?q=-7.2293445,-48.2575600" TargetMode="External"/><Relationship Id="rId350" Type="http://schemas.openxmlformats.org/officeDocument/2006/relationships/hyperlink" Target="https://www.google.com/maps?q=-7.2290965,-48.2585560" TargetMode="External"/><Relationship Id="rId351" Type="http://schemas.openxmlformats.org/officeDocument/2006/relationships/hyperlink" Target="https://www.google.com/maps?q=-7.2288120,-48.2596995" TargetMode="External"/><Relationship Id="rId352" Type="http://schemas.openxmlformats.org/officeDocument/2006/relationships/hyperlink" Target="https://www.google.com/maps?q=-7.2287675,-48.2598765" TargetMode="External"/><Relationship Id="rId353" Type="http://schemas.openxmlformats.org/officeDocument/2006/relationships/hyperlink" Target="https://www.google.com/maps?q=-7.2286085,-48.2603320" TargetMode="External"/><Relationship Id="rId354" Type="http://schemas.openxmlformats.org/officeDocument/2006/relationships/hyperlink" Target="https://www.google.com/maps?q=-7.2284245,-48.2608900" TargetMode="External"/><Relationship Id="rId355" Type="http://schemas.openxmlformats.org/officeDocument/2006/relationships/hyperlink" Target="https://www.google.com/maps?q=-7.2283925,-48.2610225" TargetMode="External"/><Relationship Id="rId356" Type="http://schemas.openxmlformats.org/officeDocument/2006/relationships/hyperlink" Target="https://www.google.com/maps?q=-7.2283410,-48.2610610" TargetMode="External"/><Relationship Id="rId357" Type="http://schemas.openxmlformats.org/officeDocument/2006/relationships/hyperlink" Target="https://www.google.com/maps?q=-7.2282770,-48.2610780" TargetMode="External"/><Relationship Id="rId358" Type="http://schemas.openxmlformats.org/officeDocument/2006/relationships/hyperlink" Target="https://www.google.com/maps?q=-7.2276215,-48.2608755" TargetMode="External"/><Relationship Id="rId359" Type="http://schemas.openxmlformats.org/officeDocument/2006/relationships/hyperlink" Target="https://www.google.com/maps?q=-7.2268505,-48.2606505" TargetMode="External"/><Relationship Id="rId360" Type="http://schemas.openxmlformats.org/officeDocument/2006/relationships/hyperlink" Target="https://www.google.com/maps?q=-7.2269950,-48.2606400" TargetMode="External"/><Relationship Id="rId361" Type="http://schemas.openxmlformats.org/officeDocument/2006/relationships/hyperlink" Target="https://www.google.com/maps?q=-7.2267495,-48.2614210" TargetMode="External"/><Relationship Id="rId362" Type="http://schemas.openxmlformats.org/officeDocument/2006/relationships/hyperlink" Target="https://www.google.com/maps?q=-7.2264895,-48.2622700" TargetMode="External"/><Relationship Id="rId363" Type="http://schemas.openxmlformats.org/officeDocument/2006/relationships/hyperlink" Target="https://www.google.com/maps?q=-7.2265130,-48.2621590" TargetMode="External"/><Relationship Id="rId364" Type="http://schemas.openxmlformats.org/officeDocument/2006/relationships/hyperlink" Target="https://www.google.com/maps?q=-7.2284725,-48.2607720" TargetMode="External"/><Relationship Id="rId365" Type="http://schemas.openxmlformats.org/officeDocument/2006/relationships/hyperlink" Target="https://www.google.com/maps?q=-7.2293425,-48.2575410" TargetMode="External"/><Relationship Id="rId366" Type="http://schemas.openxmlformats.org/officeDocument/2006/relationships/hyperlink" Target="https://www.google.com/maps?q=-7.2292880,-48.2575490" TargetMode="External"/><Relationship Id="rId367" Type="http://schemas.openxmlformats.org/officeDocument/2006/relationships/hyperlink" Target="https://www.google.com/maps?q=-7.2296185,-48.2560695" TargetMode="External"/><Relationship Id="rId368" Type="http://schemas.openxmlformats.org/officeDocument/2006/relationships/hyperlink" Target="https://www.google.com/maps?q=-7.2292120,-48.2559450" TargetMode="External"/><Relationship Id="rId369" Type="http://schemas.openxmlformats.org/officeDocument/2006/relationships/hyperlink" Target="https://www.google.com/maps?q=-7.2285285,-48.2557345" TargetMode="External"/><Relationship Id="rId370" Type="http://schemas.openxmlformats.org/officeDocument/2006/relationships/hyperlink" Target="https://www.google.com/maps?q=-7.2314725,-48.2547945" TargetMode="External"/><Relationship Id="rId371" Type="http://schemas.openxmlformats.org/officeDocument/2006/relationships/hyperlink" Target="https://www.google.com/maps?q=-7.2321355,-48.2550000" TargetMode="External"/><Relationship Id="rId372" Type="http://schemas.openxmlformats.org/officeDocument/2006/relationships/hyperlink" Target="https://www.google.com/maps?q=-7.2327235,-48.2551880" TargetMode="External"/><Relationship Id="rId373" Type="http://schemas.openxmlformats.org/officeDocument/2006/relationships/hyperlink" Target="https://www.google.com/maps?q=-7.2326960,-48.2550315" TargetMode="External"/><Relationship Id="rId374" Type="http://schemas.openxmlformats.org/officeDocument/2006/relationships/hyperlink" Target="https://www.google.com/maps?q=-7.2326645,-48.2551965" TargetMode="External"/><Relationship Id="rId375" Type="http://schemas.openxmlformats.org/officeDocument/2006/relationships/hyperlink" Target="https://www.google.com/maps?q=-7.2326545,-48.2552410" TargetMode="External"/><Relationship Id="rId376" Type="http://schemas.openxmlformats.org/officeDocument/2006/relationships/hyperlink" Target="https://www.google.com/maps?q=-7.2323435,-48.2532255" TargetMode="External"/><Relationship Id="rId377" Type="http://schemas.openxmlformats.org/officeDocument/2006/relationships/hyperlink" Target="https://www.google.com/maps?q=-7.2328375,-48.2533960" TargetMode="External"/><Relationship Id="rId378" Type="http://schemas.openxmlformats.org/officeDocument/2006/relationships/hyperlink" Target="https://www.google.com/maps?q=-7.2328295,-48.2533750" TargetMode="External"/><Relationship Id="rId379" Type="http://schemas.openxmlformats.org/officeDocument/2006/relationships/hyperlink" Target="https://www.google.com/maps?q=-7.2328430,-48.2533650" TargetMode="External"/><Relationship Id="rId380" Type="http://schemas.openxmlformats.org/officeDocument/2006/relationships/hyperlink" Target="https://www.google.com/maps?q=-7.2276805,-48.2514805" TargetMode="External"/><Relationship Id="rId381" Type="http://schemas.openxmlformats.org/officeDocument/2006/relationships/hyperlink" Target="https://www.google.com/maps?q=-7.2258595,-48.2506345" TargetMode="External"/><Relationship Id="rId382" Type="http://schemas.openxmlformats.org/officeDocument/2006/relationships/hyperlink" Target="https://www.google.com/maps?q=-7.2251855,-48.2503125" TargetMode="External"/><Relationship Id="rId383" Type="http://schemas.openxmlformats.org/officeDocument/2006/relationships/hyperlink" Target="https://www.google.com/maps?q=-7.2251225,-48.2504435" TargetMode="External"/><Relationship Id="rId384" Type="http://schemas.openxmlformats.org/officeDocument/2006/relationships/hyperlink" Target="https://www.google.com/maps?q=-7.2250555,-48.2505860" TargetMode="External"/><Relationship Id="rId385" Type="http://schemas.openxmlformats.org/officeDocument/2006/relationships/hyperlink" Target="https://www.google.com/maps?q=-7.2243550,-48.2498950" TargetMode="External"/><Relationship Id="rId386" Type="http://schemas.openxmlformats.org/officeDocument/2006/relationships/hyperlink" Target="https://www.google.com/maps?q=-7.2237465,-48.2496095" TargetMode="External"/><Relationship Id="rId387" Type="http://schemas.openxmlformats.org/officeDocument/2006/relationships/hyperlink" Target="https://www.google.com/maps?q=-7.2237590,-48.2496090" TargetMode="External"/><Relationship Id="rId388" Type="http://schemas.openxmlformats.org/officeDocument/2006/relationships/hyperlink" Target="https://www.google.com/maps?q=-7.2199365,-48.2478125" TargetMode="External"/><Relationship Id="rId389" Type="http://schemas.openxmlformats.org/officeDocument/2006/relationships/hyperlink" Target="https://www.google.com/maps?q=-7.2184585,-48.2472470" TargetMode="External"/><Relationship Id="rId390" Type="http://schemas.openxmlformats.org/officeDocument/2006/relationships/hyperlink" Target="https://www.google.com/maps?q=-7.2183970,-48.2472970" TargetMode="External"/><Relationship Id="rId391" Type="http://schemas.openxmlformats.org/officeDocument/2006/relationships/hyperlink" Target="https://www.google.com/maps?q=-7.2175535,-48.2466995" TargetMode="External"/><Relationship Id="rId392" Type="http://schemas.openxmlformats.org/officeDocument/2006/relationships/hyperlink" Target="https://www.google.com/maps?q=-7.2175575,-48.2467635" TargetMode="External"/><Relationship Id="rId393" Type="http://schemas.openxmlformats.org/officeDocument/2006/relationships/hyperlink" Target="https://www.google.com/maps?q=-7.2175560,-48.2468320" TargetMode="External"/><Relationship Id="rId394" Type="http://schemas.openxmlformats.org/officeDocument/2006/relationships/hyperlink" Target="https://www.google.com/maps?q=-7.2171965,-48.2476010" TargetMode="External"/><Relationship Id="rId395" Type="http://schemas.openxmlformats.org/officeDocument/2006/relationships/hyperlink" Target="https://www.google.com/maps?q=-7.2169965,-48.2484325" TargetMode="External"/><Relationship Id="rId396" Type="http://schemas.openxmlformats.org/officeDocument/2006/relationships/hyperlink" Target="https://www.google.com/maps?q=-7.2171495,-48.2485165" TargetMode="External"/><Relationship Id="rId397" Type="http://schemas.openxmlformats.org/officeDocument/2006/relationships/hyperlink" Target="https://www.google.com/maps?q=-7.2170885,-48.2487615" TargetMode="External"/><Relationship Id="rId398" Type="http://schemas.openxmlformats.org/officeDocument/2006/relationships/hyperlink" Target="https://www.google.com/maps?q=-7.2169135,-48.2494385" TargetMode="External"/><Relationship Id="rId399" Type="http://schemas.openxmlformats.org/officeDocument/2006/relationships/hyperlink" Target="https://www.google.com/maps?q=-7.2167785,-48.2499525" TargetMode="External"/><Relationship Id="rId400" Type="http://schemas.openxmlformats.org/officeDocument/2006/relationships/hyperlink" Target="https://www.google.com/maps?q=-7.2166170,-48.2505695" TargetMode="External"/><Relationship Id="rId401" Type="http://schemas.openxmlformats.org/officeDocument/2006/relationships/hyperlink" Target="https://www.google.com/maps?q=-7.2164320,-48.2512765" TargetMode="External"/><Relationship Id="rId402" Type="http://schemas.openxmlformats.org/officeDocument/2006/relationships/hyperlink" Target="https://www.google.com/maps?q=-7.2164705,-48.2514625" TargetMode="External"/><Relationship Id="rId403" Type="http://schemas.openxmlformats.org/officeDocument/2006/relationships/hyperlink" Target="https://www.google.com/maps?q=-7.2156155,-48.2512300" TargetMode="External"/><Relationship Id="rId404" Type="http://schemas.openxmlformats.org/officeDocument/2006/relationships/hyperlink" Target="https://www.google.com/maps?q=-7.2142980,-48.2508760" TargetMode="External"/><Relationship Id="rId405" Type="http://schemas.openxmlformats.org/officeDocument/2006/relationships/hyperlink" Target="https://www.google.com/maps?q=-7.2137455,-48.2507200" TargetMode="External"/><Relationship Id="rId406" Type="http://schemas.openxmlformats.org/officeDocument/2006/relationships/hyperlink" Target="https://www.google.com/maps?q=-7.2137315,-48.2505065" TargetMode="External"/><Relationship Id="rId407" Type="http://schemas.openxmlformats.org/officeDocument/2006/relationships/hyperlink" Target="https://www.google.com/maps?q=-7.2137340,-48.2502985" TargetMode="External"/><Relationship Id="rId408" Type="http://schemas.openxmlformats.org/officeDocument/2006/relationships/hyperlink" Target="https://www.google.com/maps?q=-7.2131880,-48.2501650" TargetMode="External"/><Relationship Id="rId409" Type="http://schemas.openxmlformats.org/officeDocument/2006/relationships/hyperlink" Target="https://www.google.com/maps?q=-7.2126315,-48.2500680" TargetMode="External"/><Relationship Id="rId410" Type="http://schemas.openxmlformats.org/officeDocument/2006/relationships/hyperlink" Target="https://www.google.com/maps?q=-7.2122790,-48.2499565" TargetMode="External"/><Relationship Id="rId411" Type="http://schemas.openxmlformats.org/officeDocument/2006/relationships/hyperlink" Target="https://www.google.com/maps?q=-7.2119115,-48.2498780" TargetMode="External"/><Relationship Id="rId412" Type="http://schemas.openxmlformats.org/officeDocument/2006/relationships/hyperlink" Target="https://www.google.com/maps?q=-7.2118655,-48.2498975" TargetMode="External"/><Relationship Id="rId413" Type="http://schemas.openxmlformats.org/officeDocument/2006/relationships/hyperlink" Target="https://www.google.com/maps?q=-7.2118250,-48.2499500" TargetMode="External"/><Relationship Id="rId414" Type="http://schemas.openxmlformats.org/officeDocument/2006/relationships/hyperlink" Target="https://www.google.com/maps?q=-7.2142125,-48.2504020" TargetMode="External"/><Relationship Id="rId415" Type="http://schemas.openxmlformats.org/officeDocument/2006/relationships/hyperlink" Target="https://www.google.com/maps?q=-7.2148770,-48.2505640" TargetMode="External"/><Relationship Id="rId416" Type="http://schemas.openxmlformats.org/officeDocument/2006/relationships/hyperlink" Target="https://www.google.com/maps?q=-7.2146875,-48.2505045" TargetMode="External"/><Relationship Id="rId417" Type="http://schemas.openxmlformats.org/officeDocument/2006/relationships/hyperlink" Target="https://www.google.com/maps?q=-7.2162945,-48.2518005" TargetMode="External"/><Relationship Id="rId418" Type="http://schemas.openxmlformats.org/officeDocument/2006/relationships/hyperlink" Target="https://www.google.com/maps?q=-7.2161460,-48.2523700" TargetMode="External"/><Relationship Id="rId419" Type="http://schemas.openxmlformats.org/officeDocument/2006/relationships/hyperlink" Target="https://www.google.com/maps?q=-7.2160965,-48.2525600" TargetMode="External"/><Relationship Id="rId420" Type="http://schemas.openxmlformats.org/officeDocument/2006/relationships/hyperlink" Target="https://www.google.com/maps?q=-7.2160115,-48.2528825" TargetMode="External"/><Relationship Id="rId421" Type="http://schemas.openxmlformats.org/officeDocument/2006/relationships/hyperlink" Target="https://www.google.com/maps?q=-7.2158805,-48.2533805" TargetMode="External"/><Relationship Id="rId422" Type="http://schemas.openxmlformats.org/officeDocument/2006/relationships/hyperlink" Target="https://www.google.com/maps?q=-7.2159390,-48.2535640" TargetMode="External"/><Relationship Id="rId423" Type="http://schemas.openxmlformats.org/officeDocument/2006/relationships/hyperlink" Target="https://www.google.com/maps?q=-7.2151165,-48.2533460" TargetMode="External"/><Relationship Id="rId424" Type="http://schemas.openxmlformats.org/officeDocument/2006/relationships/hyperlink" Target="https://www.google.com/maps?q=-7.2143055,-48.2531310" TargetMode="External"/><Relationship Id="rId425" Type="http://schemas.openxmlformats.org/officeDocument/2006/relationships/hyperlink" Target="https://www.google.com/maps?q=-7.2143800,-48.2532050" TargetMode="External"/><Relationship Id="rId426" Type="http://schemas.openxmlformats.org/officeDocument/2006/relationships/hyperlink" Target="https://www.google.com/maps?q=-7.2143260,-48.2534045" TargetMode="External"/><Relationship Id="rId427" Type="http://schemas.openxmlformats.org/officeDocument/2006/relationships/hyperlink" Target="https://www.google.com/maps?q=-7.2144135,-48.2530775" TargetMode="External"/><Relationship Id="rId428" Type="http://schemas.openxmlformats.org/officeDocument/2006/relationships/hyperlink" Target="https://www.google.com/maps?q=-7.2157415,-48.2539115" TargetMode="External"/><Relationship Id="rId429" Type="http://schemas.openxmlformats.org/officeDocument/2006/relationships/hyperlink" Target="https://www.google.com/maps?q=-7.2155460,-48.2546585" TargetMode="External"/><Relationship Id="rId430" Type="http://schemas.openxmlformats.org/officeDocument/2006/relationships/hyperlink" Target="https://www.google.com/maps?q=-7.2152725,-48.2549850" TargetMode="External"/><Relationship Id="rId431" Type="http://schemas.openxmlformats.org/officeDocument/2006/relationships/hyperlink" Target="https://www.google.com/maps?q=-7.2149125,-48.2548910" TargetMode="External"/><Relationship Id="rId432" Type="http://schemas.openxmlformats.org/officeDocument/2006/relationships/hyperlink" Target="https://www.google.com/maps?q=-7.2154035,-48.2552005" TargetMode="External"/><Relationship Id="rId433" Type="http://schemas.openxmlformats.org/officeDocument/2006/relationships/hyperlink" Target="https://www.google.com/maps?q=-7.2158390,-48.2551345" TargetMode="External"/><Relationship Id="rId434" Type="http://schemas.openxmlformats.org/officeDocument/2006/relationships/hyperlink" Target="https://www.google.com/maps?q=-7.2163595,-48.2552725" TargetMode="External"/><Relationship Id="rId435" Type="http://schemas.openxmlformats.org/officeDocument/2006/relationships/hyperlink" Target="https://www.google.com/maps?q=-7.2162265,-48.2552525" TargetMode="External"/><Relationship Id="rId436" Type="http://schemas.openxmlformats.org/officeDocument/2006/relationships/hyperlink" Target="https://www.google.com/maps?q=-7.2161515,-48.2555400" TargetMode="External"/><Relationship Id="rId437" Type="http://schemas.openxmlformats.org/officeDocument/2006/relationships/hyperlink" Target="https://www.google.com/maps?q=-7.2160760,-48.2558295" TargetMode="External"/><Relationship Id="rId438" Type="http://schemas.openxmlformats.org/officeDocument/2006/relationships/hyperlink" Target="https://www.google.com/maps?q=-7.2160570,-48.2559015" TargetMode="External"/><Relationship Id="rId439" Type="http://schemas.openxmlformats.org/officeDocument/2006/relationships/hyperlink" Target="https://www.google.com/maps?q=-7.2155045,-48.2559025" TargetMode="External"/><Relationship Id="rId440" Type="http://schemas.openxmlformats.org/officeDocument/2006/relationships/hyperlink" Target="https://www.google.com/maps?q=-7.2149775,-48.2558095" TargetMode="External"/><Relationship Id="rId441" Type="http://schemas.openxmlformats.org/officeDocument/2006/relationships/hyperlink" Target="https://www.google.com/maps?q=-7.2148810,-48.2558390" TargetMode="External"/><Relationship Id="rId442" Type="http://schemas.openxmlformats.org/officeDocument/2006/relationships/hyperlink" Target="https://www.google.com/maps?q=-7.2148635,-48.2562215" TargetMode="External"/><Relationship Id="rId443" Type="http://schemas.openxmlformats.org/officeDocument/2006/relationships/hyperlink" Target="https://www.google.com/maps?q=-7.2146990,-48.2568150" TargetMode="External"/><Relationship Id="rId444" Type="http://schemas.openxmlformats.org/officeDocument/2006/relationships/hyperlink" Target="https://www.google.com/maps?q=-7.2161370,-48.2559650" TargetMode="External"/><Relationship Id="rId445" Type="http://schemas.openxmlformats.org/officeDocument/2006/relationships/hyperlink" Target="https://www.google.com/maps?q=-7.2159590,-48.2562760" TargetMode="External"/><Relationship Id="rId446" Type="http://schemas.openxmlformats.org/officeDocument/2006/relationships/hyperlink" Target="https://www.google.com/maps?q=-7.2158240,-48.2567955" TargetMode="External"/><Relationship Id="rId447" Type="http://schemas.openxmlformats.org/officeDocument/2006/relationships/hyperlink" Target="https://www.google.com/maps?q=-7.2156495,-48.2574565" TargetMode="External"/><Relationship Id="rId448" Type="http://schemas.openxmlformats.org/officeDocument/2006/relationships/hyperlink" Target="https://www.google.com/maps?q=-7.2154975,-48.2580310" TargetMode="External"/><Relationship Id="rId449" Type="http://schemas.openxmlformats.org/officeDocument/2006/relationships/hyperlink" Target="https://www.google.com/maps?q=-7.2155300,-48.2579165" TargetMode="External"/><Relationship Id="rId450" Type="http://schemas.openxmlformats.org/officeDocument/2006/relationships/hyperlink" Target="https://www.google.com/maps?q=-7.2168660,-48.2498990" TargetMode="External"/><Relationship Id="rId451" Type="http://schemas.openxmlformats.org/officeDocument/2006/relationships/hyperlink" Target="https://www.google.com/maps?q=-7.2169490,-48.2499230" TargetMode="External"/><Relationship Id="rId452" Type="http://schemas.openxmlformats.org/officeDocument/2006/relationships/hyperlink" Target="https://www.google.com/maps?q=-7.2175390,-48.2500760" TargetMode="External"/><Relationship Id="rId453" Type="http://schemas.openxmlformats.org/officeDocument/2006/relationships/hyperlink" Target="https://www.google.com/maps?q=-7.2181530,-48.2500705" TargetMode="External"/><Relationship Id="rId454" Type="http://schemas.openxmlformats.org/officeDocument/2006/relationships/hyperlink" Target="https://www.google.com/maps?q=-7.2180830,-48.2503340" TargetMode="External"/><Relationship Id="rId455" Type="http://schemas.openxmlformats.org/officeDocument/2006/relationships/hyperlink" Target="https://www.google.com/maps?q=-7.2180485,-48.2504575" TargetMode="External"/><Relationship Id="rId456" Type="http://schemas.openxmlformats.org/officeDocument/2006/relationships/hyperlink" Target="https://www.google.com/maps?q=-7.2166830,-48.2498510" TargetMode="External"/><Relationship Id="rId457" Type="http://schemas.openxmlformats.org/officeDocument/2006/relationships/hyperlink" Target="https://www.google.com/maps?q=-7.2172925,-48.2485720" TargetMode="External"/><Relationship Id="rId458" Type="http://schemas.openxmlformats.org/officeDocument/2006/relationships/hyperlink" Target="https://www.google.com/maps?q=-7.2167815,-48.2483240" TargetMode="External"/><Relationship Id="rId459" Type="http://schemas.openxmlformats.org/officeDocument/2006/relationships/hyperlink" Target="https://www.google.com/maps?q=-7.2167055,-48.2482860" TargetMode="External"/><Relationship Id="rId460" Type="http://schemas.openxmlformats.org/officeDocument/2006/relationships/hyperlink" Target="https://www.google.com/maps?q=-7.2166465,-48.2482795" TargetMode="External"/><Relationship Id="rId461" Type="http://schemas.openxmlformats.org/officeDocument/2006/relationships/hyperlink" Target="https://www.google.com/maps?q=-7.2168090,-48.2484200" TargetMode="External"/><Relationship Id="rId462" Type="http://schemas.openxmlformats.org/officeDocument/2006/relationships/hyperlink" Target="https://www.google.com/maps?q=-7.2149860,-48.2456155" TargetMode="External"/><Relationship Id="rId463" Type="http://schemas.openxmlformats.org/officeDocument/2006/relationships/hyperlink" Target="https://www.google.com/maps?q=-7.2146225,-48.2453465" TargetMode="External"/><Relationship Id="rId464" Type="http://schemas.openxmlformats.org/officeDocument/2006/relationships/hyperlink" Target="https://www.google.com/maps?q=-7.2310220,-48.2557950" TargetMode="External"/><Relationship Id="rId465" Type="http://schemas.openxmlformats.org/officeDocument/2006/relationships/hyperlink" Target="https://www.google.com/maps?q=-7.2306985,-48.2568435" TargetMode="External"/><Relationship Id="rId466" Type="http://schemas.openxmlformats.org/officeDocument/2006/relationships/hyperlink" Target="https://www.google.com/maps?q=-7.2305005,-48.2574545" TargetMode="External"/><Relationship Id="rId467" Type="http://schemas.openxmlformats.org/officeDocument/2006/relationships/hyperlink" Target="https://www.google.com/maps?q=-7.2315115,-48.2575485" TargetMode="External"/><Relationship Id="rId468" Type="http://schemas.openxmlformats.org/officeDocument/2006/relationships/hyperlink" Target="https://www.google.com/maps?q=-7.2345175,-48.2579055" TargetMode="External"/><Relationship Id="rId469" Type="http://schemas.openxmlformats.org/officeDocument/2006/relationships/hyperlink" Target="https://www.google.com/maps?q=-7.2364855,-48.2580740" TargetMode="External"/><Relationship Id="rId470" Type="http://schemas.openxmlformats.org/officeDocument/2006/relationships/hyperlink" Target="https://www.google.com/maps?q=-7.2365460,-48.2581580" TargetMode="External"/><Relationship Id="rId471" Type="http://schemas.openxmlformats.org/officeDocument/2006/relationships/hyperlink" Target="https://www.google.com/maps?q=-7.2366110,-48.2581635" TargetMode="External"/><Relationship Id="rId472" Type="http://schemas.openxmlformats.org/officeDocument/2006/relationships/hyperlink" Target="https://www.google.com/maps?q=-7.2366715,-48.2584420" TargetMode="External"/><Relationship Id="rId473" Type="http://schemas.openxmlformats.org/officeDocument/2006/relationships/hyperlink" Target="https://www.google.com/maps?q=-7.2369145,-48.2589180" TargetMode="External"/><Relationship Id="rId474" Type="http://schemas.openxmlformats.org/officeDocument/2006/relationships/hyperlink" Target="https://www.google.com/maps?q=-7.2325095,-48.2576675" TargetMode="External"/><Relationship Id="rId475" Type="http://schemas.openxmlformats.org/officeDocument/2006/relationships/hyperlink" Target="https://www.google.com/maps?q=-7.2304985,-48.2575010" TargetMode="External"/><Relationship Id="rId476" Type="http://schemas.openxmlformats.org/officeDocument/2006/relationships/hyperlink" Target="https://www.google.com/maps?q=-7.2308815,-48.2562425" TargetMode="External"/><Relationship Id="rId477" Type="http://schemas.openxmlformats.org/officeDocument/2006/relationships/hyperlink" Target="https://www.google.com/maps?q=-7.2380665,-48.2583410" TargetMode="External"/><Relationship Id="rId478" Type="http://schemas.openxmlformats.org/officeDocument/2006/relationships/hyperlink" Target="https://www.google.com/maps?q=-7.2394875,-48.2585230" TargetMode="External"/><Relationship Id="rId479" Type="http://schemas.openxmlformats.org/officeDocument/2006/relationships/hyperlink" Target="https://www.google.com/maps?q=-7.2400805,-48.2607190" TargetMode="External"/><Relationship Id="rId480" Type="http://schemas.openxmlformats.org/officeDocument/2006/relationships/hyperlink" Target="https://www.google.com/maps?q=-7.2411815,-48.2648365" TargetMode="External"/><Relationship Id="rId481" Type="http://schemas.openxmlformats.org/officeDocument/2006/relationships/hyperlink" Target="https://www.google.com/maps?q=-7.2418410,-48.2672005" TargetMode="External"/><Relationship Id="rId482" Type="http://schemas.openxmlformats.org/officeDocument/2006/relationships/hyperlink" Target="https://www.google.com/maps?q=-7.2419765,-48.2676440" TargetMode="External"/><Relationship Id="rId483" Type="http://schemas.openxmlformats.org/officeDocument/2006/relationships/hyperlink" Target="https://www.google.com/maps?q=-7.2418655,-48.2676780" TargetMode="External"/><Relationship Id="rId484" Type="http://schemas.openxmlformats.org/officeDocument/2006/relationships/hyperlink" Target="https://www.google.com/maps?q=-7.2417400,-48.2677590" TargetMode="External"/><Relationship Id="rId485" Type="http://schemas.openxmlformats.org/officeDocument/2006/relationships/hyperlink" Target="https://www.google.com/maps?q=-7.2419890,-48.2676370" TargetMode="External"/><Relationship Id="rId486" Type="http://schemas.openxmlformats.org/officeDocument/2006/relationships/hyperlink" Target="https://www.google.com/maps?q=-7.2419985,-48.2676555" TargetMode="External"/><Relationship Id="rId487" Type="http://schemas.openxmlformats.org/officeDocument/2006/relationships/hyperlink" Target="https://www.google.com/maps?q=-7.2417295,-48.2667750" TargetMode="External"/><Relationship Id="rId488" Type="http://schemas.openxmlformats.org/officeDocument/2006/relationships/hyperlink" Target="https://www.google.com/maps?q=-7.2407080,-48.2628930" TargetMode="External"/><Relationship Id="rId489" Type="http://schemas.openxmlformats.org/officeDocument/2006/relationships/hyperlink" Target="https://www.google.com/maps?q=-7.2415375,-48.2683260" TargetMode="External"/><Relationship Id="rId490" Type="http://schemas.openxmlformats.org/officeDocument/2006/relationships/hyperlink" Target="https://www.google.com/maps?q=-7.2413475,-48.2688325" TargetMode="External"/><Relationship Id="rId491" Type="http://schemas.openxmlformats.org/officeDocument/2006/relationships/hyperlink" Target="https://www.google.com/maps?q=-7.2412470,-48.2687850" TargetMode="External"/><Relationship Id="rId492" Type="http://schemas.openxmlformats.org/officeDocument/2006/relationships/hyperlink" Target="https://www.google.com/maps?q=-7.2410940,-48.2687710" TargetMode="External"/><Relationship Id="rId493" Type="http://schemas.openxmlformats.org/officeDocument/2006/relationships/hyperlink" Target="https://www.google.com/maps?q=-7.2411575,-48.2694425" TargetMode="External"/><Relationship Id="rId494" Type="http://schemas.openxmlformats.org/officeDocument/2006/relationships/hyperlink" Target="https://www.google.com/maps?q=-7.2393465,-48.2696210" TargetMode="External"/><Relationship Id="rId495" Type="http://schemas.openxmlformats.org/officeDocument/2006/relationships/hyperlink" Target="https://www.google.com/maps?q=-7.2375570,-48.2705170" TargetMode="External"/><Relationship Id="rId496" Type="http://schemas.openxmlformats.org/officeDocument/2006/relationships/hyperlink" Target="https://www.google.com/maps?q=-7.2374395,-48.2705985" TargetMode="External"/><Relationship Id="rId497" Type="http://schemas.openxmlformats.org/officeDocument/2006/relationships/hyperlink" Target="https://www.google.com/maps?q=-7.2345310,-48.2710885" TargetMode="External"/><Relationship Id="rId498" Type="http://schemas.openxmlformats.org/officeDocument/2006/relationships/hyperlink" Target="https://www.google.com/maps?q=-7.2316335,-48.2715785" TargetMode="External"/><Relationship Id="rId499" Type="http://schemas.openxmlformats.org/officeDocument/2006/relationships/hyperlink" Target="https://www.google.com/maps?q=-7.2316115,-48.2715855" TargetMode="External"/><Relationship Id="rId500" Type="http://schemas.openxmlformats.org/officeDocument/2006/relationships/hyperlink" Target="https://www.google.com/maps?q=-7.2316235,-48.2715690" TargetMode="External"/><Relationship Id="rId501" Type="http://schemas.openxmlformats.org/officeDocument/2006/relationships/hyperlink" Target="https://www.google.com/maps?q=-7.2315260,-48.2715235" TargetMode="External"/><Relationship Id="rId502" Type="http://schemas.openxmlformats.org/officeDocument/2006/relationships/hyperlink" Target="https://www.google.com/maps?q=-7.2314040,-48.2714400" TargetMode="External"/><Relationship Id="rId503" Type="http://schemas.openxmlformats.org/officeDocument/2006/relationships/hyperlink" Target="https://www.google.com/maps?q=-7.2374555,-48.2706000" TargetMode="External"/><Relationship Id="rId504" Type="http://schemas.openxmlformats.org/officeDocument/2006/relationships/hyperlink" Target="https://www.google.com/maps?q=-7.2374260,-48.2706745" TargetMode="External"/><Relationship Id="rId505" Type="http://schemas.openxmlformats.org/officeDocument/2006/relationships/hyperlink" Target="https://www.google.com/maps?q=-7.2376590,-48.2704495" TargetMode="External"/><Relationship Id="rId506" Type="http://schemas.openxmlformats.org/officeDocument/2006/relationships/hyperlink" Target="https://www.google.com/maps?q=-7.2376675,-48.2709250" TargetMode="External"/><Relationship Id="rId507" Type="http://schemas.openxmlformats.org/officeDocument/2006/relationships/hyperlink" Target="https://www.google.com/maps?q=-7.2376665,-48.2741055" TargetMode="External"/><Relationship Id="rId508" Type="http://schemas.openxmlformats.org/officeDocument/2006/relationships/hyperlink" Target="https://www.google.com/maps?q=-7.2376480,-48.2768175" TargetMode="External"/><Relationship Id="rId509" Type="http://schemas.openxmlformats.org/officeDocument/2006/relationships/hyperlink" Target="https://www.google.com/maps?q=-7.2365965,-48.2767025" TargetMode="External"/><Relationship Id="rId510" Type="http://schemas.openxmlformats.org/officeDocument/2006/relationships/hyperlink" Target="https://www.google.com/maps?q=-7.2346505,-48.2765380" TargetMode="External"/><Relationship Id="rId511" Type="http://schemas.openxmlformats.org/officeDocument/2006/relationships/hyperlink" Target="https://www.google.com/maps?q=-7.2337305,-48.2764895" TargetMode="External"/><Relationship Id="rId512" Type="http://schemas.openxmlformats.org/officeDocument/2006/relationships/hyperlink" Target="https://www.google.com/maps?q=-7.2322075,-48.2772420" TargetMode="External"/><Relationship Id="rId513" Type="http://schemas.openxmlformats.org/officeDocument/2006/relationships/hyperlink" Target="https://www.google.com/maps?q=-7.2306750,-48.2780430" TargetMode="External"/><Relationship Id="rId514" Type="http://schemas.openxmlformats.org/officeDocument/2006/relationships/hyperlink" Target="https://www.google.com/maps?q=-7.2355555,-48.2765760" TargetMode="External"/><Relationship Id="rId515" Type="http://schemas.openxmlformats.org/officeDocument/2006/relationships/hyperlink" Target="https://www.google.com/maps?q=-7.2376550,-48.2772730" TargetMode="External"/><Relationship Id="rId516" Type="http://schemas.openxmlformats.org/officeDocument/2006/relationships/hyperlink" Target="https://www.google.com/maps?q=-7.2376610,-48.2777390" TargetMode="External"/><Relationship Id="rId517" Type="http://schemas.openxmlformats.org/officeDocument/2006/relationships/hyperlink" Target="https://www.google.com/maps?q=-7.2381675,-48.2779330" TargetMode="External"/><Relationship Id="rId518" Type="http://schemas.openxmlformats.org/officeDocument/2006/relationships/hyperlink" Target="https://www.google.com/maps?q=-7.2390125,-48.2782315" TargetMode="External"/><Relationship Id="rId519" Type="http://schemas.openxmlformats.org/officeDocument/2006/relationships/hyperlink" Target="https://www.google.com/maps?q=-7.2393650,-48.2783415" TargetMode="External"/><Relationship Id="rId520" Type="http://schemas.openxmlformats.org/officeDocument/2006/relationships/hyperlink" Target="https://www.google.com/maps?q=-7.2400375,-48.2775720" TargetMode="External"/><Relationship Id="rId521" Type="http://schemas.openxmlformats.org/officeDocument/2006/relationships/hyperlink" Target="https://www.google.com/maps?q=-7.2407170,-48.2767870" TargetMode="External"/><Relationship Id="rId522" Type="http://schemas.openxmlformats.org/officeDocument/2006/relationships/hyperlink" Target="https://www.google.com/maps?q=-7.2399800,-48.2785590" TargetMode="External"/><Relationship Id="rId523" Type="http://schemas.openxmlformats.org/officeDocument/2006/relationships/hyperlink" Target="https://www.google.com/maps?q=-7.2406440,-48.2787875" TargetMode="External"/><Relationship Id="rId524" Type="http://schemas.openxmlformats.org/officeDocument/2006/relationships/hyperlink" Target="https://www.google.com/maps?q=-7.2376970,-48.2713955" TargetMode="External"/><Relationship Id="rId525" Type="http://schemas.openxmlformats.org/officeDocument/2006/relationships/hyperlink" Target="https://www.google.com/maps?q=-7.2314330,-48.2716005" TargetMode="External"/><Relationship Id="rId526" Type="http://schemas.openxmlformats.org/officeDocument/2006/relationships/hyperlink" Target="https://www.google.com/maps?q=-7.2297330,-48.2700680" TargetMode="External"/><Relationship Id="rId527" Type="http://schemas.openxmlformats.org/officeDocument/2006/relationships/hyperlink" Target="https://www.google.com/maps?q=-7.2368975,-48.2718175" TargetMode="External"/><Relationship Id="rId528" Type="http://schemas.openxmlformats.org/officeDocument/2006/relationships/hyperlink" Target="https://www.google.com/maps?q=-7.2304110,-48.2785545" TargetMode="External"/><Relationship Id="rId529" Type="http://schemas.openxmlformats.org/officeDocument/2006/relationships/hyperlink" Target="https://www.google.com/maps?q=-7.2355670,-48.2764445" TargetMode="External"/><Relationship Id="rId530" Type="http://schemas.openxmlformats.org/officeDocument/2006/relationships/hyperlink" Target="https://www.google.com/maps?q=-7.2355800,-48.2763160" TargetMode="External"/><Relationship Id="rId531" Type="http://schemas.openxmlformats.org/officeDocument/2006/relationships/hyperlink" Target="https://www.google.com/maps?q=-7.2357570,-48.2760000" TargetMode="External"/><Relationship Id="rId532" Type="http://schemas.openxmlformats.org/officeDocument/2006/relationships/hyperlink" Target="https://www.google.com/maps?q=-7.2408430,-48.2765675" TargetMode="External"/><Relationship Id="rId533" Type="http://schemas.openxmlformats.org/officeDocument/2006/relationships/hyperlink" Target="https://www.google.com/maps?q=-7.2410725,-48.2789595" TargetMode="External"/><Relationship Id="rId534" Type="http://schemas.openxmlformats.org/officeDocument/2006/relationships/hyperlink" Target="https://www.google.com/maps?q=-7.2388230,-48.2716700" TargetMode="External"/><Relationship Id="rId535" Type="http://schemas.openxmlformats.org/officeDocument/2006/relationships/hyperlink" Target="https://www.google.com/maps?q=-7.2420230,-48.2678090" TargetMode="External"/><Relationship Id="rId536" Type="http://schemas.openxmlformats.org/officeDocument/2006/relationships/hyperlink" Target="https://www.google.com/maps?q=-7.2420215,-48.2668545" TargetMode="External"/><Relationship Id="rId537" Type="http://schemas.openxmlformats.org/officeDocument/2006/relationships/hyperlink" Target="https://www.google.com/maps?q=-7.2422620,-48.2624630" TargetMode="External"/><Relationship Id="rId538" Type="http://schemas.openxmlformats.org/officeDocument/2006/relationships/hyperlink" Target="https://www.google.com/maps?q=-7.2325115,-48.2578015" TargetMode="External"/><Relationship Id="rId539" Type="http://schemas.openxmlformats.org/officeDocument/2006/relationships/hyperlink" Target="https://www.google.com/maps?q=-7.2325085,-48.2584805" TargetMode="External"/><Relationship Id="rId540" Type="http://schemas.openxmlformats.org/officeDocument/2006/relationships/hyperlink" Target="https://www.google.com/maps?q=-7.2325020,-48.2593495" TargetMode="External"/><Relationship Id="rId541" Type="http://schemas.openxmlformats.org/officeDocument/2006/relationships/hyperlink" Target="https://www.google.com/maps?q=-7.2324990,-48.2596770" TargetMode="External"/><Relationship Id="rId542" Type="http://schemas.openxmlformats.org/officeDocument/2006/relationships/hyperlink" Target="https://www.google.com/maps?q=-7.2324980,-48.2598325" TargetMode="External"/><Relationship Id="rId543" Type="http://schemas.openxmlformats.org/officeDocument/2006/relationships/hyperlink" Target="https://www.google.com/maps?q=-7.2324980,-48.2599880" TargetMode="External"/><Relationship Id="rId544" Type="http://schemas.openxmlformats.org/officeDocument/2006/relationships/hyperlink" Target="https://www.google.com/maps?q=-7.2325375,-48.2579245" TargetMode="External"/><Relationship Id="rId545" Type="http://schemas.openxmlformats.org/officeDocument/2006/relationships/hyperlink" Target="https://www.google.com/maps?q=-7.2318545,-48.2578560" TargetMode="External"/><Relationship Id="rId546" Type="http://schemas.openxmlformats.org/officeDocument/2006/relationships/hyperlink" Target="https://www.google.com/maps?q=-7.2311980,-48.2577360" TargetMode="External"/><Relationship Id="rId547" Type="http://schemas.openxmlformats.org/officeDocument/2006/relationships/hyperlink" Target="https://www.google.com/maps?q=-7.2311635,-48.2577875" TargetMode="External"/><Relationship Id="rId548" Type="http://schemas.openxmlformats.org/officeDocument/2006/relationships/hyperlink" Target="https://www.google.com/maps?q=-7.2311815,-48.2582150" TargetMode="External"/><Relationship Id="rId549" Type="http://schemas.openxmlformats.org/officeDocument/2006/relationships/hyperlink" Target="https://www.google.com/maps?q=-7.2311615,-48.2588090" TargetMode="External"/><Relationship Id="rId550" Type="http://schemas.openxmlformats.org/officeDocument/2006/relationships/hyperlink" Target="https://www.google.com/maps?q=-7.2324935,-48.2606385" TargetMode="External"/><Relationship Id="rId551" Type="http://schemas.openxmlformats.org/officeDocument/2006/relationships/hyperlink" Target="https://www.google.com/maps?q=-7.2324880,-48.2612905" TargetMode="External"/><Relationship Id="rId552" Type="http://schemas.openxmlformats.org/officeDocument/2006/relationships/hyperlink" Target="https://www.google.com/maps?q=-7.2324950,-48.2613175" TargetMode="External"/><Relationship Id="rId553" Type="http://schemas.openxmlformats.org/officeDocument/2006/relationships/hyperlink" Target="https://www.google.com/maps?q=-7.2329940,-48.2613810" TargetMode="External"/><Relationship Id="rId554" Type="http://schemas.openxmlformats.org/officeDocument/2006/relationships/hyperlink" Target="https://www.google.com/maps?q=-7.2334915,-48.2614455" TargetMode="External"/><Relationship Id="rId555" Type="http://schemas.openxmlformats.org/officeDocument/2006/relationships/hyperlink" Target="https://www.google.com/maps?q=-7.2336820,-48.2628315" TargetMode="External"/><Relationship Id="rId556" Type="http://schemas.openxmlformats.org/officeDocument/2006/relationships/hyperlink" Target="https://www.google.com/maps?q=-7.2324805,-48.2612725" TargetMode="External"/><Relationship Id="rId557" Type="http://schemas.openxmlformats.org/officeDocument/2006/relationships/hyperlink" Target="https://www.google.com/maps?q=-7.2322520,-48.2612940" TargetMode="External"/><Relationship Id="rId558" Type="http://schemas.openxmlformats.org/officeDocument/2006/relationships/hyperlink" Target="https://www.google.com/maps?q=-7.2320235,-48.2613240" TargetMode="External"/><Relationship Id="rId559" Type="http://schemas.openxmlformats.org/officeDocument/2006/relationships/hyperlink" Target="https://www.google.com/maps?q=-7.2320125,-48.2614610" TargetMode="External"/><Relationship Id="rId560" Type="http://schemas.openxmlformats.org/officeDocument/2006/relationships/hyperlink" Target="https://www.google.com/maps?q=-7.2308675,-48.2562255" TargetMode="External"/><Relationship Id="rId561" Type="http://schemas.openxmlformats.org/officeDocument/2006/relationships/hyperlink" Target="https://www.google.com/maps?q=-7.2308160,-48.2561910" TargetMode="External"/><Relationship Id="rId562" Type="http://schemas.openxmlformats.org/officeDocument/2006/relationships/hyperlink" Target="https://www.google.com/maps?q=-7.2308615,-48.2561675" TargetMode="External"/><Relationship Id="rId563" Type="http://schemas.openxmlformats.org/officeDocument/2006/relationships/hyperlink" Target="https://www.google.com/maps?q=-7.2310790,-48.2532760" TargetMode="External"/><Relationship Id="rId564" Type="http://schemas.openxmlformats.org/officeDocument/2006/relationships/hyperlink" Target="https://www.google.com/maps?q=-7.2310570,-48.2532300" TargetMode="External"/><Relationship Id="rId565" Type="http://schemas.openxmlformats.org/officeDocument/2006/relationships/hyperlink" Target="https://www.google.com/maps?q=-7.2264705,-48.2621060" TargetMode="External"/><Relationship Id="rId566" Type="http://schemas.openxmlformats.org/officeDocument/2006/relationships/hyperlink" Target="https://www.google.com/maps?q=-7.2286660,-48.2607500" TargetMode="External"/><Relationship Id="rId567" Type="http://schemas.openxmlformats.org/officeDocument/2006/relationships/hyperlink" Target="https://www.google.com/maps?q=-7.2293715,-48.2606305" TargetMode="External"/><Relationship Id="rId568" Type="http://schemas.openxmlformats.org/officeDocument/2006/relationships/hyperlink" Target="https://www.google.com/maps?q=-7.2299645,-48.2605175" TargetMode="External"/><Relationship Id="rId569" Type="http://schemas.openxmlformats.org/officeDocument/2006/relationships/hyperlink" Target="https://www.google.com/maps?q=-7.2299980,-48.2608805" TargetMode="External"/><Relationship Id="rId570" Type="http://schemas.openxmlformats.org/officeDocument/2006/relationships/hyperlink" Target="https://www.google.com/maps?q=-7.2301315,-48.2613665" TargetMode="External"/><Relationship Id="rId571" Type="http://schemas.openxmlformats.org/officeDocument/2006/relationships/hyperlink" Target="https://www.google.com/maps?q=-7.2298920,-48.2604640" TargetMode="External"/><Relationship Id="rId572" Type="http://schemas.openxmlformats.org/officeDocument/2006/relationships/hyperlink" Target="https://www.google.com/maps?q=-7.2288425,-48.2607460" TargetMode="External"/><Relationship Id="rId573" Type="http://schemas.openxmlformats.org/officeDocument/2006/relationships/hyperlink" Target="https://www.google.com/maps?q=-7.2289170,-48.2610205" TargetMode="External"/><Relationship Id="rId574" Type="http://schemas.openxmlformats.org/officeDocument/2006/relationships/hyperlink" Target="https://www.google.com/maps?q=-7.2289930,-48.2612925" TargetMode="External"/><Relationship Id="rId575" Type="http://schemas.openxmlformats.org/officeDocument/2006/relationships/hyperlink" Target="https://www.google.com/maps?q=-7.2291145,-48.2617385" TargetMode="External"/><Relationship Id="rId576" Type="http://schemas.openxmlformats.org/officeDocument/2006/relationships/hyperlink" Target="https://www.google.com/maps?q=-7.2292715,-48.2623235" TargetMode="External"/><Relationship Id="rId577" Type="http://schemas.openxmlformats.org/officeDocument/2006/relationships/hyperlink" Target="https://www.google.com/maps?q=-7.2288030,-48.2576575" TargetMode="External"/><Relationship Id="rId578" Type="http://schemas.openxmlformats.org/officeDocument/2006/relationships/hyperlink" Target="https://www.google.com/maps?q=-7.2326175,-48.2553985" TargetMode="External"/><Relationship Id="rId579" Type="http://schemas.openxmlformats.org/officeDocument/2006/relationships/hyperlink" Target="https://www.google.com/maps?q=-7.2325920,-48.2555430" TargetMode="External"/><Relationship Id="rId580" Type="http://schemas.openxmlformats.org/officeDocument/2006/relationships/hyperlink" Target="https://www.google.com/maps?q=-7.2327110,-48.2555930" TargetMode="External"/><Relationship Id="rId581" Type="http://schemas.openxmlformats.org/officeDocument/2006/relationships/hyperlink" Target="https://www.google.com/maps?q=-7.2335300,-48.2559375" TargetMode="External"/><Relationship Id="rId582" Type="http://schemas.openxmlformats.org/officeDocument/2006/relationships/hyperlink" Target="https://www.google.com/maps?q=-7.2347645,-48.2564570" TargetMode="External"/><Relationship Id="rId583" Type="http://schemas.openxmlformats.org/officeDocument/2006/relationships/hyperlink" Target="https://www.google.com/maps?q=-7.2354500,-48.2567490" TargetMode="External"/><Relationship Id="rId584" Type="http://schemas.openxmlformats.org/officeDocument/2006/relationships/hyperlink" Target="https://www.google.com/maps?q=-7.2325230,-48.2557205" TargetMode="External"/><Relationship Id="rId585" Type="http://schemas.openxmlformats.org/officeDocument/2006/relationships/hyperlink" Target="https://www.google.com/maps?q=-7.2276275,-48.2516855" TargetMode="External"/><Relationship Id="rId586" Type="http://schemas.openxmlformats.org/officeDocument/2006/relationships/hyperlink" Target="https://www.google.com/maps?q=-7.2275750,-48.2518865" TargetMode="External"/><Relationship Id="rId587" Type="http://schemas.openxmlformats.org/officeDocument/2006/relationships/hyperlink" Target="https://www.google.com/maps?q=-7.2272055,-48.2531000" TargetMode="External"/><Relationship Id="rId588" Type="http://schemas.openxmlformats.org/officeDocument/2006/relationships/hyperlink" Target="https://www.google.com/maps?q=-7.2268360,-48.2543130" TargetMode="External"/><Relationship Id="rId589" Type="http://schemas.openxmlformats.org/officeDocument/2006/relationships/hyperlink" Target="https://www.google.com/maps?q=-7.2267295,-48.2546900" TargetMode="External"/><Relationship Id="rId590" Type="http://schemas.openxmlformats.org/officeDocument/2006/relationships/hyperlink" Target="https://www.google.com/maps?q=-7.2266135,-48.2550460" TargetMode="External"/><Relationship Id="rId591" Type="http://schemas.openxmlformats.org/officeDocument/2006/relationships/hyperlink" Target="https://www.google.com/maps?q=-7.2264670,-48.2549945" TargetMode="External"/><Relationship Id="rId592" Type="http://schemas.openxmlformats.org/officeDocument/2006/relationships/hyperlink" Target="https://www.google.com/maps?q=-7.2262095,-48.2549745" TargetMode="External"/><Relationship Id="rId593" Type="http://schemas.openxmlformats.org/officeDocument/2006/relationships/hyperlink" Target="https://www.google.com/maps?q=-7.2241260,-48.2530370" TargetMode="External"/><Relationship Id="rId594" Type="http://schemas.openxmlformats.org/officeDocument/2006/relationships/hyperlink" Target="https://www.google.com/maps?q=-7.2231980,-48.2554845" TargetMode="External"/><Relationship Id="rId595" Type="http://schemas.openxmlformats.org/officeDocument/2006/relationships/hyperlink" Target="https://www.google.com/maps?q=-7.2229650,-48.2560945" TargetMode="External"/><Relationship Id="rId596" Type="http://schemas.openxmlformats.org/officeDocument/2006/relationships/hyperlink" Target="https://www.google.com/maps?q=-7.2227320,-48.2567045" TargetMode="External"/><Relationship Id="rId597" Type="http://schemas.openxmlformats.org/officeDocument/2006/relationships/hyperlink" Target="https://www.google.com/maps?q=-7.2217720,-48.2595040" TargetMode="External"/><Relationship Id="rId598" Type="http://schemas.openxmlformats.org/officeDocument/2006/relationships/hyperlink" Target="https://www.google.com/maps?q=-7.2208725,-48.2623280" TargetMode="External"/><Relationship Id="rId599" Type="http://schemas.openxmlformats.org/officeDocument/2006/relationships/hyperlink" Target="https://www.google.com/maps?q=-7.2219620,-48.2631010" TargetMode="External"/><Relationship Id="rId600" Type="http://schemas.openxmlformats.org/officeDocument/2006/relationships/hyperlink" Target="https://www.google.com/maps?q=-7.2243100,-48.2499985" TargetMode="External"/><Relationship Id="rId601" Type="http://schemas.openxmlformats.org/officeDocument/2006/relationships/hyperlink" Target="https://www.google.com/maps?q=-7.2242595,-48.2500295" TargetMode="External"/><Relationship Id="rId602" Type="http://schemas.openxmlformats.org/officeDocument/2006/relationships/hyperlink" Target="https://www.google.com/maps?q=-7.2237555,-48.2496195" TargetMode="External"/><Relationship Id="rId603" Type="http://schemas.openxmlformats.org/officeDocument/2006/relationships/hyperlink" Target="https://www.google.com/maps?q=-7.2237420,-48.2496200" TargetMode="External"/><Relationship Id="rId604" Type="http://schemas.openxmlformats.org/officeDocument/2006/relationships/hyperlink" Target="https://www.google.com/maps?q=-7.2199410,-48.2478570" TargetMode="External"/><Relationship Id="rId605" Type="http://schemas.openxmlformats.org/officeDocument/2006/relationships/hyperlink" Target="https://www.google.com/maps?q=-7.2199455,-48.2478375" TargetMode="External"/><Relationship Id="rId606" Type="http://schemas.openxmlformats.org/officeDocument/2006/relationships/hyperlink" Target="https://www.google.com/maps?q=-7.2117565,-48.2503080" TargetMode="External"/><Relationship Id="rId607" Type="http://schemas.openxmlformats.org/officeDocument/2006/relationships/hyperlink" Target="https://www.google.com/maps?q=-7.2116890,-48.2506400" TargetMode="External"/><Relationship Id="rId608" Type="http://schemas.openxmlformats.org/officeDocument/2006/relationships/hyperlink" Target="https://www.google.com/maps?q=-7.2113355,-48.2512390" TargetMode="External"/><Relationship Id="rId609" Type="http://schemas.openxmlformats.org/officeDocument/2006/relationships/hyperlink" Target="https://www.google.com/maps?q=-7.2109820,-48.2518375" TargetMode="External"/><Relationship Id="rId610" Type="http://schemas.openxmlformats.org/officeDocument/2006/relationships/hyperlink" Target="https://www.google.com/maps?q=-7.2111330,-48.2523925" TargetMode="External"/><Relationship Id="rId611" Type="http://schemas.openxmlformats.org/officeDocument/2006/relationships/hyperlink" Target="https://www.google.com/maps?q=-7.2112860,-48.2529500" TargetMode="External"/><Relationship Id="rId612" Type="http://schemas.openxmlformats.org/officeDocument/2006/relationships/hyperlink" Target="https://www.google.com/maps?q=-7.2111830,-48.2529980" TargetMode="External"/><Relationship Id="rId613" Type="http://schemas.openxmlformats.org/officeDocument/2006/relationships/hyperlink" Target="https://www.google.com/maps?q=-7.2110805,-48.2530280" TargetMode="External"/><Relationship Id="rId614" Type="http://schemas.openxmlformats.org/officeDocument/2006/relationships/hyperlink" Target="https://www.google.com/maps?q=-7.2109755,-48.2530645" TargetMode="External"/><Relationship Id="rId615" Type="http://schemas.openxmlformats.org/officeDocument/2006/relationships/hyperlink" Target="https://www.google.com/maps?q=-7.2104830,-48.2532020" TargetMode="External"/><Relationship Id="rId616" Type="http://schemas.openxmlformats.org/officeDocument/2006/relationships/hyperlink" Target="https://www.google.com/maps?q=-7.2100900,-48.2533130" TargetMode="External"/><Relationship Id="rId617" Type="http://schemas.openxmlformats.org/officeDocument/2006/relationships/hyperlink" Target="https://www.google.com/maps?q=-7.2095325,-48.2539020" TargetMode="External"/><Relationship Id="rId618" Type="http://schemas.openxmlformats.org/officeDocument/2006/relationships/hyperlink" Target="https://www.google.com/maps?q=-7.2089730,-48.2544955" TargetMode="External"/><Relationship Id="rId619" Type="http://schemas.openxmlformats.org/officeDocument/2006/relationships/hyperlink" Target="https://www.google.com/maps?q=-7.2087985,-48.2548630" TargetMode="External"/><Relationship Id="rId620" Type="http://schemas.openxmlformats.org/officeDocument/2006/relationships/hyperlink" Target="https://www.google.com/maps?q=-7.2086290,-48.2552340" TargetMode="External"/><Relationship Id="rId621" Type="http://schemas.openxmlformats.org/officeDocument/2006/relationships/hyperlink" Target="https://www.google.com/maps?q=-7.2083740,-48.2559165" TargetMode="External"/><Relationship Id="rId622" Type="http://schemas.openxmlformats.org/officeDocument/2006/relationships/hyperlink" Target="https://www.google.com/maps?q=-7.2081260,-48.2566240" TargetMode="External"/><Relationship Id="rId623" Type="http://schemas.openxmlformats.org/officeDocument/2006/relationships/hyperlink" Target="https://www.google.com/maps?q=-7.2081290,-48.2569865" TargetMode="External"/><Relationship Id="rId624" Type="http://schemas.openxmlformats.org/officeDocument/2006/relationships/hyperlink" Target="https://www.google.com/maps?q=-7.2147300,-48.2504240" TargetMode="External"/><Relationship Id="rId625" Type="http://schemas.openxmlformats.org/officeDocument/2006/relationships/hyperlink" Target="https://www.google.com/maps?q=-7.2155555,-48.2579090" TargetMode="External"/><Relationship Id="rId626" Type="http://schemas.openxmlformats.org/officeDocument/2006/relationships/hyperlink" Target="https://www.google.com/maps?q=-7.2156020,-48.2578720" TargetMode="External"/><Relationship Id="rId627" Type="http://schemas.openxmlformats.org/officeDocument/2006/relationships/hyperlink" Target="https://www.google.com/maps?q=-7.2180095,-48.2506025" TargetMode="External"/><Relationship Id="rId628" Type="http://schemas.openxmlformats.org/officeDocument/2006/relationships/hyperlink" Target="https://www.google.com/maps?q=-7.2145240,-48.2456425" TargetMode="External"/><Relationship Id="rId629" Type="http://schemas.openxmlformats.org/officeDocument/2006/relationships/hyperlink" Target="https://www.google.com/maps?q=-7.2144270,-48.2458500" TargetMode="External"/><Relationship Id="rId630" Type="http://schemas.openxmlformats.org/officeDocument/2006/relationships/hyperlink" Target="https://www.google.com/maps?q=-7.2144160,-48.2459115" TargetMode="External"/><Relationship Id="rId631" Type="http://schemas.openxmlformats.org/officeDocument/2006/relationships/hyperlink" Target="https://www.google.com/maps?q=-7.2070770,-48.2409580" TargetMode="External"/><Relationship Id="rId632" Type="http://schemas.openxmlformats.org/officeDocument/2006/relationships/hyperlink" Target="https://www.google.com/maps?q=-7.2072590,-48.2409900" TargetMode="External"/><Relationship Id="rId633" Type="http://schemas.openxmlformats.org/officeDocument/2006/relationships/hyperlink" Target="https://www.google.com/maps?q=-7.2078610,-48.2413365" TargetMode="External"/><Relationship Id="rId634" Type="http://schemas.openxmlformats.org/officeDocument/2006/relationships/hyperlink" Target="https://www.google.com/maps?q=-7.2078915,-48.2413495" TargetMode="External"/><Relationship Id="rId635" Type="http://schemas.openxmlformats.org/officeDocument/2006/relationships/hyperlink" Target="https://www.google.com/maps?q=-7.2113150,-48.2429535" TargetMode="External"/><Relationship Id="rId636" Type="http://schemas.openxmlformats.org/officeDocument/2006/relationships/hyperlink" Target="https://www.google.com/maps?q=-7.2113210,-48.2429400" TargetMode="External"/><Relationship Id="rId637" Type="http://schemas.openxmlformats.org/officeDocument/2006/relationships/hyperlink" Target="https://www.google.com/maps?q=-7.2113310,-48.2429195" TargetMode="External"/><Relationship Id="rId638" Type="http://schemas.openxmlformats.org/officeDocument/2006/relationships/hyperlink" Target="https://www.google.com/maps?q=-7.2119510,-48.2423500" TargetMode="External"/><Relationship Id="rId639" Type="http://schemas.openxmlformats.org/officeDocument/2006/relationships/hyperlink" Target="https://www.google.com/maps?q=-7.2125675,-48.2418545" TargetMode="External"/><Relationship Id="rId640" Type="http://schemas.openxmlformats.org/officeDocument/2006/relationships/hyperlink" Target="https://www.google.com/maps?q=-7.2133600,-48.2439090" TargetMode="External"/><Relationship Id="rId641" Type="http://schemas.openxmlformats.org/officeDocument/2006/relationships/hyperlink" Target="https://www.google.com/maps?q=-7.2134245,-48.2437590" TargetMode="External"/><Relationship Id="rId642" Type="http://schemas.openxmlformats.org/officeDocument/2006/relationships/hyperlink" Target="https://www.google.com/maps?q=-7.2149410,-48.2446600" TargetMode="External"/><Relationship Id="rId643" Type="http://schemas.openxmlformats.org/officeDocument/2006/relationships/hyperlink" Target="https://www.google.com/maps?q=-7.2149685,-48.2445880" TargetMode="External"/><Relationship Id="rId644" Type="http://schemas.openxmlformats.org/officeDocument/2006/relationships/hyperlink" Target="https://www.google.com/maps?q=-7.2149815,-48.2445690" TargetMode="External"/><Relationship Id="rId645" Type="http://schemas.openxmlformats.org/officeDocument/2006/relationships/hyperlink" Target="https://www.google.com/maps?q=-7.2151940,-48.2448485" TargetMode="External"/><Relationship Id="rId646" Type="http://schemas.openxmlformats.org/officeDocument/2006/relationships/hyperlink" Target="https://www.google.com/maps?q=-7.2152935,-48.2446980" TargetMode="External"/><Relationship Id="rId647" Type="http://schemas.openxmlformats.org/officeDocument/2006/relationships/hyperlink" Target="https://www.google.com/maps?q=-7.2153875,-48.2445390" TargetMode="External"/><Relationship Id="rId648" Type="http://schemas.openxmlformats.org/officeDocument/2006/relationships/hyperlink" Target="https://www.google.com/maps?q=-7.2155150,-48.2442090" TargetMode="External"/><Relationship Id="rId649" Type="http://schemas.openxmlformats.org/officeDocument/2006/relationships/hyperlink" Target="https://www.google.com/maps?q=-7.2156225,-48.2438575" TargetMode="External"/><Relationship Id="rId650" Type="http://schemas.openxmlformats.org/officeDocument/2006/relationships/hyperlink" Target="https://www.google.com/maps?q=-7.2151165,-48.2435935" TargetMode="External"/><Relationship Id="rId651" Type="http://schemas.openxmlformats.org/officeDocument/2006/relationships/hyperlink" Target="https://www.google.com/maps?q=-7.2145425,-48.2433285" TargetMode="External"/><Relationship Id="rId652" Type="http://schemas.openxmlformats.org/officeDocument/2006/relationships/hyperlink" Target="https://www.google.com/maps?q=-7.2146235,-48.2433695" TargetMode="External"/><Relationship Id="rId653" Type="http://schemas.openxmlformats.org/officeDocument/2006/relationships/hyperlink" Target="https://www.google.com/maps?q=-7.2146165,-48.2433890" TargetMode="External"/><Relationship Id="rId654" Type="http://schemas.openxmlformats.org/officeDocument/2006/relationships/hyperlink" Target="https://www.google.com/maps?q=-7.2171635,-48.2457790" TargetMode="External"/><Relationship Id="rId655" Type="http://schemas.openxmlformats.org/officeDocument/2006/relationships/hyperlink" Target="https://www.google.com/maps?q=-7.2171970,-48.2457015" TargetMode="External"/><Relationship Id="rId656" Type="http://schemas.openxmlformats.org/officeDocument/2006/relationships/hyperlink" Target="https://www.google.com/maps?q=-7.2173540,-48.2452265" TargetMode="External"/><Relationship Id="rId657" Type="http://schemas.openxmlformats.org/officeDocument/2006/relationships/hyperlink" Target="https://www.google.com/maps?q=-7.2174360,-48.2447755" TargetMode="External"/><Relationship Id="rId658" Type="http://schemas.openxmlformats.org/officeDocument/2006/relationships/hyperlink" Target="https://www.google.com/maps?q=-7.2175050,-48.2447635" TargetMode="External"/><Relationship Id="rId659" Type="http://schemas.openxmlformats.org/officeDocument/2006/relationships/hyperlink" Target="https://www.google.com/maps?q=-7.2175480,-48.2446505" TargetMode="External"/><Relationship Id="rId660" Type="http://schemas.openxmlformats.org/officeDocument/2006/relationships/hyperlink" Target="https://www.google.com/maps?q=-7.2174375,-48.2446705" TargetMode="External"/><Relationship Id="rId661" Type="http://schemas.openxmlformats.org/officeDocument/2006/relationships/hyperlink" Target="https://www.google.com/maps?q=-7.2175785,-48.2447235" TargetMode="External"/><Relationship Id="rId662" Type="http://schemas.openxmlformats.org/officeDocument/2006/relationships/hyperlink" Target="https://www.google.com/maps?q=-7.2172065,-48.2456185" TargetMode="External"/><Relationship Id="rId663" Type="http://schemas.openxmlformats.org/officeDocument/2006/relationships/hyperlink" Target="https://www.google.com/maps?q=-7.2170025,-48.2454820" TargetMode="External"/><Relationship Id="rId664" Type="http://schemas.openxmlformats.org/officeDocument/2006/relationships/hyperlink" Target="https://www.google.com/maps?q=-7.2164120,-48.2451640" TargetMode="External"/><Relationship Id="rId665" Type="http://schemas.openxmlformats.org/officeDocument/2006/relationships/hyperlink" Target="https://www.google.com/maps?q=-7.2158420,-48.2448910" TargetMode="External"/><Relationship Id="rId666" Type="http://schemas.openxmlformats.org/officeDocument/2006/relationships/hyperlink" Target="https://www.google.com/maps?q=-7.2182430,-48.2462125" TargetMode="External"/><Relationship Id="rId667" Type="http://schemas.openxmlformats.org/officeDocument/2006/relationships/hyperlink" Target="https://www.google.com/maps?q=-7.2182650,-48.2461580" TargetMode="External"/><Relationship Id="rId668" Type="http://schemas.openxmlformats.org/officeDocument/2006/relationships/hyperlink" Target="https://www.google.com/maps?q=-7.2182915,-48.2460275" TargetMode="External"/><Relationship Id="rId669" Type="http://schemas.openxmlformats.org/officeDocument/2006/relationships/hyperlink" Target="https://www.google.com/maps?q=-7.2191395,-48.2466395" TargetMode="External"/><Relationship Id="rId670" Type="http://schemas.openxmlformats.org/officeDocument/2006/relationships/hyperlink" Target="https://www.google.com/maps?q=-7.2194285,-48.2467795" TargetMode="External"/><Relationship Id="rId671" Type="http://schemas.openxmlformats.org/officeDocument/2006/relationships/hyperlink" Target="https://www.google.com/maps?q=-7.2195805,-48.2468495" TargetMode="External"/><Relationship Id="rId672" Type="http://schemas.openxmlformats.org/officeDocument/2006/relationships/hyperlink" Target="https://www.google.com/maps?q=-7.2201945,-48.2471240" TargetMode="External"/><Relationship Id="rId673" Type="http://schemas.openxmlformats.org/officeDocument/2006/relationships/hyperlink" Target="https://www.google.com/maps?q=-7.2208140,-48.2474040" TargetMode="External"/><Relationship Id="rId674" Type="http://schemas.openxmlformats.org/officeDocument/2006/relationships/hyperlink" Target="https://www.google.com/maps?q=-7.2209860,-48.2474830" TargetMode="External"/><Relationship Id="rId675" Type="http://schemas.openxmlformats.org/officeDocument/2006/relationships/hyperlink" Target="https://www.google.com/maps?q=-7.2211430,-48.2475430" TargetMode="External"/><Relationship Id="rId676" Type="http://schemas.openxmlformats.org/officeDocument/2006/relationships/hyperlink" Target="https://www.google.com/maps?q=-7.2211480,-48.2475190" TargetMode="External"/><Relationship Id="rId677" Type="http://schemas.openxmlformats.org/officeDocument/2006/relationships/hyperlink" Target="https://www.google.com/maps?q=-7.2211585,-48.2474965" TargetMode="External"/><Relationship Id="rId678" Type="http://schemas.openxmlformats.org/officeDocument/2006/relationships/hyperlink" Target="https://www.google.com/maps?q=-7.2214765,-48.2468180" TargetMode="External"/><Relationship Id="rId679" Type="http://schemas.openxmlformats.org/officeDocument/2006/relationships/hyperlink" Target="https://www.google.com/maps?q=-7.2217955,-48.2461355" TargetMode="External"/><Relationship Id="rId680" Type="http://schemas.openxmlformats.org/officeDocument/2006/relationships/hyperlink" Target="https://www.google.com/maps?q=-7.2219775,-48.2457375" TargetMode="External"/><Relationship Id="rId681" Type="http://schemas.openxmlformats.org/officeDocument/2006/relationships/hyperlink" Target="https://www.google.com/maps?q=-7.2221605,-48.2453390" TargetMode="External"/><Relationship Id="rId682" Type="http://schemas.openxmlformats.org/officeDocument/2006/relationships/hyperlink" Target="https://www.google.com/maps?q=-7.2225310,-48.2445235" TargetMode="External"/><Relationship Id="rId683" Type="http://schemas.openxmlformats.org/officeDocument/2006/relationships/hyperlink" Target="https://www.google.com/maps?q=-7.2229015,-48.2437105" TargetMode="External"/><Relationship Id="rId684" Type="http://schemas.openxmlformats.org/officeDocument/2006/relationships/hyperlink" Target="https://www.google.com/maps?q=-7.2232885,-48.2428560" TargetMode="External"/><Relationship Id="rId685" Type="http://schemas.openxmlformats.org/officeDocument/2006/relationships/hyperlink" Target="https://www.google.com/maps?q=-7.2236715,-48.2420005" TargetMode="External"/><Relationship Id="rId686" Type="http://schemas.openxmlformats.org/officeDocument/2006/relationships/hyperlink" Target="https://www.google.com/maps?q=-7.2236735,-48.2414065" TargetMode="External"/><Relationship Id="rId687" Type="http://schemas.openxmlformats.org/officeDocument/2006/relationships/hyperlink" Target="https://www.google.com/maps?q=-7.2236710,-48.2408120" TargetMode="External"/><Relationship Id="rId688" Type="http://schemas.openxmlformats.org/officeDocument/2006/relationships/hyperlink" Target="https://www.google.com/maps?q=-7.2236210,-48.2406505" TargetMode="External"/><Relationship Id="rId689" Type="http://schemas.openxmlformats.org/officeDocument/2006/relationships/hyperlink" Target="https://www.google.com/maps?q=-7.2235680,-48.2404865" TargetMode="External"/><Relationship Id="rId690" Type="http://schemas.openxmlformats.org/officeDocument/2006/relationships/hyperlink" Target="https://www.google.com/maps?q=-7.2232420,-48.2393955" TargetMode="External"/><Relationship Id="rId691" Type="http://schemas.openxmlformats.org/officeDocument/2006/relationships/hyperlink" Target="https://www.google.com/maps?q=-7.2212190,-48.2475880" TargetMode="External"/><Relationship Id="rId692" Type="http://schemas.openxmlformats.org/officeDocument/2006/relationships/hyperlink" Target="https://www.google.com/maps?q=-7.2213085,-48.2476310" TargetMode="External"/><Relationship Id="rId693" Type="http://schemas.openxmlformats.org/officeDocument/2006/relationships/hyperlink" Target="https://www.google.com/maps?q=-7.2218410,-48.2478770" TargetMode="External"/><Relationship Id="rId694" Type="http://schemas.openxmlformats.org/officeDocument/2006/relationships/hyperlink" Target="https://www.google.com/maps?q=-7.2223730,-48.2481205" TargetMode="External"/><Relationship Id="rId695" Type="http://schemas.openxmlformats.org/officeDocument/2006/relationships/hyperlink" Target="https://www.google.com/maps?q=-7.2226725,-48.2482540" TargetMode="External"/><Relationship Id="rId696" Type="http://schemas.openxmlformats.org/officeDocument/2006/relationships/hyperlink" Target="https://www.google.com/maps?q=-7.2229620,-48.2483705" TargetMode="External"/><Relationship Id="rId697" Type="http://schemas.openxmlformats.org/officeDocument/2006/relationships/hyperlink" Target="https://www.google.com/maps?q=-7.2229870,-48.2483050" TargetMode="External"/><Relationship Id="rId698" Type="http://schemas.openxmlformats.org/officeDocument/2006/relationships/hyperlink" Target="https://www.google.com/maps?q=-7.2230915,-48.2484505" TargetMode="External"/><Relationship Id="rId699" Type="http://schemas.openxmlformats.org/officeDocument/2006/relationships/hyperlink" Target="https://www.google.com/maps?q=-7.2232390,-48.2485290" TargetMode="External"/><Relationship Id="rId700" Type="http://schemas.openxmlformats.org/officeDocument/2006/relationships/hyperlink" Target="https://www.google.com/maps?q=-7.2235825,-48.2487030" TargetMode="External"/><Relationship Id="rId701" Type="http://schemas.openxmlformats.org/officeDocument/2006/relationships/hyperlink" Target="https://www.google.com/maps?q=-7.2240160,-48.2489220" TargetMode="External"/><Relationship Id="rId702" Type="http://schemas.openxmlformats.org/officeDocument/2006/relationships/hyperlink" Target="https://www.google.com/maps?q=-7.2241325,-48.2489825" TargetMode="External"/><Relationship Id="rId703" Type="http://schemas.openxmlformats.org/officeDocument/2006/relationships/hyperlink" Target="https://www.google.com/maps?q=-7.2243840,-48.2491005" TargetMode="External"/><Relationship Id="rId704" Type="http://schemas.openxmlformats.org/officeDocument/2006/relationships/hyperlink" Target="https://www.google.com/maps?q=-7.2246250,-48.2492055" TargetMode="External"/><Relationship Id="rId705" Type="http://schemas.openxmlformats.org/officeDocument/2006/relationships/hyperlink" Target="https://www.google.com/maps?q=-7.2247725,-48.2488495" TargetMode="External"/><Relationship Id="rId706" Type="http://schemas.openxmlformats.org/officeDocument/2006/relationships/hyperlink" Target="https://www.google.com/maps?q=-7.2249365,-48.2483360" TargetMode="External"/><Relationship Id="rId707" Type="http://schemas.openxmlformats.org/officeDocument/2006/relationships/hyperlink" Target="https://www.google.com/maps?q=-7.2249230,-48.2485020" TargetMode="External"/><Relationship Id="rId708" Type="http://schemas.openxmlformats.org/officeDocument/2006/relationships/hyperlink" Target="https://www.google.com/maps?q=-7.2248915,-48.2493615" TargetMode="External"/><Relationship Id="rId709" Type="http://schemas.openxmlformats.org/officeDocument/2006/relationships/hyperlink" Target="https://www.google.com/maps?q=-7.2239145,-48.2488625" TargetMode="External"/><Relationship Id="rId710" Type="http://schemas.openxmlformats.org/officeDocument/2006/relationships/hyperlink" Target="https://www.google.com/maps?q=-7.2249745,-48.2485200" TargetMode="External"/><Relationship Id="rId711" Type="http://schemas.openxmlformats.org/officeDocument/2006/relationships/hyperlink" Target="https://www.google.com/maps?q=-7.2239355,-48.2488030" TargetMode="External"/><Relationship Id="rId712" Type="http://schemas.openxmlformats.org/officeDocument/2006/relationships/hyperlink" Target="https://www.google.com/maps?q=-7.2190855,-48.2463915" TargetMode="External"/><Relationship Id="rId713" Type="http://schemas.openxmlformats.org/officeDocument/2006/relationships/hyperlink" Target="https://www.google.com/maps?q=-7.2190990,-48.2463930" TargetMode="External"/><Relationship Id="rId714" Type="http://schemas.openxmlformats.org/officeDocument/2006/relationships/hyperlink" Target="https://www.google.com/maps?q=-7.2197915,-48.2446165" TargetMode="External"/><Relationship Id="rId715" Type="http://schemas.openxmlformats.org/officeDocument/2006/relationships/hyperlink" Target="https://www.google.com/maps?q=-7.2193715,-48.2418505" TargetMode="External"/><Relationship Id="rId716" Type="http://schemas.openxmlformats.org/officeDocument/2006/relationships/hyperlink" Target="https://www.google.com/maps?q=-7.2199415,-48.2416635" TargetMode="External"/><Relationship Id="rId717" Type="http://schemas.openxmlformats.org/officeDocument/2006/relationships/hyperlink" Target="https://www.google.com/maps?q=-7.2207880,-48.2414175" TargetMode="External"/><Relationship Id="rId718" Type="http://schemas.openxmlformats.org/officeDocument/2006/relationships/hyperlink" Target="https://www.google.com/maps?q=-7.2215400,-48.2411890" TargetMode="External"/><Relationship Id="rId719" Type="http://schemas.openxmlformats.org/officeDocument/2006/relationships/hyperlink" Target="https://www.google.com/maps?q=-7.2218380,-48.2410955" TargetMode="External"/><Relationship Id="rId720" Type="http://schemas.openxmlformats.org/officeDocument/2006/relationships/hyperlink" Target="https://www.google.com/maps?q=-7.2225290,-48.2408930" TargetMode="External"/><Relationship Id="rId721" Type="http://schemas.openxmlformats.org/officeDocument/2006/relationships/hyperlink" Target="https://www.google.com/maps?q=-7.2239715,-48.2404605" TargetMode="External"/><Relationship Id="rId722" Type="http://schemas.openxmlformats.org/officeDocument/2006/relationships/hyperlink" Target="https://www.google.com/maps?q=-7.2248115,-48.2401380" TargetMode="External"/><Relationship Id="rId723" Type="http://schemas.openxmlformats.org/officeDocument/2006/relationships/hyperlink" Target="https://www.google.com/maps?q=-7.2249210,-48.2409165" TargetMode="External"/><Relationship Id="rId724" Type="http://schemas.openxmlformats.org/officeDocument/2006/relationships/hyperlink" Target="https://www.google.com/maps?q=-7.2249140,-48.2401605" TargetMode="External"/><Relationship Id="rId725" Type="http://schemas.openxmlformats.org/officeDocument/2006/relationships/hyperlink" Target="https://www.google.com/maps?q=-7.2250175,-48.2401180" TargetMode="External"/><Relationship Id="rId726" Type="http://schemas.openxmlformats.org/officeDocument/2006/relationships/hyperlink" Target="https://www.google.com/maps?q=-7.2252770,-48.2400390" TargetMode="External"/><Relationship Id="rId727" Type="http://schemas.openxmlformats.org/officeDocument/2006/relationships/hyperlink" Target="https://www.google.com/maps?q=-7.2255080,-48.2398875" TargetMode="External"/><Relationship Id="rId728" Type="http://schemas.openxmlformats.org/officeDocument/2006/relationships/hyperlink" Target="https://www.google.com/maps?q=-7.2255680,-48.2399490" TargetMode="External"/><Relationship Id="rId729" Type="http://schemas.openxmlformats.org/officeDocument/2006/relationships/hyperlink" Target="https://www.google.com/maps?q=-7.2255870,-48.2401625" TargetMode="External"/><Relationship Id="rId730" Type="http://schemas.openxmlformats.org/officeDocument/2006/relationships/hyperlink" Target="https://www.google.com/maps?q=-7.2256815,-48.2405095" TargetMode="External"/><Relationship Id="rId731" Type="http://schemas.openxmlformats.org/officeDocument/2006/relationships/hyperlink" Target="https://www.google.com/maps?q=-7.2219490,-48.2410905" TargetMode="External"/><Relationship Id="rId732" Type="http://schemas.openxmlformats.org/officeDocument/2006/relationships/hyperlink" Target="https://www.google.com/maps?q=-7.2219580,-48.2411320" TargetMode="External"/><Relationship Id="rId733" Type="http://schemas.openxmlformats.org/officeDocument/2006/relationships/hyperlink" Target="https://www.google.com/maps?q=-7.2218160,-48.2417205" TargetMode="External"/><Relationship Id="rId734" Type="http://schemas.openxmlformats.org/officeDocument/2006/relationships/hyperlink" Target="https://www.google.com/maps?q=-7.2216070,-48.2424435" TargetMode="External"/><Relationship Id="rId735" Type="http://schemas.openxmlformats.org/officeDocument/2006/relationships/hyperlink" Target="https://www.google.com/maps?q=-7.2216690,-48.2422925" TargetMode="External"/><Relationship Id="rId736" Type="http://schemas.openxmlformats.org/officeDocument/2006/relationships/hyperlink" Target="https://www.google.com/maps?q=-7.2219185,-48.2409955" TargetMode="External"/><Relationship Id="rId737" Type="http://schemas.openxmlformats.org/officeDocument/2006/relationships/hyperlink" Target="https://www.google.com/maps?q=-7.2217520,-48.2409945" TargetMode="External"/><Relationship Id="rId738" Type="http://schemas.openxmlformats.org/officeDocument/2006/relationships/hyperlink" Target="https://www.google.com/maps?q=-7.2213435,-48.2412420" TargetMode="External"/><Relationship Id="rId739" Type="http://schemas.openxmlformats.org/officeDocument/2006/relationships/hyperlink" Target="https://www.google.com/maps?q=-7.2210755,-48.2403655" TargetMode="External"/><Relationship Id="rId740" Type="http://schemas.openxmlformats.org/officeDocument/2006/relationships/hyperlink" Target="https://www.google.com/maps?q=-7.2207770,-48.2393975" TargetMode="External"/><Relationship Id="rId741" Type="http://schemas.openxmlformats.org/officeDocument/2006/relationships/hyperlink" Target="https://www.google.com/maps?q=-7.2208060,-48.2394975" TargetMode="External"/><Relationship Id="rId742" Type="http://schemas.openxmlformats.org/officeDocument/2006/relationships/hyperlink" Target="https://www.google.com/maps?q=-7.2216400,-48.2422790" TargetMode="External"/><Relationship Id="rId743" Type="http://schemas.openxmlformats.org/officeDocument/2006/relationships/hyperlink" Target="https://www.google.com/maps?q=-7.2207625,-48.2394900" TargetMode="External"/><Relationship Id="rId744" Type="http://schemas.openxmlformats.org/officeDocument/2006/relationships/hyperlink" Target="https://www.google.com/maps?q=-7.2173170,-48.2408865" TargetMode="External"/><Relationship Id="rId745" Type="http://schemas.openxmlformats.org/officeDocument/2006/relationships/hyperlink" Target="https://www.google.com/maps?q=-7.2151655,-48.2402710" TargetMode="External"/><Relationship Id="rId746" Type="http://schemas.openxmlformats.org/officeDocument/2006/relationships/hyperlink" Target="https://www.google.com/maps?q=-7.2238890,-48.2465455" TargetMode="External"/><Relationship Id="rId747" Type="http://schemas.openxmlformats.org/officeDocument/2006/relationships/hyperlink" Target="https://www.google.com/maps?q=-7.2241520,-48.2466760" TargetMode="External"/><Relationship Id="rId748" Type="http://schemas.openxmlformats.org/officeDocument/2006/relationships/hyperlink" Target="https://www.google.com/maps?q=-7.2239025,-48.2461480" TargetMode="External"/><Relationship Id="rId749" Type="http://schemas.openxmlformats.org/officeDocument/2006/relationships/hyperlink" Target="https://www.google.com/maps?q=-7.2240065,-48.2461740" TargetMode="External"/><Relationship Id="rId750" Type="http://schemas.openxmlformats.org/officeDocument/2006/relationships/hyperlink" Target="https://www.google.com/maps?q=-7.2240250,-48.2461345" TargetMode="External"/><Relationship Id="rId751" Type="http://schemas.openxmlformats.org/officeDocument/2006/relationships/hyperlink" Target="https://www.google.com/maps?q=-7.2243490,-48.2454560" TargetMode="External"/><Relationship Id="rId752" Type="http://schemas.openxmlformats.org/officeDocument/2006/relationships/hyperlink" Target="https://www.google.com/maps?q=-7.2247485,-48.2446210" TargetMode="External"/><Relationship Id="rId753" Type="http://schemas.openxmlformats.org/officeDocument/2006/relationships/hyperlink" Target="https://www.google.com/maps?q=-7.2237480,-48.2468615" TargetMode="External"/><Relationship Id="rId754" Type="http://schemas.openxmlformats.org/officeDocument/2006/relationships/hyperlink" Target="https://www.google.com/maps?q=-7.2234565,-48.2474350" TargetMode="External"/><Relationship Id="rId755" Type="http://schemas.openxmlformats.org/officeDocument/2006/relationships/hyperlink" Target="https://www.google.com/maps?q=-7.2232235,-48.2478265" TargetMode="External"/><Relationship Id="rId756" Type="http://schemas.openxmlformats.org/officeDocument/2006/relationships/hyperlink" Target="https://www.google.com/maps?q=-7.2251620,-48.2467775" TargetMode="External"/><Relationship Id="rId757" Type="http://schemas.openxmlformats.org/officeDocument/2006/relationships/hyperlink" Target="https://www.google.com/maps?q=-7.2250220,-48.2466655" TargetMode="External"/><Relationship Id="rId758" Type="http://schemas.openxmlformats.org/officeDocument/2006/relationships/hyperlink" Target="https://www.google.com/maps?q=-7.2250335,-48.2465950" TargetMode="External"/><Relationship Id="rId759" Type="http://schemas.openxmlformats.org/officeDocument/2006/relationships/hyperlink" Target="https://www.google.com/maps?q=-7.2227015,-48.2470520" TargetMode="External"/><Relationship Id="rId760" Type="http://schemas.openxmlformats.org/officeDocument/2006/relationships/hyperlink" Target="https://www.google.com/maps?q=-7.2180925,-48.2379185" TargetMode="External"/><Relationship Id="rId761" Type="http://schemas.openxmlformats.org/officeDocument/2006/relationships/hyperlink" Target="https://www.google.com/maps?q=-7.2179330,-48.2379165" TargetMode="External"/><Relationship Id="rId762" Type="http://schemas.openxmlformats.org/officeDocument/2006/relationships/hyperlink" Target="https://www.google.com/maps?q=-7.2178100,-48.2378865" TargetMode="External"/><Relationship Id="rId763" Type="http://schemas.openxmlformats.org/officeDocument/2006/relationships/hyperlink" Target="https://www.google.com/maps?q=-7.2160365,-48.2374320" TargetMode="External"/><Relationship Id="rId764" Type="http://schemas.openxmlformats.org/officeDocument/2006/relationships/hyperlink" Target="https://www.google.com/maps?q=-7.2176905,-48.2359525" TargetMode="External"/><Relationship Id="rId765" Type="http://schemas.openxmlformats.org/officeDocument/2006/relationships/hyperlink" Target="https://www.google.com/maps?q=-7.2173465,-48.2341700" TargetMode="External"/><Relationship Id="rId766" Type="http://schemas.openxmlformats.org/officeDocument/2006/relationships/hyperlink" Target="https://www.google.com/maps?q=-7.2176215,-48.2341010" TargetMode="External"/><Relationship Id="rId767" Type="http://schemas.openxmlformats.org/officeDocument/2006/relationships/hyperlink" Target="https://www.google.com/maps?q=-7.2177700,-48.2340555" TargetMode="External"/><Relationship Id="rId768" Type="http://schemas.openxmlformats.org/officeDocument/2006/relationships/hyperlink" Target="https://www.google.com/maps?q=-7.2181215,-48.2339450" TargetMode="External"/><Relationship Id="rId769" Type="http://schemas.openxmlformats.org/officeDocument/2006/relationships/hyperlink" Target="https://www.google.com/maps?q=-7.2186350,-48.2337885" TargetMode="External"/><Relationship Id="rId770" Type="http://schemas.openxmlformats.org/officeDocument/2006/relationships/hyperlink" Target="https://www.google.com/maps?q=-7.2184585,-48.2338380" TargetMode="External"/><Relationship Id="rId771" Type="http://schemas.openxmlformats.org/officeDocument/2006/relationships/hyperlink" Target="https://www.google.com/maps?q=-7.2174870,-48.2341315" TargetMode="External"/><Relationship Id="rId772" Type="http://schemas.openxmlformats.org/officeDocument/2006/relationships/hyperlink" Target="https://www.google.com/maps?q=-7.2171990,-48.2341615" TargetMode="External"/><Relationship Id="rId773" Type="http://schemas.openxmlformats.org/officeDocument/2006/relationships/hyperlink" Target="https://www.google.com/maps?q=-7.2171915,-48.2341080" TargetMode="External"/><Relationship Id="rId774" Type="http://schemas.openxmlformats.org/officeDocument/2006/relationships/hyperlink" Target="https://www.google.com/maps?q=-7.2173140,-48.2330720" TargetMode="External"/><Relationship Id="rId775" Type="http://schemas.openxmlformats.org/officeDocument/2006/relationships/hyperlink" Target="https://www.google.com/maps?q=-7.2175140,-48.2319150" TargetMode="External"/><Relationship Id="rId776" Type="http://schemas.openxmlformats.org/officeDocument/2006/relationships/hyperlink" Target="https://www.google.com/maps?q=-7.2171610,-48.2342070" TargetMode="External"/><Relationship Id="rId777" Type="http://schemas.openxmlformats.org/officeDocument/2006/relationships/hyperlink" Target="https://www.google.com/maps?q=-7.2184510,-48.2338125" TargetMode="External"/><Relationship Id="rId778" Type="http://schemas.openxmlformats.org/officeDocument/2006/relationships/hyperlink" Target="https://www.google.com/maps?q=-7.2184175,-48.2337240" TargetMode="External"/><Relationship Id="rId779" Type="http://schemas.openxmlformats.org/officeDocument/2006/relationships/hyperlink" Target="https://www.google.com/maps?q=-7.2174905,-48.2340345" TargetMode="External"/><Relationship Id="rId780" Type="http://schemas.openxmlformats.org/officeDocument/2006/relationships/hyperlink" Target="https://www.google.com/maps?q=-7.2174940,-48.2338620" TargetMode="External"/><Relationship Id="rId781" Type="http://schemas.openxmlformats.org/officeDocument/2006/relationships/hyperlink" Target="https://www.google.com/maps?q=-7.2215350,-48.2370535" TargetMode="External"/><Relationship Id="rId782" Type="http://schemas.openxmlformats.org/officeDocument/2006/relationships/hyperlink" Target="https://www.google.com/maps?q=-7.2217580,-48.2369125" TargetMode="External"/><Relationship Id="rId783" Type="http://schemas.openxmlformats.org/officeDocument/2006/relationships/hyperlink" Target="https://www.google.com/maps?q=-7.2219195,-48.2368655" TargetMode="External"/><Relationship Id="rId784" Type="http://schemas.openxmlformats.org/officeDocument/2006/relationships/hyperlink" Target="https://www.google.com/maps?q=-7.2224275,-48.2367185" TargetMode="External"/><Relationship Id="rId785" Type="http://schemas.openxmlformats.org/officeDocument/2006/relationships/hyperlink" Target="https://www.google.com/maps?q=-7.2232870,-48.2364680" TargetMode="External"/><Relationship Id="rId786" Type="http://schemas.openxmlformats.org/officeDocument/2006/relationships/hyperlink" Target="https://www.google.com/maps?q=-7.2236715,-48.2364150" TargetMode="External"/><Relationship Id="rId787" Type="http://schemas.openxmlformats.org/officeDocument/2006/relationships/hyperlink" Target="https://www.google.com/maps?q=-7.2232445,-48.2349905" TargetMode="External"/><Relationship Id="rId788" Type="http://schemas.openxmlformats.org/officeDocument/2006/relationships/hyperlink" Target="https://www.google.com/maps?q=-7.2237530,-48.2363325" TargetMode="External"/><Relationship Id="rId789" Type="http://schemas.openxmlformats.org/officeDocument/2006/relationships/hyperlink" Target="https://www.google.com/maps?q=-7.2200520,-48.2319995" TargetMode="External"/><Relationship Id="rId790" Type="http://schemas.openxmlformats.org/officeDocument/2006/relationships/hyperlink" Target="https://www.google.com/maps?q=-7.2200795,-48.2319085" TargetMode="External"/><Relationship Id="rId791" Type="http://schemas.openxmlformats.org/officeDocument/2006/relationships/hyperlink" Target="https://www.google.com/maps?q=-7.2198520,-48.2315045" TargetMode="External"/><Relationship Id="rId792" Type="http://schemas.openxmlformats.org/officeDocument/2006/relationships/hyperlink" Target="https://www.google.com/maps?q=-7.2198795,-48.2314550" TargetMode="External"/><Relationship Id="rId793" Type="http://schemas.openxmlformats.org/officeDocument/2006/relationships/hyperlink" Target="https://www.google.com/maps?q=-7.2208335,-48.2312130" TargetMode="External"/><Relationship Id="rId794" Type="http://schemas.openxmlformats.org/officeDocument/2006/relationships/hyperlink" Target="https://www.google.com/maps?q=-7.2207835,-48.2312565" TargetMode="External"/><Relationship Id="rId795" Type="http://schemas.openxmlformats.org/officeDocument/2006/relationships/hyperlink" Target="https://www.google.com/maps?q=-7.2207925,-48.2312960" TargetMode="External"/><Relationship Id="rId796" Type="http://schemas.openxmlformats.org/officeDocument/2006/relationships/hyperlink" Target="https://www.google.com/maps?q=-7.2211030,-48.2323175" TargetMode="External"/><Relationship Id="rId797" Type="http://schemas.openxmlformats.org/officeDocument/2006/relationships/hyperlink" Target="https://www.google.com/maps?q=-7.2214125,-48.2333405" TargetMode="External"/><Relationship Id="rId798" Type="http://schemas.openxmlformats.org/officeDocument/2006/relationships/hyperlink" Target="https://www.google.com/maps?q=-7.2219060,-48.2349655" TargetMode="External"/><Relationship Id="rId799" Type="http://schemas.openxmlformats.org/officeDocument/2006/relationships/hyperlink" Target="https://www.google.com/maps?q=-7.2223960,-48.2365915" TargetMode="External"/><Relationship Id="rId800" Type="http://schemas.openxmlformats.org/officeDocument/2006/relationships/hyperlink" Target="https://www.google.com/maps?q=-7.2226560,-48.2374475" TargetMode="External"/><Relationship Id="rId801" Type="http://schemas.openxmlformats.org/officeDocument/2006/relationships/hyperlink" Target="https://www.google.com/maps?q=-7.2209270,-48.2280845" TargetMode="External"/><Relationship Id="rId802" Type="http://schemas.openxmlformats.org/officeDocument/2006/relationships/hyperlink" Target="https://www.google.com/maps?q=-7.2210500,-48.2281225" TargetMode="External"/><Relationship Id="rId803" Type="http://schemas.openxmlformats.org/officeDocument/2006/relationships/hyperlink" Target="https://www.google.com/maps?q=-7.2210355,-48.2281065" TargetMode="External"/><Relationship Id="rId804" Type="http://schemas.openxmlformats.org/officeDocument/2006/relationships/hyperlink" Target="https://www.google.com/maps?q=-7.2210460,-48.2280975" TargetMode="External"/><Relationship Id="rId805" Type="http://schemas.openxmlformats.org/officeDocument/2006/relationships/hyperlink" Target="https://www.google.com/maps?q=-7.2208195,-48.2280195" TargetMode="External"/><Relationship Id="rId806" Type="http://schemas.openxmlformats.org/officeDocument/2006/relationships/hyperlink" Target="https://www.google.com/maps?q=-7.2208195,-48.2279080" TargetMode="External"/><Relationship Id="rId807" Type="http://schemas.openxmlformats.org/officeDocument/2006/relationships/hyperlink" Target="https://www.google.com/maps?q=-7.2208105,-48.2279000" TargetMode="External"/><Relationship Id="rId808" Type="http://schemas.openxmlformats.org/officeDocument/2006/relationships/hyperlink" Target="https://www.google.com/maps?q=-7.2176940,-48.2238525" TargetMode="External"/><Relationship Id="rId809" Type="http://schemas.openxmlformats.org/officeDocument/2006/relationships/hyperlink" Target="https://www.google.com/maps?q=-7.2175740,-48.2237575" TargetMode="External"/><Relationship Id="rId810" Type="http://schemas.openxmlformats.org/officeDocument/2006/relationships/hyperlink" Target="https://www.google.com/maps?q=-7.2164640,-48.2238610" TargetMode="External"/><Relationship Id="rId811" Type="http://schemas.openxmlformats.org/officeDocument/2006/relationships/hyperlink" Target="https://www.google.com/maps?q=-7.2154035,-48.2234620" TargetMode="External"/><Relationship Id="rId812" Type="http://schemas.openxmlformats.org/officeDocument/2006/relationships/hyperlink" Target="https://www.google.com/maps?q=-7.2155190,-48.2234365" TargetMode="External"/><Relationship Id="rId813" Type="http://schemas.openxmlformats.org/officeDocument/2006/relationships/hyperlink" Target="https://www.google.com/maps?q=-7.2167200,-48.2262170" TargetMode="External"/><Relationship Id="rId814" Type="http://schemas.openxmlformats.org/officeDocument/2006/relationships/hyperlink" Target="https://www.google.com/maps?q=-7.2166580,-48.2261370" TargetMode="External"/><Relationship Id="rId815" Type="http://schemas.openxmlformats.org/officeDocument/2006/relationships/hyperlink" Target="https://www.google.com/maps?q=-7.2166635,-48.2209960" TargetMode="External"/><Relationship Id="rId816" Type="http://schemas.openxmlformats.org/officeDocument/2006/relationships/hyperlink" Target="https://www.google.com/maps?q=-7.2170260,-48.2204815" TargetMode="External"/><Relationship Id="rId817" Type="http://schemas.openxmlformats.org/officeDocument/2006/relationships/hyperlink" Target="https://www.google.com/maps?q=-7.2174660,-48.2204780" TargetMode="External"/><Relationship Id="rId818" Type="http://schemas.openxmlformats.org/officeDocument/2006/relationships/hyperlink" Target="https://www.google.com/maps?q=-7.2177085,-48.2205795" TargetMode="External"/><Relationship Id="rId819" Type="http://schemas.openxmlformats.org/officeDocument/2006/relationships/hyperlink" Target="https://www.google.com/maps?q=-7.2177575,-48.2204755" TargetMode="External"/><Relationship Id="rId820" Type="http://schemas.openxmlformats.org/officeDocument/2006/relationships/hyperlink" Target="https://www.google.com/maps?q=-7.2177300,-48.2195685" TargetMode="External"/><Relationship Id="rId821" Type="http://schemas.openxmlformats.org/officeDocument/2006/relationships/hyperlink" Target="https://www.google.com/maps?q=-7.2177460,-48.2186535" TargetMode="External"/><Relationship Id="rId822" Type="http://schemas.openxmlformats.org/officeDocument/2006/relationships/hyperlink" Target="https://www.google.com/maps?q=-7.2178210,-48.2186455" TargetMode="External"/><Relationship Id="rId823" Type="http://schemas.openxmlformats.org/officeDocument/2006/relationships/hyperlink" Target="https://www.google.com/maps?q=-7.2179560,-48.2186440" TargetMode="External"/><Relationship Id="rId824" Type="http://schemas.openxmlformats.org/officeDocument/2006/relationships/hyperlink" Target="https://www.google.com/maps?q=-7.2181445,-48.2186425" TargetMode="External"/><Relationship Id="rId825" Type="http://schemas.openxmlformats.org/officeDocument/2006/relationships/hyperlink" Target="https://www.google.com/maps?q=-7.2182865,-48.2186420" TargetMode="External"/><Relationship Id="rId826" Type="http://schemas.openxmlformats.org/officeDocument/2006/relationships/hyperlink" Target="https://www.google.com/maps?q=-7.2180160,-48.2186340" TargetMode="External"/><Relationship Id="rId827" Type="http://schemas.openxmlformats.org/officeDocument/2006/relationships/hyperlink" Target="https://www.google.com/maps?q=-7.2176375,-48.2186470" TargetMode="External"/><Relationship Id="rId828" Type="http://schemas.openxmlformats.org/officeDocument/2006/relationships/hyperlink" Target="https://www.google.com/maps?q=-7.2191175,-48.2186330" TargetMode="External"/><Relationship Id="rId829" Type="http://schemas.openxmlformats.org/officeDocument/2006/relationships/hyperlink" Target="https://www.google.com/maps?q=-7.2203905,-48.2196045" TargetMode="External"/><Relationship Id="rId830" Type="http://schemas.openxmlformats.org/officeDocument/2006/relationships/hyperlink" Target="https://www.google.com/maps?q=-7.2208455,-48.2205990" TargetMode="External"/><Relationship Id="rId831" Type="http://schemas.openxmlformats.org/officeDocument/2006/relationships/hyperlink" Target="https://www.google.com/maps?q=-7.2208470,-48.2207940" TargetMode="External"/><Relationship Id="rId832" Type="http://schemas.openxmlformats.org/officeDocument/2006/relationships/hyperlink" Target="https://www.google.com/maps?q=-7.2208530,-48.2205795" TargetMode="External"/><Relationship Id="rId833" Type="http://schemas.openxmlformats.org/officeDocument/2006/relationships/hyperlink" Target="https://www.google.com/maps?q=-7.2199645,-48.2186765" TargetMode="External"/><Relationship Id="rId834" Type="http://schemas.openxmlformats.org/officeDocument/2006/relationships/hyperlink" Target="https://www.google.com/maps?q=-7.2199660,-48.2186560" TargetMode="External"/><Relationship Id="rId835" Type="http://schemas.openxmlformats.org/officeDocument/2006/relationships/hyperlink" Target="https://www.google.com/maps?q=-7.2209240,-48.2205235" TargetMode="External"/><Relationship Id="rId836" Type="http://schemas.openxmlformats.org/officeDocument/2006/relationships/hyperlink" Target="https://www.google.com/maps?q=-7.2180155,-48.2185435" TargetMode="External"/><Relationship Id="rId837" Type="http://schemas.openxmlformats.org/officeDocument/2006/relationships/hyperlink" Target="https://www.google.com/maps?q=-7.2159225,-48.2173695" TargetMode="External"/><Relationship Id="rId838" Type="http://schemas.openxmlformats.org/officeDocument/2006/relationships/hyperlink" Target="https://www.google.com/maps?q=-7.2158745,-48.2173815" TargetMode="External"/><Relationship Id="rId839" Type="http://schemas.openxmlformats.org/officeDocument/2006/relationships/vmlDrawing" Target="../drawings/vmlDrawing2.vml"/><Relationship Id="rId840" Type="http://schemas.openxmlformats.org/officeDocument/2006/relationships/table" Target="../tables/table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hyperlink" Target="https://www.google.com/maps?q=-7.1952620,-48.2379670" TargetMode="External"/><Relationship Id="rId3" Type="http://schemas.openxmlformats.org/officeDocument/2006/relationships/hyperlink" Target="https://www.google.com/maps?q=-7.1955130,-48.2382630" TargetMode="External"/><Relationship Id="rId4" Type="http://schemas.openxmlformats.org/officeDocument/2006/relationships/hyperlink" Target="https://www.google.com/maps?q=-7.1972190,-48.2378300" TargetMode="External"/><Relationship Id="rId5" Type="http://schemas.openxmlformats.org/officeDocument/2006/relationships/hyperlink" Target="https://www.google.com/maps?q=-7.2003940,-48.2386050" TargetMode="External"/><Relationship Id="rId6" Type="http://schemas.openxmlformats.org/officeDocument/2006/relationships/hyperlink" Target="https://www.google.com/maps?q=-7.2069680,-48.2413490" TargetMode="External"/><Relationship Id="rId7" Type="http://schemas.openxmlformats.org/officeDocument/2006/relationships/hyperlink" Target="https://www.google.com/maps?q=-7.2078840,-48.2413120" TargetMode="External"/><Relationship Id="rId8" Type="http://schemas.openxmlformats.org/officeDocument/2006/relationships/hyperlink" Target="https://www.google.com/maps?q=-7.2115230,-48.2430530" TargetMode="External"/><Relationship Id="rId9" Type="http://schemas.openxmlformats.org/officeDocument/2006/relationships/hyperlink" Target="https://www.google.com/maps?q=-7.2115960,-48.2430870" TargetMode="External"/><Relationship Id="rId10" Type="http://schemas.openxmlformats.org/officeDocument/2006/relationships/hyperlink" Target="https://www.google.com/maps?q=-7.2178960,-48.2461140" TargetMode="External"/><Relationship Id="rId11" Type="http://schemas.openxmlformats.org/officeDocument/2006/relationships/hyperlink" Target="https://www.google.com/maps?q=-7.2190040,-48.2465490" TargetMode="External"/><Relationship Id="rId12" Type="http://schemas.openxmlformats.org/officeDocument/2006/relationships/hyperlink" Target="https://www.google.com/maps?q=-7.2190900,-48.2463800" TargetMode="External"/><Relationship Id="rId13" Type="http://schemas.openxmlformats.org/officeDocument/2006/relationships/hyperlink" Target="https://www.google.com/maps?q=-7.2196530,-48.2417430" TargetMode="External"/><Relationship Id="rId14" Type="http://schemas.openxmlformats.org/officeDocument/2006/relationships/hyperlink" Target="https://www.google.com/maps?q=-7.2189030,-48.2401930" TargetMode="External"/><Relationship Id="rId15" Type="http://schemas.openxmlformats.org/officeDocument/2006/relationships/hyperlink" Target="https://www.google.com/maps?q=-7.2181750,-48.2377060" TargetMode="External"/><Relationship Id="rId16" Type="http://schemas.openxmlformats.org/officeDocument/2006/relationships/hyperlink" Target="https://www.google.com/maps?q=-7.2183140,-48.2378930" TargetMode="External"/><Relationship Id="rId17" Type="http://schemas.openxmlformats.org/officeDocument/2006/relationships/hyperlink" Target="https://www.google.com/maps?q=-7.2214370,-48.2367260" TargetMode="External"/><Relationship Id="rId18" Type="http://schemas.openxmlformats.org/officeDocument/2006/relationships/hyperlink" Target="https://www.google.com/maps?q=-7.2208420,-48.2282970" TargetMode="External"/><Relationship Id="rId19" Type="http://schemas.openxmlformats.org/officeDocument/2006/relationships/hyperlink" Target="https://www.google.com/maps?q=-7.2204220,-48.2280650" TargetMode="External"/><Relationship Id="rId20" Type="http://schemas.openxmlformats.org/officeDocument/2006/relationships/hyperlink" Target="https://www.google.com/maps?q=-7.2176030,-48.2280260" TargetMode="External"/><Relationship Id="rId21" Type="http://schemas.openxmlformats.org/officeDocument/2006/relationships/hyperlink" Target="https://www.google.com/maps?q=-7.2167570,-48.2238570" TargetMode="External"/><Relationship Id="rId22" Type="http://schemas.openxmlformats.org/officeDocument/2006/relationships/hyperlink" Target="https://www.google.com/maps?q=-7.2167000,-48.2240930" TargetMode="External"/><Relationship Id="rId23" Type="http://schemas.openxmlformats.org/officeDocument/2006/relationships/hyperlink" Target="https://www.google.com/maps?q=-7.2167090,-48.2261140" TargetMode="External"/><Relationship Id="rId24" Type="http://schemas.openxmlformats.org/officeDocument/2006/relationships/hyperlink" Target="https://www.google.com/maps?q=-7.2155190,-48.2234570" TargetMode="External"/><Relationship Id="rId25" Type="http://schemas.openxmlformats.org/officeDocument/2006/relationships/hyperlink" Target="https://www.google.com/maps?q=-7.2166770,-48.2208050" TargetMode="External"/><Relationship Id="rId26" Type="http://schemas.openxmlformats.org/officeDocument/2006/relationships/hyperlink" Target="https://www.google.com/maps?q=-7.2158600,-48.2173960" TargetMode="External"/><Relationship Id="rId27" Type="http://schemas.openxmlformats.org/officeDocument/2006/relationships/hyperlink" Target="https://www.google.com/maps?q=-7.2168340,-48.2204830" TargetMode="External"/><Relationship Id="rId28" Type="http://schemas.openxmlformats.org/officeDocument/2006/relationships/hyperlink" Target="https://www.google.com/maps?q=-7.2200300,-48.2320070" TargetMode="External"/><Relationship Id="rId29" Type="http://schemas.openxmlformats.org/officeDocument/2006/relationships/hyperlink" Target="https://www.google.com/maps?q=-7.2216130,-48.2369550" TargetMode="External"/><Relationship Id="rId30" Type="http://schemas.openxmlformats.org/officeDocument/2006/relationships/hyperlink" Target="https://www.google.com/maps?q=-7.2192290,-48.2414300" TargetMode="External"/><Relationship Id="rId31" Type="http://schemas.openxmlformats.org/officeDocument/2006/relationships/hyperlink" Target="https://www.google.com/maps?q=-7.2216960,-48.2455020" TargetMode="External"/><Relationship Id="rId32" Type="http://schemas.openxmlformats.org/officeDocument/2006/relationships/hyperlink" Target="https://www.google.com/maps?q=-7.2250100,-48.2466910" TargetMode="External"/><Relationship Id="rId33" Type="http://schemas.openxmlformats.org/officeDocument/2006/relationships/hyperlink" Target="https://www.google.com/maps?q=-7.2227030,-48.2470600" TargetMode="External"/><Relationship Id="rId34" Type="http://schemas.openxmlformats.org/officeDocument/2006/relationships/hyperlink" Target="https://www.google.com/maps?q=-7.2237270,-48.2468630" TargetMode="External"/><Relationship Id="rId35" Type="http://schemas.openxmlformats.org/officeDocument/2006/relationships/hyperlink" Target="https://www.google.com/maps?q=-7.1970380,-48.2382200" TargetMode="External"/><Relationship Id="rId36" Type="http://schemas.openxmlformats.org/officeDocument/2006/relationships/hyperlink" Target="https://www.google.com/maps?q=-7.1992710,-48.2407130" TargetMode="External"/><Relationship Id="rId37" Type="http://schemas.openxmlformats.org/officeDocument/2006/relationships/hyperlink" Target="https://www.google.com/maps?q=-7.1989300,-48.2497840" TargetMode="External"/><Relationship Id="rId38" Type="http://schemas.openxmlformats.org/officeDocument/2006/relationships/hyperlink" Target="https://www.google.com/maps?q=-7.2000270,-48.2505270" TargetMode="External"/><Relationship Id="rId39" Type="http://schemas.openxmlformats.org/officeDocument/2006/relationships/hyperlink" Target="https://www.google.com/maps?q=-7.1990500,-48.2498330" TargetMode="External"/><Relationship Id="rId40" Type="http://schemas.openxmlformats.org/officeDocument/2006/relationships/hyperlink" Target="https://www.google.com/maps?q=-7.1997950,-48.2400160" TargetMode="External"/><Relationship Id="rId41" Type="http://schemas.openxmlformats.org/officeDocument/2006/relationships/hyperlink" Target="https://www.google.com/maps?q=-7.2013590,-48.2437990" TargetMode="External"/><Relationship Id="rId42" Type="http://schemas.openxmlformats.org/officeDocument/2006/relationships/hyperlink" Target="https://www.google.com/maps?q=-7.2029100,-48.2414750" TargetMode="External"/><Relationship Id="rId43" Type="http://schemas.openxmlformats.org/officeDocument/2006/relationships/hyperlink" Target="https://www.google.com/maps?q=-7.2047460,-48.2423330" TargetMode="External"/><Relationship Id="rId44" Type="http://schemas.openxmlformats.org/officeDocument/2006/relationships/hyperlink" Target="https://www.google.com/maps?q=-7.2062890,-48.2432920" TargetMode="External"/><Relationship Id="rId45" Type="http://schemas.openxmlformats.org/officeDocument/2006/relationships/hyperlink" Target="https://www.google.com/maps?q=-7.2042720,-48.2472910" TargetMode="External"/><Relationship Id="rId46" Type="http://schemas.openxmlformats.org/officeDocument/2006/relationships/hyperlink" Target="https://www.google.com/maps?q=-7.2046370,-48.2471750" TargetMode="External"/><Relationship Id="rId47" Type="http://schemas.openxmlformats.org/officeDocument/2006/relationships/hyperlink" Target="https://www.google.com/maps?q=-7.2055370,-48.2457670" TargetMode="External"/><Relationship Id="rId48" Type="http://schemas.openxmlformats.org/officeDocument/2006/relationships/hyperlink" Target="https://www.google.com/maps?q=-7.2050920,-48.2428170" TargetMode="External"/><Relationship Id="rId49" Type="http://schemas.openxmlformats.org/officeDocument/2006/relationships/hyperlink" Target="https://www.google.com/maps?q=-7.2072370,-48.2498660" TargetMode="External"/><Relationship Id="rId50" Type="http://schemas.openxmlformats.org/officeDocument/2006/relationships/hyperlink" Target="https://www.google.com/maps?q=-7.2104520,-48.2519620" TargetMode="External"/><Relationship Id="rId51" Type="http://schemas.openxmlformats.org/officeDocument/2006/relationships/hyperlink" Target="https://www.google.com/maps?q=-7.2102440,-48.2516610" TargetMode="External"/><Relationship Id="rId52" Type="http://schemas.openxmlformats.org/officeDocument/2006/relationships/hyperlink" Target="https://www.google.com/maps?q=-7.2078490,-48.2420890" TargetMode="External"/><Relationship Id="rId53" Type="http://schemas.openxmlformats.org/officeDocument/2006/relationships/hyperlink" Target="https://www.google.com/maps?q=-7.2141400,-48.2451170" TargetMode="External"/><Relationship Id="rId54" Type="http://schemas.openxmlformats.org/officeDocument/2006/relationships/hyperlink" Target="https://www.google.com/maps?q=-7.2173010,-48.2465940" TargetMode="External"/><Relationship Id="rId55" Type="http://schemas.openxmlformats.org/officeDocument/2006/relationships/hyperlink" Target="https://www.google.com/maps?q=-7.2225940,-48.2490840" TargetMode="External"/><Relationship Id="rId56" Type="http://schemas.openxmlformats.org/officeDocument/2006/relationships/hyperlink" Target="https://www.google.com/maps?q=-7.2285960,-48.2518950" TargetMode="External"/><Relationship Id="rId57" Type="http://schemas.openxmlformats.org/officeDocument/2006/relationships/hyperlink" Target="https://www.google.com/maps?q=-7.2311610,-48.2553460" TargetMode="External"/><Relationship Id="rId58" Type="http://schemas.openxmlformats.org/officeDocument/2006/relationships/hyperlink" Target="https://www.google.com/maps?q=-7.2311050,-48.2532810" TargetMode="External"/><Relationship Id="rId59" Type="http://schemas.openxmlformats.org/officeDocument/2006/relationships/hyperlink" Target="https://www.google.com/maps?q=-7.2282610,-48.2610730" TargetMode="External"/><Relationship Id="rId60" Type="http://schemas.openxmlformats.org/officeDocument/2006/relationships/hyperlink" Target="https://www.google.com/maps?q=-7.2265090,-48.2621540" TargetMode="External"/><Relationship Id="rId61" Type="http://schemas.openxmlformats.org/officeDocument/2006/relationships/hyperlink" Target="https://www.google.com/maps?q=-7.2284920,-48.2607700" TargetMode="External"/><Relationship Id="rId62" Type="http://schemas.openxmlformats.org/officeDocument/2006/relationships/hyperlink" Target="https://www.google.com/maps?q=-7.2292400,-48.2575600" TargetMode="External"/><Relationship Id="rId63" Type="http://schemas.openxmlformats.org/officeDocument/2006/relationships/hyperlink" Target="https://www.google.com/maps?q=-7.2326510,-48.2552570" TargetMode="External"/><Relationship Id="rId64" Type="http://schemas.openxmlformats.org/officeDocument/2006/relationships/hyperlink" Target="https://www.google.com/maps?q=-7.2276750,-48.2515010" TargetMode="External"/><Relationship Id="rId65" Type="http://schemas.openxmlformats.org/officeDocument/2006/relationships/hyperlink" Target="https://www.google.com/maps?q=-7.2250480,-48.2506050" TargetMode="External"/><Relationship Id="rId66" Type="http://schemas.openxmlformats.org/officeDocument/2006/relationships/hyperlink" Target="https://www.google.com/maps?q=-7.2243510,-48.2499050" TargetMode="External"/><Relationship Id="rId67" Type="http://schemas.openxmlformats.org/officeDocument/2006/relationships/hyperlink" Target="https://www.google.com/maps?q=-7.2237590,-48.2496100" TargetMode="External"/><Relationship Id="rId68" Type="http://schemas.openxmlformats.org/officeDocument/2006/relationships/hyperlink" Target="https://www.google.com/maps?q=-7.2199370,-48.2478170" TargetMode="External"/><Relationship Id="rId69" Type="http://schemas.openxmlformats.org/officeDocument/2006/relationships/hyperlink" Target="https://www.google.com/maps?q=-7.2118180,-48.2499860" TargetMode="External"/><Relationship Id="rId70" Type="http://schemas.openxmlformats.org/officeDocument/2006/relationships/hyperlink" Target="https://www.google.com/maps?q=-7.2146920,-48.2504970" TargetMode="External"/><Relationship Id="rId71" Type="http://schemas.openxmlformats.org/officeDocument/2006/relationships/hyperlink" Target="https://www.google.com/maps?q=-7.2161010,-48.2525410" TargetMode="External"/><Relationship Id="rId72" Type="http://schemas.openxmlformats.org/officeDocument/2006/relationships/hyperlink" Target="https://www.google.com/maps?q=-7.2162230,-48.2552670" TargetMode="External"/><Relationship Id="rId73" Type="http://schemas.openxmlformats.org/officeDocument/2006/relationships/hyperlink" Target="https://www.google.com/maps?q=-7.2155330,-48.2579160" TargetMode="External"/><Relationship Id="rId74" Type="http://schemas.openxmlformats.org/officeDocument/2006/relationships/hyperlink" Target="https://www.google.com/maps?q=-7.2169640,-48.2499270" TargetMode="External"/><Relationship Id="rId75" Type="http://schemas.openxmlformats.org/officeDocument/2006/relationships/hyperlink" Target="https://www.google.com/maps?q=-7.2180450,-48.2504720" TargetMode="External"/><Relationship Id="rId76" Type="http://schemas.openxmlformats.org/officeDocument/2006/relationships/hyperlink" Target="https://www.google.com/maps?q=-7.2146170,-48.2453660" TargetMode="External"/><Relationship Id="rId77" Type="http://schemas.openxmlformats.org/officeDocument/2006/relationships/hyperlink" Target="https://www.google.com/maps?q=-7.2366560,-48.2581680" TargetMode="External"/><Relationship Id="rId78" Type="http://schemas.openxmlformats.org/officeDocument/2006/relationships/hyperlink" Target="https://www.google.com/maps?q=-7.2325100,-48.2576810" TargetMode="External"/><Relationship Id="rId79" Type="http://schemas.openxmlformats.org/officeDocument/2006/relationships/hyperlink" Target="https://www.google.com/maps?q=-7.2308800,-48.2562410" TargetMode="External"/><Relationship Id="rId80" Type="http://schemas.openxmlformats.org/officeDocument/2006/relationships/hyperlink" Target="https://www.google.com/maps?q=-7.2417200,-48.2678160" TargetMode="External"/><Relationship Id="rId81" Type="http://schemas.openxmlformats.org/officeDocument/2006/relationships/hyperlink" Target="https://www.google.com/maps?q=-7.2420010,-48.2676710" TargetMode="External"/><Relationship Id="rId82" Type="http://schemas.openxmlformats.org/officeDocument/2006/relationships/hyperlink" Target="https://www.google.com/maps?q=-7.2417590,-48.2667830" TargetMode="External"/><Relationship Id="rId83" Type="http://schemas.openxmlformats.org/officeDocument/2006/relationships/hyperlink" Target="https://www.google.com/maps?q=-7.2407530,-48.2628800" TargetMode="External"/><Relationship Id="rId84" Type="http://schemas.openxmlformats.org/officeDocument/2006/relationships/hyperlink" Target="https://www.google.com/maps?q=-7.2410340,-48.2688010" TargetMode="External"/><Relationship Id="rId85" Type="http://schemas.openxmlformats.org/officeDocument/2006/relationships/hyperlink" Target="https://www.google.com/maps?q=-7.2315940,-48.2715870" TargetMode="External"/><Relationship Id="rId86" Type="http://schemas.openxmlformats.org/officeDocument/2006/relationships/hyperlink" Target="https://www.google.com/maps?q=-7.2313650,-48.2713980" TargetMode="External"/><Relationship Id="rId87" Type="http://schemas.openxmlformats.org/officeDocument/2006/relationships/hyperlink" Target="https://www.google.com/maps?q=-7.2373960,-48.2707420" TargetMode="External"/><Relationship Id="rId88" Type="http://schemas.openxmlformats.org/officeDocument/2006/relationships/hyperlink" Target="https://www.google.com/maps?q=-7.2306490,-48.2780940" TargetMode="External"/><Relationship Id="rId89" Type="http://schemas.openxmlformats.org/officeDocument/2006/relationships/hyperlink" Target="https://www.google.com/maps?q=-7.2355570,-48.2765630" TargetMode="External"/><Relationship Id="rId90" Type="http://schemas.openxmlformats.org/officeDocument/2006/relationships/hyperlink" Target="https://www.google.com/maps?q=-7.2407300,-48.2767650" TargetMode="External"/><Relationship Id="rId91" Type="http://schemas.openxmlformats.org/officeDocument/2006/relationships/hyperlink" Target="https://www.google.com/maps?q=-7.2406870,-48.2788050" TargetMode="External"/><Relationship Id="rId92" Type="http://schemas.openxmlformats.org/officeDocument/2006/relationships/hyperlink" Target="https://www.google.com/maps?q=-7.2377180,-48.2713990" TargetMode="External"/><Relationship Id="rId93" Type="http://schemas.openxmlformats.org/officeDocument/2006/relationships/hyperlink" Target="https://www.google.com/maps?q=-7.2324980,-48.2600050" TargetMode="External"/><Relationship Id="rId94" Type="http://schemas.openxmlformats.org/officeDocument/2006/relationships/hyperlink" Target="https://www.google.com/maps?q=-7.2265990,-48.2550410" TargetMode="External"/><Relationship Id="rId95" Type="http://schemas.openxmlformats.org/officeDocument/2006/relationships/hyperlink" Target="https://www.google.com/maps?q=-7.2209270,-48.2623680" TargetMode="External"/><Relationship Id="rId96" Type="http://schemas.openxmlformats.org/officeDocument/2006/relationships/hyperlink" Target="https://www.google.com/maps?q=-7.2081270,-48.2566610" TargetMode="External"/><Relationship Id="rId97" Type="http://schemas.openxmlformats.org/officeDocument/2006/relationships/hyperlink" Target="https://www.google.com/maps?q=-7.2113160,-48.2429520" TargetMode="External"/><Relationship Id="rId98" Type="http://schemas.openxmlformats.org/officeDocument/2006/relationships/hyperlink" Target="https://www.google.com/maps?q=-7.2133670,-48.2438940" TargetMode="External"/><Relationship Id="rId99" Type="http://schemas.openxmlformats.org/officeDocument/2006/relationships/hyperlink" Target="https://www.google.com/maps?q=-7.2149700,-48.2445860" TargetMode="External"/><Relationship Id="rId100" Type="http://schemas.openxmlformats.org/officeDocument/2006/relationships/hyperlink" Target="https://www.google.com/maps?q=-7.2153940,-48.2445230" TargetMode="External"/><Relationship Id="rId101" Type="http://schemas.openxmlformats.org/officeDocument/2006/relationships/hyperlink" Target="https://www.google.com/maps?q=-7.2146230,-48.2433720" TargetMode="External"/><Relationship Id="rId102" Type="http://schemas.openxmlformats.org/officeDocument/2006/relationships/hyperlink" Target="https://www.google.com/maps?q=-7.2171670,-48.2457710" TargetMode="External"/><Relationship Id="rId103" Type="http://schemas.openxmlformats.org/officeDocument/2006/relationships/hyperlink" Target="https://www.google.com/maps?q=-7.2171860,-48.2456050" TargetMode="External"/><Relationship Id="rId104" Type="http://schemas.openxmlformats.org/officeDocument/2006/relationships/hyperlink" Target="https://www.google.com/maps?q=-7.2182450,-48.2462070" TargetMode="External"/><Relationship Id="rId105" Type="http://schemas.openxmlformats.org/officeDocument/2006/relationships/hyperlink" Target="https://www.google.com/maps?q=-7.2223870,-48.2481270" TargetMode="External"/><Relationship Id="rId106" Type="http://schemas.openxmlformats.org/officeDocument/2006/relationships/hyperlink" Target="https://www.google.com/maps?q=-7.2249280,-48.2485040" TargetMode="External"/><Relationship Id="rId107" Type="http://schemas.openxmlformats.org/officeDocument/2006/relationships/hyperlink" Target="https://www.google.com/maps?q=-7.2239170,-48.2488570" TargetMode="External"/><Relationship Id="rId108" Type="http://schemas.openxmlformats.org/officeDocument/2006/relationships/hyperlink" Target="https://www.google.com/maps?q=-7.2219600,-48.2411470" TargetMode="External"/><Relationship Id="rId109" Type="http://schemas.openxmlformats.org/officeDocument/2006/relationships/hyperlink" Target="https://www.google.com/maps?q=-7.2216660,-48.2422910" TargetMode="External"/><Relationship Id="rId110" Type="http://schemas.openxmlformats.org/officeDocument/2006/relationships/hyperlink" Target="https://www.google.com/maps?q=-7.2208020,-48.2394970" TargetMode="External"/><Relationship Id="rId111" Type="http://schemas.openxmlformats.org/officeDocument/2006/relationships/hyperlink" Target="https://www.google.com/maps?q=-7.2184580,-48.2338360" TargetMode="External"/><Relationship Id="rId112" Type="http://schemas.openxmlformats.org/officeDocument/2006/relationships/hyperlink" Target="https://www.google.com/maps?q=-7.2174870,-48.2341220" TargetMode="External"/><Relationship Id="rId113" Type="http://schemas.openxmlformats.org/officeDocument/2006/relationships/hyperlink" Target="https://www.google.com/maps?q=-7.2183000,-48.2186420" TargetMode="External"/><Relationship Id="rId114" Type="http://schemas.openxmlformats.org/officeDocument/2006/relationships/hyperlink" Target="https://www.google.com/maps?q=-7.2180160,-48.2186250" TargetMode="External"/><Relationship Id="rId115" Type="http://schemas.openxmlformats.org/officeDocument/2006/relationships/hyperlink" Target="https://www.google.com/maps?q=-7.2208600,-48.2205740" TargetMode="External"/><Relationship Id="rId116" Type="http://schemas.openxmlformats.org/officeDocument/2006/relationships/vmlDrawing" Target="../drawings/vmlDrawing3.vml"/><Relationship Id="rId117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0</v>
      </c>
    </row>
    <row r="3" customFormat="false" ht="23.85" hidden="false" customHeight="false" outlineLevel="0" collapsed="false">
      <c r="A3" s="2" t="s">
        <v>1</v>
      </c>
      <c r="B3" s="3" t="s">
        <v>2</v>
      </c>
    </row>
    <row r="4" customFormat="false" ht="23.85" hidden="false" customHeight="false" outlineLevel="0" collapsed="false">
      <c r="A4" s="2" t="s">
        <v>3</v>
      </c>
      <c r="B4" s="3" t="s">
        <v>4</v>
      </c>
    </row>
    <row r="5" customFormat="false" ht="23.85" hidden="false" customHeight="false" outlineLevel="0" collapsed="false">
      <c r="A5" s="2" t="s">
        <v>5</v>
      </c>
      <c r="B5" s="3" t="s">
        <v>6</v>
      </c>
    </row>
    <row r="6" customFormat="false" ht="15" hidden="false" customHeight="false" outlineLevel="0" collapsed="false">
      <c r="A6" s="2" t="s">
        <v>7</v>
      </c>
      <c r="B6" s="3" t="s">
        <v>8</v>
      </c>
    </row>
    <row r="7" customFormat="false" ht="15" hidden="false" customHeight="false" outlineLevel="0" collapsed="false">
      <c r="A7" s="2" t="s">
        <v>9</v>
      </c>
      <c r="B7" s="3" t="s">
        <v>10</v>
      </c>
    </row>
    <row r="8" customFormat="false" ht="23.85" hidden="false" customHeight="false" outlineLevel="0" collapsed="false">
      <c r="A8" s="2" t="s">
        <v>11</v>
      </c>
      <c r="B8" s="3" t="s">
        <v>12</v>
      </c>
    </row>
    <row r="9" customFormat="false" ht="15" hidden="false" customHeight="false" outlineLevel="0" collapsed="false">
      <c r="A9" s="2" t="s">
        <v>13</v>
      </c>
      <c r="B9" s="3" t="s">
        <v>14</v>
      </c>
    </row>
    <row r="10" customFormat="false" ht="15" hidden="false" customHeight="false" outlineLevel="0" collapsed="false">
      <c r="A10" s="2" t="s">
        <v>15</v>
      </c>
      <c r="B10" s="3" t="s">
        <v>16</v>
      </c>
    </row>
    <row r="11" customFormat="false" ht="35.05" hidden="false" customHeight="false" outlineLevel="0" collapsed="false">
      <c r="A11" s="2" t="s">
        <v>17</v>
      </c>
      <c r="B11" s="3" t="s">
        <v>18</v>
      </c>
    </row>
    <row r="12" customFormat="false" ht="15" hidden="false" customHeight="false" outlineLevel="0" collapsed="false">
      <c r="A12" s="2" t="s">
        <v>19</v>
      </c>
      <c r="B12" s="3" t="s">
        <v>20</v>
      </c>
    </row>
    <row r="14" customFormat="false" ht="15" hidden="false" customHeight="false" outlineLevel="0" collapsed="false">
      <c r="A14" s="4" t="s">
        <v>21</v>
      </c>
    </row>
    <row r="15" customFormat="false" ht="15" hidden="false" customHeight="false" outlineLevel="0" collapsed="false">
      <c r="A15" s="5" t="s">
        <v>22</v>
      </c>
    </row>
    <row r="16" customFormat="false" ht="15" hidden="false" customHeight="false" outlineLevel="0" collapsed="false">
      <c r="A16" s="6" t="s">
        <v>23</v>
      </c>
    </row>
    <row r="17" customFormat="false" ht="15" hidden="false" customHeight="false" outlineLevel="0" collapsed="false">
      <c r="A17" s="7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7"/>
    <col collapsed="false" customWidth="true" hidden="false" outlineLevel="0" max="8" min="3" style="0" width="10"/>
    <col collapsed="false" customWidth="true" hidden="false" outlineLevel="0" max="9" min="9" style="0" width="13"/>
    <col collapsed="false" customWidth="true" hidden="false" outlineLevel="0" max="10" min="10" style="0" width="22"/>
    <col collapsed="false" customWidth="true" hidden="false" outlineLevel="0" max="11" min="11" style="0" width="7"/>
    <col collapsed="false" customWidth="true" hidden="false" outlineLevel="0" max="12" min="12" style="0" width="12"/>
    <col collapsed="false" customWidth="true" hidden="false" outlineLevel="0" max="13" min="13" style="0" width="18"/>
    <col collapsed="false" customWidth="true" hidden="false" outlineLevel="0" max="14" min="14" style="0" width="44"/>
  </cols>
  <sheetData>
    <row r="1" customFormat="false" ht="17.35" hidden="false" customHeight="false" outlineLevel="0" collapsed="false">
      <c r="A1" s="1" t="s">
        <v>25</v>
      </c>
    </row>
    <row r="2" customFormat="false" ht="15" hidden="false" customHeight="false" outlineLevel="0" collapsed="false">
      <c r="A2" s="8" t="s">
        <v>26</v>
      </c>
    </row>
    <row r="3" customFormat="false" ht="15" hidden="false" customHeight="false" outlineLevel="0" collapsed="false">
      <c r="A3" s="4" t="s">
        <v>27</v>
      </c>
      <c r="B3" s="9" t="s">
        <v>22</v>
      </c>
      <c r="C3" s="10" t="s">
        <v>23</v>
      </c>
      <c r="D3" s="11" t="s">
        <v>24</v>
      </c>
    </row>
    <row r="5" customFormat="false" ht="31.5" hidden="false" customHeight="true" outlineLevel="0" collapsed="false">
      <c r="A5" s="12" t="s">
        <v>11</v>
      </c>
      <c r="B5" s="12" t="s">
        <v>1</v>
      </c>
      <c r="C5" s="12" t="s">
        <v>28</v>
      </c>
      <c r="D5" s="12" t="s">
        <v>29</v>
      </c>
      <c r="E5" s="12" t="s">
        <v>30</v>
      </c>
      <c r="F5" s="12" t="s">
        <v>31</v>
      </c>
      <c r="G5" s="12" t="s">
        <v>32</v>
      </c>
      <c r="H5" s="12" t="s">
        <v>33</v>
      </c>
      <c r="I5" s="12" t="s">
        <v>34</v>
      </c>
      <c r="J5" s="12" t="s">
        <v>35</v>
      </c>
      <c r="K5" s="12" t="s">
        <v>36</v>
      </c>
      <c r="L5" s="12" t="s">
        <v>37</v>
      </c>
      <c r="M5" s="12" t="s">
        <v>38</v>
      </c>
      <c r="N5" s="12" t="s">
        <v>39</v>
      </c>
    </row>
    <row r="6" customFormat="false" ht="15" hidden="false" customHeight="false" outlineLevel="0" collapsed="false">
      <c r="A6" s="13" t="s">
        <v>40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</row>
    <row r="7" customFormat="false" ht="15" hidden="false" customHeight="false" outlineLevel="0" collapsed="false">
      <c r="A7" s="14" t="n">
        <v>1</v>
      </c>
      <c r="B7" s="15" t="s">
        <v>22</v>
      </c>
      <c r="C7" s="16" t="s">
        <v>41</v>
      </c>
      <c r="D7" s="17"/>
      <c r="E7" s="17"/>
      <c r="F7" s="17"/>
      <c r="G7" s="17"/>
      <c r="H7" s="17"/>
      <c r="I7" s="18" t="s">
        <v>41</v>
      </c>
      <c r="J7" s="18" t="s">
        <v>42</v>
      </c>
      <c r="K7" s="18" t="n">
        <f aca="false">COUNTIFS(Trechos!$L$2:$L$838,A7)</f>
        <v>43</v>
      </c>
      <c r="L7" s="19" t="n">
        <f aca="false">SUMIFS(Trechos!$F$2:$F$838,Trechos!$L$2:$L$838,A7)</f>
        <v>1688.68604322695</v>
      </c>
      <c r="M7" s="18" t="s">
        <v>43</v>
      </c>
      <c r="N7" s="18" t="str">
        <f aca="false">Blocos!BT2</f>
        <v>7900106004, 7927795004, 0300031004, 0345006004, 0352810004, 0300724004, 0342284004, 0200038004, 0328286004, 0314965004, 0344627004, 0334747004, 0347400004, 0358161004, 0342738004, 0203728004, 0328468004, 0329025004, 0203016004, 0300049004, 0203015004, 0300052004, 0200050004, 0200028004, 0300024004, 0349562004, 0349564004, 0355236004, 0200023004, 0204420004, 0302387004, 3302865004, 3300065004, 0320309004, 0310307004, 0303851004, 0310306004, 0303865004, 0342709004, 0303866004, 0303867004, 0302309004, 0300064004, 0320308004, 0301840004, 0303850004, 0320305004, 0346260004, 0346420004, 0355088004, 0340038004, 0201389004, 0303849004, 0310949004, 0210950004, 0301838004, 0301839004, 0245040004, 0303718004, 0202970004, 0354089004, 0354093004, 0220315004, 0346072004, 0345823004, 0200043004, 0200011004, 0357531004, 0303835004, 0356395004, 3300016004, 0301090004, 0303861004, 0304100004, 0201099004, 0301069004</v>
      </c>
    </row>
    <row r="8" customFormat="false" ht="15" hidden="false" customHeight="false" outlineLevel="0" collapsed="false">
      <c r="A8" s="14" t="n">
        <v>2</v>
      </c>
      <c r="B8" s="20" t="s">
        <v>23</v>
      </c>
      <c r="C8" s="21" t="s">
        <v>41</v>
      </c>
      <c r="D8" s="22" t="s">
        <v>42</v>
      </c>
      <c r="E8" s="17"/>
      <c r="F8" s="17"/>
      <c r="G8" s="17"/>
      <c r="H8" s="17"/>
      <c r="I8" s="18" t="s">
        <v>42</v>
      </c>
      <c r="J8" s="18" t="s">
        <v>44</v>
      </c>
      <c r="K8" s="18" t="n">
        <f aca="false">COUNTIFS(Trechos!$L$2:$L$838,A8)</f>
        <v>29</v>
      </c>
      <c r="L8" s="19" t="n">
        <f aca="false">SUMIFS(Trechos!$F$2:$F$838,Trechos!$L$2:$L$838,A8)</f>
        <v>1397.31781320933</v>
      </c>
      <c r="M8" s="18" t="s">
        <v>45</v>
      </c>
      <c r="N8" s="18" t="str">
        <f aca="false">Blocos!BT3</f>
        <v>7927795004, 0300031004, 0345006004, 0352810004, 0300724004, 0342284004, 0200038004, 0328286004, 0314965004, 0344627004, 0334747004, 0347400004, 0358161004, 0342738004, 0203728004, 0328468004, 0329025004, 0203016004, 0300049004, 0203015004, 0300052004, 0200050004, 0200028004, 0300024004, 0349562004, 0349564004, 0355236004, 0200023004, 0204420004</v>
      </c>
    </row>
    <row r="9" customFormat="false" ht="15" hidden="false" customHeight="false" outlineLevel="0" collapsed="false">
      <c r="A9" s="14" t="n">
        <v>3</v>
      </c>
      <c r="B9" s="20" t="s">
        <v>23</v>
      </c>
      <c r="C9" s="21" t="s">
        <v>41</v>
      </c>
      <c r="D9" s="21" t="s">
        <v>42</v>
      </c>
      <c r="E9" s="22" t="s">
        <v>44</v>
      </c>
      <c r="F9" s="17"/>
      <c r="G9" s="17"/>
      <c r="H9" s="17"/>
      <c r="I9" s="18" t="s">
        <v>44</v>
      </c>
      <c r="J9" s="18" t="s">
        <v>46</v>
      </c>
      <c r="K9" s="18" t="n">
        <f aca="false">COUNTIFS(Trechos!$L$2:$L$838,A9)</f>
        <v>114</v>
      </c>
      <c r="L9" s="19" t="n">
        <f aca="false">SUMIFS(Trechos!$F$2:$F$838,Trechos!$L$2:$L$838,A9)</f>
        <v>5582.62393119983</v>
      </c>
      <c r="M9" s="18" t="s">
        <v>47</v>
      </c>
      <c r="N9" s="18" t="str">
        <f aca="false">Blocos!BT4</f>
        <v>0300031004, 0345006004, 0352810004, 0300724004, 0342284004, 0200038004, 0328286004, 0314965004, 0344627004, 0334747004, 0347400004, 0358161004, 0342738004, 0203728004, 0328468004, 0329025004, 0203016004, 0300049004, 0203015004</v>
      </c>
    </row>
    <row r="10" customFormat="false" ht="15" hidden="false" customHeight="false" outlineLevel="0" collapsed="false">
      <c r="A10" s="13" t="s">
        <v>48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</row>
    <row r="11" customFormat="false" ht="15" hidden="false" customHeight="false" outlineLevel="0" collapsed="false">
      <c r="A11" s="14" t="n">
        <v>4</v>
      </c>
      <c r="B11" s="15" t="s">
        <v>22</v>
      </c>
      <c r="C11" s="16" t="s">
        <v>41</v>
      </c>
      <c r="D11" s="17"/>
      <c r="E11" s="17"/>
      <c r="F11" s="17"/>
      <c r="G11" s="17"/>
      <c r="H11" s="17"/>
      <c r="I11" s="18" t="s">
        <v>49</v>
      </c>
      <c r="J11" s="18" t="s">
        <v>50</v>
      </c>
      <c r="K11" s="18" t="n">
        <f aca="false">COUNTIFS(Trechos!$L$2:$L$838,A11)</f>
        <v>73</v>
      </c>
      <c r="L11" s="19" t="n">
        <f aca="false">SUMIFS(Trechos!$F$2:$F$838,Trechos!$L$2:$L$838,A11)</f>
        <v>3978.33324135429</v>
      </c>
      <c r="M11" s="18" t="s">
        <v>51</v>
      </c>
      <c r="N11" s="18" t="str">
        <f aca="false">Blocos!BT5</f>
        <v>0200011004, 0357531004, 0303835004, 0356395004, 3300016004, 0301090004, 0303861004, 0304100004, 0201099004, 0301069004</v>
      </c>
    </row>
    <row r="12" customFormat="false" ht="15" hidden="false" customHeight="false" outlineLevel="0" collapsed="false">
      <c r="A12" s="14" t="n">
        <v>5</v>
      </c>
      <c r="B12" s="23" t="s">
        <v>24</v>
      </c>
      <c r="C12" s="21" t="s">
        <v>41</v>
      </c>
      <c r="D12" s="24" t="s">
        <v>52</v>
      </c>
      <c r="E12" s="17"/>
      <c r="F12" s="17"/>
      <c r="G12" s="17"/>
      <c r="H12" s="17"/>
      <c r="I12" s="18" t="s">
        <v>52</v>
      </c>
      <c r="J12" s="18" t="s">
        <v>53</v>
      </c>
      <c r="K12" s="18" t="n">
        <f aca="false">COUNTIFS(Trechos!$L$2:$L$838,A12)</f>
        <v>2</v>
      </c>
      <c r="L12" s="19" t="n">
        <f aca="false">SUMIFS(Trechos!$F$2:$F$838,Trechos!$L$2:$L$838,A12)</f>
        <v>26.2552504748723</v>
      </c>
      <c r="M12" s="18" t="s">
        <v>54</v>
      </c>
      <c r="N12" s="18" t="str">
        <f aca="false">Blocos!BT6</f>
        <v>—</v>
      </c>
    </row>
    <row r="13" customFormat="false" ht="15" hidden="false" customHeight="false" outlineLevel="0" collapsed="false">
      <c r="A13" s="14" t="n">
        <v>6</v>
      </c>
      <c r="B13" s="23" t="s">
        <v>24</v>
      </c>
      <c r="C13" s="21" t="s">
        <v>41</v>
      </c>
      <c r="D13" s="24" t="s">
        <v>55</v>
      </c>
      <c r="E13" s="17"/>
      <c r="F13" s="17"/>
      <c r="G13" s="17"/>
      <c r="H13" s="17"/>
      <c r="I13" s="18" t="s">
        <v>55</v>
      </c>
      <c r="J13" s="18" t="s">
        <v>56</v>
      </c>
      <c r="K13" s="18" t="n">
        <f aca="false">COUNTIFS(Trechos!$L$2:$L$838,A13)</f>
        <v>2</v>
      </c>
      <c r="L13" s="19" t="n">
        <f aca="false">SUMIFS(Trechos!$F$2:$F$838,Trechos!$L$2:$L$838,A13)</f>
        <v>86.2364614302115</v>
      </c>
      <c r="M13" s="18" t="s">
        <v>54</v>
      </c>
      <c r="N13" s="18" t="str">
        <f aca="false">Blocos!BT7</f>
        <v>—</v>
      </c>
    </row>
    <row r="14" customFormat="false" ht="15" hidden="false" customHeight="false" outlineLevel="0" collapsed="false">
      <c r="A14" s="14" t="n">
        <v>7</v>
      </c>
      <c r="B14" s="23" t="s">
        <v>24</v>
      </c>
      <c r="C14" s="21" t="s">
        <v>41</v>
      </c>
      <c r="D14" s="24" t="s">
        <v>57</v>
      </c>
      <c r="E14" s="17"/>
      <c r="F14" s="17"/>
      <c r="G14" s="17"/>
      <c r="H14" s="17"/>
      <c r="I14" s="18" t="s">
        <v>57</v>
      </c>
      <c r="J14" s="18" t="s">
        <v>58</v>
      </c>
      <c r="K14" s="18" t="n">
        <f aca="false">COUNTIFS(Trechos!$L$2:$L$838,A14)</f>
        <v>2</v>
      </c>
      <c r="L14" s="19" t="n">
        <f aca="false">SUMIFS(Trechos!$F$2:$F$838,Trechos!$L$2:$L$838,A14)</f>
        <v>164.576402340383</v>
      </c>
      <c r="M14" s="18" t="s">
        <v>54</v>
      </c>
      <c r="N14" s="18" t="str">
        <f aca="false">Blocos!BT8</f>
        <v>—</v>
      </c>
    </row>
    <row r="15" customFormat="false" ht="15" hidden="false" customHeight="false" outlineLevel="0" collapsed="false">
      <c r="A15" s="14" t="n">
        <v>8</v>
      </c>
      <c r="B15" s="23" t="s">
        <v>24</v>
      </c>
      <c r="C15" s="21" t="s">
        <v>41</v>
      </c>
      <c r="D15" s="24" t="s">
        <v>59</v>
      </c>
      <c r="E15" s="17"/>
      <c r="F15" s="17"/>
      <c r="G15" s="17"/>
      <c r="H15" s="17"/>
      <c r="I15" s="18" t="s">
        <v>59</v>
      </c>
      <c r="J15" s="18" t="s">
        <v>60</v>
      </c>
      <c r="K15" s="18" t="n">
        <f aca="false">COUNTIFS(Trechos!$L$2:$L$838,A15)</f>
        <v>4</v>
      </c>
      <c r="L15" s="19" t="n">
        <f aca="false">SUMIFS(Trechos!$F$2:$F$838,Trechos!$L$2:$L$838,A15)</f>
        <v>242.112352860839</v>
      </c>
      <c r="M15" s="18" t="s">
        <v>54</v>
      </c>
      <c r="N15" s="18" t="str">
        <f aca="false">Blocos!BT9</f>
        <v>—</v>
      </c>
    </row>
    <row r="16" customFormat="false" ht="15" hidden="false" customHeight="false" outlineLevel="0" collapsed="false">
      <c r="A16" s="14" t="n">
        <v>9</v>
      </c>
      <c r="B16" s="23" t="s">
        <v>24</v>
      </c>
      <c r="C16" s="21" t="s">
        <v>41</v>
      </c>
      <c r="D16" s="24" t="s">
        <v>61</v>
      </c>
      <c r="E16" s="17"/>
      <c r="F16" s="17"/>
      <c r="G16" s="17"/>
      <c r="H16" s="17"/>
      <c r="I16" s="18" t="s">
        <v>61</v>
      </c>
      <c r="J16" s="18" t="s">
        <v>62</v>
      </c>
      <c r="K16" s="18" t="n">
        <f aca="false">COUNTIFS(Trechos!$L$2:$L$838,A16)</f>
        <v>6</v>
      </c>
      <c r="L16" s="19" t="n">
        <f aca="false">SUMIFS(Trechos!$F$2:$F$838,Trechos!$L$2:$L$838,A16)</f>
        <v>419.614498891667</v>
      </c>
      <c r="M16" s="18" t="s">
        <v>54</v>
      </c>
      <c r="N16" s="18" t="str">
        <f aca="false">Blocos!BT10</f>
        <v>0301090004, 0303861004, 0304100004</v>
      </c>
    </row>
    <row r="17" customFormat="false" ht="15" hidden="false" customHeight="false" outlineLevel="0" collapsed="false">
      <c r="A17" s="14" t="n">
        <v>10</v>
      </c>
      <c r="B17" s="23" t="s">
        <v>24</v>
      </c>
      <c r="C17" s="21" t="s">
        <v>41</v>
      </c>
      <c r="D17" s="21" t="s">
        <v>61</v>
      </c>
      <c r="E17" s="24" t="s">
        <v>62</v>
      </c>
      <c r="F17" s="17"/>
      <c r="G17" s="17"/>
      <c r="H17" s="17"/>
      <c r="I17" s="18" t="s">
        <v>62</v>
      </c>
      <c r="J17" s="18" t="s">
        <v>63</v>
      </c>
      <c r="K17" s="18" t="n">
        <f aca="false">COUNTIFS(Trechos!$L$2:$L$838,A17)</f>
        <v>7</v>
      </c>
      <c r="L17" s="19" t="n">
        <f aca="false">SUMIFS(Trechos!$F$2:$F$838,Trechos!$L$2:$L$838,A17)</f>
        <v>505.377204353388</v>
      </c>
      <c r="M17" s="18" t="s">
        <v>54</v>
      </c>
      <c r="N17" s="18" t="str">
        <f aca="false">Blocos!BT11</f>
        <v>0303861004, 0304100004</v>
      </c>
    </row>
    <row r="18" customFormat="false" ht="15" hidden="false" customHeight="false" outlineLevel="0" collapsed="false">
      <c r="A18" s="14" t="n">
        <v>11</v>
      </c>
      <c r="B18" s="23" t="s">
        <v>24</v>
      </c>
      <c r="C18" s="21" t="s">
        <v>41</v>
      </c>
      <c r="D18" s="21" t="s">
        <v>61</v>
      </c>
      <c r="E18" s="21" t="s">
        <v>62</v>
      </c>
      <c r="F18" s="24" t="s">
        <v>64</v>
      </c>
      <c r="G18" s="17"/>
      <c r="H18" s="17"/>
      <c r="I18" s="18" t="s">
        <v>64</v>
      </c>
      <c r="J18" s="18" t="s">
        <v>65</v>
      </c>
      <c r="K18" s="18" t="n">
        <f aca="false">COUNTIFS(Trechos!$L$2:$L$838,A18)</f>
        <v>1</v>
      </c>
      <c r="L18" s="19" t="n">
        <f aca="false">SUMIFS(Trechos!$F$2:$F$838,Trechos!$L$2:$L$838,A18)</f>
        <v>122.547958825086</v>
      </c>
      <c r="M18" s="18" t="s">
        <v>54</v>
      </c>
      <c r="N18" s="18" t="str">
        <f aca="false">Blocos!BT12</f>
        <v>—</v>
      </c>
    </row>
    <row r="19" customFormat="false" ht="15" hidden="false" customHeight="false" outlineLevel="0" collapsed="false">
      <c r="A19" s="14" t="n">
        <v>12</v>
      </c>
      <c r="B19" s="23" t="s">
        <v>24</v>
      </c>
      <c r="C19" s="21" t="s">
        <v>41</v>
      </c>
      <c r="D19" s="21" t="s">
        <v>61</v>
      </c>
      <c r="E19" s="21" t="s">
        <v>62</v>
      </c>
      <c r="F19" s="24" t="s">
        <v>66</v>
      </c>
      <c r="G19" s="17"/>
      <c r="H19" s="17"/>
      <c r="I19" s="18" t="s">
        <v>66</v>
      </c>
      <c r="J19" s="18" t="s">
        <v>67</v>
      </c>
      <c r="K19" s="18" t="n">
        <f aca="false">COUNTIFS(Trechos!$L$2:$L$838,A19)</f>
        <v>1</v>
      </c>
      <c r="L19" s="19" t="n">
        <f aca="false">SUMIFS(Trechos!$F$2:$F$838,Trechos!$L$2:$L$838,A19)</f>
        <v>53.3864724625481</v>
      </c>
      <c r="M19" s="18" t="s">
        <v>54</v>
      </c>
      <c r="N19" s="18" t="str">
        <f aca="false">Blocos!BT13</f>
        <v>—</v>
      </c>
    </row>
    <row r="20" customFormat="false" ht="15" hidden="false" customHeight="false" outlineLevel="0" collapsed="false">
      <c r="A20" s="14" t="n">
        <v>13</v>
      </c>
      <c r="B20" s="23" t="s">
        <v>24</v>
      </c>
      <c r="C20" s="21" t="s">
        <v>41</v>
      </c>
      <c r="D20" s="24" t="s">
        <v>68</v>
      </c>
      <c r="E20" s="17"/>
      <c r="F20" s="17"/>
      <c r="G20" s="17"/>
      <c r="H20" s="17"/>
      <c r="I20" s="18" t="s">
        <v>68</v>
      </c>
      <c r="J20" s="18" t="s">
        <v>69</v>
      </c>
      <c r="K20" s="18" t="n">
        <f aca="false">COUNTIFS(Trechos!$L$2:$L$838,A20)</f>
        <v>3</v>
      </c>
      <c r="L20" s="19" t="n">
        <f aca="false">SUMIFS(Trechos!$F$2:$F$838,Trechos!$L$2:$L$838,A20)</f>
        <v>17.6317886192389</v>
      </c>
      <c r="M20" s="18" t="s">
        <v>54</v>
      </c>
      <c r="N20" s="18" t="str">
        <f aca="false">Blocos!BT14</f>
        <v>—</v>
      </c>
    </row>
    <row r="21" customFormat="false" ht="15" hidden="false" customHeight="false" outlineLevel="0" collapsed="false">
      <c r="A21" s="14" t="n">
        <v>14</v>
      </c>
      <c r="B21" s="23" t="s">
        <v>24</v>
      </c>
      <c r="C21" s="21" t="s">
        <v>41</v>
      </c>
      <c r="D21" s="24" t="s">
        <v>70</v>
      </c>
      <c r="E21" s="17"/>
      <c r="F21" s="17"/>
      <c r="G21" s="17"/>
      <c r="H21" s="17"/>
      <c r="I21" s="18" t="s">
        <v>70</v>
      </c>
      <c r="J21" s="18" t="s">
        <v>71</v>
      </c>
      <c r="K21" s="18" t="n">
        <f aca="false">COUNTIFS(Trechos!$L$2:$L$838,A21)</f>
        <v>1</v>
      </c>
      <c r="L21" s="19" t="n">
        <f aca="false">SUMIFS(Trechos!$F$2:$F$838,Trechos!$L$2:$L$838,A21)</f>
        <v>5.16474565625425</v>
      </c>
      <c r="M21" s="18" t="s">
        <v>54</v>
      </c>
      <c r="N21" s="18" t="str">
        <f aca="false">Blocos!BT15</f>
        <v>—</v>
      </c>
    </row>
    <row r="22" customFormat="false" ht="15" hidden="false" customHeight="false" outlineLevel="0" collapsed="false">
      <c r="A22" s="13" t="s">
        <v>72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</row>
    <row r="23" customFormat="false" ht="15" hidden="false" customHeight="false" outlineLevel="0" collapsed="false">
      <c r="A23" s="14" t="n">
        <v>15</v>
      </c>
      <c r="B23" s="15" t="s">
        <v>22</v>
      </c>
      <c r="C23" s="16" t="s">
        <v>41</v>
      </c>
      <c r="D23" s="17"/>
      <c r="E23" s="17"/>
      <c r="F23" s="17"/>
      <c r="G23" s="17"/>
      <c r="H23" s="17"/>
      <c r="I23" s="18" t="s">
        <v>73</v>
      </c>
      <c r="J23" s="18" t="s">
        <v>74</v>
      </c>
      <c r="K23" s="18" t="n">
        <f aca="false">COUNTIFS(Trechos!$L$2:$L$838,A23)</f>
        <v>1</v>
      </c>
      <c r="L23" s="19" t="n">
        <f aca="false">SUMIFS(Trechos!$F$2:$F$838,Trechos!$L$2:$L$838,A23)</f>
        <v>81.2375187442398</v>
      </c>
      <c r="M23" s="18" t="s">
        <v>54</v>
      </c>
      <c r="N23" s="18" t="str">
        <f aca="false">Blocos!BT16</f>
        <v>—</v>
      </c>
    </row>
    <row r="24" customFormat="false" ht="15" hidden="false" customHeight="false" outlineLevel="0" collapsed="false">
      <c r="A24" s="13" t="s">
        <v>75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</row>
    <row r="25" customFormat="false" ht="15" hidden="false" customHeight="false" outlineLevel="0" collapsed="false">
      <c r="A25" s="14" t="n">
        <v>16</v>
      </c>
      <c r="B25" s="15" t="s">
        <v>22</v>
      </c>
      <c r="C25" s="16" t="s">
        <v>41</v>
      </c>
      <c r="D25" s="17"/>
      <c r="E25" s="17"/>
      <c r="F25" s="17"/>
      <c r="G25" s="17"/>
      <c r="H25" s="17"/>
      <c r="I25" s="18" t="s">
        <v>76</v>
      </c>
      <c r="J25" s="18" t="s">
        <v>77</v>
      </c>
      <c r="K25" s="18" t="n">
        <f aca="false">COUNTIFS(Trechos!$L$2:$L$838,A25)</f>
        <v>173</v>
      </c>
      <c r="L25" s="19" t="n">
        <f aca="false">SUMIFS(Trechos!$F$2:$F$838,Trechos!$L$2:$L$838,A25)</f>
        <v>8992.98919190491</v>
      </c>
      <c r="M25" s="18" t="s">
        <v>78</v>
      </c>
      <c r="N25" s="18" t="str">
        <f aca="false">Blocos!BT17</f>
        <v>0302387004, 3302865004, 3300065004, 0320309004, 0310307004, 0303851004, 0310306004, 0303865004, 0342709004, 0303866004, 0303867004, 0302309004, 0300064004, 0320308004, 0301840004, 0303850004, 0320305004, 0346260004, 0346420004, 0355088004, 0340038004, 0201389004, 0303849004, 0310949004, 0210950004, 0301838004, 0301839004, 0245040004, 0303718004, 0202970004, 0354089004, 0354093004, 0220315004, 0346072004, 0345823004, 0200043004</v>
      </c>
    </row>
    <row r="26" customFormat="false" ht="15" hidden="false" customHeight="false" outlineLevel="0" collapsed="false">
      <c r="A26" s="14" t="n">
        <v>17</v>
      </c>
      <c r="B26" s="23" t="s">
        <v>24</v>
      </c>
      <c r="C26" s="21" t="s">
        <v>41</v>
      </c>
      <c r="D26" s="24" t="s">
        <v>79</v>
      </c>
      <c r="E26" s="17"/>
      <c r="F26" s="17"/>
      <c r="G26" s="17"/>
      <c r="H26" s="17"/>
      <c r="I26" s="18" t="s">
        <v>79</v>
      </c>
      <c r="J26" s="18" t="s">
        <v>80</v>
      </c>
      <c r="K26" s="18" t="n">
        <f aca="false">COUNTIFS(Trechos!$L$2:$L$838,A26)</f>
        <v>13</v>
      </c>
      <c r="L26" s="19" t="n">
        <f aca="false">SUMIFS(Trechos!$F$2:$F$838,Trechos!$L$2:$L$838,A26)</f>
        <v>1089.05853291961</v>
      </c>
      <c r="M26" s="18" t="s">
        <v>54</v>
      </c>
      <c r="N26" s="18" t="str">
        <f aca="false">Blocos!BT18</f>
        <v>3302865004, 3300065004, 0320309004, 0310307004, 0303851004, 0310306004, 0303865004, 0342709004, 0303866004, 0303867004, 0302309004, 0300064004, 0320308004, 0301840004, 0303850004, 0320305004, 0346260004</v>
      </c>
    </row>
    <row r="27" customFormat="false" ht="15" hidden="false" customHeight="false" outlineLevel="0" collapsed="false">
      <c r="A27" s="14" t="n">
        <v>18</v>
      </c>
      <c r="B27" s="23" t="s">
        <v>24</v>
      </c>
      <c r="C27" s="21" t="s">
        <v>41</v>
      </c>
      <c r="D27" s="21" t="s">
        <v>79</v>
      </c>
      <c r="E27" s="24" t="s">
        <v>81</v>
      </c>
      <c r="F27" s="17"/>
      <c r="G27" s="17"/>
      <c r="H27" s="17"/>
      <c r="I27" s="18" t="s">
        <v>81</v>
      </c>
      <c r="J27" s="18" t="s">
        <v>82</v>
      </c>
      <c r="K27" s="18" t="n">
        <f aca="false">COUNTIFS(Trechos!$L$2:$L$838,A27)</f>
        <v>12</v>
      </c>
      <c r="L27" s="19" t="n">
        <f aca="false">SUMIFS(Trechos!$F$2:$F$838,Trechos!$L$2:$L$838,A27)</f>
        <v>1422.78854058268</v>
      </c>
      <c r="M27" s="18" t="s">
        <v>54</v>
      </c>
      <c r="N27" s="18" t="str">
        <f aca="false">Blocos!BT19</f>
        <v>3300065004, 0320309004, 0310307004, 0303851004, 0310306004, 0303865004, 0342709004, 0303866004, 0303867004, 0302309004, 0300064004, 0320308004, 0301840004</v>
      </c>
    </row>
    <row r="28" customFormat="false" ht="15" hidden="false" customHeight="false" outlineLevel="0" collapsed="false">
      <c r="A28" s="14" t="n">
        <v>19</v>
      </c>
      <c r="B28" s="23" t="s">
        <v>24</v>
      </c>
      <c r="C28" s="21" t="s">
        <v>41</v>
      </c>
      <c r="D28" s="21" t="s">
        <v>79</v>
      </c>
      <c r="E28" s="21" t="s">
        <v>81</v>
      </c>
      <c r="F28" s="24" t="s">
        <v>83</v>
      </c>
      <c r="G28" s="17"/>
      <c r="H28" s="17"/>
      <c r="I28" s="18" t="s">
        <v>83</v>
      </c>
      <c r="J28" s="18" t="s">
        <v>84</v>
      </c>
      <c r="K28" s="18" t="n">
        <f aca="false">COUNTIFS(Trechos!$L$2:$L$838,A28)</f>
        <v>5</v>
      </c>
      <c r="L28" s="19" t="n">
        <f aca="false">SUMIFS(Trechos!$F$2:$F$838,Trechos!$L$2:$L$838,A28)</f>
        <v>300.018250853091</v>
      </c>
      <c r="M28" s="18" t="s">
        <v>54</v>
      </c>
      <c r="N28" s="18" t="str">
        <f aca="false">Blocos!BT20</f>
        <v>0320309004, 0310307004, 0303851004, 0310306004, 0303865004, 0342709004, 0303866004, 0303867004, 0302309004</v>
      </c>
    </row>
    <row r="29" customFormat="false" ht="15" hidden="false" customHeight="false" outlineLevel="0" collapsed="false">
      <c r="A29" s="14" t="n">
        <v>20</v>
      </c>
      <c r="B29" s="23" t="s">
        <v>24</v>
      </c>
      <c r="C29" s="21" t="s">
        <v>41</v>
      </c>
      <c r="D29" s="21" t="s">
        <v>79</v>
      </c>
      <c r="E29" s="21" t="s">
        <v>81</v>
      </c>
      <c r="F29" s="21" t="s">
        <v>83</v>
      </c>
      <c r="G29" s="24" t="s">
        <v>85</v>
      </c>
      <c r="H29" s="17"/>
      <c r="I29" s="18" t="s">
        <v>85</v>
      </c>
      <c r="J29" s="18" t="s">
        <v>86</v>
      </c>
      <c r="K29" s="18" t="n">
        <f aca="false">COUNTIFS(Trechos!$L$2:$L$838,A29)</f>
        <v>31</v>
      </c>
      <c r="L29" s="19" t="n">
        <f aca="false">SUMIFS(Trechos!$F$2:$F$838,Trechos!$L$2:$L$838,A29)</f>
        <v>3388.76749524746</v>
      </c>
      <c r="M29" s="18" t="s">
        <v>54</v>
      </c>
      <c r="N29" s="18" t="str">
        <f aca="false">Blocos!BT21</f>
        <v>0310307004, 0303851004, 0310306004, 0303865004, 0342709004, 0303866004, 0303867004, 0302309004</v>
      </c>
    </row>
    <row r="30" customFormat="false" ht="15" hidden="false" customHeight="false" outlineLevel="0" collapsed="false">
      <c r="A30" s="14" t="n">
        <v>21</v>
      </c>
      <c r="B30" s="23" t="s">
        <v>24</v>
      </c>
      <c r="C30" s="21" t="s">
        <v>41</v>
      </c>
      <c r="D30" s="21" t="s">
        <v>79</v>
      </c>
      <c r="E30" s="21" t="s">
        <v>81</v>
      </c>
      <c r="F30" s="21" t="s">
        <v>83</v>
      </c>
      <c r="G30" s="21" t="s">
        <v>85</v>
      </c>
      <c r="H30" s="24" t="s">
        <v>87</v>
      </c>
      <c r="I30" s="18" t="s">
        <v>87</v>
      </c>
      <c r="J30" s="18" t="s">
        <v>88</v>
      </c>
      <c r="K30" s="18" t="n">
        <f aca="false">COUNTIFS(Trechos!$L$2:$L$838,A30)</f>
        <v>1</v>
      </c>
      <c r="L30" s="19" t="n">
        <f aca="false">SUMIFS(Trechos!$F$2:$F$838,Trechos!$L$2:$L$838,A30)</f>
        <v>35.9284296513527</v>
      </c>
      <c r="M30" s="18" t="s">
        <v>54</v>
      </c>
      <c r="N30" s="18" t="str">
        <f aca="false">Blocos!BT22</f>
        <v>—</v>
      </c>
    </row>
    <row r="31" customFormat="false" ht="15" hidden="false" customHeight="false" outlineLevel="0" collapsed="false">
      <c r="A31" s="14" t="n">
        <v>22</v>
      </c>
      <c r="B31" s="23" t="s">
        <v>24</v>
      </c>
      <c r="C31" s="21" t="s">
        <v>41</v>
      </c>
      <c r="D31" s="21" t="s">
        <v>79</v>
      </c>
      <c r="E31" s="21" t="s">
        <v>81</v>
      </c>
      <c r="F31" s="21" t="s">
        <v>83</v>
      </c>
      <c r="G31" s="21" t="s">
        <v>85</v>
      </c>
      <c r="H31" s="24" t="s">
        <v>89</v>
      </c>
      <c r="I31" s="18" t="s">
        <v>89</v>
      </c>
      <c r="J31" s="18" t="s">
        <v>90</v>
      </c>
      <c r="K31" s="18" t="n">
        <f aca="false">COUNTIFS(Trechos!$L$2:$L$838,A31)</f>
        <v>1</v>
      </c>
      <c r="L31" s="19" t="n">
        <f aca="false">SUMIFS(Trechos!$F$2:$F$838,Trechos!$L$2:$L$838,A31)</f>
        <v>466.717236768371</v>
      </c>
      <c r="M31" s="18" t="s">
        <v>54</v>
      </c>
      <c r="N31" s="18" t="str">
        <f aca="false">Blocos!BT23</f>
        <v>—</v>
      </c>
    </row>
    <row r="32" customFormat="false" ht="15" hidden="false" customHeight="false" outlineLevel="0" collapsed="false">
      <c r="A32" s="14" t="n">
        <v>23</v>
      </c>
      <c r="B32" s="23" t="s">
        <v>24</v>
      </c>
      <c r="C32" s="21" t="s">
        <v>41</v>
      </c>
      <c r="D32" s="21" t="s">
        <v>79</v>
      </c>
      <c r="E32" s="21" t="s">
        <v>81</v>
      </c>
      <c r="F32" s="21" t="s">
        <v>83</v>
      </c>
      <c r="G32" s="21" t="s">
        <v>85</v>
      </c>
      <c r="H32" s="24" t="s">
        <v>91</v>
      </c>
      <c r="I32" s="18" t="s">
        <v>91</v>
      </c>
      <c r="J32" s="18" t="s">
        <v>92</v>
      </c>
      <c r="K32" s="18" t="n">
        <f aca="false">COUNTIFS(Trechos!$L$2:$L$838,A32)</f>
        <v>1</v>
      </c>
      <c r="L32" s="19" t="n">
        <f aca="false">SUMIFS(Trechos!$F$2:$F$838,Trechos!$L$2:$L$838,A32)</f>
        <v>261.896214627817</v>
      </c>
      <c r="M32" s="18" t="s">
        <v>54</v>
      </c>
      <c r="N32" s="18" t="str">
        <f aca="false">Blocos!BT24</f>
        <v>—</v>
      </c>
    </row>
    <row r="33" customFormat="false" ht="15" hidden="false" customHeight="false" outlineLevel="0" collapsed="false">
      <c r="A33" s="14" t="n">
        <v>24</v>
      </c>
      <c r="B33" s="23" t="s">
        <v>24</v>
      </c>
      <c r="C33" s="21" t="s">
        <v>41</v>
      </c>
      <c r="D33" s="21" t="s">
        <v>79</v>
      </c>
      <c r="E33" s="21" t="s">
        <v>81</v>
      </c>
      <c r="F33" s="21" t="s">
        <v>83</v>
      </c>
      <c r="G33" s="21" t="s">
        <v>85</v>
      </c>
      <c r="H33" s="24" t="s">
        <v>93</v>
      </c>
      <c r="I33" s="18" t="s">
        <v>93</v>
      </c>
      <c r="J33" s="18" t="s">
        <v>94</v>
      </c>
      <c r="K33" s="18" t="n">
        <f aca="false">COUNTIFS(Trechos!$L$2:$L$838,A33)</f>
        <v>1</v>
      </c>
      <c r="L33" s="19" t="n">
        <f aca="false">SUMIFS(Trechos!$F$2:$F$838,Trechos!$L$2:$L$838,A33)</f>
        <v>114.556695977505</v>
      </c>
      <c r="M33" s="18" t="s">
        <v>54</v>
      </c>
      <c r="N33" s="18" t="str">
        <f aca="false">Blocos!BT25</f>
        <v>—</v>
      </c>
    </row>
    <row r="34" customFormat="false" ht="15" hidden="false" customHeight="false" outlineLevel="0" collapsed="false">
      <c r="A34" s="14" t="n">
        <v>25</v>
      </c>
      <c r="B34" s="23" t="s">
        <v>24</v>
      </c>
      <c r="C34" s="21" t="s">
        <v>41</v>
      </c>
      <c r="D34" s="21" t="s">
        <v>79</v>
      </c>
      <c r="E34" s="21" t="s">
        <v>81</v>
      </c>
      <c r="F34" s="21" t="s">
        <v>83</v>
      </c>
      <c r="G34" s="21" t="s">
        <v>85</v>
      </c>
      <c r="H34" s="24" t="s">
        <v>95</v>
      </c>
      <c r="I34" s="18" t="s">
        <v>95</v>
      </c>
      <c r="J34" s="18" t="s">
        <v>96</v>
      </c>
      <c r="K34" s="18" t="n">
        <f aca="false">COUNTIFS(Trechos!$L$2:$L$838,A34)</f>
        <v>3</v>
      </c>
      <c r="L34" s="19" t="n">
        <f aca="false">SUMIFS(Trechos!$F$2:$F$838,Trechos!$L$2:$L$838,A34)</f>
        <v>106.355731496363</v>
      </c>
      <c r="M34" s="18" t="s">
        <v>54</v>
      </c>
      <c r="N34" s="18" t="str">
        <f aca="false">Blocos!BT26</f>
        <v>—</v>
      </c>
    </row>
    <row r="35" customFormat="false" ht="15" hidden="false" customHeight="false" outlineLevel="0" collapsed="false">
      <c r="A35" s="14" t="n">
        <v>26</v>
      </c>
      <c r="B35" s="23" t="s">
        <v>24</v>
      </c>
      <c r="C35" s="21" t="s">
        <v>41</v>
      </c>
      <c r="D35" s="21" t="s">
        <v>79</v>
      </c>
      <c r="E35" s="21" t="s">
        <v>81</v>
      </c>
      <c r="F35" s="21" t="s">
        <v>83</v>
      </c>
      <c r="G35" s="21" t="s">
        <v>85</v>
      </c>
      <c r="H35" s="24" t="s">
        <v>97</v>
      </c>
      <c r="I35" s="18" t="s">
        <v>97</v>
      </c>
      <c r="J35" s="18" t="s">
        <v>98</v>
      </c>
      <c r="K35" s="18" t="n">
        <f aca="false">COUNTIFS(Trechos!$L$2:$L$838,A35)</f>
        <v>1</v>
      </c>
      <c r="L35" s="19" t="n">
        <f aca="false">SUMIFS(Trechos!$F$2:$F$838,Trechos!$L$2:$L$838,A35)</f>
        <v>50.2992505888517</v>
      </c>
      <c r="M35" s="18" t="s">
        <v>54</v>
      </c>
      <c r="N35" s="18" t="str">
        <f aca="false">Blocos!BT27</f>
        <v>—</v>
      </c>
    </row>
    <row r="36" customFormat="false" ht="15" hidden="false" customHeight="false" outlineLevel="0" collapsed="false">
      <c r="A36" s="14" t="n">
        <v>27</v>
      </c>
      <c r="B36" s="23" t="s">
        <v>24</v>
      </c>
      <c r="C36" s="21" t="s">
        <v>41</v>
      </c>
      <c r="D36" s="21" t="s">
        <v>79</v>
      </c>
      <c r="E36" s="21" t="s">
        <v>81</v>
      </c>
      <c r="F36" s="21" t="s">
        <v>83</v>
      </c>
      <c r="G36" s="21" t="s">
        <v>85</v>
      </c>
      <c r="H36" s="24" t="s">
        <v>99</v>
      </c>
      <c r="I36" s="18" t="s">
        <v>99</v>
      </c>
      <c r="J36" s="18" t="s">
        <v>100</v>
      </c>
      <c r="K36" s="18" t="n">
        <f aca="false">COUNTIFS(Trechos!$L$2:$L$838,A36)</f>
        <v>1</v>
      </c>
      <c r="L36" s="19" t="n">
        <f aca="false">SUMIFS(Trechos!$F$2:$F$838,Trechos!$L$2:$L$838,A36)</f>
        <v>92.2586306696714</v>
      </c>
      <c r="M36" s="18" t="s">
        <v>54</v>
      </c>
      <c r="N36" s="18" t="str">
        <f aca="false">Blocos!BT28</f>
        <v>—</v>
      </c>
    </row>
    <row r="37" customFormat="false" ht="15" hidden="false" customHeight="false" outlineLevel="0" collapsed="false">
      <c r="A37" s="14" t="n">
        <v>28</v>
      </c>
      <c r="B37" s="23" t="s">
        <v>24</v>
      </c>
      <c r="C37" s="21" t="s">
        <v>41</v>
      </c>
      <c r="D37" s="21" t="s">
        <v>79</v>
      </c>
      <c r="E37" s="21" t="s">
        <v>81</v>
      </c>
      <c r="F37" s="21" t="s">
        <v>83</v>
      </c>
      <c r="G37" s="21" t="s">
        <v>85</v>
      </c>
      <c r="H37" s="24" t="s">
        <v>101</v>
      </c>
      <c r="I37" s="18" t="s">
        <v>101</v>
      </c>
      <c r="J37" s="18" t="s">
        <v>102</v>
      </c>
      <c r="K37" s="18" t="n">
        <f aca="false">COUNTIFS(Trechos!$L$2:$L$838,A37)</f>
        <v>1</v>
      </c>
      <c r="L37" s="19" t="n">
        <f aca="false">SUMIFS(Trechos!$F$2:$F$838,Trechos!$L$2:$L$838,A37)</f>
        <v>252.909183033416</v>
      </c>
      <c r="M37" s="18" t="s">
        <v>54</v>
      </c>
      <c r="N37" s="18" t="str">
        <f aca="false">Blocos!BT29</f>
        <v>—</v>
      </c>
    </row>
    <row r="38" customFormat="false" ht="15" hidden="false" customHeight="false" outlineLevel="0" collapsed="false">
      <c r="A38" s="14" t="n">
        <v>29</v>
      </c>
      <c r="B38" s="23" t="s">
        <v>24</v>
      </c>
      <c r="C38" s="21" t="s">
        <v>41</v>
      </c>
      <c r="D38" s="21" t="s">
        <v>79</v>
      </c>
      <c r="E38" s="21" t="s">
        <v>81</v>
      </c>
      <c r="F38" s="24" t="s">
        <v>103</v>
      </c>
      <c r="G38" s="17"/>
      <c r="H38" s="17"/>
      <c r="I38" s="18" t="s">
        <v>103</v>
      </c>
      <c r="J38" s="18" t="s">
        <v>104</v>
      </c>
      <c r="K38" s="18" t="n">
        <f aca="false">COUNTIFS(Trechos!$L$2:$L$838,A38)</f>
        <v>1</v>
      </c>
      <c r="L38" s="19" t="n">
        <f aca="false">SUMIFS(Trechos!$F$2:$F$838,Trechos!$L$2:$L$838,A38)</f>
        <v>30.8355904582397</v>
      </c>
      <c r="M38" s="18" t="s">
        <v>54</v>
      </c>
      <c r="N38" s="18" t="str">
        <f aca="false">Blocos!BT30</f>
        <v>—</v>
      </c>
    </row>
    <row r="39" customFormat="false" ht="15" hidden="false" customHeight="false" outlineLevel="0" collapsed="false">
      <c r="A39" s="14" t="n">
        <v>30</v>
      </c>
      <c r="B39" s="23" t="s">
        <v>24</v>
      </c>
      <c r="C39" s="21" t="s">
        <v>41</v>
      </c>
      <c r="D39" s="21" t="s">
        <v>79</v>
      </c>
      <c r="E39" s="21" t="s">
        <v>81</v>
      </c>
      <c r="F39" s="24" t="s">
        <v>105</v>
      </c>
      <c r="G39" s="17"/>
      <c r="H39" s="17"/>
      <c r="I39" s="18" t="s">
        <v>105</v>
      </c>
      <c r="J39" s="18" t="s">
        <v>106</v>
      </c>
      <c r="K39" s="18" t="n">
        <f aca="false">COUNTIFS(Trechos!$L$2:$L$838,A39)</f>
        <v>1</v>
      </c>
      <c r="L39" s="19" t="n">
        <f aca="false">SUMIFS(Trechos!$F$2:$F$838,Trechos!$L$2:$L$838,A39)</f>
        <v>60.4709293449866</v>
      </c>
      <c r="M39" s="18" t="s">
        <v>54</v>
      </c>
      <c r="N39" s="18" t="str">
        <f aca="false">Blocos!BT31</f>
        <v>—</v>
      </c>
    </row>
    <row r="40" customFormat="false" ht="15" hidden="false" customHeight="false" outlineLevel="0" collapsed="false">
      <c r="A40" s="14" t="n">
        <v>31</v>
      </c>
      <c r="B40" s="23" t="s">
        <v>24</v>
      </c>
      <c r="C40" s="21" t="s">
        <v>41</v>
      </c>
      <c r="D40" s="21" t="s">
        <v>79</v>
      </c>
      <c r="E40" s="21" t="s">
        <v>81</v>
      </c>
      <c r="F40" s="24" t="s">
        <v>107</v>
      </c>
      <c r="G40" s="17"/>
      <c r="H40" s="17"/>
      <c r="I40" s="18" t="s">
        <v>107</v>
      </c>
      <c r="J40" s="18" t="s">
        <v>108</v>
      </c>
      <c r="K40" s="18" t="n">
        <f aca="false">COUNTIFS(Trechos!$L$2:$L$838,A40)</f>
        <v>1</v>
      </c>
      <c r="L40" s="19" t="n">
        <f aca="false">SUMIFS(Trechos!$F$2:$F$838,Trechos!$L$2:$L$838,A40)</f>
        <v>347.967746604303</v>
      </c>
      <c r="M40" s="18" t="s">
        <v>54</v>
      </c>
      <c r="N40" s="18" t="str">
        <f aca="false">Blocos!BT32</f>
        <v>—</v>
      </c>
    </row>
    <row r="41" customFormat="false" ht="15" hidden="false" customHeight="false" outlineLevel="0" collapsed="false">
      <c r="A41" s="14" t="n">
        <v>32</v>
      </c>
      <c r="B41" s="23" t="s">
        <v>24</v>
      </c>
      <c r="C41" s="21" t="s">
        <v>41</v>
      </c>
      <c r="D41" s="21" t="s">
        <v>79</v>
      </c>
      <c r="E41" s="24" t="s">
        <v>109</v>
      </c>
      <c r="F41" s="17"/>
      <c r="G41" s="17"/>
      <c r="H41" s="17"/>
      <c r="I41" s="18" t="s">
        <v>109</v>
      </c>
      <c r="J41" s="18" t="s">
        <v>110</v>
      </c>
      <c r="K41" s="18" t="n">
        <f aca="false">COUNTIFS(Trechos!$L$2:$L$838,A41)</f>
        <v>12</v>
      </c>
      <c r="L41" s="19" t="n">
        <f aca="false">SUMIFS(Trechos!$F$2:$F$838,Trechos!$L$2:$L$838,A41)</f>
        <v>559.312234111401</v>
      </c>
      <c r="M41" s="18" t="s">
        <v>54</v>
      </c>
      <c r="N41" s="18" t="str">
        <f aca="false">Blocos!BT33</f>
        <v>0320305004</v>
      </c>
    </row>
    <row r="42" customFormat="false" ht="15" hidden="false" customHeight="false" outlineLevel="0" collapsed="false">
      <c r="A42" s="14" t="n">
        <v>33</v>
      </c>
      <c r="B42" s="23" t="s">
        <v>24</v>
      </c>
      <c r="C42" s="21" t="s">
        <v>41</v>
      </c>
      <c r="D42" s="21" t="s">
        <v>79</v>
      </c>
      <c r="E42" s="21" t="s">
        <v>109</v>
      </c>
      <c r="F42" s="24" t="s">
        <v>111</v>
      </c>
      <c r="G42" s="17"/>
      <c r="H42" s="17"/>
      <c r="I42" s="18" t="s">
        <v>111</v>
      </c>
      <c r="J42" s="18" t="s">
        <v>112</v>
      </c>
      <c r="K42" s="18" t="n">
        <f aca="false">COUNTIFS(Trechos!$L$2:$L$838,A42)</f>
        <v>10</v>
      </c>
      <c r="L42" s="19" t="n">
        <f aca="false">SUMIFS(Trechos!$F$2:$F$838,Trechos!$L$2:$L$838,A42)</f>
        <v>647.302896044083</v>
      </c>
      <c r="M42" s="18" t="s">
        <v>54</v>
      </c>
      <c r="N42" s="18" t="str">
        <f aca="false">Blocos!BT34</f>
        <v>—</v>
      </c>
    </row>
    <row r="43" customFormat="false" ht="15" hidden="false" customHeight="false" outlineLevel="0" collapsed="false">
      <c r="A43" s="14" t="n">
        <v>34</v>
      </c>
      <c r="B43" s="23" t="s">
        <v>24</v>
      </c>
      <c r="C43" s="21" t="s">
        <v>41</v>
      </c>
      <c r="D43" s="21" t="s">
        <v>79</v>
      </c>
      <c r="E43" s="24" t="s">
        <v>113</v>
      </c>
      <c r="F43" s="17"/>
      <c r="G43" s="17"/>
      <c r="H43" s="17"/>
      <c r="I43" s="18" t="s">
        <v>113</v>
      </c>
      <c r="J43" s="18" t="s">
        <v>114</v>
      </c>
      <c r="K43" s="18" t="n">
        <f aca="false">COUNTIFS(Trechos!$L$2:$L$838,A43)</f>
        <v>3</v>
      </c>
      <c r="L43" s="19" t="n">
        <f aca="false">SUMIFS(Trechos!$F$2:$F$838,Trechos!$L$2:$L$838,A43)</f>
        <v>23.5272145662876</v>
      </c>
      <c r="M43" s="18" t="s">
        <v>54</v>
      </c>
      <c r="N43" s="18" t="str">
        <f aca="false">Blocos!BT35</f>
        <v>—</v>
      </c>
    </row>
    <row r="44" customFormat="false" ht="15" hidden="false" customHeight="false" outlineLevel="0" collapsed="false">
      <c r="A44" s="14" t="n">
        <v>35</v>
      </c>
      <c r="B44" s="23" t="s">
        <v>24</v>
      </c>
      <c r="C44" s="21" t="s">
        <v>41</v>
      </c>
      <c r="D44" s="24" t="s">
        <v>115</v>
      </c>
      <c r="E44" s="17"/>
      <c r="F44" s="17"/>
      <c r="G44" s="17"/>
      <c r="H44" s="17"/>
      <c r="I44" s="18" t="s">
        <v>115</v>
      </c>
      <c r="J44" s="18" t="s">
        <v>116</v>
      </c>
      <c r="K44" s="18" t="n">
        <f aca="false">COUNTIFS(Trechos!$L$2:$L$838,A44)</f>
        <v>2</v>
      </c>
      <c r="L44" s="19" t="n">
        <f aca="false">SUMIFS(Trechos!$F$2:$F$838,Trechos!$L$2:$L$838,A44)</f>
        <v>14.9755209740523</v>
      </c>
      <c r="M44" s="18" t="s">
        <v>54</v>
      </c>
      <c r="N44" s="18" t="str">
        <f aca="false">Blocos!BT36</f>
        <v>—</v>
      </c>
    </row>
    <row r="45" customFormat="false" ht="15" hidden="false" customHeight="false" outlineLevel="0" collapsed="false">
      <c r="A45" s="14" t="n">
        <v>36</v>
      </c>
      <c r="B45" s="23" t="s">
        <v>24</v>
      </c>
      <c r="C45" s="21" t="s">
        <v>41</v>
      </c>
      <c r="D45" s="24" t="s">
        <v>117</v>
      </c>
      <c r="E45" s="17"/>
      <c r="F45" s="17"/>
      <c r="G45" s="17"/>
      <c r="H45" s="17"/>
      <c r="I45" s="18" t="s">
        <v>117</v>
      </c>
      <c r="J45" s="18" t="s">
        <v>118</v>
      </c>
      <c r="K45" s="18" t="n">
        <f aca="false">COUNTIFS(Trechos!$L$2:$L$838,A45)</f>
        <v>1</v>
      </c>
      <c r="L45" s="19" t="n">
        <f aca="false">SUMIFS(Trechos!$F$2:$F$838,Trechos!$L$2:$L$838,A45)</f>
        <v>13.6181650270171</v>
      </c>
      <c r="M45" s="18" t="s">
        <v>54</v>
      </c>
      <c r="N45" s="18" t="str">
        <f aca="false">Blocos!BT37</f>
        <v>—</v>
      </c>
    </row>
    <row r="46" customFormat="false" ht="15" hidden="false" customHeight="false" outlineLevel="0" collapsed="false">
      <c r="A46" s="14" t="n">
        <v>37</v>
      </c>
      <c r="B46" s="23" t="s">
        <v>24</v>
      </c>
      <c r="C46" s="21" t="s">
        <v>41</v>
      </c>
      <c r="D46" s="24" t="s">
        <v>119</v>
      </c>
      <c r="E46" s="17"/>
      <c r="F46" s="17"/>
      <c r="G46" s="17"/>
      <c r="H46" s="17"/>
      <c r="I46" s="18" t="s">
        <v>119</v>
      </c>
      <c r="J46" s="18" t="s">
        <v>120</v>
      </c>
      <c r="K46" s="18" t="n">
        <f aca="false">COUNTIFS(Trechos!$L$2:$L$838,A46)</f>
        <v>11</v>
      </c>
      <c r="L46" s="19" t="n">
        <f aca="false">SUMIFS(Trechos!$F$2:$F$838,Trechos!$L$2:$L$838,A46)</f>
        <v>499.028674643975</v>
      </c>
      <c r="M46" s="18" t="s">
        <v>54</v>
      </c>
      <c r="N46" s="18" t="str">
        <f aca="false">Blocos!BT38</f>
        <v>—</v>
      </c>
    </row>
    <row r="47" customFormat="false" ht="15" hidden="false" customHeight="false" outlineLevel="0" collapsed="false">
      <c r="A47" s="14" t="n">
        <v>38</v>
      </c>
      <c r="B47" s="23" t="s">
        <v>24</v>
      </c>
      <c r="C47" s="21" t="s">
        <v>41</v>
      </c>
      <c r="D47" s="24" t="s">
        <v>121</v>
      </c>
      <c r="E47" s="17"/>
      <c r="F47" s="17"/>
      <c r="G47" s="17"/>
      <c r="H47" s="17"/>
      <c r="I47" s="18" t="s">
        <v>121</v>
      </c>
      <c r="J47" s="18" t="s">
        <v>122</v>
      </c>
      <c r="K47" s="18" t="n">
        <f aca="false">COUNTIFS(Trechos!$L$2:$L$838,A47)</f>
        <v>1</v>
      </c>
      <c r="L47" s="19" t="n">
        <f aca="false">SUMIFS(Trechos!$F$2:$F$838,Trechos!$L$2:$L$838,A47)</f>
        <v>99.536474084685</v>
      </c>
      <c r="M47" s="18" t="s">
        <v>54</v>
      </c>
      <c r="N47" s="18" t="str">
        <f aca="false">Blocos!BT39</f>
        <v>—</v>
      </c>
    </row>
    <row r="48" customFormat="false" ht="15" hidden="false" customHeight="false" outlineLevel="0" collapsed="false">
      <c r="A48" s="14" t="n">
        <v>39</v>
      </c>
      <c r="B48" s="23" t="s">
        <v>24</v>
      </c>
      <c r="C48" s="21" t="s">
        <v>41</v>
      </c>
      <c r="D48" s="24" t="s">
        <v>123</v>
      </c>
      <c r="E48" s="17"/>
      <c r="F48" s="17"/>
      <c r="G48" s="17"/>
      <c r="H48" s="17"/>
      <c r="I48" s="18" t="s">
        <v>123</v>
      </c>
      <c r="J48" s="18" t="s">
        <v>124</v>
      </c>
      <c r="K48" s="18" t="n">
        <f aca="false">COUNTIFS(Trechos!$L$2:$L$838,A48)</f>
        <v>7</v>
      </c>
      <c r="L48" s="19" t="n">
        <f aca="false">SUMIFS(Trechos!$F$2:$F$838,Trechos!$L$2:$L$838,A48)</f>
        <v>438.92528121548</v>
      </c>
      <c r="M48" s="18" t="s">
        <v>54</v>
      </c>
      <c r="N48" s="18" t="str">
        <f aca="false">Blocos!BT40</f>
        <v>—</v>
      </c>
    </row>
    <row r="49" customFormat="false" ht="15" hidden="false" customHeight="false" outlineLevel="0" collapsed="false">
      <c r="A49" s="14" t="n">
        <v>40</v>
      </c>
      <c r="B49" s="23" t="s">
        <v>24</v>
      </c>
      <c r="C49" s="21" t="s">
        <v>41</v>
      </c>
      <c r="D49" s="24" t="s">
        <v>125</v>
      </c>
      <c r="E49" s="17"/>
      <c r="F49" s="17"/>
      <c r="G49" s="17"/>
      <c r="H49" s="17"/>
      <c r="I49" s="18" t="s">
        <v>125</v>
      </c>
      <c r="J49" s="18" t="s">
        <v>126</v>
      </c>
      <c r="K49" s="18" t="n">
        <f aca="false">COUNTIFS(Trechos!$L$2:$L$838,A49)</f>
        <v>6</v>
      </c>
      <c r="L49" s="19" t="n">
        <f aca="false">SUMIFS(Trechos!$F$2:$F$838,Trechos!$L$2:$L$838,A49)</f>
        <v>411.997129045167</v>
      </c>
      <c r="M49" s="18" t="s">
        <v>54</v>
      </c>
      <c r="N49" s="18" t="str">
        <f aca="false">Blocos!BT41</f>
        <v>0210950004</v>
      </c>
    </row>
    <row r="50" customFormat="false" ht="15" hidden="false" customHeight="false" outlineLevel="0" collapsed="false">
      <c r="A50" s="14" t="n">
        <v>41</v>
      </c>
      <c r="B50" s="23" t="s">
        <v>24</v>
      </c>
      <c r="C50" s="21" t="s">
        <v>41</v>
      </c>
      <c r="D50" s="21" t="s">
        <v>125</v>
      </c>
      <c r="E50" s="24" t="s">
        <v>126</v>
      </c>
      <c r="F50" s="17"/>
      <c r="G50" s="17"/>
      <c r="H50" s="17"/>
      <c r="I50" s="18" t="s">
        <v>126</v>
      </c>
      <c r="J50" s="18" t="s">
        <v>127</v>
      </c>
      <c r="K50" s="18" t="n">
        <f aca="false">COUNTIFS(Trechos!$L$2:$L$838,A50)</f>
        <v>2</v>
      </c>
      <c r="L50" s="19" t="n">
        <f aca="false">SUMIFS(Trechos!$F$2:$F$838,Trechos!$L$2:$L$838,A50)</f>
        <v>59.6121722731697</v>
      </c>
      <c r="M50" s="18" t="s">
        <v>54</v>
      </c>
      <c r="N50" s="18" t="str">
        <f aca="false">Blocos!BT42</f>
        <v>—</v>
      </c>
    </row>
    <row r="51" customFormat="false" ht="15" hidden="false" customHeight="false" outlineLevel="0" collapsed="false">
      <c r="A51" s="14" t="n">
        <v>42</v>
      </c>
      <c r="B51" s="23" t="s">
        <v>24</v>
      </c>
      <c r="C51" s="21" t="s">
        <v>41</v>
      </c>
      <c r="D51" s="24" t="s">
        <v>128</v>
      </c>
      <c r="E51" s="17"/>
      <c r="F51" s="17"/>
      <c r="G51" s="17"/>
      <c r="H51" s="17"/>
      <c r="I51" s="18" t="s">
        <v>128</v>
      </c>
      <c r="J51" s="18" t="s">
        <v>129</v>
      </c>
      <c r="K51" s="18" t="n">
        <f aca="false">COUNTIFS(Trechos!$L$2:$L$838,A51)</f>
        <v>6</v>
      </c>
      <c r="L51" s="19" t="n">
        <f aca="false">SUMIFS(Trechos!$F$2:$F$838,Trechos!$L$2:$L$838,A51)</f>
        <v>1387.10887729362</v>
      </c>
      <c r="M51" s="18" t="s">
        <v>54</v>
      </c>
      <c r="N51" s="18" t="str">
        <f aca="false">Blocos!BT43</f>
        <v>0301839004</v>
      </c>
    </row>
    <row r="52" customFormat="false" ht="15" hidden="false" customHeight="false" outlineLevel="0" collapsed="false">
      <c r="A52" s="14" t="n">
        <v>43</v>
      </c>
      <c r="B52" s="23" t="s">
        <v>24</v>
      </c>
      <c r="C52" s="21" t="s">
        <v>41</v>
      </c>
      <c r="D52" s="21" t="s">
        <v>128</v>
      </c>
      <c r="E52" s="24" t="s">
        <v>129</v>
      </c>
      <c r="F52" s="17"/>
      <c r="G52" s="17"/>
      <c r="H52" s="17"/>
      <c r="I52" s="18" t="s">
        <v>129</v>
      </c>
      <c r="J52" s="18" t="s">
        <v>130</v>
      </c>
      <c r="K52" s="18" t="n">
        <f aca="false">COUNTIFS(Trechos!$L$2:$L$838,A52)</f>
        <v>1</v>
      </c>
      <c r="L52" s="19" t="n">
        <f aca="false">SUMIFS(Trechos!$F$2:$F$838,Trechos!$L$2:$L$838,A52)</f>
        <v>281.305385439173</v>
      </c>
      <c r="M52" s="18" t="s">
        <v>54</v>
      </c>
      <c r="N52" s="18" t="str">
        <f aca="false">Blocos!BT44</f>
        <v>—</v>
      </c>
    </row>
    <row r="53" customFormat="false" ht="15" hidden="false" customHeight="false" outlineLevel="0" collapsed="false">
      <c r="A53" s="14" t="n">
        <v>44</v>
      </c>
      <c r="B53" s="23" t="s">
        <v>24</v>
      </c>
      <c r="C53" s="21" t="s">
        <v>41</v>
      </c>
      <c r="D53" s="24" t="s">
        <v>131</v>
      </c>
      <c r="E53" s="17"/>
      <c r="F53" s="17"/>
      <c r="G53" s="17"/>
      <c r="H53" s="17"/>
      <c r="I53" s="18" t="s">
        <v>131</v>
      </c>
      <c r="J53" s="18" t="s">
        <v>132</v>
      </c>
      <c r="K53" s="18" t="n">
        <f aca="false">COUNTIFS(Trechos!$L$2:$L$838,A53)</f>
        <v>2</v>
      </c>
      <c r="L53" s="19" t="n">
        <f aca="false">SUMIFS(Trechos!$F$2:$F$838,Trechos!$L$2:$L$838,A53)</f>
        <v>36.5036013188628</v>
      </c>
      <c r="M53" s="18" t="s">
        <v>54</v>
      </c>
      <c r="N53" s="18" t="str">
        <f aca="false">Blocos!BT45</f>
        <v>—</v>
      </c>
    </row>
    <row r="54" customFormat="false" ht="15" hidden="false" customHeight="false" outlineLevel="0" collapsed="false">
      <c r="A54" s="14" t="n">
        <v>45</v>
      </c>
      <c r="B54" s="23" t="s">
        <v>24</v>
      </c>
      <c r="C54" s="21" t="s">
        <v>41</v>
      </c>
      <c r="D54" s="24" t="s">
        <v>133</v>
      </c>
      <c r="E54" s="17"/>
      <c r="F54" s="17"/>
      <c r="G54" s="17"/>
      <c r="H54" s="17"/>
      <c r="I54" s="18" t="s">
        <v>133</v>
      </c>
      <c r="J54" s="18" t="s">
        <v>134</v>
      </c>
      <c r="K54" s="18" t="n">
        <f aca="false">COUNTIFS(Trechos!$L$2:$L$838,A54)</f>
        <v>2</v>
      </c>
      <c r="L54" s="19" t="n">
        <f aca="false">SUMIFS(Trechos!$F$2:$F$838,Trechos!$L$2:$L$838,A54)</f>
        <v>5.21714313214573</v>
      </c>
      <c r="M54" s="18" t="s">
        <v>54</v>
      </c>
      <c r="N54" s="18" t="str">
        <f aca="false">Blocos!BT46</f>
        <v>—</v>
      </c>
    </row>
    <row r="55" customFormat="false" ht="15" hidden="false" customHeight="false" outlineLevel="0" collapsed="false">
      <c r="A55" s="14" t="n">
        <v>46</v>
      </c>
      <c r="B55" s="23" t="s">
        <v>24</v>
      </c>
      <c r="C55" s="21" t="s">
        <v>41</v>
      </c>
      <c r="D55" s="24" t="s">
        <v>135</v>
      </c>
      <c r="E55" s="17"/>
      <c r="F55" s="17"/>
      <c r="G55" s="17"/>
      <c r="H55" s="17"/>
      <c r="I55" s="18" t="s">
        <v>135</v>
      </c>
      <c r="J55" s="18" t="s">
        <v>136</v>
      </c>
      <c r="K55" s="18" t="n">
        <f aca="false">COUNTIFS(Trechos!$L$2:$L$838,A55)</f>
        <v>2</v>
      </c>
      <c r="L55" s="19" t="n">
        <f aca="false">SUMIFS(Trechos!$F$2:$F$838,Trechos!$L$2:$L$838,A55)</f>
        <v>21.9975305593168</v>
      </c>
      <c r="M55" s="18" t="s">
        <v>54</v>
      </c>
      <c r="N55" s="18" t="str">
        <f aca="false">Blocos!BT47</f>
        <v>—</v>
      </c>
    </row>
    <row r="56" customFormat="false" ht="15" hidden="false" customHeight="false" outlineLevel="0" collapsed="false">
      <c r="A56" s="14" t="n">
        <v>47</v>
      </c>
      <c r="B56" s="23" t="s">
        <v>24</v>
      </c>
      <c r="C56" s="21" t="s">
        <v>41</v>
      </c>
      <c r="D56" s="24" t="s">
        <v>137</v>
      </c>
      <c r="E56" s="17"/>
      <c r="F56" s="17"/>
      <c r="G56" s="17"/>
      <c r="H56" s="17"/>
      <c r="I56" s="18" t="s">
        <v>137</v>
      </c>
      <c r="J56" s="18" t="s">
        <v>138</v>
      </c>
      <c r="K56" s="18" t="n">
        <f aca="false">COUNTIFS(Trechos!$L$2:$L$838,A56)</f>
        <v>17</v>
      </c>
      <c r="L56" s="19" t="n">
        <f aca="false">SUMIFS(Trechos!$F$2:$F$838,Trechos!$L$2:$L$838,A56)</f>
        <v>934.40969699882</v>
      </c>
      <c r="M56" s="18" t="s">
        <v>54</v>
      </c>
      <c r="N56" s="18" t="str">
        <f aca="false">Blocos!BT48</f>
        <v>0354093004</v>
      </c>
    </row>
    <row r="57" customFormat="false" ht="15" hidden="false" customHeight="false" outlineLevel="0" collapsed="false">
      <c r="A57" s="14" t="n">
        <v>48</v>
      </c>
      <c r="B57" s="23" t="s">
        <v>24</v>
      </c>
      <c r="C57" s="21" t="s">
        <v>41</v>
      </c>
      <c r="D57" s="21" t="s">
        <v>137</v>
      </c>
      <c r="E57" s="24" t="s">
        <v>139</v>
      </c>
      <c r="F57" s="17"/>
      <c r="G57" s="17"/>
      <c r="H57" s="17"/>
      <c r="I57" s="18" t="s">
        <v>139</v>
      </c>
      <c r="J57" s="18" t="s">
        <v>140</v>
      </c>
      <c r="K57" s="18" t="n">
        <f aca="false">COUNTIFS(Trechos!$L$2:$L$838,A57)</f>
        <v>1</v>
      </c>
      <c r="L57" s="19" t="n">
        <f aca="false">SUMIFS(Trechos!$F$2:$F$838,Trechos!$L$2:$L$838,A57)</f>
        <v>71.8171864522846</v>
      </c>
      <c r="M57" s="18" t="s">
        <v>54</v>
      </c>
      <c r="N57" s="18" t="str">
        <f aca="false">Blocos!BT49</f>
        <v>—</v>
      </c>
    </row>
    <row r="58" customFormat="false" ht="15" hidden="false" customHeight="false" outlineLevel="0" collapsed="false">
      <c r="A58" s="14" t="n">
        <v>49</v>
      </c>
      <c r="B58" s="23" t="s">
        <v>24</v>
      </c>
      <c r="C58" s="21" t="s">
        <v>41</v>
      </c>
      <c r="D58" s="24" t="s">
        <v>141</v>
      </c>
      <c r="E58" s="17"/>
      <c r="F58" s="17"/>
      <c r="G58" s="17"/>
      <c r="H58" s="17"/>
      <c r="I58" s="18" t="s">
        <v>141</v>
      </c>
      <c r="J58" s="18" t="s">
        <v>142</v>
      </c>
      <c r="K58" s="18" t="n">
        <f aca="false">COUNTIFS(Trechos!$L$2:$L$838,A58)</f>
        <v>1</v>
      </c>
      <c r="L58" s="19" t="n">
        <f aca="false">SUMIFS(Trechos!$F$2:$F$838,Trechos!$L$2:$L$838,A58)</f>
        <v>18.1883751631324</v>
      </c>
      <c r="M58" s="18" t="s">
        <v>54</v>
      </c>
      <c r="N58" s="18" t="str">
        <f aca="false">Blocos!BT50</f>
        <v>—</v>
      </c>
    </row>
    <row r="59" customFormat="false" ht="15" hidden="false" customHeight="false" outlineLevel="0" collapsed="false">
      <c r="A59" s="14" t="n">
        <v>50</v>
      </c>
      <c r="B59" s="23" t="s">
        <v>24</v>
      </c>
      <c r="C59" s="21" t="s">
        <v>41</v>
      </c>
      <c r="D59" s="24" t="s">
        <v>143</v>
      </c>
      <c r="E59" s="17"/>
      <c r="F59" s="17"/>
      <c r="G59" s="17"/>
      <c r="H59" s="17"/>
      <c r="I59" s="18" t="s">
        <v>143</v>
      </c>
      <c r="J59" s="18" t="s">
        <v>144</v>
      </c>
      <c r="K59" s="18" t="n">
        <f aca="false">COUNTIFS(Trechos!$L$2:$L$838,A59)</f>
        <v>2</v>
      </c>
      <c r="L59" s="19" t="n">
        <f aca="false">SUMIFS(Trechos!$F$2:$F$838,Trechos!$L$2:$L$838,A59)</f>
        <v>13.7394333667504</v>
      </c>
      <c r="M59" s="18" t="s">
        <v>54</v>
      </c>
      <c r="N59" s="18" t="str">
        <f aca="false">Blocos!BT51</f>
        <v>—</v>
      </c>
    </row>
    <row r="60" customFormat="false" ht="15" hidden="false" customHeight="false" outlineLevel="0" collapsed="false">
      <c r="A60" s="14" t="n">
        <v>51</v>
      </c>
      <c r="B60" s="23" t="s">
        <v>24</v>
      </c>
      <c r="C60" s="21" t="s">
        <v>41</v>
      </c>
      <c r="D60" s="24" t="s">
        <v>145</v>
      </c>
      <c r="E60" s="17"/>
      <c r="F60" s="17"/>
      <c r="G60" s="17"/>
      <c r="H60" s="17"/>
      <c r="I60" s="18" t="s">
        <v>145</v>
      </c>
      <c r="J60" s="18" t="s">
        <v>146</v>
      </c>
      <c r="K60" s="18" t="n">
        <f aca="false">COUNTIFS(Trechos!$L$2:$L$838,A60)</f>
        <v>1</v>
      </c>
      <c r="L60" s="19" t="n">
        <f aca="false">SUMIFS(Trechos!$F$2:$F$838,Trechos!$L$2:$L$838,A60)</f>
        <v>29.8546668707764</v>
      </c>
      <c r="M60" s="18" t="s">
        <v>54</v>
      </c>
      <c r="N60" s="18" t="str">
        <f aca="false">Blocos!BT52</f>
        <v>—</v>
      </c>
    </row>
    <row r="61" customFormat="false" ht="15" hidden="false" customHeight="false" outlineLevel="0" collapsed="false">
      <c r="A61" s="14" t="n">
        <v>52</v>
      </c>
      <c r="B61" s="23" t="s">
        <v>24</v>
      </c>
      <c r="C61" s="21" t="s">
        <v>41</v>
      </c>
      <c r="D61" s="24" t="s">
        <v>147</v>
      </c>
      <c r="E61" s="17"/>
      <c r="F61" s="17"/>
      <c r="G61" s="17"/>
      <c r="H61" s="17"/>
      <c r="I61" s="18" t="s">
        <v>147</v>
      </c>
      <c r="J61" s="18" t="s">
        <v>148</v>
      </c>
      <c r="K61" s="18" t="n">
        <f aca="false">COUNTIFS(Trechos!$L$2:$L$838,A61)</f>
        <v>3</v>
      </c>
      <c r="L61" s="19" t="n">
        <f aca="false">SUMIFS(Trechos!$F$2:$F$838,Trechos!$L$2:$L$838,A61)</f>
        <v>83.3876796493266</v>
      </c>
      <c r="M61" s="18" t="s">
        <v>54</v>
      </c>
      <c r="N61" s="18" t="str">
        <f aca="false">Blocos!BT53</f>
        <v>—</v>
      </c>
    </row>
    <row r="62" customFormat="false" ht="15" hidden="false" customHeight="false" outlineLevel="0" collapsed="false">
      <c r="A62" s="13" t="s">
        <v>149</v>
      </c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</row>
    <row r="63" customFormat="false" ht="15" hidden="false" customHeight="false" outlineLevel="0" collapsed="false">
      <c r="A63" s="14" t="n">
        <v>53</v>
      </c>
      <c r="B63" s="15" t="s">
        <v>22</v>
      </c>
      <c r="C63" s="16" t="s">
        <v>41</v>
      </c>
      <c r="D63" s="17"/>
      <c r="E63" s="17"/>
      <c r="F63" s="17"/>
      <c r="G63" s="17"/>
      <c r="H63" s="17"/>
      <c r="I63" s="18" t="s">
        <v>150</v>
      </c>
      <c r="J63" s="18" t="s">
        <v>151</v>
      </c>
      <c r="K63" s="18" t="n">
        <f aca="false">COUNTIFS(Trechos!$L$2:$L$838,A63)</f>
        <v>2</v>
      </c>
      <c r="L63" s="19" t="n">
        <f aca="false">SUMIFS(Trechos!$F$2:$F$838,Trechos!$L$2:$L$838,A63)</f>
        <v>48.0807141979609</v>
      </c>
      <c r="M63" s="18" t="s">
        <v>54</v>
      </c>
      <c r="N63" s="18" t="str">
        <f aca="false">Blocos!BT54</f>
        <v>—</v>
      </c>
    </row>
    <row r="64" customFormat="false" ht="15" hidden="false" customHeight="false" outlineLevel="0" collapsed="false">
      <c r="A64" s="13" t="s">
        <v>152</v>
      </c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</row>
    <row r="65" customFormat="false" ht="15" hidden="false" customHeight="false" outlineLevel="0" collapsed="false">
      <c r="A65" s="14" t="n">
        <v>54</v>
      </c>
      <c r="B65" s="15" t="s">
        <v>22</v>
      </c>
      <c r="C65" s="16" t="s">
        <v>41</v>
      </c>
      <c r="D65" s="17"/>
      <c r="E65" s="17"/>
      <c r="F65" s="17"/>
      <c r="G65" s="17"/>
      <c r="H65" s="17"/>
      <c r="I65" s="18" t="s">
        <v>153</v>
      </c>
      <c r="J65" s="18" t="s">
        <v>154</v>
      </c>
      <c r="K65" s="18" t="n">
        <f aca="false">COUNTIFS(Trechos!$L$2:$L$838,A65)</f>
        <v>1</v>
      </c>
      <c r="L65" s="19" t="n">
        <f aca="false">SUMIFS(Trechos!$F$2:$F$838,Trechos!$L$2:$L$838,A65)</f>
        <v>4.92769448934394</v>
      </c>
      <c r="M65" s="18" t="s">
        <v>54</v>
      </c>
      <c r="N65" s="18" t="str">
        <f aca="false">Blocos!BT55</f>
        <v>—</v>
      </c>
    </row>
    <row r="66" customFormat="false" ht="15" hidden="false" customHeight="false" outlineLevel="0" collapsed="false">
      <c r="A66" s="13" t="s">
        <v>155</v>
      </c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</row>
    <row r="67" customFormat="false" ht="15" hidden="false" customHeight="false" outlineLevel="0" collapsed="false">
      <c r="A67" s="14" t="n">
        <v>55</v>
      </c>
      <c r="B67" s="20" t="s">
        <v>23</v>
      </c>
      <c r="C67" s="21" t="s">
        <v>41</v>
      </c>
      <c r="D67" s="22" t="s">
        <v>42</v>
      </c>
      <c r="E67" s="17"/>
      <c r="F67" s="17"/>
      <c r="G67" s="17"/>
      <c r="H67" s="17"/>
      <c r="I67" s="18" t="s">
        <v>156</v>
      </c>
      <c r="J67" s="18" t="s">
        <v>157</v>
      </c>
      <c r="K67" s="18" t="n">
        <f aca="false">COUNTIFS(Trechos!$L$2:$L$838,A67)</f>
        <v>1</v>
      </c>
      <c r="L67" s="19" t="n">
        <f aca="false">SUMIFS(Trechos!$F$2:$F$838,Trechos!$L$2:$L$838,A67)</f>
        <v>4.85000849754405</v>
      </c>
      <c r="M67" s="18" t="s">
        <v>54</v>
      </c>
      <c r="N67" s="18" t="str">
        <f aca="false">Blocos!BT56</f>
        <v>—</v>
      </c>
    </row>
    <row r="68" customFormat="false" ht="15" hidden="false" customHeight="false" outlineLevel="0" collapsed="false">
      <c r="A68" s="13" t="s">
        <v>158</v>
      </c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</row>
    <row r="69" customFormat="false" ht="15" hidden="false" customHeight="false" outlineLevel="0" collapsed="false">
      <c r="A69" s="14" t="n">
        <v>56</v>
      </c>
      <c r="B69" s="20" t="s">
        <v>23</v>
      </c>
      <c r="C69" s="21" t="s">
        <v>41</v>
      </c>
      <c r="D69" s="22" t="s">
        <v>42</v>
      </c>
      <c r="E69" s="17"/>
      <c r="F69" s="17"/>
      <c r="G69" s="17"/>
      <c r="H69" s="17"/>
      <c r="I69" s="18" t="s">
        <v>159</v>
      </c>
      <c r="J69" s="18" t="s">
        <v>160</v>
      </c>
      <c r="K69" s="18" t="n">
        <f aca="false">COUNTIFS(Trechos!$L$2:$L$838,A69)</f>
        <v>1</v>
      </c>
      <c r="L69" s="19" t="n">
        <f aca="false">SUMIFS(Trechos!$F$2:$F$838,Trechos!$L$2:$L$838,A69)</f>
        <v>0.398726182617518</v>
      </c>
      <c r="M69" s="18" t="s">
        <v>54</v>
      </c>
      <c r="N69" s="18" t="str">
        <f aca="false">Blocos!BT57</f>
        <v>0204420004</v>
      </c>
    </row>
    <row r="70" customFormat="false" ht="15" hidden="false" customHeight="false" outlineLevel="0" collapsed="false">
      <c r="A70" s="14" t="n">
        <v>57</v>
      </c>
      <c r="B70" s="23" t="s">
        <v>24</v>
      </c>
      <c r="C70" s="21" t="s">
        <v>41</v>
      </c>
      <c r="D70" s="21" t="s">
        <v>42</v>
      </c>
      <c r="E70" s="24" t="s">
        <v>160</v>
      </c>
      <c r="F70" s="17"/>
      <c r="G70" s="17"/>
      <c r="H70" s="17"/>
      <c r="I70" s="18" t="s">
        <v>160</v>
      </c>
      <c r="J70" s="18" t="s">
        <v>161</v>
      </c>
      <c r="K70" s="18" t="n">
        <f aca="false">COUNTIFS(Trechos!$L$2:$L$838,A70)</f>
        <v>4</v>
      </c>
      <c r="L70" s="19" t="n">
        <f aca="false">SUMIFS(Trechos!$F$2:$F$838,Trechos!$L$2:$L$838,A70)</f>
        <v>203.968023140271</v>
      </c>
      <c r="M70" s="18" t="s">
        <v>54</v>
      </c>
      <c r="N70" s="18" t="str">
        <f aca="false">Blocos!BT58</f>
        <v>—</v>
      </c>
    </row>
    <row r="71" customFormat="false" ht="15" hidden="false" customHeight="false" outlineLevel="0" collapsed="false">
      <c r="A71" s="13" t="s">
        <v>162</v>
      </c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</row>
    <row r="72" customFormat="false" ht="15" hidden="false" customHeight="false" outlineLevel="0" collapsed="false">
      <c r="A72" s="14" t="n">
        <v>58</v>
      </c>
      <c r="B72" s="20" t="s">
        <v>23</v>
      </c>
      <c r="C72" s="21" t="s">
        <v>41</v>
      </c>
      <c r="D72" s="22" t="s">
        <v>42</v>
      </c>
      <c r="E72" s="17"/>
      <c r="F72" s="17"/>
      <c r="G72" s="17"/>
      <c r="H72" s="17"/>
      <c r="I72" s="18" t="s">
        <v>163</v>
      </c>
      <c r="J72" s="18" t="s">
        <v>164</v>
      </c>
      <c r="K72" s="18" t="n">
        <f aca="false">COUNTIFS(Trechos!$L$2:$L$838,A72)</f>
        <v>1</v>
      </c>
      <c r="L72" s="19" t="n">
        <f aca="false">SUMIFS(Trechos!$F$2:$F$838,Trechos!$L$2:$L$838,A72)</f>
        <v>3.65729932426605</v>
      </c>
      <c r="M72" s="18" t="s">
        <v>54</v>
      </c>
      <c r="N72" s="18" t="str">
        <f aca="false">Blocos!BT59</f>
        <v>0200023004</v>
      </c>
    </row>
    <row r="73" customFormat="false" ht="15" hidden="false" customHeight="false" outlineLevel="0" collapsed="false">
      <c r="A73" s="14" t="n">
        <v>59</v>
      </c>
      <c r="B73" s="23" t="s">
        <v>24</v>
      </c>
      <c r="C73" s="21" t="s">
        <v>41</v>
      </c>
      <c r="D73" s="21" t="s">
        <v>42</v>
      </c>
      <c r="E73" s="24" t="s">
        <v>164</v>
      </c>
      <c r="F73" s="17"/>
      <c r="G73" s="17"/>
      <c r="H73" s="17"/>
      <c r="I73" s="18" t="s">
        <v>164</v>
      </c>
      <c r="J73" s="18" t="s">
        <v>165</v>
      </c>
      <c r="K73" s="18" t="n">
        <f aca="false">COUNTIFS(Trechos!$L$2:$L$838,A73)</f>
        <v>1</v>
      </c>
      <c r="L73" s="19" t="n">
        <f aca="false">SUMIFS(Trechos!$F$2:$F$838,Trechos!$L$2:$L$838,A73)</f>
        <v>32.4139609250605</v>
      </c>
      <c r="M73" s="18" t="s">
        <v>54</v>
      </c>
      <c r="N73" s="18" t="str">
        <f aca="false">Blocos!BT60</f>
        <v>—</v>
      </c>
    </row>
    <row r="74" customFormat="false" ht="15" hidden="false" customHeight="false" outlineLevel="0" collapsed="false">
      <c r="A74" s="13" t="s">
        <v>166</v>
      </c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</row>
    <row r="75" customFormat="false" ht="15" hidden="false" customHeight="false" outlineLevel="0" collapsed="false">
      <c r="A75" s="14" t="n">
        <v>60</v>
      </c>
      <c r="B75" s="20" t="s">
        <v>23</v>
      </c>
      <c r="C75" s="21" t="s">
        <v>41</v>
      </c>
      <c r="D75" s="22" t="s">
        <v>42</v>
      </c>
      <c r="E75" s="17"/>
      <c r="F75" s="17"/>
      <c r="G75" s="17"/>
      <c r="H75" s="17"/>
      <c r="I75" s="18" t="s">
        <v>167</v>
      </c>
      <c r="J75" s="18" t="s">
        <v>168</v>
      </c>
      <c r="K75" s="18" t="n">
        <f aca="false">COUNTIFS(Trechos!$L$2:$L$838,A75)</f>
        <v>2</v>
      </c>
      <c r="L75" s="19" t="n">
        <f aca="false">SUMIFS(Trechos!$F$2:$F$838,Trechos!$L$2:$L$838,A75)</f>
        <v>17.0441008665413</v>
      </c>
      <c r="M75" s="18" t="s">
        <v>54</v>
      </c>
      <c r="N75" s="18" t="str">
        <f aca="false">Blocos!BT61</f>
        <v>0355236004</v>
      </c>
    </row>
    <row r="76" customFormat="false" ht="15" hidden="false" customHeight="false" outlineLevel="0" collapsed="false">
      <c r="A76" s="14" t="n">
        <v>61</v>
      </c>
      <c r="B76" s="23" t="s">
        <v>24</v>
      </c>
      <c r="C76" s="21" t="s">
        <v>41</v>
      </c>
      <c r="D76" s="21" t="s">
        <v>42</v>
      </c>
      <c r="E76" s="24" t="s">
        <v>168</v>
      </c>
      <c r="F76" s="17"/>
      <c r="G76" s="17"/>
      <c r="H76" s="17"/>
      <c r="I76" s="18" t="s">
        <v>168</v>
      </c>
      <c r="J76" s="18" t="s">
        <v>169</v>
      </c>
      <c r="K76" s="18" t="n">
        <f aca="false">COUNTIFS(Trechos!$L$2:$L$838,A76)</f>
        <v>1</v>
      </c>
      <c r="L76" s="19" t="n">
        <f aca="false">SUMIFS(Trechos!$F$2:$F$838,Trechos!$L$2:$L$838,A76)</f>
        <v>4.53964890126043</v>
      </c>
      <c r="M76" s="18" t="s">
        <v>54</v>
      </c>
      <c r="N76" s="18" t="str">
        <f aca="false">Blocos!BT62</f>
        <v>—</v>
      </c>
    </row>
    <row r="77" customFormat="false" ht="15" hidden="false" customHeight="false" outlineLevel="0" collapsed="false">
      <c r="A77" s="13" t="s">
        <v>170</v>
      </c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</row>
    <row r="78" customFormat="false" ht="15" hidden="false" customHeight="false" outlineLevel="0" collapsed="false">
      <c r="A78" s="14" t="n">
        <v>62</v>
      </c>
      <c r="B78" s="20" t="s">
        <v>23</v>
      </c>
      <c r="C78" s="21" t="s">
        <v>41</v>
      </c>
      <c r="D78" s="22" t="s">
        <v>42</v>
      </c>
      <c r="E78" s="17"/>
      <c r="F78" s="17"/>
      <c r="G78" s="17"/>
      <c r="H78" s="17"/>
      <c r="I78" s="18" t="s">
        <v>171</v>
      </c>
      <c r="J78" s="18" t="s">
        <v>172</v>
      </c>
      <c r="K78" s="18" t="n">
        <f aca="false">COUNTIFS(Trechos!$L$2:$L$838,A78)</f>
        <v>3</v>
      </c>
      <c r="L78" s="19" t="n">
        <f aca="false">SUMIFS(Trechos!$F$2:$F$838,Trechos!$L$2:$L$838,A78)</f>
        <v>44.0228548137309</v>
      </c>
      <c r="M78" s="18" t="s">
        <v>54</v>
      </c>
      <c r="N78" s="18" t="str">
        <f aca="false">Blocos!BT63</f>
        <v>0349562004, 0349564004</v>
      </c>
    </row>
    <row r="79" customFormat="false" ht="15" hidden="false" customHeight="false" outlineLevel="0" collapsed="false">
      <c r="A79" s="14" t="n">
        <v>63</v>
      </c>
      <c r="B79" s="23" t="s">
        <v>24</v>
      </c>
      <c r="C79" s="21" t="s">
        <v>41</v>
      </c>
      <c r="D79" s="21" t="s">
        <v>42</v>
      </c>
      <c r="E79" s="24" t="s">
        <v>172</v>
      </c>
      <c r="F79" s="17"/>
      <c r="G79" s="17"/>
      <c r="H79" s="17"/>
      <c r="I79" s="18" t="s">
        <v>172</v>
      </c>
      <c r="J79" s="18" t="s">
        <v>173</v>
      </c>
      <c r="K79" s="18" t="n">
        <f aca="false">COUNTIFS(Trechos!$L$2:$L$838,A79)</f>
        <v>5</v>
      </c>
      <c r="L79" s="19" t="n">
        <f aca="false">SUMIFS(Trechos!$F$2:$F$838,Trechos!$L$2:$L$838,A79)</f>
        <v>224.089176505866</v>
      </c>
      <c r="M79" s="18" t="s">
        <v>54</v>
      </c>
      <c r="N79" s="18" t="str">
        <f aca="false">Blocos!BT64</f>
        <v>0349564004</v>
      </c>
    </row>
    <row r="80" customFormat="false" ht="15" hidden="false" customHeight="false" outlineLevel="0" collapsed="false">
      <c r="A80" s="14" t="n">
        <v>64</v>
      </c>
      <c r="B80" s="23" t="s">
        <v>24</v>
      </c>
      <c r="C80" s="21" t="s">
        <v>41</v>
      </c>
      <c r="D80" s="21" t="s">
        <v>42</v>
      </c>
      <c r="E80" s="21" t="s">
        <v>172</v>
      </c>
      <c r="F80" s="24" t="s">
        <v>174</v>
      </c>
      <c r="G80" s="17"/>
      <c r="H80" s="17"/>
      <c r="I80" s="18" t="s">
        <v>174</v>
      </c>
      <c r="J80" s="18" t="s">
        <v>175</v>
      </c>
      <c r="K80" s="18" t="n">
        <f aca="false">COUNTIFS(Trechos!$L$2:$L$838,A80)</f>
        <v>1</v>
      </c>
      <c r="L80" s="19" t="n">
        <f aca="false">SUMIFS(Trechos!$F$2:$F$838,Trechos!$L$2:$L$838,A80)</f>
        <v>4.01961224744084</v>
      </c>
      <c r="M80" s="18" t="s">
        <v>54</v>
      </c>
      <c r="N80" s="18" t="str">
        <f aca="false">Blocos!BT65</f>
        <v>—</v>
      </c>
    </row>
    <row r="81" customFormat="false" ht="15" hidden="false" customHeight="false" outlineLevel="0" collapsed="false">
      <c r="A81" s="13" t="s">
        <v>176</v>
      </c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</row>
    <row r="82" customFormat="false" ht="15" hidden="false" customHeight="false" outlineLevel="0" collapsed="false">
      <c r="A82" s="14" t="n">
        <v>65</v>
      </c>
      <c r="B82" s="20" t="s">
        <v>23</v>
      </c>
      <c r="C82" s="21" t="s">
        <v>41</v>
      </c>
      <c r="D82" s="22" t="s">
        <v>42</v>
      </c>
      <c r="E82" s="17"/>
      <c r="F82" s="17"/>
      <c r="G82" s="17"/>
      <c r="H82" s="17"/>
      <c r="I82" s="18" t="s">
        <v>177</v>
      </c>
      <c r="J82" s="18" t="s">
        <v>178</v>
      </c>
      <c r="K82" s="18" t="n">
        <f aca="false">COUNTIFS(Trechos!$L$2:$L$838,A82)</f>
        <v>1</v>
      </c>
      <c r="L82" s="19" t="n">
        <f aca="false">SUMIFS(Trechos!$F$2:$F$838,Trechos!$L$2:$L$838,A82)</f>
        <v>1.92903024916566</v>
      </c>
      <c r="M82" s="18" t="s">
        <v>54</v>
      </c>
      <c r="N82" s="18" t="str">
        <f aca="false">Blocos!BT66</f>
        <v>0300024004</v>
      </c>
    </row>
    <row r="83" customFormat="false" ht="15" hidden="false" customHeight="false" outlineLevel="0" collapsed="false">
      <c r="A83" s="14" t="n">
        <v>66</v>
      </c>
      <c r="B83" s="23" t="s">
        <v>24</v>
      </c>
      <c r="C83" s="21" t="s">
        <v>41</v>
      </c>
      <c r="D83" s="21" t="s">
        <v>42</v>
      </c>
      <c r="E83" s="24" t="s">
        <v>178</v>
      </c>
      <c r="F83" s="17"/>
      <c r="G83" s="17"/>
      <c r="H83" s="17"/>
      <c r="I83" s="18" t="s">
        <v>178</v>
      </c>
      <c r="J83" s="18" t="s">
        <v>179</v>
      </c>
      <c r="K83" s="18" t="n">
        <f aca="false">COUNTIFS(Trechos!$L$2:$L$838,A83)</f>
        <v>11</v>
      </c>
      <c r="L83" s="19" t="n">
        <f aca="false">SUMIFS(Trechos!$F$2:$F$838,Trechos!$L$2:$L$838,A83)</f>
        <v>379.697822817925</v>
      </c>
      <c r="M83" s="18" t="s">
        <v>180</v>
      </c>
      <c r="N83" s="18" t="str">
        <f aca="false">Blocos!BT67</f>
        <v>—</v>
      </c>
    </row>
    <row r="84" customFormat="false" ht="15" hidden="false" customHeight="false" outlineLevel="0" collapsed="false">
      <c r="A84" s="13" t="s">
        <v>181</v>
      </c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</row>
    <row r="85" customFormat="false" ht="15" hidden="false" customHeight="false" outlineLevel="0" collapsed="false">
      <c r="A85" s="14" t="n">
        <v>67</v>
      </c>
      <c r="B85" s="20" t="s">
        <v>23</v>
      </c>
      <c r="C85" s="21" t="s">
        <v>41</v>
      </c>
      <c r="D85" s="22" t="s">
        <v>42</v>
      </c>
      <c r="E85" s="17"/>
      <c r="F85" s="17"/>
      <c r="G85" s="17"/>
      <c r="H85" s="17"/>
      <c r="I85" s="18" t="s">
        <v>182</v>
      </c>
      <c r="J85" s="18" t="s">
        <v>183</v>
      </c>
      <c r="K85" s="18" t="n">
        <f aca="false">COUNTIFS(Trechos!$L$2:$L$838,A85)</f>
        <v>1</v>
      </c>
      <c r="L85" s="19" t="n">
        <f aca="false">SUMIFS(Trechos!$F$2:$F$838,Trechos!$L$2:$L$838,A85)</f>
        <v>1.29239739029268</v>
      </c>
      <c r="M85" s="18" t="s">
        <v>54</v>
      </c>
      <c r="N85" s="18" t="str">
        <f aca="false">Blocos!BT68</f>
        <v>0200028004</v>
      </c>
    </row>
    <row r="86" customFormat="false" ht="15" hidden="false" customHeight="false" outlineLevel="0" collapsed="false">
      <c r="A86" s="14" t="n">
        <v>68</v>
      </c>
      <c r="B86" s="23" t="s">
        <v>24</v>
      </c>
      <c r="C86" s="21" t="s">
        <v>41</v>
      </c>
      <c r="D86" s="21" t="s">
        <v>42</v>
      </c>
      <c r="E86" s="24" t="s">
        <v>183</v>
      </c>
      <c r="F86" s="17"/>
      <c r="G86" s="17"/>
      <c r="H86" s="17"/>
      <c r="I86" s="18" t="s">
        <v>183</v>
      </c>
      <c r="J86" s="18" t="s">
        <v>184</v>
      </c>
      <c r="K86" s="18" t="n">
        <f aca="false">COUNTIFS(Trechos!$L$2:$L$838,A86)</f>
        <v>2</v>
      </c>
      <c r="L86" s="19" t="n">
        <f aca="false">SUMIFS(Trechos!$F$2:$F$838,Trechos!$L$2:$L$838,A86)</f>
        <v>29.7290914186443</v>
      </c>
      <c r="M86" s="18" t="s">
        <v>54</v>
      </c>
      <c r="N86" s="18" t="str">
        <f aca="false">Blocos!BT69</f>
        <v>—</v>
      </c>
    </row>
    <row r="87" customFormat="false" ht="15" hidden="false" customHeight="false" outlineLevel="0" collapsed="false">
      <c r="A87" s="13" t="s">
        <v>185</v>
      </c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</row>
    <row r="88" customFormat="false" ht="15" hidden="false" customHeight="false" outlineLevel="0" collapsed="false">
      <c r="A88" s="14" t="n">
        <v>69</v>
      </c>
      <c r="B88" s="20" t="s">
        <v>23</v>
      </c>
      <c r="C88" s="21" t="s">
        <v>41</v>
      </c>
      <c r="D88" s="22" t="s">
        <v>42</v>
      </c>
      <c r="E88" s="17"/>
      <c r="F88" s="17"/>
      <c r="G88" s="17"/>
      <c r="H88" s="17"/>
      <c r="I88" s="18" t="s">
        <v>186</v>
      </c>
      <c r="J88" s="18" t="s">
        <v>187</v>
      </c>
      <c r="K88" s="18" t="n">
        <f aca="false">COUNTIFS(Trechos!$L$2:$L$838,A88)</f>
        <v>41</v>
      </c>
      <c r="L88" s="19" t="n">
        <f aca="false">SUMIFS(Trechos!$F$2:$F$838,Trechos!$L$2:$L$838,A88)</f>
        <v>1991.42192965238</v>
      </c>
      <c r="M88" s="18" t="s">
        <v>188</v>
      </c>
      <c r="N88" s="18" t="str">
        <f aca="false">Blocos!BT70</f>
        <v>0300052004, 0200050004</v>
      </c>
    </row>
    <row r="89" customFormat="false" ht="15" hidden="false" customHeight="false" outlineLevel="0" collapsed="false">
      <c r="A89" s="14" t="n">
        <v>70</v>
      </c>
      <c r="B89" s="23" t="s">
        <v>24</v>
      </c>
      <c r="C89" s="21" t="s">
        <v>41</v>
      </c>
      <c r="D89" s="21" t="s">
        <v>42</v>
      </c>
      <c r="E89" s="24" t="s">
        <v>189</v>
      </c>
      <c r="F89" s="17"/>
      <c r="G89" s="17"/>
      <c r="H89" s="17"/>
      <c r="I89" s="18" t="s">
        <v>189</v>
      </c>
      <c r="J89" s="18" t="s">
        <v>190</v>
      </c>
      <c r="K89" s="18" t="n">
        <f aca="false">COUNTIFS(Trechos!$L$2:$L$838,A89)</f>
        <v>1</v>
      </c>
      <c r="L89" s="19" t="n">
        <f aca="false">SUMIFS(Trechos!$F$2:$F$838,Trechos!$L$2:$L$838,A89)</f>
        <v>10.9270182219447</v>
      </c>
      <c r="M89" s="18" t="s">
        <v>54</v>
      </c>
      <c r="N89" s="18" t="str">
        <f aca="false">Blocos!BT71</f>
        <v>—</v>
      </c>
    </row>
    <row r="90" customFormat="false" ht="15" hidden="false" customHeight="false" outlineLevel="0" collapsed="false">
      <c r="A90" s="14" t="n">
        <v>71</v>
      </c>
      <c r="B90" s="23" t="s">
        <v>24</v>
      </c>
      <c r="C90" s="21" t="s">
        <v>41</v>
      </c>
      <c r="D90" s="21" t="s">
        <v>42</v>
      </c>
      <c r="E90" s="24" t="s">
        <v>191</v>
      </c>
      <c r="F90" s="17"/>
      <c r="G90" s="17"/>
      <c r="H90" s="17"/>
      <c r="I90" s="18" t="s">
        <v>191</v>
      </c>
      <c r="J90" s="18" t="s">
        <v>192</v>
      </c>
      <c r="K90" s="18" t="n">
        <f aca="false">COUNTIFS(Trechos!$L$2:$L$838,A90)</f>
        <v>1</v>
      </c>
      <c r="L90" s="19" t="n">
        <f aca="false">SUMIFS(Trechos!$F$2:$F$838,Trechos!$L$2:$L$838,A90)</f>
        <v>12.6041120650505</v>
      </c>
      <c r="M90" s="18" t="s">
        <v>54</v>
      </c>
      <c r="N90" s="18" t="str">
        <f aca="false">Blocos!BT72</f>
        <v>—</v>
      </c>
    </row>
    <row r="91" customFormat="false" ht="15" hidden="false" customHeight="false" outlineLevel="0" collapsed="false">
      <c r="A91" s="13" t="s">
        <v>193</v>
      </c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</row>
    <row r="92" customFormat="false" ht="15" hidden="false" customHeight="false" outlineLevel="0" collapsed="false">
      <c r="A92" s="14" t="n">
        <v>72</v>
      </c>
      <c r="B92" s="20" t="s">
        <v>23</v>
      </c>
      <c r="C92" s="21" t="s">
        <v>41</v>
      </c>
      <c r="D92" s="22" t="s">
        <v>42</v>
      </c>
      <c r="E92" s="17"/>
      <c r="F92" s="17"/>
      <c r="G92" s="17"/>
      <c r="H92" s="17"/>
      <c r="I92" s="18" t="s">
        <v>194</v>
      </c>
      <c r="J92" s="18" t="s">
        <v>195</v>
      </c>
      <c r="K92" s="18" t="n">
        <f aca="false">COUNTIFS(Trechos!$L$2:$L$838,A92)</f>
        <v>2</v>
      </c>
      <c r="L92" s="19" t="n">
        <f aca="false">SUMIFS(Trechos!$F$2:$F$838,Trechos!$L$2:$L$838,A92)</f>
        <v>3.02913411342669</v>
      </c>
      <c r="M92" s="18" t="s">
        <v>54</v>
      </c>
      <c r="N92" s="18" t="str">
        <f aca="false">Blocos!BT73</f>
        <v>—</v>
      </c>
    </row>
    <row r="93" customFormat="false" ht="15" hidden="false" customHeight="false" outlineLevel="0" collapsed="false">
      <c r="A93" s="13" t="s">
        <v>196</v>
      </c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</row>
    <row r="94" customFormat="false" ht="15" hidden="false" customHeight="false" outlineLevel="0" collapsed="false">
      <c r="A94" s="14" t="n">
        <v>73</v>
      </c>
      <c r="B94" s="20" t="s">
        <v>23</v>
      </c>
      <c r="C94" s="21" t="s">
        <v>41</v>
      </c>
      <c r="D94" s="21" t="s">
        <v>42</v>
      </c>
      <c r="E94" s="22" t="s">
        <v>44</v>
      </c>
      <c r="F94" s="17"/>
      <c r="G94" s="17"/>
      <c r="H94" s="17"/>
      <c r="I94" s="18" t="s">
        <v>197</v>
      </c>
      <c r="J94" s="18" t="s">
        <v>198</v>
      </c>
      <c r="K94" s="18" t="n">
        <f aca="false">COUNTIFS(Trechos!$L$2:$L$838,A94)</f>
        <v>1</v>
      </c>
      <c r="L94" s="19" t="n">
        <f aca="false">SUMIFS(Trechos!$F$2:$F$838,Trechos!$L$2:$L$838,A94)</f>
        <v>20.417790421367</v>
      </c>
      <c r="M94" s="18" t="s">
        <v>54</v>
      </c>
      <c r="N94" s="18" t="str">
        <f aca="false">Blocos!BT74</f>
        <v>—</v>
      </c>
    </row>
    <row r="95" customFormat="false" ht="15" hidden="false" customHeight="false" outlineLevel="0" collapsed="false">
      <c r="A95" s="13" t="s">
        <v>199</v>
      </c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</row>
    <row r="96" customFormat="false" ht="15" hidden="false" customHeight="false" outlineLevel="0" collapsed="false">
      <c r="A96" s="14" t="n">
        <v>74</v>
      </c>
      <c r="B96" s="20" t="s">
        <v>23</v>
      </c>
      <c r="C96" s="21" t="s">
        <v>41</v>
      </c>
      <c r="D96" s="21" t="s">
        <v>42</v>
      </c>
      <c r="E96" s="22" t="s">
        <v>44</v>
      </c>
      <c r="F96" s="17"/>
      <c r="G96" s="17"/>
      <c r="H96" s="17"/>
      <c r="I96" s="18" t="s">
        <v>200</v>
      </c>
      <c r="J96" s="18" t="s">
        <v>201</v>
      </c>
      <c r="K96" s="18" t="n">
        <f aca="false">COUNTIFS(Trechos!$L$2:$L$838,A96)</f>
        <v>1</v>
      </c>
      <c r="L96" s="19" t="n">
        <f aca="false">SUMIFS(Trechos!$F$2:$F$838,Trechos!$L$2:$L$838,A96)</f>
        <v>7.73594669834113</v>
      </c>
      <c r="M96" s="18" t="s">
        <v>54</v>
      </c>
      <c r="N96" s="18" t="str">
        <f aca="false">Blocos!BT75</f>
        <v>—</v>
      </c>
    </row>
    <row r="97" customFormat="false" ht="15" hidden="false" customHeight="false" outlineLevel="0" collapsed="false">
      <c r="A97" s="13" t="s">
        <v>202</v>
      </c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</row>
    <row r="98" customFormat="false" ht="15" hidden="false" customHeight="false" outlineLevel="0" collapsed="false">
      <c r="A98" s="14" t="n">
        <v>75</v>
      </c>
      <c r="B98" s="23" t="s">
        <v>24</v>
      </c>
      <c r="C98" s="21" t="s">
        <v>41</v>
      </c>
      <c r="D98" s="21" t="s">
        <v>42</v>
      </c>
      <c r="E98" s="21" t="s">
        <v>44</v>
      </c>
      <c r="F98" s="24" t="s">
        <v>203</v>
      </c>
      <c r="G98" s="17"/>
      <c r="H98" s="17"/>
      <c r="I98" s="18" t="s">
        <v>203</v>
      </c>
      <c r="J98" s="18" t="s">
        <v>204</v>
      </c>
      <c r="K98" s="18" t="n">
        <f aca="false">COUNTIFS(Trechos!$L$2:$L$838,A98)</f>
        <v>26</v>
      </c>
      <c r="L98" s="19" t="n">
        <f aca="false">SUMIFS(Trechos!$F$2:$F$838,Trechos!$L$2:$L$838,A98)</f>
        <v>1411.64193664859</v>
      </c>
      <c r="M98" s="18" t="s">
        <v>205</v>
      </c>
      <c r="N98" s="18" t="str">
        <f aca="false">Blocos!BT76</f>
        <v>0345006004, 0352810004</v>
      </c>
    </row>
    <row r="99" customFormat="false" ht="15" hidden="false" customHeight="false" outlineLevel="0" collapsed="false">
      <c r="A99" s="14" t="n">
        <v>76</v>
      </c>
      <c r="B99" s="23" t="s">
        <v>24</v>
      </c>
      <c r="C99" s="21" t="s">
        <v>41</v>
      </c>
      <c r="D99" s="21" t="s">
        <v>42</v>
      </c>
      <c r="E99" s="21" t="s">
        <v>44</v>
      </c>
      <c r="F99" s="21" t="s">
        <v>203</v>
      </c>
      <c r="G99" s="24" t="s">
        <v>206</v>
      </c>
      <c r="H99" s="17"/>
      <c r="I99" s="18" t="s">
        <v>206</v>
      </c>
      <c r="J99" s="18" t="s">
        <v>207</v>
      </c>
      <c r="K99" s="18" t="n">
        <f aca="false">COUNTIFS(Trechos!$L$2:$L$838,A99)</f>
        <v>1</v>
      </c>
      <c r="L99" s="19" t="n">
        <f aca="false">SUMIFS(Trechos!$F$2:$F$838,Trechos!$L$2:$L$838,A99)</f>
        <v>6.35943390482056</v>
      </c>
      <c r="M99" s="18" t="s">
        <v>54</v>
      </c>
      <c r="N99" s="18" t="str">
        <f aca="false">Blocos!BT77</f>
        <v>—</v>
      </c>
    </row>
    <row r="100" customFormat="false" ht="15" hidden="false" customHeight="false" outlineLevel="0" collapsed="false">
      <c r="A100" s="14" t="n">
        <v>77</v>
      </c>
      <c r="B100" s="23" t="s">
        <v>24</v>
      </c>
      <c r="C100" s="21" t="s">
        <v>41</v>
      </c>
      <c r="D100" s="21" t="s">
        <v>42</v>
      </c>
      <c r="E100" s="21" t="s">
        <v>44</v>
      </c>
      <c r="F100" s="21" t="s">
        <v>203</v>
      </c>
      <c r="G100" s="24" t="s">
        <v>208</v>
      </c>
      <c r="H100" s="17"/>
      <c r="I100" s="18" t="s">
        <v>208</v>
      </c>
      <c r="J100" s="18" t="s">
        <v>209</v>
      </c>
      <c r="K100" s="18" t="n">
        <f aca="false">COUNTIFS(Trechos!$L$2:$L$838,A100)</f>
        <v>1</v>
      </c>
      <c r="L100" s="19" t="n">
        <f aca="false">SUMIFS(Trechos!$F$2:$F$838,Trechos!$L$2:$L$838,A100)</f>
        <v>8.91912484041897</v>
      </c>
      <c r="M100" s="18" t="s">
        <v>54</v>
      </c>
      <c r="N100" s="18" t="str">
        <f aca="false">Blocos!BT78</f>
        <v>—</v>
      </c>
    </row>
    <row r="101" customFormat="false" ht="15" hidden="false" customHeight="false" outlineLevel="0" collapsed="false">
      <c r="A101" s="13" t="s">
        <v>210</v>
      </c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</row>
    <row r="102" customFormat="false" ht="15" hidden="false" customHeight="false" outlineLevel="0" collapsed="false">
      <c r="A102" s="14" t="n">
        <v>78</v>
      </c>
      <c r="B102" s="23" t="s">
        <v>24</v>
      </c>
      <c r="C102" s="21" t="s">
        <v>41</v>
      </c>
      <c r="D102" s="21" t="s">
        <v>42</v>
      </c>
      <c r="E102" s="21" t="s">
        <v>44</v>
      </c>
      <c r="F102" s="24" t="s">
        <v>211</v>
      </c>
      <c r="G102" s="17"/>
      <c r="H102" s="17"/>
      <c r="I102" s="18" t="s">
        <v>211</v>
      </c>
      <c r="J102" s="18" t="s">
        <v>212</v>
      </c>
      <c r="K102" s="18" t="n">
        <f aca="false">COUNTIFS(Trechos!$L$2:$L$838,A102)</f>
        <v>2</v>
      </c>
      <c r="L102" s="19" t="n">
        <f aca="false">SUMIFS(Trechos!$F$2:$F$838,Trechos!$L$2:$L$838,A102)</f>
        <v>497.374537974624</v>
      </c>
      <c r="M102" s="18" t="s">
        <v>54</v>
      </c>
      <c r="N102" s="18" t="str">
        <f aca="false">Blocos!BT79</f>
        <v>—</v>
      </c>
    </row>
    <row r="103" customFormat="false" ht="15" hidden="false" customHeight="false" outlineLevel="0" collapsed="false">
      <c r="A103" s="13" t="s">
        <v>213</v>
      </c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</row>
    <row r="104" customFormat="false" ht="15" hidden="false" customHeight="false" outlineLevel="0" collapsed="false">
      <c r="A104" s="14" t="n">
        <v>79</v>
      </c>
      <c r="B104" s="20" t="s">
        <v>23</v>
      </c>
      <c r="C104" s="21" t="s">
        <v>41</v>
      </c>
      <c r="D104" s="21" t="s">
        <v>42</v>
      </c>
      <c r="E104" s="22" t="s">
        <v>44</v>
      </c>
      <c r="F104" s="17"/>
      <c r="G104" s="17"/>
      <c r="H104" s="17"/>
      <c r="I104" s="18" t="s">
        <v>214</v>
      </c>
      <c r="J104" s="18" t="s">
        <v>215</v>
      </c>
      <c r="K104" s="18" t="n">
        <f aca="false">COUNTIFS(Trechos!$L$2:$L$838,A104)</f>
        <v>2</v>
      </c>
      <c r="L104" s="19" t="n">
        <f aca="false">SUMIFS(Trechos!$F$2:$F$838,Trechos!$L$2:$L$838,A104)</f>
        <v>65.1910048681943</v>
      </c>
      <c r="M104" s="18" t="s">
        <v>54</v>
      </c>
      <c r="N104" s="18" t="str">
        <f aca="false">Blocos!BT80</f>
        <v>—</v>
      </c>
    </row>
    <row r="105" customFormat="false" ht="15" hidden="false" customHeight="false" outlineLevel="0" collapsed="false">
      <c r="A105" s="13" t="s">
        <v>216</v>
      </c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</row>
    <row r="106" customFormat="false" ht="15" hidden="false" customHeight="false" outlineLevel="0" collapsed="false">
      <c r="A106" s="14" t="n">
        <v>80</v>
      </c>
      <c r="B106" s="20" t="s">
        <v>23</v>
      </c>
      <c r="C106" s="21" t="s">
        <v>41</v>
      </c>
      <c r="D106" s="21" t="s">
        <v>42</v>
      </c>
      <c r="E106" s="22" t="s">
        <v>44</v>
      </c>
      <c r="F106" s="17"/>
      <c r="G106" s="17"/>
      <c r="H106" s="17"/>
      <c r="I106" s="18" t="s">
        <v>217</v>
      </c>
      <c r="J106" s="18" t="s">
        <v>218</v>
      </c>
      <c r="K106" s="18" t="n">
        <f aca="false">COUNTIFS(Trechos!$L$2:$L$838,A106)</f>
        <v>5</v>
      </c>
      <c r="L106" s="19" t="n">
        <f aca="false">SUMIFS(Trechos!$F$2:$F$838,Trechos!$L$2:$L$838,A106)</f>
        <v>237.446791659637</v>
      </c>
      <c r="M106" s="18" t="s">
        <v>54</v>
      </c>
      <c r="N106" s="18" t="str">
        <f aca="false">Blocos!BT81</f>
        <v>—</v>
      </c>
    </row>
    <row r="107" customFormat="false" ht="15" hidden="false" customHeight="false" outlineLevel="0" collapsed="false">
      <c r="A107" s="13" t="s">
        <v>219</v>
      </c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</row>
    <row r="108" customFormat="false" ht="15" hidden="false" customHeight="false" outlineLevel="0" collapsed="false">
      <c r="A108" s="14" t="n">
        <v>81</v>
      </c>
      <c r="B108" s="23" t="s">
        <v>24</v>
      </c>
      <c r="C108" s="21" t="s">
        <v>41</v>
      </c>
      <c r="D108" s="21" t="s">
        <v>42</v>
      </c>
      <c r="E108" s="21" t="s">
        <v>44</v>
      </c>
      <c r="F108" s="24" t="s">
        <v>220</v>
      </c>
      <c r="G108" s="17"/>
      <c r="H108" s="17"/>
      <c r="I108" s="18" t="s">
        <v>220</v>
      </c>
      <c r="J108" s="18" t="s">
        <v>221</v>
      </c>
      <c r="K108" s="18" t="n">
        <f aca="false">COUNTIFS(Trechos!$L$2:$L$838,A108)</f>
        <v>1</v>
      </c>
      <c r="L108" s="19" t="n">
        <f aca="false">SUMIFS(Trechos!$F$2:$F$838,Trechos!$L$2:$L$838,A108)</f>
        <v>4.68189760252389</v>
      </c>
      <c r="M108" s="18" t="s">
        <v>54</v>
      </c>
      <c r="N108" s="18" t="str">
        <f aca="false">Blocos!BT82</f>
        <v>—</v>
      </c>
    </row>
    <row r="109" customFormat="false" ht="15" hidden="false" customHeight="false" outlineLevel="0" collapsed="false">
      <c r="A109" s="13" t="s">
        <v>222</v>
      </c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</row>
    <row r="110" customFormat="false" ht="15" hidden="false" customHeight="false" outlineLevel="0" collapsed="false">
      <c r="A110" s="14" t="n">
        <v>82</v>
      </c>
      <c r="B110" s="20" t="s">
        <v>23</v>
      </c>
      <c r="C110" s="21" t="s">
        <v>41</v>
      </c>
      <c r="D110" s="21" t="s">
        <v>42</v>
      </c>
      <c r="E110" s="22" t="s">
        <v>44</v>
      </c>
      <c r="F110" s="17"/>
      <c r="G110" s="17"/>
      <c r="H110" s="17"/>
      <c r="I110" s="18" t="s">
        <v>223</v>
      </c>
      <c r="J110" s="18" t="s">
        <v>224</v>
      </c>
      <c r="K110" s="18" t="n">
        <f aca="false">COUNTIFS(Trechos!$L$2:$L$838,A110)</f>
        <v>2</v>
      </c>
      <c r="L110" s="19" t="n">
        <f aca="false">SUMIFS(Trechos!$F$2:$F$838,Trechos!$L$2:$L$838,A110)</f>
        <v>107.018845368593</v>
      </c>
      <c r="M110" s="18" t="s">
        <v>54</v>
      </c>
      <c r="N110" s="18" t="str">
        <f aca="false">Blocos!BT83</f>
        <v>—</v>
      </c>
    </row>
    <row r="111" customFormat="false" ht="15" hidden="false" customHeight="false" outlineLevel="0" collapsed="false">
      <c r="A111" s="13" t="s">
        <v>225</v>
      </c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</row>
    <row r="112" customFormat="false" ht="15" hidden="false" customHeight="false" outlineLevel="0" collapsed="false">
      <c r="A112" s="14" t="n">
        <v>83</v>
      </c>
      <c r="B112" s="20" t="s">
        <v>23</v>
      </c>
      <c r="C112" s="21" t="s">
        <v>41</v>
      </c>
      <c r="D112" s="21" t="s">
        <v>42</v>
      </c>
      <c r="E112" s="22" t="s">
        <v>44</v>
      </c>
      <c r="F112" s="17"/>
      <c r="G112" s="17"/>
      <c r="H112" s="17"/>
      <c r="I112" s="18" t="s">
        <v>226</v>
      </c>
      <c r="J112" s="18" t="s">
        <v>227</v>
      </c>
      <c r="K112" s="18" t="n">
        <f aca="false">COUNTIFS(Trechos!$L$2:$L$838,A112)</f>
        <v>1</v>
      </c>
      <c r="L112" s="19" t="n">
        <f aca="false">SUMIFS(Trechos!$F$2:$F$838,Trechos!$L$2:$L$838,A112)</f>
        <v>38.9745730641246</v>
      </c>
      <c r="M112" s="18" t="s">
        <v>54</v>
      </c>
      <c r="N112" s="18" t="str">
        <f aca="false">Blocos!BT84</f>
        <v>—</v>
      </c>
    </row>
    <row r="113" customFormat="false" ht="15" hidden="false" customHeight="false" outlineLevel="0" collapsed="false">
      <c r="A113" s="13" t="s">
        <v>228</v>
      </c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</row>
    <row r="114" customFormat="false" ht="15" hidden="false" customHeight="false" outlineLevel="0" collapsed="false">
      <c r="A114" s="14" t="n">
        <v>84</v>
      </c>
      <c r="B114" s="23" t="s">
        <v>24</v>
      </c>
      <c r="C114" s="21" t="s">
        <v>41</v>
      </c>
      <c r="D114" s="21" t="s">
        <v>42</v>
      </c>
      <c r="E114" s="21" t="s">
        <v>44</v>
      </c>
      <c r="F114" s="24" t="s">
        <v>229</v>
      </c>
      <c r="G114" s="17"/>
      <c r="H114" s="17"/>
      <c r="I114" s="18" t="s">
        <v>229</v>
      </c>
      <c r="J114" s="18" t="s">
        <v>230</v>
      </c>
      <c r="K114" s="18" t="n">
        <f aca="false">COUNTIFS(Trechos!$L$2:$L$838,A114)</f>
        <v>2</v>
      </c>
      <c r="L114" s="19" t="n">
        <f aca="false">SUMIFS(Trechos!$F$2:$F$838,Trechos!$L$2:$L$838,A114)</f>
        <v>16.1554809754665</v>
      </c>
      <c r="M114" s="18" t="s">
        <v>54</v>
      </c>
      <c r="N114" s="18" t="str">
        <f aca="false">Blocos!BT85</f>
        <v>—</v>
      </c>
    </row>
    <row r="115" customFormat="false" ht="15" hidden="false" customHeight="false" outlineLevel="0" collapsed="false">
      <c r="A115" s="13" t="s">
        <v>231</v>
      </c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</row>
    <row r="116" customFormat="false" ht="15" hidden="false" customHeight="false" outlineLevel="0" collapsed="false">
      <c r="A116" s="14" t="n">
        <v>85</v>
      </c>
      <c r="B116" s="23" t="s">
        <v>24</v>
      </c>
      <c r="C116" s="21" t="s">
        <v>41</v>
      </c>
      <c r="D116" s="21" t="s">
        <v>42</v>
      </c>
      <c r="E116" s="21" t="s">
        <v>44</v>
      </c>
      <c r="F116" s="24" t="s">
        <v>232</v>
      </c>
      <c r="G116" s="17"/>
      <c r="H116" s="17"/>
      <c r="I116" s="18" t="s">
        <v>232</v>
      </c>
      <c r="J116" s="18" t="s">
        <v>233</v>
      </c>
      <c r="K116" s="18" t="n">
        <f aca="false">COUNTIFS(Trechos!$L$2:$L$838,A116)</f>
        <v>1</v>
      </c>
      <c r="L116" s="19" t="n">
        <f aca="false">SUMIFS(Trechos!$F$2:$F$838,Trechos!$L$2:$L$838,A116)</f>
        <v>1.79624857415318</v>
      </c>
      <c r="M116" s="18" t="s">
        <v>54</v>
      </c>
      <c r="N116" s="18" t="str">
        <f aca="false">Blocos!BT86</f>
        <v>—</v>
      </c>
    </row>
    <row r="117" customFormat="false" ht="15" hidden="false" customHeight="false" outlineLevel="0" collapsed="false">
      <c r="A117" s="13" t="s">
        <v>234</v>
      </c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</row>
    <row r="118" customFormat="false" ht="15" hidden="false" customHeight="false" outlineLevel="0" collapsed="false">
      <c r="A118" s="14" t="n">
        <v>86</v>
      </c>
      <c r="B118" s="20" t="s">
        <v>23</v>
      </c>
      <c r="C118" s="21" t="s">
        <v>41</v>
      </c>
      <c r="D118" s="21" t="s">
        <v>42</v>
      </c>
      <c r="E118" s="22" t="s">
        <v>44</v>
      </c>
      <c r="F118" s="17"/>
      <c r="G118" s="17"/>
      <c r="H118" s="17"/>
      <c r="I118" s="18" t="s">
        <v>235</v>
      </c>
      <c r="J118" s="18" t="s">
        <v>236</v>
      </c>
      <c r="K118" s="18" t="n">
        <f aca="false">COUNTIFS(Trechos!$L$2:$L$838,A118)</f>
        <v>4</v>
      </c>
      <c r="L118" s="19" t="n">
        <f aca="false">SUMIFS(Trechos!$F$2:$F$838,Trechos!$L$2:$L$838,A118)</f>
        <v>442.507407058993</v>
      </c>
      <c r="M118" s="18" t="s">
        <v>54</v>
      </c>
      <c r="N118" s="18" t="str">
        <f aca="false">Blocos!BT87</f>
        <v>—</v>
      </c>
    </row>
    <row r="119" customFormat="false" ht="15" hidden="false" customHeight="false" outlineLevel="0" collapsed="false">
      <c r="A119" s="13" t="s">
        <v>237</v>
      </c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</row>
    <row r="120" customFormat="false" ht="15" hidden="false" customHeight="false" outlineLevel="0" collapsed="false">
      <c r="A120" s="14" t="n">
        <v>87</v>
      </c>
      <c r="B120" s="23" t="s">
        <v>24</v>
      </c>
      <c r="C120" s="21" t="s">
        <v>41</v>
      </c>
      <c r="D120" s="21" t="s">
        <v>42</v>
      </c>
      <c r="E120" s="21" t="s">
        <v>44</v>
      </c>
      <c r="F120" s="24" t="s">
        <v>238</v>
      </c>
      <c r="G120" s="17"/>
      <c r="H120" s="17"/>
      <c r="I120" s="18" t="s">
        <v>238</v>
      </c>
      <c r="J120" s="18" t="s">
        <v>239</v>
      </c>
      <c r="K120" s="18" t="n">
        <f aca="false">COUNTIFS(Trechos!$L$2:$L$838,A120)</f>
        <v>13</v>
      </c>
      <c r="L120" s="19" t="n">
        <f aca="false">SUMIFS(Trechos!$F$2:$F$838,Trechos!$L$2:$L$838,A120)</f>
        <v>873.423362786328</v>
      </c>
      <c r="M120" s="18" t="s">
        <v>54</v>
      </c>
      <c r="N120" s="18" t="str">
        <f aca="false">Blocos!BT88</f>
        <v>0342284004, 0200038004</v>
      </c>
    </row>
    <row r="121" customFormat="false" ht="15" hidden="false" customHeight="false" outlineLevel="0" collapsed="false">
      <c r="A121" s="14" t="n">
        <v>88</v>
      </c>
      <c r="B121" s="23" t="s">
        <v>24</v>
      </c>
      <c r="C121" s="21" t="s">
        <v>41</v>
      </c>
      <c r="D121" s="21" t="s">
        <v>42</v>
      </c>
      <c r="E121" s="21" t="s">
        <v>44</v>
      </c>
      <c r="F121" s="21" t="s">
        <v>238</v>
      </c>
      <c r="G121" s="24" t="s">
        <v>240</v>
      </c>
      <c r="H121" s="17"/>
      <c r="I121" s="18" t="s">
        <v>240</v>
      </c>
      <c r="J121" s="18" t="s">
        <v>241</v>
      </c>
      <c r="K121" s="18" t="n">
        <f aca="false">COUNTIFS(Trechos!$L$2:$L$838,A121)</f>
        <v>2</v>
      </c>
      <c r="L121" s="19" t="n">
        <f aca="false">SUMIFS(Trechos!$F$2:$F$838,Trechos!$L$2:$L$838,A121)</f>
        <v>20.9178905075115</v>
      </c>
      <c r="M121" s="18" t="s">
        <v>54</v>
      </c>
      <c r="N121" s="18" t="str">
        <f aca="false">Blocos!BT89</f>
        <v>—</v>
      </c>
    </row>
    <row r="122" customFormat="false" ht="15" hidden="false" customHeight="false" outlineLevel="0" collapsed="false">
      <c r="A122" s="14" t="n">
        <v>89</v>
      </c>
      <c r="B122" s="23" t="s">
        <v>24</v>
      </c>
      <c r="C122" s="21" t="s">
        <v>41</v>
      </c>
      <c r="D122" s="21" t="s">
        <v>42</v>
      </c>
      <c r="E122" s="21" t="s">
        <v>44</v>
      </c>
      <c r="F122" s="21" t="s">
        <v>238</v>
      </c>
      <c r="G122" s="24" t="s">
        <v>242</v>
      </c>
      <c r="H122" s="17"/>
      <c r="I122" s="18" t="s">
        <v>242</v>
      </c>
      <c r="J122" s="18" t="s">
        <v>243</v>
      </c>
      <c r="K122" s="18" t="n">
        <f aca="false">COUNTIFS(Trechos!$L$2:$L$838,A122)</f>
        <v>2</v>
      </c>
      <c r="L122" s="19" t="n">
        <f aca="false">SUMIFS(Trechos!$F$2:$F$838,Trechos!$L$2:$L$838,A122)</f>
        <v>38.0739674856382</v>
      </c>
      <c r="M122" s="18" t="s">
        <v>54</v>
      </c>
      <c r="N122" s="18" t="str">
        <f aca="false">Blocos!BT90</f>
        <v>—</v>
      </c>
    </row>
    <row r="123" customFormat="false" ht="15" hidden="false" customHeight="false" outlineLevel="0" collapsed="false">
      <c r="A123" s="13" t="s">
        <v>244</v>
      </c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</row>
    <row r="124" customFormat="false" ht="15" hidden="false" customHeight="false" outlineLevel="0" collapsed="false">
      <c r="A124" s="14" t="n">
        <v>90</v>
      </c>
      <c r="B124" s="20" t="s">
        <v>23</v>
      </c>
      <c r="C124" s="21" t="s">
        <v>41</v>
      </c>
      <c r="D124" s="21" t="s">
        <v>42</v>
      </c>
      <c r="E124" s="22" t="s">
        <v>44</v>
      </c>
      <c r="F124" s="17"/>
      <c r="G124" s="17"/>
      <c r="H124" s="17"/>
      <c r="I124" s="18" t="s">
        <v>245</v>
      </c>
      <c r="J124" s="18" t="s">
        <v>246</v>
      </c>
      <c r="K124" s="18" t="n">
        <f aca="false">COUNTIFS(Trechos!$L$2:$L$838,A124)</f>
        <v>1</v>
      </c>
      <c r="L124" s="19" t="n">
        <f aca="false">SUMIFS(Trechos!$F$2:$F$838,Trechos!$L$2:$L$838,A124)</f>
        <v>16.1416616276471</v>
      </c>
      <c r="M124" s="18" t="s">
        <v>54</v>
      </c>
      <c r="N124" s="18" t="str">
        <f aca="false">Blocos!BT91</f>
        <v>—</v>
      </c>
    </row>
    <row r="125" customFormat="false" ht="15" hidden="false" customHeight="false" outlineLevel="0" collapsed="false">
      <c r="A125" s="13" t="s">
        <v>247</v>
      </c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</row>
    <row r="126" customFormat="false" ht="15" hidden="false" customHeight="false" outlineLevel="0" collapsed="false">
      <c r="A126" s="14" t="n">
        <v>91</v>
      </c>
      <c r="B126" s="23" t="s">
        <v>24</v>
      </c>
      <c r="C126" s="21" t="s">
        <v>41</v>
      </c>
      <c r="D126" s="21" t="s">
        <v>42</v>
      </c>
      <c r="E126" s="21" t="s">
        <v>44</v>
      </c>
      <c r="F126" s="24" t="s">
        <v>248</v>
      </c>
      <c r="G126" s="17"/>
      <c r="H126" s="17"/>
      <c r="I126" s="18" t="s">
        <v>248</v>
      </c>
      <c r="J126" s="18" t="s">
        <v>249</v>
      </c>
      <c r="K126" s="18" t="n">
        <f aca="false">COUNTIFS(Trechos!$L$2:$L$838,A126)</f>
        <v>7</v>
      </c>
      <c r="L126" s="19" t="n">
        <f aca="false">SUMIFS(Trechos!$F$2:$F$838,Trechos!$L$2:$L$838,A126)</f>
        <v>587.293359276902</v>
      </c>
      <c r="M126" s="18" t="s">
        <v>54</v>
      </c>
      <c r="N126" s="18" t="str">
        <f aca="false">Blocos!BT92</f>
        <v>—</v>
      </c>
    </row>
    <row r="127" customFormat="false" ht="15" hidden="false" customHeight="false" outlineLevel="0" collapsed="false">
      <c r="A127" s="13" t="s">
        <v>250</v>
      </c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</row>
    <row r="128" customFormat="false" ht="15" hidden="false" customHeight="false" outlineLevel="0" collapsed="false">
      <c r="A128" s="14" t="n">
        <v>92</v>
      </c>
      <c r="B128" s="23" t="s">
        <v>24</v>
      </c>
      <c r="C128" s="21" t="s">
        <v>41</v>
      </c>
      <c r="D128" s="21" t="s">
        <v>42</v>
      </c>
      <c r="E128" s="21" t="s">
        <v>44</v>
      </c>
      <c r="F128" s="24" t="s">
        <v>251</v>
      </c>
      <c r="G128" s="17"/>
      <c r="H128" s="17"/>
      <c r="I128" s="18" t="s">
        <v>251</v>
      </c>
      <c r="J128" s="18" t="s">
        <v>252</v>
      </c>
      <c r="K128" s="18" t="n">
        <f aca="false">COUNTIFS(Trechos!$L$2:$L$838,A128)</f>
        <v>2</v>
      </c>
      <c r="L128" s="19" t="n">
        <f aca="false">SUMIFS(Trechos!$F$2:$F$838,Trechos!$L$2:$L$838,A128)</f>
        <v>23.6276870349066</v>
      </c>
      <c r="M128" s="18" t="s">
        <v>54</v>
      </c>
      <c r="N128" s="18" t="str">
        <f aca="false">Blocos!BT93</f>
        <v>—</v>
      </c>
    </row>
    <row r="129" customFormat="false" ht="15" hidden="false" customHeight="false" outlineLevel="0" collapsed="false">
      <c r="A129" s="13" t="s">
        <v>253</v>
      </c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</row>
    <row r="130" customFormat="false" ht="15" hidden="false" customHeight="false" outlineLevel="0" collapsed="false">
      <c r="A130" s="14" t="n">
        <v>93</v>
      </c>
      <c r="B130" s="20" t="s">
        <v>23</v>
      </c>
      <c r="C130" s="21" t="s">
        <v>41</v>
      </c>
      <c r="D130" s="21" t="s">
        <v>42</v>
      </c>
      <c r="E130" s="22" t="s">
        <v>44</v>
      </c>
      <c r="F130" s="17"/>
      <c r="G130" s="17"/>
      <c r="H130" s="17"/>
      <c r="I130" s="18" t="s">
        <v>254</v>
      </c>
      <c r="J130" s="18" t="s">
        <v>255</v>
      </c>
      <c r="K130" s="18" t="n">
        <f aca="false">COUNTIFS(Trechos!$L$2:$L$838,A130)</f>
        <v>2</v>
      </c>
      <c r="L130" s="19" t="n">
        <f aca="false">SUMIFS(Trechos!$F$2:$F$838,Trechos!$L$2:$L$838,A130)</f>
        <v>17.8009009726271</v>
      </c>
      <c r="M130" s="18" t="s">
        <v>54</v>
      </c>
      <c r="N130" s="18" t="str">
        <f aca="false">Blocos!BT94</f>
        <v>—</v>
      </c>
    </row>
    <row r="131" customFormat="false" ht="15" hidden="false" customHeight="false" outlineLevel="0" collapsed="false">
      <c r="A131" s="13" t="s">
        <v>256</v>
      </c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</row>
    <row r="132" customFormat="false" ht="15" hidden="false" customHeight="false" outlineLevel="0" collapsed="false">
      <c r="A132" s="14" t="n">
        <v>94</v>
      </c>
      <c r="B132" s="20" t="s">
        <v>23</v>
      </c>
      <c r="C132" s="21" t="s">
        <v>41</v>
      </c>
      <c r="D132" s="21" t="s">
        <v>42</v>
      </c>
      <c r="E132" s="22" t="s">
        <v>44</v>
      </c>
      <c r="F132" s="17"/>
      <c r="G132" s="17"/>
      <c r="H132" s="17"/>
      <c r="I132" s="18" t="s">
        <v>257</v>
      </c>
      <c r="J132" s="18" t="s">
        <v>258</v>
      </c>
      <c r="K132" s="18" t="n">
        <f aca="false">COUNTIFS(Trechos!$L$2:$L$838,A132)</f>
        <v>8</v>
      </c>
      <c r="L132" s="19" t="n">
        <f aca="false">SUMIFS(Trechos!$F$2:$F$838,Trechos!$L$2:$L$838,A132)</f>
        <v>826.683371055813</v>
      </c>
      <c r="M132" s="18" t="s">
        <v>54</v>
      </c>
      <c r="N132" s="18" t="str">
        <f aca="false">Blocos!BT95</f>
        <v>—</v>
      </c>
    </row>
    <row r="133" customFormat="false" ht="15" hidden="false" customHeight="false" outlineLevel="0" collapsed="false">
      <c r="A133" s="13" t="s">
        <v>259</v>
      </c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</row>
    <row r="134" customFormat="false" ht="15" hidden="false" customHeight="false" outlineLevel="0" collapsed="false">
      <c r="A134" s="14" t="n">
        <v>95</v>
      </c>
      <c r="B134" s="20" t="s">
        <v>23</v>
      </c>
      <c r="C134" s="21" t="s">
        <v>41</v>
      </c>
      <c r="D134" s="21" t="s">
        <v>42</v>
      </c>
      <c r="E134" s="22" t="s">
        <v>44</v>
      </c>
      <c r="F134" s="17"/>
      <c r="G134" s="17"/>
      <c r="H134" s="17"/>
      <c r="I134" s="18" t="s">
        <v>260</v>
      </c>
      <c r="J134" s="18" t="s">
        <v>261</v>
      </c>
      <c r="K134" s="18" t="n">
        <f aca="false">COUNTIFS(Trechos!$L$2:$L$838,A134)</f>
        <v>7</v>
      </c>
      <c r="L134" s="19" t="n">
        <f aca="false">SUMIFS(Trechos!$F$2:$F$838,Trechos!$L$2:$L$838,A134)</f>
        <v>74.0311743068236</v>
      </c>
      <c r="M134" s="18" t="s">
        <v>54</v>
      </c>
      <c r="N134" s="18" t="str">
        <f aca="false">Blocos!BT96</f>
        <v>—</v>
      </c>
    </row>
    <row r="135" customFormat="false" ht="15" hidden="false" customHeight="false" outlineLevel="0" collapsed="false">
      <c r="A135" s="13" t="s">
        <v>262</v>
      </c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</row>
    <row r="136" customFormat="false" ht="15" hidden="false" customHeight="false" outlineLevel="0" collapsed="false">
      <c r="A136" s="14" t="n">
        <v>96</v>
      </c>
      <c r="B136" s="20" t="s">
        <v>23</v>
      </c>
      <c r="C136" s="21" t="s">
        <v>41</v>
      </c>
      <c r="D136" s="21" t="s">
        <v>42</v>
      </c>
      <c r="E136" s="22" t="s">
        <v>44</v>
      </c>
      <c r="F136" s="17"/>
      <c r="G136" s="17"/>
      <c r="H136" s="17"/>
      <c r="I136" s="18" t="s">
        <v>263</v>
      </c>
      <c r="J136" s="18" t="s">
        <v>264</v>
      </c>
      <c r="K136" s="18" t="n">
        <f aca="false">COUNTIFS(Trechos!$L$2:$L$838,A136)</f>
        <v>2</v>
      </c>
      <c r="L136" s="19" t="n">
        <f aca="false">SUMIFS(Trechos!$F$2:$F$838,Trechos!$L$2:$L$838,A136)</f>
        <v>47.5357398150188</v>
      </c>
      <c r="M136" s="18" t="s">
        <v>54</v>
      </c>
      <c r="N136" s="18" t="str">
        <f aca="false">Blocos!BT97</f>
        <v>—</v>
      </c>
    </row>
    <row r="137" customFormat="false" ht="15" hidden="false" customHeight="false" outlineLevel="0" collapsed="false">
      <c r="A137" s="13" t="s">
        <v>265</v>
      </c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</row>
    <row r="138" customFormat="false" ht="15" hidden="false" customHeight="false" outlineLevel="0" collapsed="false">
      <c r="A138" s="14" t="n">
        <v>97</v>
      </c>
      <c r="B138" s="20" t="s">
        <v>23</v>
      </c>
      <c r="C138" s="21" t="s">
        <v>41</v>
      </c>
      <c r="D138" s="21" t="s">
        <v>42</v>
      </c>
      <c r="E138" s="22" t="s">
        <v>44</v>
      </c>
      <c r="F138" s="17"/>
      <c r="G138" s="17"/>
      <c r="H138" s="17"/>
      <c r="I138" s="18" t="s">
        <v>266</v>
      </c>
      <c r="J138" s="18" t="s">
        <v>267</v>
      </c>
      <c r="K138" s="18" t="n">
        <f aca="false">COUNTIFS(Trechos!$L$2:$L$838,A138)</f>
        <v>1</v>
      </c>
      <c r="L138" s="19" t="n">
        <f aca="false">SUMIFS(Trechos!$F$2:$F$838,Trechos!$L$2:$L$838,A138)</f>
        <v>50.7068065183594</v>
      </c>
      <c r="M138" s="18" t="s">
        <v>54</v>
      </c>
      <c r="N138" s="18" t="str">
        <f aca="false">Blocos!BT98</f>
        <v>—</v>
      </c>
    </row>
    <row r="139" customFormat="false" ht="15" hidden="false" customHeight="false" outlineLevel="0" collapsed="false">
      <c r="A139" s="13" t="s">
        <v>268</v>
      </c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</row>
    <row r="140" customFormat="false" ht="15" hidden="false" customHeight="false" outlineLevel="0" collapsed="false">
      <c r="A140" s="14" t="n">
        <v>98</v>
      </c>
      <c r="B140" s="20" t="s">
        <v>23</v>
      </c>
      <c r="C140" s="21" t="s">
        <v>41</v>
      </c>
      <c r="D140" s="21" t="s">
        <v>42</v>
      </c>
      <c r="E140" s="22" t="s">
        <v>44</v>
      </c>
      <c r="F140" s="17"/>
      <c r="G140" s="17"/>
      <c r="H140" s="17"/>
      <c r="I140" s="18" t="s">
        <v>269</v>
      </c>
      <c r="J140" s="18" t="s">
        <v>270</v>
      </c>
      <c r="K140" s="18" t="n">
        <f aca="false">COUNTIFS(Trechos!$L$2:$L$838,A140)</f>
        <v>1</v>
      </c>
      <c r="L140" s="19" t="n">
        <f aca="false">SUMIFS(Trechos!$F$2:$F$838,Trechos!$L$2:$L$838,A140)</f>
        <v>25.6869755767706</v>
      </c>
      <c r="M140" s="18" t="s">
        <v>54</v>
      </c>
      <c r="N140" s="18" t="str">
        <f aca="false">Blocos!BT99</f>
        <v>—</v>
      </c>
    </row>
    <row r="141" customFormat="false" ht="15" hidden="false" customHeight="false" outlineLevel="0" collapsed="false">
      <c r="A141" s="13" t="s">
        <v>271</v>
      </c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</row>
    <row r="142" customFormat="false" ht="15" hidden="false" customHeight="false" outlineLevel="0" collapsed="false">
      <c r="A142" s="14" t="n">
        <v>99</v>
      </c>
      <c r="B142" s="23" t="s">
        <v>24</v>
      </c>
      <c r="C142" s="21" t="s">
        <v>41</v>
      </c>
      <c r="D142" s="21" t="s">
        <v>42</v>
      </c>
      <c r="E142" s="21" t="s">
        <v>44</v>
      </c>
      <c r="F142" s="24" t="s">
        <v>272</v>
      </c>
      <c r="G142" s="17"/>
      <c r="H142" s="17"/>
      <c r="I142" s="18" t="s">
        <v>272</v>
      </c>
      <c r="J142" s="18" t="s">
        <v>273</v>
      </c>
      <c r="K142" s="18" t="n">
        <f aca="false">COUNTIFS(Trechos!$L$2:$L$838,A142)</f>
        <v>1</v>
      </c>
      <c r="L142" s="19" t="n">
        <f aca="false">SUMIFS(Trechos!$F$2:$F$838,Trechos!$L$2:$L$838,A142)</f>
        <v>4.52288804706825</v>
      </c>
      <c r="M142" s="18" t="s">
        <v>54</v>
      </c>
      <c r="N142" s="18" t="str">
        <f aca="false">Blocos!BT100</f>
        <v>—</v>
      </c>
    </row>
    <row r="143" customFormat="false" ht="15" hidden="false" customHeight="false" outlineLevel="0" collapsed="false">
      <c r="A143" s="13" t="s">
        <v>274</v>
      </c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</row>
    <row r="144" customFormat="false" ht="15" hidden="false" customHeight="false" outlineLevel="0" collapsed="false">
      <c r="A144" s="14" t="n">
        <v>100</v>
      </c>
      <c r="B144" s="20" t="s">
        <v>23</v>
      </c>
      <c r="C144" s="21" t="s">
        <v>41</v>
      </c>
      <c r="D144" s="21" t="s">
        <v>42</v>
      </c>
      <c r="E144" s="22" t="s">
        <v>44</v>
      </c>
      <c r="F144" s="17"/>
      <c r="G144" s="17"/>
      <c r="H144" s="17"/>
      <c r="I144" s="18" t="s">
        <v>275</v>
      </c>
      <c r="J144" s="18" t="s">
        <v>276</v>
      </c>
      <c r="K144" s="18" t="n">
        <f aca="false">COUNTIFS(Trechos!$L$2:$L$838,A144)</f>
        <v>1</v>
      </c>
      <c r="L144" s="19" t="n">
        <f aca="false">SUMIFS(Trechos!$F$2:$F$838,Trechos!$L$2:$L$838,A144)</f>
        <v>23.8288725439928</v>
      </c>
      <c r="M144" s="18" t="s">
        <v>54</v>
      </c>
      <c r="N144" s="18" t="str">
        <f aca="false">Blocos!BT101</f>
        <v>—</v>
      </c>
    </row>
    <row r="145" customFormat="false" ht="15" hidden="false" customHeight="false" outlineLevel="0" collapsed="false">
      <c r="A145" s="13" t="s">
        <v>277</v>
      </c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</row>
    <row r="146" customFormat="false" ht="15" hidden="false" customHeight="false" outlineLevel="0" collapsed="false">
      <c r="A146" s="14" t="n">
        <v>101</v>
      </c>
      <c r="B146" s="23" t="s">
        <v>24</v>
      </c>
      <c r="C146" s="21" t="s">
        <v>41</v>
      </c>
      <c r="D146" s="21" t="s">
        <v>42</v>
      </c>
      <c r="E146" s="21" t="s">
        <v>44</v>
      </c>
      <c r="F146" s="24" t="s">
        <v>278</v>
      </c>
      <c r="G146" s="17"/>
      <c r="H146" s="17"/>
      <c r="I146" s="18" t="s">
        <v>278</v>
      </c>
      <c r="J146" s="18" t="s">
        <v>279</v>
      </c>
      <c r="K146" s="18" t="n">
        <f aca="false">COUNTIFS(Trechos!$L$2:$L$838,A146)</f>
        <v>1</v>
      </c>
      <c r="L146" s="19" t="n">
        <f aca="false">SUMIFS(Trechos!$F$2:$F$838,Trechos!$L$2:$L$838,A146)</f>
        <v>12.4253093027431</v>
      </c>
      <c r="M146" s="18" t="s">
        <v>54</v>
      </c>
      <c r="N146" s="18" t="str">
        <f aca="false">Blocos!BT102</f>
        <v>—</v>
      </c>
    </row>
    <row r="147" customFormat="false" ht="15" hidden="false" customHeight="false" outlineLevel="0" collapsed="false">
      <c r="A147" s="13" t="s">
        <v>280</v>
      </c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</row>
    <row r="148" customFormat="false" ht="15" hidden="false" customHeight="false" outlineLevel="0" collapsed="false">
      <c r="A148" s="14" t="n">
        <v>102</v>
      </c>
      <c r="B148" s="20" t="s">
        <v>23</v>
      </c>
      <c r="C148" s="21" t="s">
        <v>41</v>
      </c>
      <c r="D148" s="21" t="s">
        <v>42</v>
      </c>
      <c r="E148" s="22" t="s">
        <v>44</v>
      </c>
      <c r="F148" s="17"/>
      <c r="G148" s="17"/>
      <c r="H148" s="17"/>
      <c r="I148" s="18" t="s">
        <v>281</v>
      </c>
      <c r="J148" s="18" t="s">
        <v>282</v>
      </c>
      <c r="K148" s="18" t="n">
        <f aca="false">COUNTIFS(Trechos!$L$2:$L$838,A148)</f>
        <v>1</v>
      </c>
      <c r="L148" s="19" t="n">
        <f aca="false">SUMIFS(Trechos!$F$2:$F$838,Trechos!$L$2:$L$838,A148)</f>
        <v>2.55748331285779</v>
      </c>
      <c r="M148" s="18" t="s">
        <v>54</v>
      </c>
      <c r="N148" s="18" t="str">
        <f aca="false">Blocos!BT103</f>
        <v>—</v>
      </c>
    </row>
    <row r="149" customFormat="false" ht="15" hidden="false" customHeight="false" outlineLevel="0" collapsed="false">
      <c r="A149" s="13" t="s">
        <v>283</v>
      </c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</row>
    <row r="150" customFormat="false" ht="15" hidden="false" customHeight="false" outlineLevel="0" collapsed="false">
      <c r="A150" s="14" t="n">
        <v>103</v>
      </c>
      <c r="B150" s="23" t="s">
        <v>24</v>
      </c>
      <c r="C150" s="21" t="s">
        <v>41</v>
      </c>
      <c r="D150" s="21" t="s">
        <v>42</v>
      </c>
      <c r="E150" s="21" t="s">
        <v>44</v>
      </c>
      <c r="F150" s="24" t="s">
        <v>284</v>
      </c>
      <c r="G150" s="17"/>
      <c r="H150" s="17"/>
      <c r="I150" s="18" t="s">
        <v>284</v>
      </c>
      <c r="J150" s="18" t="s">
        <v>285</v>
      </c>
      <c r="K150" s="18" t="n">
        <f aca="false">COUNTIFS(Trechos!$L$2:$L$838,A150)</f>
        <v>12</v>
      </c>
      <c r="L150" s="19" t="n">
        <f aca="false">SUMIFS(Trechos!$F$2:$F$838,Trechos!$L$2:$L$838,A150)</f>
        <v>420.023085943675</v>
      </c>
      <c r="M150" s="18" t="s">
        <v>54</v>
      </c>
      <c r="N150" s="18" t="str">
        <f aca="false">Blocos!BT104</f>
        <v>0347400004, 0358161004, 0342738004</v>
      </c>
    </row>
    <row r="151" customFormat="false" ht="15" hidden="false" customHeight="false" outlineLevel="0" collapsed="false">
      <c r="A151" s="14" t="n">
        <v>104</v>
      </c>
      <c r="B151" s="23" t="s">
        <v>24</v>
      </c>
      <c r="C151" s="21" t="s">
        <v>41</v>
      </c>
      <c r="D151" s="21" t="s">
        <v>42</v>
      </c>
      <c r="E151" s="21" t="s">
        <v>44</v>
      </c>
      <c r="F151" s="21" t="s">
        <v>284</v>
      </c>
      <c r="G151" s="24" t="s">
        <v>286</v>
      </c>
      <c r="H151" s="17"/>
      <c r="I151" s="18" t="s">
        <v>286</v>
      </c>
      <c r="J151" s="18" t="s">
        <v>287</v>
      </c>
      <c r="K151" s="18" t="n">
        <f aca="false">COUNTIFS(Trechos!$L$2:$L$838,A151)</f>
        <v>7</v>
      </c>
      <c r="L151" s="19" t="n">
        <f aca="false">SUMIFS(Trechos!$F$2:$F$838,Trechos!$L$2:$L$838,A151)</f>
        <v>488.86159978891</v>
      </c>
      <c r="M151" s="18" t="s">
        <v>54</v>
      </c>
      <c r="N151" s="18" t="str">
        <f aca="false">Blocos!BT105</f>
        <v>0358161004</v>
      </c>
    </row>
    <row r="152" customFormat="false" ht="15" hidden="false" customHeight="false" outlineLevel="0" collapsed="false">
      <c r="A152" s="14" t="n">
        <v>105</v>
      </c>
      <c r="B152" s="23" t="s">
        <v>24</v>
      </c>
      <c r="C152" s="21" t="s">
        <v>41</v>
      </c>
      <c r="D152" s="21" t="s">
        <v>42</v>
      </c>
      <c r="E152" s="21" t="s">
        <v>44</v>
      </c>
      <c r="F152" s="21" t="s">
        <v>284</v>
      </c>
      <c r="G152" s="21" t="s">
        <v>286</v>
      </c>
      <c r="H152" s="24" t="s">
        <v>288</v>
      </c>
      <c r="I152" s="18" t="s">
        <v>288</v>
      </c>
      <c r="J152" s="18" t="s">
        <v>289</v>
      </c>
      <c r="K152" s="18" t="n">
        <f aca="false">COUNTIFS(Trechos!$L$2:$L$838,A152)</f>
        <v>1</v>
      </c>
      <c r="L152" s="19" t="n">
        <f aca="false">SUMIFS(Trechos!$F$2:$F$838,Trechos!$L$2:$L$838,A152)</f>
        <v>18.075189589398</v>
      </c>
      <c r="M152" s="18" t="s">
        <v>54</v>
      </c>
      <c r="N152" s="18" t="str">
        <f aca="false">Blocos!BT106</f>
        <v>—</v>
      </c>
    </row>
    <row r="153" customFormat="false" ht="15" hidden="false" customHeight="false" outlineLevel="0" collapsed="false">
      <c r="A153" s="14" t="n">
        <v>106</v>
      </c>
      <c r="B153" s="23" t="s">
        <v>24</v>
      </c>
      <c r="C153" s="21" t="s">
        <v>41</v>
      </c>
      <c r="D153" s="21" t="s">
        <v>42</v>
      </c>
      <c r="E153" s="21" t="s">
        <v>44</v>
      </c>
      <c r="F153" s="21" t="s">
        <v>284</v>
      </c>
      <c r="G153" s="24" t="s">
        <v>290</v>
      </c>
      <c r="H153" s="17"/>
      <c r="I153" s="18" t="s">
        <v>290</v>
      </c>
      <c r="J153" s="18" t="s">
        <v>291</v>
      </c>
      <c r="K153" s="18" t="n">
        <f aca="false">COUNTIFS(Trechos!$L$2:$L$838,A153)</f>
        <v>1</v>
      </c>
      <c r="L153" s="19" t="n">
        <f aca="false">SUMIFS(Trechos!$F$2:$F$838,Trechos!$L$2:$L$838,A153)</f>
        <v>17.9814824451083</v>
      </c>
      <c r="M153" s="18" t="s">
        <v>54</v>
      </c>
      <c r="N153" s="18" t="str">
        <f aca="false">Blocos!BT107</f>
        <v>—</v>
      </c>
    </row>
    <row r="154" customFormat="false" ht="15" hidden="false" customHeight="false" outlineLevel="0" collapsed="false">
      <c r="A154" s="13" t="s">
        <v>292</v>
      </c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</row>
    <row r="155" customFormat="false" ht="15" hidden="false" customHeight="false" outlineLevel="0" collapsed="false">
      <c r="A155" s="14" t="n">
        <v>107</v>
      </c>
      <c r="B155" s="23" t="s">
        <v>24</v>
      </c>
      <c r="C155" s="21" t="s">
        <v>41</v>
      </c>
      <c r="D155" s="21" t="s">
        <v>42</v>
      </c>
      <c r="E155" s="21" t="s">
        <v>44</v>
      </c>
      <c r="F155" s="24" t="s">
        <v>293</v>
      </c>
      <c r="G155" s="17"/>
      <c r="H155" s="17"/>
      <c r="I155" s="18" t="s">
        <v>293</v>
      </c>
      <c r="J155" s="18" t="s">
        <v>294</v>
      </c>
      <c r="K155" s="18" t="n">
        <f aca="false">COUNTIFS(Trechos!$L$2:$L$838,A155)</f>
        <v>2</v>
      </c>
      <c r="L155" s="19" t="n">
        <f aca="false">SUMIFS(Trechos!$F$2:$F$838,Trechos!$L$2:$L$838,A155)</f>
        <v>19.6213081451709</v>
      </c>
      <c r="M155" s="18" t="s">
        <v>54</v>
      </c>
      <c r="N155" s="18" t="str">
        <f aca="false">Blocos!BT108</f>
        <v>—</v>
      </c>
    </row>
  </sheetData>
  <mergeCells count="43">
    <mergeCell ref="A6:N6"/>
    <mergeCell ref="A10:N10"/>
    <mergeCell ref="A22:N22"/>
    <mergeCell ref="A24:N24"/>
    <mergeCell ref="A62:N62"/>
    <mergeCell ref="A64:N64"/>
    <mergeCell ref="A66:N66"/>
    <mergeCell ref="A68:N68"/>
    <mergeCell ref="A71:N71"/>
    <mergeCell ref="A74:N74"/>
    <mergeCell ref="A77:N77"/>
    <mergeCell ref="A81:N81"/>
    <mergeCell ref="A84:N84"/>
    <mergeCell ref="A87:N87"/>
    <mergeCell ref="A91:N91"/>
    <mergeCell ref="A93:N93"/>
    <mergeCell ref="A95:N95"/>
    <mergeCell ref="A97:N97"/>
    <mergeCell ref="A101:N101"/>
    <mergeCell ref="A103:N103"/>
    <mergeCell ref="A105:N105"/>
    <mergeCell ref="A107:N107"/>
    <mergeCell ref="A109:N109"/>
    <mergeCell ref="A111:N111"/>
    <mergeCell ref="A113:N113"/>
    <mergeCell ref="A115:N115"/>
    <mergeCell ref="A117:N117"/>
    <mergeCell ref="A119:N119"/>
    <mergeCell ref="A123:N123"/>
    <mergeCell ref="A125:N125"/>
    <mergeCell ref="A127:N127"/>
    <mergeCell ref="A129:N129"/>
    <mergeCell ref="A131:N131"/>
    <mergeCell ref="A133:N133"/>
    <mergeCell ref="A135:N135"/>
    <mergeCell ref="A137:N137"/>
    <mergeCell ref="A139:N139"/>
    <mergeCell ref="A141:N141"/>
    <mergeCell ref="A143:N143"/>
    <mergeCell ref="A145:N145"/>
    <mergeCell ref="A147:N147"/>
    <mergeCell ref="A149:N149"/>
    <mergeCell ref="A154:N1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46"/>
    <col collapsed="false" customWidth="true" hidden="false" outlineLevel="0" max="3" min="3" style="0" width="20"/>
  </cols>
  <sheetData>
    <row r="1" customFormat="false" ht="17.35" hidden="false" customHeight="false" outlineLevel="0" collapsed="false">
      <c r="A1" s="1" t="s">
        <v>295</v>
      </c>
    </row>
    <row r="2" customFormat="false" ht="15" hidden="false" customHeight="false" outlineLevel="0" collapsed="false">
      <c r="A2" s="8" t="s">
        <v>296</v>
      </c>
    </row>
    <row r="4" customFormat="false" ht="15" hidden="false" customHeight="false" outlineLevel="0" collapsed="false">
      <c r="A4" s="0" t="s">
        <v>297</v>
      </c>
      <c r="B4" s="25" t="s">
        <v>298</v>
      </c>
      <c r="C4" s="26" t="s">
        <v>299</v>
      </c>
    </row>
    <row r="6" customFormat="false" ht="15" hidden="false" customHeight="false" outlineLevel="0" collapsed="false">
      <c r="A6" s="4" t="s">
        <v>300</v>
      </c>
      <c r="B6" s="27" t="str">
        <f aca="false">IFERROR(INDEX(Trechos!$B$2:$B$838,MATCH($B$4,Trechos!$E$2:$E$838,0)),"poste não encontrado")</f>
        <v>TR-837</v>
      </c>
    </row>
    <row r="7" customFormat="false" ht="15" hidden="false" customHeight="false" outlineLevel="0" collapsed="false">
      <c r="A7" s="4" t="s">
        <v>301</v>
      </c>
      <c r="B7" s="27" t="str">
        <f aca="false">IFERROR(INDEX(Trechos!$D$2:$D$838,MATCH($B$4,Trechos!$E$2:$E$838,0)),"poste não encontrado")</f>
        <v>29470281</v>
      </c>
    </row>
    <row r="8" customFormat="false" ht="15" hidden="false" customHeight="false" outlineLevel="0" collapsed="false">
      <c r="A8" s="4" t="s">
        <v>1</v>
      </c>
      <c r="B8" s="27" t="str">
        <f aca="false">IFERROR(INDEX(Trechos!$I$2:$I$838,MATCH($B$4,Trechos!$E$2:$E$838,0)),"poste não encontrado")</f>
        <v>T3</v>
      </c>
    </row>
    <row r="9" customFormat="false" ht="15" hidden="false" customHeight="false" outlineLevel="0" collapsed="false">
      <c r="A9" s="4" t="s">
        <v>302</v>
      </c>
      <c r="B9" s="27" t="str">
        <f aca="false">IFERROR(INDEX(Trechos!$J$2:$J$838,MATCH($B$4,Trechos!$E$2:$E$838,0)),"poste não encontrado")</f>
        <v>Ramal</v>
      </c>
    </row>
    <row r="10" customFormat="false" ht="15" hidden="false" customHeight="false" outlineLevel="0" collapsed="false">
      <c r="A10" s="4" t="s">
        <v>303</v>
      </c>
      <c r="B10" s="27" t="str">
        <f aca="false">IFERROR(INDEX(Trechos!$K$2:$K$838,MATCH($B$4,Trechos!$E$2:$E$838,0)),"poste não encontrado")</f>
        <v>Ramal após 0344627004</v>
      </c>
    </row>
    <row r="11" customFormat="false" ht="15" hidden="false" customHeight="false" outlineLevel="0" collapsed="false">
      <c r="A11" s="4" t="s">
        <v>11</v>
      </c>
      <c r="B11" s="27" t="n">
        <f aca="false">IFERROR(INDEX(Trechos!$L$2:$L$838,MATCH($B$4,Trechos!$E$2:$E$838,0)),"poste não encontrado")</f>
        <v>107</v>
      </c>
    </row>
    <row r="12" customFormat="false" ht="15" hidden="false" customHeight="false" outlineLevel="0" collapsed="false">
      <c r="A12" s="4" t="s">
        <v>7</v>
      </c>
      <c r="B12" s="27" t="str">
        <f aca="false">IFERROR(INDEX(Trechos!$M$2:$M$838,MATCH($B$4,Trechos!$E$2:$E$838,0)),"poste não encontrado")</f>
        <v>0344627004</v>
      </c>
    </row>
    <row r="13" customFormat="false" ht="15" hidden="false" customHeight="false" outlineLevel="0" collapsed="false">
      <c r="A13" s="4" t="s">
        <v>304</v>
      </c>
      <c r="B13" s="28" t="n">
        <f aca="false">IFERROR(INDEX(Trechos!$H$2:$H$838,MATCH($B$4,Trechos!$E$2:$E$838,0)),"poste não encontrado")</f>
        <v>4.54232460722324</v>
      </c>
    </row>
    <row r="14" customFormat="false" ht="15" hidden="false" customHeight="false" outlineLevel="0" collapsed="false">
      <c r="A14" s="4" t="s">
        <v>305</v>
      </c>
      <c r="B14" s="28" t="n">
        <f aca="false">IFERROR(INDEX(Trechos!$G$2:$G$838,MATCH($B$4,Trechos!$E$2:$E$838,0)),"poste não encontrado")</f>
        <v>7348.91664318219</v>
      </c>
    </row>
    <row r="15" customFormat="false" ht="15" hidden="false" customHeight="false" outlineLevel="0" collapsed="false">
      <c r="A15" s="4" t="s">
        <v>9</v>
      </c>
      <c r="B15" s="27" t="str">
        <f aca="false">IFERROR(INDEX(Trechos!$P$2:$P$838,MATCH($B$4,Trechos!$E$2:$E$838,0)),"poste não encontrado")</f>
        <v>—</v>
      </c>
    </row>
    <row r="16" customFormat="false" ht="15" hidden="false" customHeight="false" outlineLevel="0" collapsed="false">
      <c r="A16" s="4" t="s">
        <v>306</v>
      </c>
      <c r="B16" s="27" t="n">
        <f aca="false">IFERROR(INDEX(Trechos!$R$2:$R$838,MATCH($B$4,Trechos!$E$2:$E$838,0)),"poste não encontrado")</f>
        <v>0</v>
      </c>
    </row>
    <row r="17" customFormat="false" ht="15" hidden="false" customHeight="false" outlineLevel="0" collapsed="false">
      <c r="A17" s="4" t="s">
        <v>307</v>
      </c>
      <c r="B17" s="27" t="str">
        <f aca="false">IFERROR(INDEX(Trechos!$Y$2:$Y$838,MATCH($B$4,Trechos!$E$2:$E$838,0)),"poste não encontrado")</f>
        <v>DJ AL01010004 › 7900106004 › 7927795004 › 0344627004</v>
      </c>
    </row>
    <row r="18" customFormat="false" ht="15" hidden="false" customHeight="false" outlineLevel="0" collapsed="false">
      <c r="A18" s="4" t="s">
        <v>308</v>
      </c>
      <c r="B18" s="27" t="n">
        <f aca="false">IFERROR(INDEX(Trechos!$Z$2:$Z$838,MATCH($B$4,Trechos!$E$2:$E$838,0)),"poste não encontrado")</f>
        <v>-7.2158745</v>
      </c>
    </row>
    <row r="19" customFormat="false" ht="15" hidden="false" customHeight="false" outlineLevel="0" collapsed="false">
      <c r="A19" s="4" t="s">
        <v>309</v>
      </c>
      <c r="B19" s="27" t="n">
        <f aca="false">IFERROR(INDEX(Trechos!$AA$2:$AA$838,MATCH($B$4,Trechos!$E$2:$E$838,0)),"poste não encontrado")</f>
        <v>-48.2173815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S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7"/>
    <col collapsed="false" customWidth="true" hidden="false" outlineLevel="0" max="3" min="3" style="0" width="12"/>
    <col collapsed="false" customWidth="true" hidden="false" outlineLevel="0" max="4" min="4" style="0" width="17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62" min="7" style="0" width="12"/>
    <col collapsed="false" customWidth="true" hidden="false" outlineLevel="0" max="68" min="63" style="0" width="8"/>
    <col collapsed="false" customWidth="true" hidden="false" outlineLevel="0" max="69" min="69" style="0" width="9"/>
    <col collapsed="false" customWidth="true" hidden="false" outlineLevel="0" max="70" min="70" style="0" width="12"/>
    <col collapsed="false" customWidth="true" hidden="false" outlineLevel="0" max="71" min="71" style="0" width="11"/>
    <col collapsed="false" customWidth="true" hidden="false" outlineLevel="0" max="72" min="72" style="0" width="42"/>
    <col collapsed="false" customWidth="true" hidden="false" outlineLevel="0" max="73" min="73" style="0" width="18"/>
    <col collapsed="false" customWidth="true" hidden="false" outlineLevel="0" max="149" min="74" style="0" width="10"/>
  </cols>
  <sheetData>
    <row r="1" customFormat="false" ht="31.5" hidden="false" customHeight="true" outlineLevel="0" collapsed="false">
      <c r="A1" s="12" t="s">
        <v>11</v>
      </c>
      <c r="B1" s="12" t="s">
        <v>1</v>
      </c>
      <c r="C1" s="12" t="s">
        <v>302</v>
      </c>
      <c r="D1" s="12" t="s">
        <v>303</v>
      </c>
      <c r="E1" s="12" t="s">
        <v>7</v>
      </c>
      <c r="F1" s="12" t="s">
        <v>34</v>
      </c>
      <c r="G1" s="12" t="s">
        <v>310</v>
      </c>
      <c r="H1" s="12" t="s">
        <v>311</v>
      </c>
      <c r="I1" s="12" t="s">
        <v>312</v>
      </c>
      <c r="J1" s="12" t="s">
        <v>313</v>
      </c>
      <c r="K1" s="12" t="s">
        <v>314</v>
      </c>
      <c r="L1" s="12" t="s">
        <v>315</v>
      </c>
      <c r="M1" s="12" t="s">
        <v>316</v>
      </c>
      <c r="N1" s="12" t="s">
        <v>317</v>
      </c>
      <c r="O1" s="12" t="s">
        <v>318</v>
      </c>
      <c r="P1" s="12" t="s">
        <v>319</v>
      </c>
      <c r="Q1" s="12" t="s">
        <v>320</v>
      </c>
      <c r="R1" s="12" t="s">
        <v>321</v>
      </c>
      <c r="S1" s="12" t="s">
        <v>322</v>
      </c>
      <c r="T1" s="12" t="s">
        <v>323</v>
      </c>
      <c r="U1" s="12" t="s">
        <v>324</v>
      </c>
      <c r="V1" s="12" t="s">
        <v>325</v>
      </c>
      <c r="W1" s="12" t="s">
        <v>326</v>
      </c>
      <c r="X1" s="12" t="s">
        <v>327</v>
      </c>
      <c r="Y1" s="12" t="s">
        <v>328</v>
      </c>
      <c r="Z1" s="12" t="s">
        <v>329</v>
      </c>
      <c r="AA1" s="12" t="s">
        <v>330</v>
      </c>
      <c r="AB1" s="12" t="s">
        <v>331</v>
      </c>
      <c r="AC1" s="12" t="s">
        <v>332</v>
      </c>
      <c r="AD1" s="12" t="s">
        <v>333</v>
      </c>
      <c r="AE1" s="12" t="s">
        <v>334</v>
      </c>
      <c r="AF1" s="12" t="s">
        <v>335</v>
      </c>
      <c r="AG1" s="12" t="s">
        <v>336</v>
      </c>
      <c r="AH1" s="12" t="s">
        <v>337</v>
      </c>
      <c r="AI1" s="12" t="s">
        <v>338</v>
      </c>
      <c r="AJ1" s="12" t="s">
        <v>339</v>
      </c>
      <c r="AK1" s="12" t="s">
        <v>340</v>
      </c>
      <c r="AL1" s="12" t="s">
        <v>341</v>
      </c>
      <c r="AM1" s="12" t="s">
        <v>342</v>
      </c>
      <c r="AN1" s="12" t="s">
        <v>343</v>
      </c>
      <c r="AO1" s="12" t="s">
        <v>344</v>
      </c>
      <c r="AP1" s="12" t="s">
        <v>345</v>
      </c>
      <c r="AQ1" s="12" t="s">
        <v>346</v>
      </c>
      <c r="AR1" s="12" t="s">
        <v>347</v>
      </c>
      <c r="AS1" s="12" t="s">
        <v>348</v>
      </c>
      <c r="AT1" s="12" t="s">
        <v>349</v>
      </c>
      <c r="AU1" s="12" t="s">
        <v>350</v>
      </c>
      <c r="AV1" s="12" t="s">
        <v>351</v>
      </c>
      <c r="AW1" s="12" t="s">
        <v>352</v>
      </c>
      <c r="AX1" s="12" t="s">
        <v>353</v>
      </c>
      <c r="AY1" s="12" t="s">
        <v>354</v>
      </c>
      <c r="AZ1" s="12" t="s">
        <v>355</v>
      </c>
      <c r="BA1" s="12" t="s">
        <v>356</v>
      </c>
      <c r="BB1" s="12" t="s">
        <v>357</v>
      </c>
      <c r="BC1" s="12" t="s">
        <v>358</v>
      </c>
      <c r="BD1" s="12" t="s">
        <v>359</v>
      </c>
      <c r="BE1" s="12" t="s">
        <v>360</v>
      </c>
      <c r="BF1" s="12" t="s">
        <v>361</v>
      </c>
      <c r="BG1" s="12" t="s">
        <v>362</v>
      </c>
      <c r="BH1" s="12" t="s">
        <v>363</v>
      </c>
      <c r="BI1" s="12" t="s">
        <v>364</v>
      </c>
      <c r="BJ1" s="12" t="s">
        <v>365</v>
      </c>
      <c r="BK1" s="12" t="s">
        <v>28</v>
      </c>
      <c r="BL1" s="12" t="s">
        <v>29</v>
      </c>
      <c r="BM1" s="12" t="s">
        <v>30</v>
      </c>
      <c r="BN1" s="12" t="s">
        <v>31</v>
      </c>
      <c r="BO1" s="12" t="s">
        <v>32</v>
      </c>
      <c r="BP1" s="12" t="s">
        <v>33</v>
      </c>
      <c r="BQ1" s="12" t="s">
        <v>366</v>
      </c>
      <c r="BR1" s="12" t="s">
        <v>367</v>
      </c>
      <c r="BS1" s="12" t="s">
        <v>368</v>
      </c>
      <c r="BT1" s="12" t="s">
        <v>369</v>
      </c>
      <c r="BU1" s="12" t="s">
        <v>38</v>
      </c>
      <c r="BV1" s="12" t="s">
        <v>370</v>
      </c>
      <c r="BW1" s="12" t="s">
        <v>371</v>
      </c>
      <c r="BX1" s="12" t="s">
        <v>372</v>
      </c>
      <c r="BY1" s="12" t="s">
        <v>373</v>
      </c>
      <c r="BZ1" s="12" t="s">
        <v>374</v>
      </c>
      <c r="CA1" s="12" t="s">
        <v>375</v>
      </c>
      <c r="CB1" s="12" t="s">
        <v>376</v>
      </c>
      <c r="CC1" s="12" t="s">
        <v>377</v>
      </c>
      <c r="CD1" s="12" t="s">
        <v>378</v>
      </c>
      <c r="CE1" s="12" t="s">
        <v>379</v>
      </c>
      <c r="CF1" s="12" t="s">
        <v>380</v>
      </c>
      <c r="CG1" s="12" t="s">
        <v>381</v>
      </c>
      <c r="CH1" s="12" t="s">
        <v>382</v>
      </c>
      <c r="CI1" s="12" t="s">
        <v>383</v>
      </c>
      <c r="CJ1" s="12" t="s">
        <v>384</v>
      </c>
      <c r="CK1" s="12" t="s">
        <v>385</v>
      </c>
      <c r="CL1" s="12" t="s">
        <v>386</v>
      </c>
      <c r="CM1" s="12" t="s">
        <v>387</v>
      </c>
      <c r="CN1" s="12" t="s">
        <v>388</v>
      </c>
      <c r="CO1" s="12" t="s">
        <v>389</v>
      </c>
      <c r="CP1" s="12" t="s">
        <v>390</v>
      </c>
      <c r="CQ1" s="12" t="s">
        <v>391</v>
      </c>
      <c r="CR1" s="12" t="s">
        <v>392</v>
      </c>
      <c r="CS1" s="12" t="s">
        <v>393</v>
      </c>
      <c r="CT1" s="12" t="s">
        <v>394</v>
      </c>
      <c r="CU1" s="12" t="s">
        <v>395</v>
      </c>
      <c r="CV1" s="12" t="s">
        <v>396</v>
      </c>
      <c r="CW1" s="12" t="s">
        <v>397</v>
      </c>
      <c r="CX1" s="12" t="s">
        <v>398</v>
      </c>
      <c r="CY1" s="12" t="s">
        <v>399</v>
      </c>
      <c r="CZ1" s="12" t="s">
        <v>400</v>
      </c>
      <c r="DA1" s="12" t="s">
        <v>401</v>
      </c>
      <c r="DB1" s="12" t="s">
        <v>402</v>
      </c>
      <c r="DC1" s="12" t="s">
        <v>403</v>
      </c>
      <c r="DD1" s="12" t="s">
        <v>404</v>
      </c>
      <c r="DE1" s="12" t="s">
        <v>405</v>
      </c>
      <c r="DF1" s="12" t="s">
        <v>406</v>
      </c>
      <c r="DG1" s="12" t="s">
        <v>407</v>
      </c>
      <c r="DH1" s="12" t="s">
        <v>408</v>
      </c>
      <c r="DI1" s="12" t="s">
        <v>409</v>
      </c>
      <c r="DJ1" s="12" t="s">
        <v>410</v>
      </c>
      <c r="DK1" s="12" t="s">
        <v>411</v>
      </c>
      <c r="DL1" s="12" t="s">
        <v>412</v>
      </c>
      <c r="DM1" s="12" t="s">
        <v>413</v>
      </c>
      <c r="DN1" s="12" t="s">
        <v>414</v>
      </c>
      <c r="DO1" s="12" t="s">
        <v>415</v>
      </c>
      <c r="DP1" s="12" t="s">
        <v>416</v>
      </c>
      <c r="DQ1" s="12" t="s">
        <v>417</v>
      </c>
      <c r="DR1" s="12" t="s">
        <v>418</v>
      </c>
      <c r="DS1" s="12" t="s">
        <v>419</v>
      </c>
      <c r="DT1" s="12" t="s">
        <v>420</v>
      </c>
      <c r="DU1" s="12" t="s">
        <v>421</v>
      </c>
      <c r="DV1" s="12" t="s">
        <v>422</v>
      </c>
      <c r="DW1" s="12" t="s">
        <v>423</v>
      </c>
      <c r="DX1" s="12" t="s">
        <v>424</v>
      </c>
      <c r="DY1" s="12" t="s">
        <v>425</v>
      </c>
      <c r="DZ1" s="12" t="s">
        <v>426</v>
      </c>
      <c r="EA1" s="12" t="s">
        <v>427</v>
      </c>
      <c r="EB1" s="12" t="s">
        <v>428</v>
      </c>
      <c r="EC1" s="12" t="s">
        <v>429</v>
      </c>
      <c r="ED1" s="12" t="s">
        <v>430</v>
      </c>
      <c r="EE1" s="12" t="s">
        <v>431</v>
      </c>
      <c r="EF1" s="12" t="s">
        <v>432</v>
      </c>
      <c r="EG1" s="12" t="s">
        <v>433</v>
      </c>
      <c r="EH1" s="12" t="s">
        <v>434</v>
      </c>
      <c r="EI1" s="12" t="s">
        <v>435</v>
      </c>
      <c r="EJ1" s="12" t="s">
        <v>436</v>
      </c>
      <c r="EK1" s="12" t="s">
        <v>437</v>
      </c>
      <c r="EL1" s="12" t="s">
        <v>438</v>
      </c>
      <c r="EM1" s="12" t="s">
        <v>439</v>
      </c>
      <c r="EN1" s="12" t="s">
        <v>440</v>
      </c>
      <c r="EO1" s="12" t="s">
        <v>441</v>
      </c>
      <c r="EP1" s="12" t="s">
        <v>442</v>
      </c>
      <c r="EQ1" s="12" t="s">
        <v>443</v>
      </c>
      <c r="ER1" s="12" t="s">
        <v>444</v>
      </c>
      <c r="ES1" s="12" t="s">
        <v>445</v>
      </c>
    </row>
    <row r="2" customFormat="false" ht="15" hidden="false" customHeight="false" outlineLevel="0" collapsed="false">
      <c r="A2" s="27" t="n">
        <v>1</v>
      </c>
      <c r="B2" s="5" t="s">
        <v>22</v>
      </c>
      <c r="C2" s="27" t="s">
        <v>5</v>
      </c>
      <c r="D2" s="27" t="s">
        <v>5</v>
      </c>
      <c r="E2" s="27" t="s">
        <v>41</v>
      </c>
      <c r="F2" s="27" t="s">
        <v>41</v>
      </c>
      <c r="G2" s="27" t="s">
        <v>42</v>
      </c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 t="s">
        <v>41</v>
      </c>
      <c r="BL2" s="27"/>
      <c r="BM2" s="27"/>
      <c r="BN2" s="27"/>
      <c r="BO2" s="27"/>
      <c r="BP2" s="27"/>
      <c r="BQ2" s="27" t="n">
        <f aca="false">COUNTIFS(Trechos!$L$2:$L$838,A2)</f>
        <v>43</v>
      </c>
      <c r="BR2" s="28" t="n">
        <f aca="false">SUMIFS(Trechos!$F$2:$F$838,Trechos!$L$2:$L$838,A2)</f>
        <v>1688.68604322695</v>
      </c>
      <c r="BS2" s="27" t="n">
        <f aca="false">COUNTA(BV2:ES2)</f>
        <v>76</v>
      </c>
      <c r="BT2" s="27" t="str">
        <f aca="false">IF(COUNTA(BV2:ES2)=0,"—",_xlfn.TEXTJOIN(", ",TRUE(),BV2:ES2))</f>
        <v>7900106004, 7927795004, 0300031004, 0345006004, 0352810004, 0300724004, 0342284004, 0200038004, 0328286004, 0314965004, 0344627004, 0334747004, 0347400004, 0358161004, 0342738004, 0203728004, 0328468004, 0329025004, 0203016004, 0300049004, 0203015004, 0300052004, 0200050004, 0200028004, 0300024004, 0349562004, 0349564004, 0355236004, 0200023004, 0204420004, 0302387004, 3302865004, 3300065004, 0320309004, 0310307004, 0303851004, 0310306004, 0303865004, 0342709004, 0303866004, 0303867004, 0302309004, 0300064004, 0320308004, 0301840004, 0303850004, 0320305004, 0346260004, 0346420004, 0355088004, 0340038004, 0201389004, 0303849004, 0310949004, 0210950004, 0301838004, 0301839004, 0245040004, 0303718004, 0202970004, 0354089004, 0354093004, 0220315004, 0346072004, 0345823004, 0200043004, 0200011004, 0357531004, 0303835004, 0356395004, 3300016004, 0301090004, 0303861004, 0304100004, 0201099004, 0301069004</v>
      </c>
      <c r="BU2" s="27" t="s">
        <v>43</v>
      </c>
      <c r="BV2" s="27" t="s">
        <v>42</v>
      </c>
      <c r="BW2" s="27" t="s">
        <v>44</v>
      </c>
      <c r="BX2" s="27" t="s">
        <v>203</v>
      </c>
      <c r="BY2" s="27" t="s">
        <v>206</v>
      </c>
      <c r="BZ2" s="27" t="s">
        <v>208</v>
      </c>
      <c r="CA2" s="27" t="s">
        <v>238</v>
      </c>
      <c r="CB2" s="27" t="s">
        <v>240</v>
      </c>
      <c r="CC2" s="27" t="s">
        <v>242</v>
      </c>
      <c r="CD2" s="27" t="s">
        <v>278</v>
      </c>
      <c r="CE2" s="27" t="s">
        <v>272</v>
      </c>
      <c r="CF2" s="27" t="s">
        <v>293</v>
      </c>
      <c r="CG2" s="27" t="s">
        <v>284</v>
      </c>
      <c r="CH2" s="27" t="s">
        <v>286</v>
      </c>
      <c r="CI2" s="27" t="s">
        <v>288</v>
      </c>
      <c r="CJ2" s="27" t="s">
        <v>290</v>
      </c>
      <c r="CK2" s="27" t="s">
        <v>251</v>
      </c>
      <c r="CL2" s="27" t="s">
        <v>248</v>
      </c>
      <c r="CM2" s="27" t="s">
        <v>211</v>
      </c>
      <c r="CN2" s="27" t="s">
        <v>229</v>
      </c>
      <c r="CO2" s="27" t="s">
        <v>232</v>
      </c>
      <c r="CP2" s="27" t="s">
        <v>220</v>
      </c>
      <c r="CQ2" s="27" t="s">
        <v>189</v>
      </c>
      <c r="CR2" s="27" t="s">
        <v>191</v>
      </c>
      <c r="CS2" s="27" t="s">
        <v>183</v>
      </c>
      <c r="CT2" s="27" t="s">
        <v>178</v>
      </c>
      <c r="CU2" s="27" t="s">
        <v>172</v>
      </c>
      <c r="CV2" s="27" t="s">
        <v>174</v>
      </c>
      <c r="CW2" s="27" t="s">
        <v>168</v>
      </c>
      <c r="CX2" s="27" t="s">
        <v>164</v>
      </c>
      <c r="CY2" s="27" t="s">
        <v>160</v>
      </c>
      <c r="CZ2" s="27" t="s">
        <v>79</v>
      </c>
      <c r="DA2" s="27" t="s">
        <v>81</v>
      </c>
      <c r="DB2" s="27" t="s">
        <v>83</v>
      </c>
      <c r="DC2" s="27" t="s">
        <v>85</v>
      </c>
      <c r="DD2" s="27" t="s">
        <v>87</v>
      </c>
      <c r="DE2" s="27" t="s">
        <v>89</v>
      </c>
      <c r="DF2" s="27" t="s">
        <v>91</v>
      </c>
      <c r="DG2" s="27" t="s">
        <v>93</v>
      </c>
      <c r="DH2" s="27" t="s">
        <v>95</v>
      </c>
      <c r="DI2" s="27" t="s">
        <v>97</v>
      </c>
      <c r="DJ2" s="27" t="s">
        <v>99</v>
      </c>
      <c r="DK2" s="27" t="s">
        <v>101</v>
      </c>
      <c r="DL2" s="27" t="s">
        <v>103</v>
      </c>
      <c r="DM2" s="27" t="s">
        <v>105</v>
      </c>
      <c r="DN2" s="27" t="s">
        <v>107</v>
      </c>
      <c r="DO2" s="27" t="s">
        <v>109</v>
      </c>
      <c r="DP2" s="27" t="s">
        <v>111</v>
      </c>
      <c r="DQ2" s="27" t="s">
        <v>113</v>
      </c>
      <c r="DR2" s="27" t="s">
        <v>115</v>
      </c>
      <c r="DS2" s="27" t="s">
        <v>117</v>
      </c>
      <c r="DT2" s="27" t="s">
        <v>119</v>
      </c>
      <c r="DU2" s="27" t="s">
        <v>121</v>
      </c>
      <c r="DV2" s="27" t="s">
        <v>123</v>
      </c>
      <c r="DW2" s="27" t="s">
        <v>125</v>
      </c>
      <c r="DX2" s="27" t="s">
        <v>126</v>
      </c>
      <c r="DY2" s="27" t="s">
        <v>128</v>
      </c>
      <c r="DZ2" s="27" t="s">
        <v>129</v>
      </c>
      <c r="EA2" s="27" t="s">
        <v>131</v>
      </c>
      <c r="EB2" s="27" t="s">
        <v>133</v>
      </c>
      <c r="EC2" s="27" t="s">
        <v>135</v>
      </c>
      <c r="ED2" s="27" t="s">
        <v>137</v>
      </c>
      <c r="EE2" s="27" t="s">
        <v>139</v>
      </c>
      <c r="EF2" s="27" t="s">
        <v>141</v>
      </c>
      <c r="EG2" s="27" t="s">
        <v>143</v>
      </c>
      <c r="EH2" s="27" t="s">
        <v>145</v>
      </c>
      <c r="EI2" s="27" t="s">
        <v>147</v>
      </c>
      <c r="EJ2" s="27" t="s">
        <v>52</v>
      </c>
      <c r="EK2" s="27" t="s">
        <v>55</v>
      </c>
      <c r="EL2" s="27" t="s">
        <v>57</v>
      </c>
      <c r="EM2" s="27" t="s">
        <v>59</v>
      </c>
      <c r="EN2" s="27" t="s">
        <v>61</v>
      </c>
      <c r="EO2" s="27" t="s">
        <v>62</v>
      </c>
      <c r="EP2" s="27" t="s">
        <v>64</v>
      </c>
      <c r="EQ2" s="27" t="s">
        <v>66</v>
      </c>
      <c r="ER2" s="27" t="s">
        <v>68</v>
      </c>
      <c r="ES2" s="27" t="s">
        <v>70</v>
      </c>
    </row>
    <row r="3" customFormat="false" ht="15" hidden="false" customHeight="false" outlineLevel="0" collapsed="false">
      <c r="A3" s="27" t="n">
        <v>2</v>
      </c>
      <c r="B3" s="6" t="s">
        <v>23</v>
      </c>
      <c r="C3" s="27" t="s">
        <v>5</v>
      </c>
      <c r="D3" s="27" t="s">
        <v>5</v>
      </c>
      <c r="E3" s="27" t="s">
        <v>42</v>
      </c>
      <c r="F3" s="27" t="s">
        <v>42</v>
      </c>
      <c r="G3" s="27" t="s">
        <v>44</v>
      </c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 t="s">
        <v>41</v>
      </c>
      <c r="BL3" s="27" t="s">
        <v>42</v>
      </c>
      <c r="BM3" s="27"/>
      <c r="BN3" s="27"/>
      <c r="BO3" s="27"/>
      <c r="BP3" s="27"/>
      <c r="BQ3" s="27" t="n">
        <f aca="false">COUNTIFS(Trechos!$L$2:$L$838,A3)</f>
        <v>29</v>
      </c>
      <c r="BR3" s="28" t="n">
        <f aca="false">SUMIFS(Trechos!$F$2:$F$838,Trechos!$L$2:$L$838,A3)</f>
        <v>1397.31781320933</v>
      </c>
      <c r="BS3" s="27" t="n">
        <f aca="false">COUNTA(BV3:ES3)</f>
        <v>29</v>
      </c>
      <c r="BT3" s="27" t="str">
        <f aca="false">IF(COUNTA(BV3:ES3)=0,"—",_xlfn.TEXTJOIN(", ",TRUE(),BV3:ES3))</f>
        <v>7927795004, 0300031004, 0345006004, 0352810004, 0300724004, 0342284004, 0200038004, 0328286004, 0314965004, 0344627004, 0334747004, 0347400004, 0358161004, 0342738004, 0203728004, 0328468004, 0329025004, 0203016004, 0300049004, 0203015004, 0300052004, 0200050004, 0200028004, 0300024004, 0349562004, 0349564004, 0355236004, 0200023004, 0204420004</v>
      </c>
      <c r="BU3" s="27" t="s">
        <v>45</v>
      </c>
      <c r="BV3" s="27" t="s">
        <v>44</v>
      </c>
      <c r="BW3" s="27" t="s">
        <v>203</v>
      </c>
      <c r="BX3" s="27" t="s">
        <v>206</v>
      </c>
      <c r="BY3" s="27" t="s">
        <v>208</v>
      </c>
      <c r="BZ3" s="27" t="s">
        <v>238</v>
      </c>
      <c r="CA3" s="27" t="s">
        <v>240</v>
      </c>
      <c r="CB3" s="27" t="s">
        <v>242</v>
      </c>
      <c r="CC3" s="27" t="s">
        <v>278</v>
      </c>
      <c r="CD3" s="27" t="s">
        <v>272</v>
      </c>
      <c r="CE3" s="27" t="s">
        <v>293</v>
      </c>
      <c r="CF3" s="27" t="s">
        <v>284</v>
      </c>
      <c r="CG3" s="27" t="s">
        <v>286</v>
      </c>
      <c r="CH3" s="27" t="s">
        <v>288</v>
      </c>
      <c r="CI3" s="27" t="s">
        <v>290</v>
      </c>
      <c r="CJ3" s="27" t="s">
        <v>251</v>
      </c>
      <c r="CK3" s="27" t="s">
        <v>248</v>
      </c>
      <c r="CL3" s="27" t="s">
        <v>211</v>
      </c>
      <c r="CM3" s="27" t="s">
        <v>229</v>
      </c>
      <c r="CN3" s="27" t="s">
        <v>232</v>
      </c>
      <c r="CO3" s="27" t="s">
        <v>220</v>
      </c>
      <c r="CP3" s="27" t="s">
        <v>189</v>
      </c>
      <c r="CQ3" s="27" t="s">
        <v>191</v>
      </c>
      <c r="CR3" s="27" t="s">
        <v>183</v>
      </c>
      <c r="CS3" s="27" t="s">
        <v>178</v>
      </c>
      <c r="CT3" s="27" t="s">
        <v>172</v>
      </c>
      <c r="CU3" s="27" t="s">
        <v>174</v>
      </c>
      <c r="CV3" s="27" t="s">
        <v>168</v>
      </c>
      <c r="CW3" s="27" t="s">
        <v>164</v>
      </c>
      <c r="CX3" s="27" t="s">
        <v>160</v>
      </c>
      <c r="CY3" s="27"/>
      <c r="CZ3" s="27"/>
      <c r="DA3" s="27"/>
      <c r="DB3" s="27"/>
      <c r="DC3" s="27"/>
      <c r="DD3" s="27"/>
      <c r="DE3" s="27"/>
      <c r="DF3" s="27"/>
      <c r="DG3" s="27"/>
      <c r="DH3" s="27"/>
      <c r="DI3" s="27"/>
      <c r="DJ3" s="27"/>
      <c r="DK3" s="27"/>
      <c r="DL3" s="27"/>
      <c r="DM3" s="27"/>
      <c r="DN3" s="27"/>
      <c r="DO3" s="27"/>
      <c r="DP3" s="27"/>
      <c r="DQ3" s="27"/>
      <c r="DR3" s="27"/>
      <c r="DS3" s="27"/>
      <c r="DT3" s="27"/>
      <c r="DU3" s="27"/>
      <c r="DV3" s="27"/>
      <c r="DW3" s="27"/>
      <c r="DX3" s="27"/>
      <c r="DY3" s="27"/>
      <c r="DZ3" s="27"/>
      <c r="EA3" s="27"/>
      <c r="EB3" s="27"/>
      <c r="EC3" s="27"/>
      <c r="ED3" s="27"/>
      <c r="EE3" s="27"/>
      <c r="EF3" s="27"/>
      <c r="EG3" s="27"/>
      <c r="EH3" s="27"/>
      <c r="EI3" s="27"/>
      <c r="EJ3" s="27"/>
      <c r="EK3" s="27"/>
      <c r="EL3" s="27"/>
      <c r="EM3" s="27"/>
      <c r="EN3" s="27"/>
      <c r="EO3" s="27"/>
      <c r="EP3" s="27"/>
      <c r="EQ3" s="27"/>
      <c r="ER3" s="27"/>
      <c r="ES3" s="27"/>
    </row>
    <row r="4" customFormat="false" ht="15" hidden="false" customHeight="false" outlineLevel="0" collapsed="false">
      <c r="A4" s="27" t="n">
        <v>3</v>
      </c>
      <c r="B4" s="6" t="s">
        <v>23</v>
      </c>
      <c r="C4" s="27" t="s">
        <v>5</v>
      </c>
      <c r="D4" s="27" t="s">
        <v>5</v>
      </c>
      <c r="E4" s="27" t="s">
        <v>44</v>
      </c>
      <c r="F4" s="27" t="s">
        <v>44</v>
      </c>
      <c r="G4" s="27" t="s">
        <v>203</v>
      </c>
      <c r="H4" s="27" t="s">
        <v>238</v>
      </c>
      <c r="I4" s="27" t="s">
        <v>278</v>
      </c>
      <c r="J4" s="27" t="s">
        <v>272</v>
      </c>
      <c r="K4" s="27" t="s">
        <v>293</v>
      </c>
      <c r="L4" s="27" t="s">
        <v>284</v>
      </c>
      <c r="M4" s="27" t="s">
        <v>251</v>
      </c>
      <c r="N4" s="27" t="s">
        <v>248</v>
      </c>
      <c r="O4" s="27" t="s">
        <v>211</v>
      </c>
      <c r="P4" s="27" t="s">
        <v>229</v>
      </c>
      <c r="Q4" s="27" t="s">
        <v>232</v>
      </c>
      <c r="R4" s="27" t="s">
        <v>220</v>
      </c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 t="s">
        <v>41</v>
      </c>
      <c r="BL4" s="27" t="s">
        <v>42</v>
      </c>
      <c r="BM4" s="27" t="s">
        <v>44</v>
      </c>
      <c r="BN4" s="27"/>
      <c r="BO4" s="27"/>
      <c r="BP4" s="27"/>
      <c r="BQ4" s="27" t="n">
        <f aca="false">COUNTIFS(Trechos!$L$2:$L$838,A4)</f>
        <v>114</v>
      </c>
      <c r="BR4" s="28" t="n">
        <f aca="false">SUMIFS(Trechos!$F$2:$F$838,Trechos!$L$2:$L$838,A4)</f>
        <v>5582.62393119983</v>
      </c>
      <c r="BS4" s="27" t="n">
        <f aca="false">COUNTA(BV4:ES4)</f>
        <v>19</v>
      </c>
      <c r="BT4" s="27" t="str">
        <f aca="false">IF(COUNTA(BV4:ES4)=0,"—",_xlfn.TEXTJOIN(", ",TRUE(),BV4:ES4))</f>
        <v>0300031004, 0345006004, 0352810004, 0300724004, 0342284004, 0200038004, 0328286004, 0314965004, 0344627004, 0334747004, 0347400004, 0358161004, 0342738004, 0203728004, 0328468004, 0329025004, 0203016004, 0300049004, 0203015004</v>
      </c>
      <c r="BU4" s="27" t="s">
        <v>47</v>
      </c>
      <c r="BV4" s="27" t="s">
        <v>203</v>
      </c>
      <c r="BW4" s="27" t="s">
        <v>206</v>
      </c>
      <c r="BX4" s="27" t="s">
        <v>208</v>
      </c>
      <c r="BY4" s="27" t="s">
        <v>238</v>
      </c>
      <c r="BZ4" s="27" t="s">
        <v>240</v>
      </c>
      <c r="CA4" s="27" t="s">
        <v>242</v>
      </c>
      <c r="CB4" s="27" t="s">
        <v>278</v>
      </c>
      <c r="CC4" s="27" t="s">
        <v>272</v>
      </c>
      <c r="CD4" s="27" t="s">
        <v>293</v>
      </c>
      <c r="CE4" s="27" t="s">
        <v>284</v>
      </c>
      <c r="CF4" s="27" t="s">
        <v>286</v>
      </c>
      <c r="CG4" s="27" t="s">
        <v>288</v>
      </c>
      <c r="CH4" s="27" t="s">
        <v>290</v>
      </c>
      <c r="CI4" s="27" t="s">
        <v>251</v>
      </c>
      <c r="CJ4" s="27" t="s">
        <v>248</v>
      </c>
      <c r="CK4" s="27" t="s">
        <v>211</v>
      </c>
      <c r="CL4" s="27" t="s">
        <v>229</v>
      </c>
      <c r="CM4" s="27" t="s">
        <v>232</v>
      </c>
      <c r="CN4" s="27" t="s">
        <v>220</v>
      </c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</row>
    <row r="5" customFormat="false" ht="15" hidden="false" customHeight="false" outlineLevel="0" collapsed="false">
      <c r="A5" s="27" t="n">
        <v>4</v>
      </c>
      <c r="B5" s="5" t="s">
        <v>22</v>
      </c>
      <c r="C5" s="27" t="s">
        <v>303</v>
      </c>
      <c r="D5" s="27" t="s">
        <v>446</v>
      </c>
      <c r="E5" s="27" t="s">
        <v>41</v>
      </c>
      <c r="F5" s="27" t="s">
        <v>49</v>
      </c>
      <c r="G5" s="27" t="s">
        <v>52</v>
      </c>
      <c r="H5" s="27" t="s">
        <v>55</v>
      </c>
      <c r="I5" s="27" t="s">
        <v>447</v>
      </c>
      <c r="J5" s="27" t="s">
        <v>57</v>
      </c>
      <c r="K5" s="27" t="s">
        <v>448</v>
      </c>
      <c r="L5" s="27" t="s">
        <v>59</v>
      </c>
      <c r="M5" s="27" t="s">
        <v>61</v>
      </c>
      <c r="N5" s="27" t="s">
        <v>68</v>
      </c>
      <c r="O5" s="27" t="s">
        <v>449</v>
      </c>
      <c r="P5" s="27" t="s">
        <v>450</v>
      </c>
      <c r="Q5" s="27" t="s">
        <v>451</v>
      </c>
      <c r="R5" s="27" t="s">
        <v>70</v>
      </c>
      <c r="S5" s="27" t="s">
        <v>452</v>
      </c>
      <c r="T5" s="27" t="s">
        <v>453</v>
      </c>
      <c r="U5" s="27" t="s">
        <v>454</v>
      </c>
      <c r="V5" s="27" t="s">
        <v>455</v>
      </c>
      <c r="W5" s="27" t="s">
        <v>456</v>
      </c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 t="s">
        <v>41</v>
      </c>
      <c r="BL5" s="27"/>
      <c r="BM5" s="27"/>
      <c r="BN5" s="27"/>
      <c r="BO5" s="27"/>
      <c r="BP5" s="27"/>
      <c r="BQ5" s="27" t="n">
        <f aca="false">COUNTIFS(Trechos!$L$2:$L$838,A5)</f>
        <v>73</v>
      </c>
      <c r="BR5" s="28" t="n">
        <f aca="false">SUMIFS(Trechos!$F$2:$F$838,Trechos!$L$2:$L$838,A5)</f>
        <v>3978.33324135429</v>
      </c>
      <c r="BS5" s="27" t="n">
        <f aca="false">COUNTA(BV5:ES5)</f>
        <v>10</v>
      </c>
      <c r="BT5" s="27" t="str">
        <f aca="false">IF(COUNTA(BV5:ES5)=0,"—",_xlfn.TEXTJOIN(", ",TRUE(),BV5:ES5))</f>
        <v>0200011004, 0357531004, 0303835004, 0356395004, 3300016004, 0301090004, 0303861004, 0304100004, 0201099004, 0301069004</v>
      </c>
      <c r="BU5" s="27" t="s">
        <v>51</v>
      </c>
      <c r="BV5" s="27" t="s">
        <v>52</v>
      </c>
      <c r="BW5" s="27" t="s">
        <v>55</v>
      </c>
      <c r="BX5" s="27" t="s">
        <v>57</v>
      </c>
      <c r="BY5" s="27" t="s">
        <v>59</v>
      </c>
      <c r="BZ5" s="27" t="s">
        <v>61</v>
      </c>
      <c r="CA5" s="27" t="s">
        <v>62</v>
      </c>
      <c r="CB5" s="27" t="s">
        <v>64</v>
      </c>
      <c r="CC5" s="27" t="s">
        <v>66</v>
      </c>
      <c r="CD5" s="27" t="s">
        <v>68</v>
      </c>
      <c r="CE5" s="27" t="s">
        <v>70</v>
      </c>
      <c r="CF5" s="27"/>
      <c r="CG5" s="27"/>
      <c r="CH5" s="27"/>
      <c r="CI5" s="27"/>
      <c r="CJ5" s="27"/>
      <c r="CK5" s="27"/>
      <c r="CL5" s="27"/>
      <c r="CM5" s="27"/>
      <c r="CN5" s="27"/>
      <c r="CO5" s="27"/>
      <c r="CP5" s="27"/>
      <c r="CQ5" s="27"/>
      <c r="CR5" s="27"/>
      <c r="CS5" s="27"/>
      <c r="CT5" s="27"/>
      <c r="CU5" s="27"/>
      <c r="CV5" s="27"/>
      <c r="CW5" s="27"/>
      <c r="CX5" s="27"/>
      <c r="CY5" s="27"/>
      <c r="CZ5" s="27"/>
      <c r="DA5" s="27"/>
      <c r="DB5" s="27"/>
      <c r="DC5" s="27"/>
      <c r="DD5" s="27"/>
      <c r="DE5" s="27"/>
      <c r="DF5" s="27"/>
      <c r="DG5" s="27"/>
      <c r="DH5" s="27"/>
      <c r="DI5" s="27"/>
      <c r="DJ5" s="27"/>
      <c r="DK5" s="27"/>
      <c r="DL5" s="27"/>
      <c r="DM5" s="27"/>
      <c r="DN5" s="27"/>
      <c r="DO5" s="27"/>
      <c r="DP5" s="27"/>
      <c r="DQ5" s="27"/>
      <c r="DR5" s="27"/>
      <c r="DS5" s="27"/>
      <c r="DT5" s="27"/>
      <c r="DU5" s="27"/>
      <c r="DV5" s="27"/>
      <c r="DW5" s="27"/>
      <c r="DX5" s="27"/>
      <c r="DY5" s="27"/>
      <c r="DZ5" s="27"/>
      <c r="EA5" s="27"/>
      <c r="EB5" s="27"/>
      <c r="EC5" s="27"/>
      <c r="ED5" s="27"/>
      <c r="EE5" s="27"/>
      <c r="EF5" s="27"/>
      <c r="EG5" s="27"/>
      <c r="EH5" s="27"/>
      <c r="EI5" s="27"/>
      <c r="EJ5" s="27"/>
      <c r="EK5" s="27"/>
      <c r="EL5" s="27"/>
      <c r="EM5" s="27"/>
      <c r="EN5" s="27"/>
      <c r="EO5" s="27"/>
      <c r="EP5" s="27"/>
      <c r="EQ5" s="27"/>
      <c r="ER5" s="27"/>
      <c r="ES5" s="27"/>
    </row>
    <row r="6" customFormat="false" ht="15" hidden="false" customHeight="false" outlineLevel="0" collapsed="false">
      <c r="A6" s="27" t="n">
        <v>5</v>
      </c>
      <c r="B6" s="7" t="s">
        <v>24</v>
      </c>
      <c r="C6" s="27" t="s">
        <v>303</v>
      </c>
      <c r="D6" s="27" t="s">
        <v>446</v>
      </c>
      <c r="E6" s="27" t="s">
        <v>52</v>
      </c>
      <c r="F6" s="27" t="s">
        <v>52</v>
      </c>
      <c r="G6" s="27" t="s">
        <v>53</v>
      </c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 t="s">
        <v>41</v>
      </c>
      <c r="BL6" s="27" t="s">
        <v>52</v>
      </c>
      <c r="BM6" s="27"/>
      <c r="BN6" s="27"/>
      <c r="BO6" s="27"/>
      <c r="BP6" s="27"/>
      <c r="BQ6" s="27" t="n">
        <f aca="false">COUNTIFS(Trechos!$L$2:$L$838,A6)</f>
        <v>2</v>
      </c>
      <c r="BR6" s="28" t="n">
        <f aca="false">SUMIFS(Trechos!$F$2:$F$838,Trechos!$L$2:$L$838,A6)</f>
        <v>26.2552504748723</v>
      </c>
      <c r="BS6" s="27" t="n">
        <f aca="false">COUNTA(BV6:ES6)</f>
        <v>0</v>
      </c>
      <c r="BT6" s="27" t="str">
        <f aca="false">IF(COUNTA(BV6:ES6)=0,"—",_xlfn.TEXTJOIN(", ",TRUE(),BV6:ES6))</f>
        <v>—</v>
      </c>
      <c r="BU6" s="27" t="s">
        <v>54</v>
      </c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  <c r="CK6" s="27"/>
      <c r="CL6" s="27"/>
      <c r="CM6" s="27"/>
      <c r="CN6" s="27"/>
      <c r="CO6" s="27"/>
      <c r="CP6" s="27"/>
      <c r="CQ6" s="27"/>
      <c r="CR6" s="27"/>
      <c r="CS6" s="27"/>
      <c r="CT6" s="27"/>
      <c r="CU6" s="27"/>
      <c r="CV6" s="27"/>
      <c r="CW6" s="27"/>
      <c r="CX6" s="27"/>
      <c r="CY6" s="27"/>
      <c r="CZ6" s="27"/>
      <c r="DA6" s="27"/>
      <c r="DB6" s="27"/>
      <c r="DC6" s="27"/>
      <c r="DD6" s="27"/>
      <c r="DE6" s="27"/>
      <c r="DF6" s="27"/>
      <c r="DG6" s="27"/>
      <c r="DH6" s="27"/>
      <c r="DI6" s="27"/>
      <c r="DJ6" s="27"/>
      <c r="DK6" s="27"/>
      <c r="DL6" s="27"/>
      <c r="DM6" s="27"/>
      <c r="DN6" s="27"/>
      <c r="DO6" s="27"/>
      <c r="DP6" s="27"/>
      <c r="DQ6" s="27"/>
      <c r="DR6" s="27"/>
      <c r="DS6" s="27"/>
      <c r="DT6" s="27"/>
      <c r="DU6" s="27"/>
      <c r="DV6" s="27"/>
      <c r="DW6" s="27"/>
      <c r="DX6" s="27"/>
      <c r="DY6" s="27"/>
      <c r="DZ6" s="27"/>
      <c r="EA6" s="27"/>
      <c r="EB6" s="27"/>
      <c r="EC6" s="27"/>
      <c r="ED6" s="27"/>
      <c r="EE6" s="27"/>
      <c r="EF6" s="27"/>
      <c r="EG6" s="27"/>
      <c r="EH6" s="27"/>
      <c r="EI6" s="27"/>
      <c r="EJ6" s="27"/>
      <c r="EK6" s="27"/>
      <c r="EL6" s="27"/>
      <c r="EM6" s="27"/>
      <c r="EN6" s="27"/>
      <c r="EO6" s="27"/>
      <c r="EP6" s="27"/>
      <c r="EQ6" s="27"/>
      <c r="ER6" s="27"/>
      <c r="ES6" s="27"/>
    </row>
    <row r="7" customFormat="false" ht="15" hidden="false" customHeight="false" outlineLevel="0" collapsed="false">
      <c r="A7" s="27" t="n">
        <v>6</v>
      </c>
      <c r="B7" s="7" t="s">
        <v>24</v>
      </c>
      <c r="C7" s="27" t="s">
        <v>303</v>
      </c>
      <c r="D7" s="27" t="s">
        <v>446</v>
      </c>
      <c r="E7" s="27" t="s">
        <v>55</v>
      </c>
      <c r="F7" s="27" t="s">
        <v>55</v>
      </c>
      <c r="G7" s="27" t="s">
        <v>56</v>
      </c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 t="s">
        <v>41</v>
      </c>
      <c r="BL7" s="27" t="s">
        <v>55</v>
      </c>
      <c r="BM7" s="27"/>
      <c r="BN7" s="27"/>
      <c r="BO7" s="27"/>
      <c r="BP7" s="27"/>
      <c r="BQ7" s="27" t="n">
        <f aca="false">COUNTIFS(Trechos!$L$2:$L$838,A7)</f>
        <v>2</v>
      </c>
      <c r="BR7" s="28" t="n">
        <f aca="false">SUMIFS(Trechos!$F$2:$F$838,Trechos!$L$2:$L$838,A7)</f>
        <v>86.2364614302115</v>
      </c>
      <c r="BS7" s="27" t="n">
        <f aca="false">COUNTA(BV7:ES7)</f>
        <v>0</v>
      </c>
      <c r="BT7" s="27" t="str">
        <f aca="false">IF(COUNTA(BV7:ES7)=0,"—",_xlfn.TEXTJOIN(", ",TRUE(),BV7:ES7))</f>
        <v>—</v>
      </c>
      <c r="BU7" s="27" t="s">
        <v>54</v>
      </c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  <c r="CK7" s="27"/>
      <c r="CL7" s="27"/>
      <c r="CM7" s="27"/>
      <c r="CN7" s="27"/>
      <c r="CO7" s="27"/>
      <c r="CP7" s="27"/>
      <c r="CQ7" s="27"/>
      <c r="CR7" s="27"/>
      <c r="CS7" s="27"/>
      <c r="CT7" s="27"/>
      <c r="CU7" s="27"/>
      <c r="CV7" s="27"/>
      <c r="CW7" s="27"/>
      <c r="CX7" s="27"/>
      <c r="CY7" s="27"/>
      <c r="CZ7" s="27"/>
      <c r="DA7" s="27"/>
      <c r="DB7" s="27"/>
      <c r="DC7" s="27"/>
      <c r="DD7" s="27"/>
      <c r="DE7" s="27"/>
      <c r="DF7" s="27"/>
      <c r="DG7" s="27"/>
      <c r="DH7" s="27"/>
      <c r="DI7" s="27"/>
      <c r="DJ7" s="27"/>
      <c r="DK7" s="27"/>
      <c r="DL7" s="27"/>
      <c r="DM7" s="27"/>
      <c r="DN7" s="27"/>
      <c r="DO7" s="27"/>
      <c r="DP7" s="27"/>
      <c r="DQ7" s="27"/>
      <c r="DR7" s="27"/>
      <c r="DS7" s="27"/>
      <c r="DT7" s="27"/>
      <c r="DU7" s="27"/>
      <c r="DV7" s="27"/>
      <c r="DW7" s="27"/>
      <c r="DX7" s="27"/>
      <c r="DY7" s="27"/>
      <c r="DZ7" s="27"/>
      <c r="EA7" s="27"/>
      <c r="EB7" s="27"/>
      <c r="EC7" s="27"/>
      <c r="ED7" s="27"/>
      <c r="EE7" s="27"/>
      <c r="EF7" s="27"/>
      <c r="EG7" s="27"/>
      <c r="EH7" s="27"/>
      <c r="EI7" s="27"/>
      <c r="EJ7" s="27"/>
      <c r="EK7" s="27"/>
      <c r="EL7" s="27"/>
      <c r="EM7" s="27"/>
      <c r="EN7" s="27"/>
      <c r="EO7" s="27"/>
      <c r="EP7" s="27"/>
      <c r="EQ7" s="27"/>
      <c r="ER7" s="27"/>
      <c r="ES7" s="27"/>
    </row>
    <row r="8" customFormat="false" ht="15" hidden="false" customHeight="false" outlineLevel="0" collapsed="false">
      <c r="A8" s="27" t="n">
        <v>7</v>
      </c>
      <c r="B8" s="7" t="s">
        <v>24</v>
      </c>
      <c r="C8" s="27" t="s">
        <v>303</v>
      </c>
      <c r="D8" s="27" t="s">
        <v>446</v>
      </c>
      <c r="E8" s="27" t="s">
        <v>57</v>
      </c>
      <c r="F8" s="27" t="s">
        <v>57</v>
      </c>
      <c r="G8" s="27" t="s">
        <v>58</v>
      </c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 t="s">
        <v>41</v>
      </c>
      <c r="BL8" s="27" t="s">
        <v>57</v>
      </c>
      <c r="BM8" s="27"/>
      <c r="BN8" s="27"/>
      <c r="BO8" s="27"/>
      <c r="BP8" s="27"/>
      <c r="BQ8" s="27" t="n">
        <f aca="false">COUNTIFS(Trechos!$L$2:$L$838,A8)</f>
        <v>2</v>
      </c>
      <c r="BR8" s="28" t="n">
        <f aca="false">SUMIFS(Trechos!$F$2:$F$838,Trechos!$L$2:$L$838,A8)</f>
        <v>164.576402340383</v>
      </c>
      <c r="BS8" s="27" t="n">
        <f aca="false">COUNTA(BV8:ES8)</f>
        <v>0</v>
      </c>
      <c r="BT8" s="27" t="str">
        <f aca="false">IF(COUNTA(BV8:ES8)=0,"—",_xlfn.TEXTJOIN(", ",TRUE(),BV8:ES8))</f>
        <v>—</v>
      </c>
      <c r="BU8" s="27" t="s">
        <v>54</v>
      </c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  <c r="CK8" s="27"/>
      <c r="CL8" s="27"/>
      <c r="CM8" s="27"/>
      <c r="CN8" s="27"/>
      <c r="CO8" s="27"/>
      <c r="CP8" s="27"/>
      <c r="CQ8" s="27"/>
      <c r="CR8" s="27"/>
      <c r="CS8" s="27"/>
      <c r="CT8" s="27"/>
      <c r="CU8" s="27"/>
      <c r="CV8" s="27"/>
      <c r="CW8" s="27"/>
      <c r="CX8" s="27"/>
      <c r="CY8" s="27"/>
      <c r="CZ8" s="27"/>
      <c r="DA8" s="27"/>
      <c r="DB8" s="27"/>
      <c r="DC8" s="27"/>
      <c r="DD8" s="27"/>
      <c r="DE8" s="27"/>
      <c r="DF8" s="27"/>
      <c r="DG8" s="27"/>
      <c r="DH8" s="27"/>
      <c r="DI8" s="27"/>
      <c r="DJ8" s="27"/>
      <c r="DK8" s="27"/>
      <c r="DL8" s="27"/>
      <c r="DM8" s="27"/>
      <c r="DN8" s="27"/>
      <c r="DO8" s="27"/>
      <c r="DP8" s="27"/>
      <c r="DQ8" s="27"/>
      <c r="DR8" s="27"/>
      <c r="DS8" s="27"/>
      <c r="DT8" s="27"/>
      <c r="DU8" s="27"/>
      <c r="DV8" s="27"/>
      <c r="DW8" s="27"/>
      <c r="DX8" s="27"/>
      <c r="DY8" s="27"/>
      <c r="DZ8" s="27"/>
      <c r="EA8" s="27"/>
      <c r="EB8" s="27"/>
      <c r="EC8" s="27"/>
      <c r="ED8" s="27"/>
      <c r="EE8" s="27"/>
      <c r="EF8" s="27"/>
      <c r="EG8" s="27"/>
      <c r="EH8" s="27"/>
      <c r="EI8" s="27"/>
      <c r="EJ8" s="27"/>
      <c r="EK8" s="27"/>
      <c r="EL8" s="27"/>
      <c r="EM8" s="27"/>
      <c r="EN8" s="27"/>
      <c r="EO8" s="27"/>
      <c r="EP8" s="27"/>
      <c r="EQ8" s="27"/>
      <c r="ER8" s="27"/>
      <c r="ES8" s="27"/>
    </row>
    <row r="9" customFormat="false" ht="15" hidden="false" customHeight="false" outlineLevel="0" collapsed="false">
      <c r="A9" s="27" t="n">
        <v>8</v>
      </c>
      <c r="B9" s="7" t="s">
        <v>24</v>
      </c>
      <c r="C9" s="27" t="s">
        <v>303</v>
      </c>
      <c r="D9" s="27" t="s">
        <v>446</v>
      </c>
      <c r="E9" s="27" t="s">
        <v>59</v>
      </c>
      <c r="F9" s="27" t="s">
        <v>59</v>
      </c>
      <c r="G9" s="27" t="s">
        <v>60</v>
      </c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 t="s">
        <v>41</v>
      </c>
      <c r="BL9" s="27" t="s">
        <v>59</v>
      </c>
      <c r="BM9" s="27"/>
      <c r="BN9" s="27"/>
      <c r="BO9" s="27"/>
      <c r="BP9" s="27"/>
      <c r="BQ9" s="27" t="n">
        <f aca="false">COUNTIFS(Trechos!$L$2:$L$838,A9)</f>
        <v>4</v>
      </c>
      <c r="BR9" s="28" t="n">
        <f aca="false">SUMIFS(Trechos!$F$2:$F$838,Trechos!$L$2:$L$838,A9)</f>
        <v>242.112352860839</v>
      </c>
      <c r="BS9" s="27" t="n">
        <f aca="false">COUNTA(BV9:ES9)</f>
        <v>0</v>
      </c>
      <c r="BT9" s="27" t="str">
        <f aca="false">IF(COUNTA(BV9:ES9)=0,"—",_xlfn.TEXTJOIN(", ",TRUE(),BV9:ES9))</f>
        <v>—</v>
      </c>
      <c r="BU9" s="27" t="s">
        <v>54</v>
      </c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  <c r="CK9" s="27"/>
      <c r="CL9" s="27"/>
      <c r="CM9" s="27"/>
      <c r="CN9" s="27"/>
      <c r="CO9" s="27"/>
      <c r="CP9" s="27"/>
      <c r="CQ9" s="27"/>
      <c r="CR9" s="27"/>
      <c r="CS9" s="27"/>
      <c r="CT9" s="27"/>
      <c r="CU9" s="27"/>
      <c r="CV9" s="27"/>
      <c r="CW9" s="27"/>
      <c r="CX9" s="27"/>
      <c r="CY9" s="27"/>
      <c r="CZ9" s="27"/>
      <c r="DA9" s="27"/>
      <c r="DB9" s="27"/>
      <c r="DC9" s="27"/>
      <c r="DD9" s="27"/>
      <c r="DE9" s="27"/>
      <c r="DF9" s="27"/>
      <c r="DG9" s="27"/>
      <c r="DH9" s="27"/>
      <c r="DI9" s="27"/>
      <c r="DJ9" s="27"/>
      <c r="DK9" s="27"/>
      <c r="DL9" s="27"/>
      <c r="DM9" s="27"/>
      <c r="DN9" s="27"/>
      <c r="DO9" s="27"/>
      <c r="DP9" s="27"/>
      <c r="DQ9" s="27"/>
      <c r="DR9" s="27"/>
      <c r="DS9" s="27"/>
      <c r="DT9" s="27"/>
      <c r="DU9" s="27"/>
      <c r="DV9" s="27"/>
      <c r="DW9" s="27"/>
      <c r="DX9" s="27"/>
      <c r="DY9" s="27"/>
      <c r="DZ9" s="27"/>
      <c r="EA9" s="27"/>
      <c r="EB9" s="27"/>
      <c r="EC9" s="27"/>
      <c r="ED9" s="27"/>
      <c r="EE9" s="27"/>
      <c r="EF9" s="27"/>
      <c r="EG9" s="27"/>
      <c r="EH9" s="27"/>
      <c r="EI9" s="27"/>
      <c r="EJ9" s="27"/>
      <c r="EK9" s="27"/>
      <c r="EL9" s="27"/>
      <c r="EM9" s="27"/>
      <c r="EN9" s="27"/>
      <c r="EO9" s="27"/>
      <c r="EP9" s="27"/>
      <c r="EQ9" s="27"/>
      <c r="ER9" s="27"/>
      <c r="ES9" s="27"/>
    </row>
    <row r="10" customFormat="false" ht="15" hidden="false" customHeight="false" outlineLevel="0" collapsed="false">
      <c r="A10" s="27" t="n">
        <v>9</v>
      </c>
      <c r="B10" s="7" t="s">
        <v>24</v>
      </c>
      <c r="C10" s="27" t="s">
        <v>303</v>
      </c>
      <c r="D10" s="27" t="s">
        <v>446</v>
      </c>
      <c r="E10" s="27" t="s">
        <v>61</v>
      </c>
      <c r="F10" s="27" t="s">
        <v>61</v>
      </c>
      <c r="G10" s="27" t="s">
        <v>62</v>
      </c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 t="s">
        <v>41</v>
      </c>
      <c r="BL10" s="27" t="s">
        <v>61</v>
      </c>
      <c r="BM10" s="27"/>
      <c r="BN10" s="27"/>
      <c r="BO10" s="27"/>
      <c r="BP10" s="27"/>
      <c r="BQ10" s="27" t="n">
        <f aca="false">COUNTIFS(Trechos!$L$2:$L$838,A10)</f>
        <v>6</v>
      </c>
      <c r="BR10" s="28" t="n">
        <f aca="false">SUMIFS(Trechos!$F$2:$F$838,Trechos!$L$2:$L$838,A10)</f>
        <v>419.614498891667</v>
      </c>
      <c r="BS10" s="27" t="n">
        <f aca="false">COUNTA(BV10:ES10)</f>
        <v>3</v>
      </c>
      <c r="BT10" s="27" t="str">
        <f aca="false">IF(COUNTA(BV10:ES10)=0,"—",_xlfn.TEXTJOIN(", ",TRUE(),BV10:ES10))</f>
        <v>0301090004, 0303861004, 0304100004</v>
      </c>
      <c r="BU10" s="27" t="s">
        <v>54</v>
      </c>
      <c r="BV10" s="27" t="s">
        <v>62</v>
      </c>
      <c r="BW10" s="27" t="s">
        <v>64</v>
      </c>
      <c r="BX10" s="27" t="s">
        <v>66</v>
      </c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  <c r="CK10" s="27"/>
      <c r="CL10" s="27"/>
      <c r="CM10" s="27"/>
      <c r="CN10" s="27"/>
      <c r="CO10" s="27"/>
      <c r="CP10" s="27"/>
      <c r="CQ10" s="27"/>
      <c r="CR10" s="27"/>
      <c r="CS10" s="27"/>
      <c r="CT10" s="27"/>
      <c r="CU10" s="27"/>
      <c r="CV10" s="27"/>
      <c r="CW10" s="27"/>
      <c r="CX10" s="27"/>
      <c r="CY10" s="27"/>
      <c r="CZ10" s="27"/>
      <c r="DA10" s="27"/>
      <c r="DB10" s="27"/>
      <c r="DC10" s="27"/>
      <c r="DD10" s="27"/>
      <c r="DE10" s="27"/>
      <c r="DF10" s="27"/>
      <c r="DG10" s="27"/>
      <c r="DH10" s="27"/>
      <c r="DI10" s="27"/>
      <c r="DJ10" s="27"/>
      <c r="DK10" s="27"/>
      <c r="DL10" s="27"/>
      <c r="DM10" s="27"/>
      <c r="DN10" s="27"/>
      <c r="DO10" s="27"/>
      <c r="DP10" s="27"/>
      <c r="DQ10" s="27"/>
      <c r="DR10" s="27"/>
      <c r="DS10" s="27"/>
      <c r="DT10" s="27"/>
      <c r="DU10" s="27"/>
      <c r="DV10" s="27"/>
      <c r="DW10" s="27"/>
      <c r="DX10" s="27"/>
      <c r="DY10" s="27"/>
      <c r="DZ10" s="27"/>
      <c r="EA10" s="27"/>
      <c r="EB10" s="27"/>
      <c r="EC10" s="27"/>
      <c r="ED10" s="27"/>
      <c r="EE10" s="27"/>
      <c r="EF10" s="27"/>
      <c r="EG10" s="27"/>
      <c r="EH10" s="27"/>
      <c r="EI10" s="27"/>
      <c r="EJ10" s="27"/>
      <c r="EK10" s="27"/>
      <c r="EL10" s="27"/>
      <c r="EM10" s="27"/>
      <c r="EN10" s="27"/>
      <c r="EO10" s="27"/>
      <c r="EP10" s="27"/>
      <c r="EQ10" s="27"/>
      <c r="ER10" s="27"/>
      <c r="ES10" s="27"/>
    </row>
    <row r="11" customFormat="false" ht="15" hidden="false" customHeight="false" outlineLevel="0" collapsed="false">
      <c r="A11" s="27" t="n">
        <v>10</v>
      </c>
      <c r="B11" s="7" t="s">
        <v>24</v>
      </c>
      <c r="C11" s="27" t="s">
        <v>303</v>
      </c>
      <c r="D11" s="27" t="s">
        <v>446</v>
      </c>
      <c r="E11" s="27" t="s">
        <v>62</v>
      </c>
      <c r="F11" s="27" t="s">
        <v>62</v>
      </c>
      <c r="G11" s="27" t="s">
        <v>64</v>
      </c>
      <c r="H11" s="27" t="s">
        <v>66</v>
      </c>
      <c r="I11" s="27" t="s">
        <v>457</v>
      </c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 t="s">
        <v>41</v>
      </c>
      <c r="BL11" s="27" t="s">
        <v>61</v>
      </c>
      <c r="BM11" s="27" t="s">
        <v>62</v>
      </c>
      <c r="BN11" s="27"/>
      <c r="BO11" s="27"/>
      <c r="BP11" s="27"/>
      <c r="BQ11" s="27" t="n">
        <f aca="false">COUNTIFS(Trechos!$L$2:$L$838,A11)</f>
        <v>7</v>
      </c>
      <c r="BR11" s="28" t="n">
        <f aca="false">SUMIFS(Trechos!$F$2:$F$838,Trechos!$L$2:$L$838,A11)</f>
        <v>505.377204353388</v>
      </c>
      <c r="BS11" s="27" t="n">
        <f aca="false">COUNTA(BV11:ES11)</f>
        <v>2</v>
      </c>
      <c r="BT11" s="27" t="str">
        <f aca="false">IF(COUNTA(BV11:ES11)=0,"—",_xlfn.TEXTJOIN(", ",TRUE(),BV11:ES11))</f>
        <v>0303861004, 0304100004</v>
      </c>
      <c r="BU11" s="27" t="s">
        <v>54</v>
      </c>
      <c r="BV11" s="27" t="s">
        <v>64</v>
      </c>
      <c r="BW11" s="27" t="s">
        <v>66</v>
      </c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  <c r="CK11" s="27"/>
      <c r="CL11" s="27"/>
      <c r="CM11" s="27"/>
      <c r="CN11" s="27"/>
      <c r="CO11" s="27"/>
      <c r="CP11" s="27"/>
      <c r="CQ11" s="27"/>
      <c r="CR11" s="27"/>
      <c r="CS11" s="27"/>
      <c r="CT11" s="27"/>
      <c r="CU11" s="27"/>
      <c r="CV11" s="27"/>
      <c r="CW11" s="27"/>
      <c r="CX11" s="27"/>
      <c r="CY11" s="27"/>
      <c r="CZ11" s="27"/>
      <c r="DA11" s="27"/>
      <c r="DB11" s="27"/>
      <c r="DC11" s="27"/>
      <c r="DD11" s="27"/>
      <c r="DE11" s="27"/>
      <c r="DF11" s="27"/>
      <c r="DG11" s="27"/>
      <c r="DH11" s="27"/>
      <c r="DI11" s="27"/>
      <c r="DJ11" s="27"/>
      <c r="DK11" s="27"/>
      <c r="DL11" s="27"/>
      <c r="DM11" s="27"/>
      <c r="DN11" s="27"/>
      <c r="DO11" s="27"/>
      <c r="DP11" s="27"/>
      <c r="DQ11" s="27"/>
      <c r="DR11" s="27"/>
      <c r="DS11" s="27"/>
      <c r="DT11" s="27"/>
      <c r="DU11" s="27"/>
      <c r="DV11" s="27"/>
      <c r="DW11" s="27"/>
      <c r="DX11" s="27"/>
      <c r="DY11" s="27"/>
      <c r="DZ11" s="27"/>
      <c r="EA11" s="27"/>
      <c r="EB11" s="27"/>
      <c r="EC11" s="27"/>
      <c r="ED11" s="27"/>
      <c r="EE11" s="27"/>
      <c r="EF11" s="27"/>
      <c r="EG11" s="27"/>
      <c r="EH11" s="27"/>
      <c r="EI11" s="27"/>
      <c r="EJ11" s="27"/>
      <c r="EK11" s="27"/>
      <c r="EL11" s="27"/>
      <c r="EM11" s="27"/>
      <c r="EN11" s="27"/>
      <c r="EO11" s="27"/>
      <c r="EP11" s="27"/>
      <c r="EQ11" s="27"/>
      <c r="ER11" s="27"/>
      <c r="ES11" s="27"/>
    </row>
    <row r="12" customFormat="false" ht="15" hidden="false" customHeight="false" outlineLevel="0" collapsed="false">
      <c r="A12" s="27" t="n">
        <v>11</v>
      </c>
      <c r="B12" s="7" t="s">
        <v>24</v>
      </c>
      <c r="C12" s="27" t="s">
        <v>303</v>
      </c>
      <c r="D12" s="27" t="s">
        <v>446</v>
      </c>
      <c r="E12" s="27" t="s">
        <v>64</v>
      </c>
      <c r="F12" s="27" t="s">
        <v>64</v>
      </c>
      <c r="G12" s="27" t="s">
        <v>65</v>
      </c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 t="s">
        <v>41</v>
      </c>
      <c r="BL12" s="27" t="s">
        <v>61</v>
      </c>
      <c r="BM12" s="27" t="s">
        <v>62</v>
      </c>
      <c r="BN12" s="27" t="s">
        <v>64</v>
      </c>
      <c r="BO12" s="27"/>
      <c r="BP12" s="27"/>
      <c r="BQ12" s="27" t="n">
        <f aca="false">COUNTIFS(Trechos!$L$2:$L$838,A12)</f>
        <v>1</v>
      </c>
      <c r="BR12" s="28" t="n">
        <f aca="false">SUMIFS(Trechos!$F$2:$F$838,Trechos!$L$2:$L$838,A12)</f>
        <v>122.547958825086</v>
      </c>
      <c r="BS12" s="27" t="n">
        <f aca="false">COUNTA(BV12:ES12)</f>
        <v>0</v>
      </c>
      <c r="BT12" s="27" t="str">
        <f aca="false">IF(COUNTA(BV12:ES12)=0,"—",_xlfn.TEXTJOIN(", ",TRUE(),BV12:ES12))</f>
        <v>—</v>
      </c>
      <c r="BU12" s="27" t="s">
        <v>54</v>
      </c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27"/>
      <c r="DD12" s="27"/>
      <c r="DE12" s="27"/>
      <c r="DF12" s="27"/>
      <c r="DG12" s="27"/>
      <c r="DH12" s="27"/>
      <c r="DI12" s="27"/>
      <c r="DJ12" s="27"/>
      <c r="DK12" s="27"/>
      <c r="DL12" s="27"/>
      <c r="DM12" s="27"/>
      <c r="DN12" s="27"/>
      <c r="DO12" s="27"/>
      <c r="DP12" s="27"/>
      <c r="DQ12" s="27"/>
      <c r="DR12" s="27"/>
      <c r="DS12" s="27"/>
      <c r="DT12" s="27"/>
      <c r="DU12" s="27"/>
      <c r="DV12" s="27"/>
      <c r="DW12" s="27"/>
      <c r="DX12" s="27"/>
      <c r="DY12" s="27"/>
      <c r="DZ12" s="27"/>
      <c r="EA12" s="27"/>
      <c r="EB12" s="27"/>
      <c r="EC12" s="27"/>
      <c r="ED12" s="27"/>
      <c r="EE12" s="27"/>
      <c r="EF12" s="27"/>
      <c r="EG12" s="27"/>
      <c r="EH12" s="27"/>
      <c r="EI12" s="27"/>
      <c r="EJ12" s="27"/>
      <c r="EK12" s="27"/>
      <c r="EL12" s="27"/>
      <c r="EM12" s="27"/>
      <c r="EN12" s="27"/>
      <c r="EO12" s="27"/>
      <c r="EP12" s="27"/>
      <c r="EQ12" s="27"/>
      <c r="ER12" s="27"/>
      <c r="ES12" s="27"/>
    </row>
    <row r="13" customFormat="false" ht="15" hidden="false" customHeight="false" outlineLevel="0" collapsed="false">
      <c r="A13" s="27" t="n">
        <v>12</v>
      </c>
      <c r="B13" s="7" t="s">
        <v>24</v>
      </c>
      <c r="C13" s="27" t="s">
        <v>303</v>
      </c>
      <c r="D13" s="27" t="s">
        <v>446</v>
      </c>
      <c r="E13" s="27" t="s">
        <v>66</v>
      </c>
      <c r="F13" s="27" t="s">
        <v>66</v>
      </c>
      <c r="G13" s="27" t="s">
        <v>67</v>
      </c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 t="s">
        <v>41</v>
      </c>
      <c r="BL13" s="27" t="s">
        <v>61</v>
      </c>
      <c r="BM13" s="27" t="s">
        <v>62</v>
      </c>
      <c r="BN13" s="27" t="s">
        <v>66</v>
      </c>
      <c r="BO13" s="27"/>
      <c r="BP13" s="27"/>
      <c r="BQ13" s="27" t="n">
        <f aca="false">COUNTIFS(Trechos!$L$2:$L$838,A13)</f>
        <v>1</v>
      </c>
      <c r="BR13" s="28" t="n">
        <f aca="false">SUMIFS(Trechos!$F$2:$F$838,Trechos!$L$2:$L$838,A13)</f>
        <v>53.3864724625481</v>
      </c>
      <c r="BS13" s="27" t="n">
        <f aca="false">COUNTA(BV13:ES13)</f>
        <v>0</v>
      </c>
      <c r="BT13" s="27" t="str">
        <f aca="false">IF(COUNTA(BV13:ES13)=0,"—",_xlfn.TEXTJOIN(", ",TRUE(),BV13:ES13))</f>
        <v>—</v>
      </c>
      <c r="BU13" s="27" t="s">
        <v>54</v>
      </c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  <c r="CK13" s="27"/>
      <c r="CL13" s="27"/>
      <c r="CM13" s="27"/>
      <c r="CN13" s="27"/>
      <c r="CO13" s="27"/>
      <c r="CP13" s="27"/>
      <c r="CQ13" s="27"/>
      <c r="CR13" s="27"/>
      <c r="CS13" s="27"/>
      <c r="CT13" s="27"/>
      <c r="CU13" s="27"/>
      <c r="CV13" s="27"/>
      <c r="CW13" s="27"/>
      <c r="CX13" s="27"/>
      <c r="CY13" s="27"/>
      <c r="CZ13" s="27"/>
      <c r="DA13" s="27"/>
      <c r="DB13" s="27"/>
      <c r="DC13" s="27"/>
      <c r="DD13" s="27"/>
      <c r="DE13" s="27"/>
      <c r="DF13" s="27"/>
      <c r="DG13" s="27"/>
      <c r="DH13" s="27"/>
      <c r="DI13" s="27"/>
      <c r="DJ13" s="27"/>
      <c r="DK13" s="27"/>
      <c r="DL13" s="27"/>
      <c r="DM13" s="27"/>
      <c r="DN13" s="27"/>
      <c r="DO13" s="27"/>
      <c r="DP13" s="27"/>
      <c r="DQ13" s="27"/>
      <c r="DR13" s="27"/>
      <c r="DS13" s="27"/>
      <c r="DT13" s="27"/>
      <c r="DU13" s="27"/>
      <c r="DV13" s="27"/>
      <c r="DW13" s="27"/>
      <c r="DX13" s="27"/>
      <c r="DY13" s="27"/>
      <c r="DZ13" s="27"/>
      <c r="EA13" s="27"/>
      <c r="EB13" s="27"/>
      <c r="EC13" s="27"/>
      <c r="ED13" s="27"/>
      <c r="EE13" s="27"/>
      <c r="EF13" s="27"/>
      <c r="EG13" s="27"/>
      <c r="EH13" s="27"/>
      <c r="EI13" s="27"/>
      <c r="EJ13" s="27"/>
      <c r="EK13" s="27"/>
      <c r="EL13" s="27"/>
      <c r="EM13" s="27"/>
      <c r="EN13" s="27"/>
      <c r="EO13" s="27"/>
      <c r="EP13" s="27"/>
      <c r="EQ13" s="27"/>
      <c r="ER13" s="27"/>
      <c r="ES13" s="27"/>
    </row>
    <row r="14" customFormat="false" ht="15" hidden="false" customHeight="false" outlineLevel="0" collapsed="false">
      <c r="A14" s="27" t="n">
        <v>13</v>
      </c>
      <c r="B14" s="7" t="s">
        <v>24</v>
      </c>
      <c r="C14" s="27" t="s">
        <v>303</v>
      </c>
      <c r="D14" s="27" t="s">
        <v>446</v>
      </c>
      <c r="E14" s="27" t="s">
        <v>68</v>
      </c>
      <c r="F14" s="27" t="s">
        <v>68</v>
      </c>
      <c r="G14" s="27" t="s">
        <v>458</v>
      </c>
      <c r="H14" s="27" t="s">
        <v>459</v>
      </c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 t="s">
        <v>41</v>
      </c>
      <c r="BL14" s="27" t="s">
        <v>68</v>
      </c>
      <c r="BM14" s="27"/>
      <c r="BN14" s="27"/>
      <c r="BO14" s="27"/>
      <c r="BP14" s="27"/>
      <c r="BQ14" s="27" t="n">
        <f aca="false">COUNTIFS(Trechos!$L$2:$L$838,A14)</f>
        <v>3</v>
      </c>
      <c r="BR14" s="28" t="n">
        <f aca="false">SUMIFS(Trechos!$F$2:$F$838,Trechos!$L$2:$L$838,A14)</f>
        <v>17.6317886192389</v>
      </c>
      <c r="BS14" s="27" t="n">
        <f aca="false">COUNTA(BV14:ES14)</f>
        <v>0</v>
      </c>
      <c r="BT14" s="27" t="str">
        <f aca="false">IF(COUNTA(BV14:ES14)=0,"—",_xlfn.TEXTJOIN(", ",TRUE(),BV14:ES14))</f>
        <v>—</v>
      </c>
      <c r="BU14" s="27" t="s">
        <v>54</v>
      </c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  <c r="CK14" s="27"/>
      <c r="CL14" s="27"/>
      <c r="CM14" s="27"/>
      <c r="CN14" s="27"/>
      <c r="CO14" s="27"/>
      <c r="CP14" s="27"/>
      <c r="CQ14" s="27"/>
      <c r="CR14" s="27"/>
      <c r="CS14" s="27"/>
      <c r="CT14" s="27"/>
      <c r="CU14" s="27"/>
      <c r="CV14" s="27"/>
      <c r="CW14" s="27"/>
      <c r="CX14" s="27"/>
      <c r="CY14" s="27"/>
      <c r="CZ14" s="27"/>
      <c r="DA14" s="27"/>
      <c r="DB14" s="27"/>
      <c r="DC14" s="27"/>
      <c r="DD14" s="27"/>
      <c r="DE14" s="27"/>
      <c r="DF14" s="27"/>
      <c r="DG14" s="27"/>
      <c r="DH14" s="27"/>
      <c r="DI14" s="27"/>
      <c r="DJ14" s="27"/>
      <c r="DK14" s="27"/>
      <c r="DL14" s="27"/>
      <c r="DM14" s="27"/>
      <c r="DN14" s="27"/>
      <c r="DO14" s="27"/>
      <c r="DP14" s="27"/>
      <c r="DQ14" s="27"/>
      <c r="DR14" s="27"/>
      <c r="DS14" s="27"/>
      <c r="DT14" s="27"/>
      <c r="DU14" s="27"/>
      <c r="DV14" s="27"/>
      <c r="DW14" s="27"/>
      <c r="DX14" s="27"/>
      <c r="DY14" s="27"/>
      <c r="DZ14" s="27"/>
      <c r="EA14" s="27"/>
      <c r="EB14" s="27"/>
      <c r="EC14" s="27"/>
      <c r="ED14" s="27"/>
      <c r="EE14" s="27"/>
      <c r="EF14" s="27"/>
      <c r="EG14" s="27"/>
      <c r="EH14" s="27"/>
      <c r="EI14" s="27"/>
      <c r="EJ14" s="27"/>
      <c r="EK14" s="27"/>
      <c r="EL14" s="27"/>
      <c r="EM14" s="27"/>
      <c r="EN14" s="27"/>
      <c r="EO14" s="27"/>
      <c r="EP14" s="27"/>
      <c r="EQ14" s="27"/>
      <c r="ER14" s="27"/>
      <c r="ES14" s="27"/>
    </row>
    <row r="15" customFormat="false" ht="15" hidden="false" customHeight="false" outlineLevel="0" collapsed="false">
      <c r="A15" s="27" t="n">
        <v>14</v>
      </c>
      <c r="B15" s="7" t="s">
        <v>24</v>
      </c>
      <c r="C15" s="27" t="s">
        <v>303</v>
      </c>
      <c r="D15" s="27" t="s">
        <v>446</v>
      </c>
      <c r="E15" s="27" t="s">
        <v>70</v>
      </c>
      <c r="F15" s="27" t="s">
        <v>70</v>
      </c>
      <c r="G15" s="27" t="s">
        <v>71</v>
      </c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 t="s">
        <v>41</v>
      </c>
      <c r="BL15" s="27" t="s">
        <v>70</v>
      </c>
      <c r="BM15" s="27"/>
      <c r="BN15" s="27"/>
      <c r="BO15" s="27"/>
      <c r="BP15" s="27"/>
      <c r="BQ15" s="27" t="n">
        <f aca="false">COUNTIFS(Trechos!$L$2:$L$838,A15)</f>
        <v>1</v>
      </c>
      <c r="BR15" s="28" t="n">
        <f aca="false">SUMIFS(Trechos!$F$2:$F$838,Trechos!$L$2:$L$838,A15)</f>
        <v>5.16474565625425</v>
      </c>
      <c r="BS15" s="27" t="n">
        <f aca="false">COUNTA(BV15:ES15)</f>
        <v>0</v>
      </c>
      <c r="BT15" s="27" t="str">
        <f aca="false">IF(COUNTA(BV15:ES15)=0,"—",_xlfn.TEXTJOIN(", ",TRUE(),BV15:ES15))</f>
        <v>—</v>
      </c>
      <c r="BU15" s="27" t="s">
        <v>54</v>
      </c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  <c r="CK15" s="27"/>
      <c r="CL15" s="27"/>
      <c r="CM15" s="27"/>
      <c r="CN15" s="27"/>
      <c r="CO15" s="27"/>
      <c r="CP15" s="27"/>
      <c r="CQ15" s="27"/>
      <c r="CR15" s="27"/>
      <c r="CS15" s="27"/>
      <c r="CT15" s="27"/>
      <c r="CU15" s="27"/>
      <c r="CV15" s="27"/>
      <c r="CW15" s="27"/>
      <c r="CX15" s="27"/>
      <c r="CY15" s="27"/>
      <c r="CZ15" s="27"/>
      <c r="DA15" s="27"/>
      <c r="DB15" s="27"/>
      <c r="DC15" s="27"/>
      <c r="DD15" s="27"/>
      <c r="DE15" s="27"/>
      <c r="DF15" s="27"/>
      <c r="DG15" s="27"/>
      <c r="DH15" s="27"/>
      <c r="DI15" s="27"/>
      <c r="DJ15" s="27"/>
      <c r="DK15" s="27"/>
      <c r="DL15" s="27"/>
      <c r="DM15" s="27"/>
      <c r="DN15" s="27"/>
      <c r="DO15" s="27"/>
      <c r="DP15" s="27"/>
      <c r="DQ15" s="27"/>
      <c r="DR15" s="27"/>
      <c r="DS15" s="27"/>
      <c r="DT15" s="27"/>
      <c r="DU15" s="27"/>
      <c r="DV15" s="27"/>
      <c r="DW15" s="27"/>
      <c r="DX15" s="27"/>
      <c r="DY15" s="27"/>
      <c r="DZ15" s="27"/>
      <c r="EA15" s="27"/>
      <c r="EB15" s="27"/>
      <c r="EC15" s="27"/>
      <c r="ED15" s="27"/>
      <c r="EE15" s="27"/>
      <c r="EF15" s="27"/>
      <c r="EG15" s="27"/>
      <c r="EH15" s="27"/>
      <c r="EI15" s="27"/>
      <c r="EJ15" s="27"/>
      <c r="EK15" s="27"/>
      <c r="EL15" s="27"/>
      <c r="EM15" s="27"/>
      <c r="EN15" s="27"/>
      <c r="EO15" s="27"/>
      <c r="EP15" s="27"/>
      <c r="EQ15" s="27"/>
      <c r="ER15" s="27"/>
      <c r="ES15" s="27"/>
    </row>
    <row r="16" customFormat="false" ht="15" hidden="false" customHeight="false" outlineLevel="0" collapsed="false">
      <c r="A16" s="27" t="n">
        <v>15</v>
      </c>
      <c r="B16" s="5" t="s">
        <v>22</v>
      </c>
      <c r="C16" s="27" t="s">
        <v>303</v>
      </c>
      <c r="D16" s="27" t="s">
        <v>460</v>
      </c>
      <c r="E16" s="27" t="s">
        <v>41</v>
      </c>
      <c r="F16" s="27" t="s">
        <v>73</v>
      </c>
      <c r="G16" s="27" t="s">
        <v>74</v>
      </c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 t="s">
        <v>41</v>
      </c>
      <c r="BL16" s="27"/>
      <c r="BM16" s="27"/>
      <c r="BN16" s="27"/>
      <c r="BO16" s="27"/>
      <c r="BP16" s="27"/>
      <c r="BQ16" s="27" t="n">
        <f aca="false">COUNTIFS(Trechos!$L$2:$L$838,A16)</f>
        <v>1</v>
      </c>
      <c r="BR16" s="28" t="n">
        <f aca="false">SUMIFS(Trechos!$F$2:$F$838,Trechos!$L$2:$L$838,A16)</f>
        <v>81.2375187442398</v>
      </c>
      <c r="BS16" s="27" t="n">
        <f aca="false">COUNTA(BV16:ES16)</f>
        <v>0</v>
      </c>
      <c r="BT16" s="27" t="str">
        <f aca="false">IF(COUNTA(BV16:ES16)=0,"—",_xlfn.TEXTJOIN(", ",TRUE(),BV16:ES16))</f>
        <v>—</v>
      </c>
      <c r="BU16" s="27" t="s">
        <v>54</v>
      </c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  <c r="CK16" s="27"/>
      <c r="CL16" s="27"/>
      <c r="CM16" s="27"/>
      <c r="CN16" s="27"/>
      <c r="CO16" s="27"/>
      <c r="CP16" s="27"/>
      <c r="CQ16" s="27"/>
      <c r="CR16" s="27"/>
      <c r="CS16" s="27"/>
      <c r="CT16" s="27"/>
      <c r="CU16" s="27"/>
      <c r="CV16" s="27"/>
      <c r="CW16" s="27"/>
      <c r="CX16" s="27"/>
      <c r="CY16" s="27"/>
      <c r="CZ16" s="27"/>
      <c r="DA16" s="27"/>
      <c r="DB16" s="27"/>
      <c r="DC16" s="27"/>
      <c r="DD16" s="27"/>
      <c r="DE16" s="27"/>
      <c r="DF16" s="27"/>
      <c r="DG16" s="27"/>
      <c r="DH16" s="27"/>
      <c r="DI16" s="27"/>
      <c r="DJ16" s="27"/>
      <c r="DK16" s="27"/>
      <c r="DL16" s="27"/>
      <c r="DM16" s="27"/>
      <c r="DN16" s="27"/>
      <c r="DO16" s="27"/>
      <c r="DP16" s="27"/>
      <c r="DQ16" s="27"/>
      <c r="DR16" s="27"/>
      <c r="DS16" s="27"/>
      <c r="DT16" s="27"/>
      <c r="DU16" s="27"/>
      <c r="DV16" s="27"/>
      <c r="DW16" s="27"/>
      <c r="DX16" s="27"/>
      <c r="DY16" s="27"/>
      <c r="DZ16" s="27"/>
      <c r="EA16" s="27"/>
      <c r="EB16" s="27"/>
      <c r="EC16" s="27"/>
      <c r="ED16" s="27"/>
      <c r="EE16" s="27"/>
      <c r="EF16" s="27"/>
      <c r="EG16" s="27"/>
      <c r="EH16" s="27"/>
      <c r="EI16" s="27"/>
      <c r="EJ16" s="27"/>
      <c r="EK16" s="27"/>
      <c r="EL16" s="27"/>
      <c r="EM16" s="27"/>
      <c r="EN16" s="27"/>
      <c r="EO16" s="27"/>
      <c r="EP16" s="27"/>
      <c r="EQ16" s="27"/>
      <c r="ER16" s="27"/>
      <c r="ES16" s="27"/>
    </row>
    <row r="17" customFormat="false" ht="15" hidden="false" customHeight="false" outlineLevel="0" collapsed="false">
      <c r="A17" s="27" t="n">
        <v>16</v>
      </c>
      <c r="B17" s="5" t="s">
        <v>22</v>
      </c>
      <c r="C17" s="27" t="s">
        <v>303</v>
      </c>
      <c r="D17" s="27" t="s">
        <v>461</v>
      </c>
      <c r="E17" s="27" t="s">
        <v>41</v>
      </c>
      <c r="F17" s="27" t="s">
        <v>76</v>
      </c>
      <c r="G17" s="27" t="s">
        <v>462</v>
      </c>
      <c r="H17" s="27" t="s">
        <v>463</v>
      </c>
      <c r="I17" s="27" t="s">
        <v>464</v>
      </c>
      <c r="J17" s="27" t="s">
        <v>79</v>
      </c>
      <c r="K17" s="27" t="s">
        <v>465</v>
      </c>
      <c r="L17" s="27" t="s">
        <v>466</v>
      </c>
      <c r="M17" s="27" t="s">
        <v>115</v>
      </c>
      <c r="N17" s="27" t="s">
        <v>467</v>
      </c>
      <c r="O17" s="27" t="s">
        <v>468</v>
      </c>
      <c r="P17" s="27" t="s">
        <v>469</v>
      </c>
      <c r="Q17" s="27" t="s">
        <v>470</v>
      </c>
      <c r="R17" s="27" t="s">
        <v>471</v>
      </c>
      <c r="S17" s="27" t="s">
        <v>117</v>
      </c>
      <c r="T17" s="27" t="s">
        <v>119</v>
      </c>
      <c r="U17" s="27" t="s">
        <v>121</v>
      </c>
      <c r="V17" s="27" t="s">
        <v>472</v>
      </c>
      <c r="W17" s="27" t="s">
        <v>473</v>
      </c>
      <c r="X17" s="27" t="s">
        <v>474</v>
      </c>
      <c r="Y17" s="27" t="s">
        <v>475</v>
      </c>
      <c r="Z17" s="27" t="s">
        <v>123</v>
      </c>
      <c r="AA17" s="27" t="s">
        <v>476</v>
      </c>
      <c r="AB17" s="27" t="s">
        <v>477</v>
      </c>
      <c r="AC17" s="27" t="s">
        <v>125</v>
      </c>
      <c r="AD17" s="27" t="s">
        <v>478</v>
      </c>
      <c r="AE17" s="27" t="s">
        <v>128</v>
      </c>
      <c r="AF17" s="27" t="s">
        <v>131</v>
      </c>
      <c r="AG17" s="27" t="s">
        <v>479</v>
      </c>
      <c r="AH17" s="27" t="s">
        <v>133</v>
      </c>
      <c r="AI17" s="27" t="s">
        <v>135</v>
      </c>
      <c r="AJ17" s="27" t="s">
        <v>480</v>
      </c>
      <c r="AK17" s="27" t="s">
        <v>481</v>
      </c>
      <c r="AL17" s="27" t="s">
        <v>482</v>
      </c>
      <c r="AM17" s="27" t="s">
        <v>137</v>
      </c>
      <c r="AN17" s="27" t="s">
        <v>483</v>
      </c>
      <c r="AO17" s="27" t="s">
        <v>141</v>
      </c>
      <c r="AP17" s="27" t="s">
        <v>484</v>
      </c>
      <c r="AQ17" s="27" t="s">
        <v>485</v>
      </c>
      <c r="AR17" s="27" t="s">
        <v>486</v>
      </c>
      <c r="AS17" s="27" t="s">
        <v>487</v>
      </c>
      <c r="AT17" s="27" t="s">
        <v>488</v>
      </c>
      <c r="AU17" s="27" t="s">
        <v>489</v>
      </c>
      <c r="AV17" s="27" t="s">
        <v>490</v>
      </c>
      <c r="AW17" s="27" t="s">
        <v>491</v>
      </c>
      <c r="AX17" s="27" t="s">
        <v>492</v>
      </c>
      <c r="AY17" s="27" t="s">
        <v>493</v>
      </c>
      <c r="AZ17" s="27" t="s">
        <v>494</v>
      </c>
      <c r="BA17" s="27" t="s">
        <v>495</v>
      </c>
      <c r="BB17" s="27" t="s">
        <v>143</v>
      </c>
      <c r="BC17" s="27" t="s">
        <v>496</v>
      </c>
      <c r="BD17" s="27" t="s">
        <v>145</v>
      </c>
      <c r="BE17" s="27" t="s">
        <v>497</v>
      </c>
      <c r="BF17" s="27" t="s">
        <v>498</v>
      </c>
      <c r="BG17" s="27" t="s">
        <v>499</v>
      </c>
      <c r="BH17" s="27" t="s">
        <v>500</v>
      </c>
      <c r="BI17" s="27" t="s">
        <v>501</v>
      </c>
      <c r="BJ17" s="27" t="s">
        <v>147</v>
      </c>
      <c r="BK17" s="27" t="s">
        <v>41</v>
      </c>
      <c r="BL17" s="27"/>
      <c r="BM17" s="27"/>
      <c r="BN17" s="27"/>
      <c r="BO17" s="27"/>
      <c r="BP17" s="27"/>
      <c r="BQ17" s="27" t="n">
        <f aca="false">COUNTIFS(Trechos!$L$2:$L$838,A17)</f>
        <v>173</v>
      </c>
      <c r="BR17" s="28" t="n">
        <f aca="false">SUMIFS(Trechos!$F$2:$F$838,Trechos!$L$2:$L$838,A17)</f>
        <v>8992.98919190491</v>
      </c>
      <c r="BS17" s="27" t="n">
        <f aca="false">COUNTA(BV17:ES17)</f>
        <v>36</v>
      </c>
      <c r="BT17" s="27" t="str">
        <f aca="false">IF(COUNTA(BV17:ES17)=0,"—",_xlfn.TEXTJOIN(", ",TRUE(),BV17:ES17))</f>
        <v>0302387004, 3302865004, 3300065004, 0320309004, 0310307004, 0303851004, 0310306004, 0303865004, 0342709004, 0303866004, 0303867004, 0302309004, 0300064004, 0320308004, 0301840004, 0303850004, 0320305004, 0346260004, 0346420004, 0355088004, 0340038004, 0201389004, 0303849004, 0310949004, 0210950004, 0301838004, 0301839004, 0245040004, 0303718004, 0202970004, 0354089004, 0354093004, 0220315004, 0346072004, 0345823004, 0200043004</v>
      </c>
      <c r="BU17" s="27" t="s">
        <v>78</v>
      </c>
      <c r="BV17" s="27" t="s">
        <v>79</v>
      </c>
      <c r="BW17" s="27" t="s">
        <v>81</v>
      </c>
      <c r="BX17" s="27" t="s">
        <v>83</v>
      </c>
      <c r="BY17" s="27" t="s">
        <v>85</v>
      </c>
      <c r="BZ17" s="27" t="s">
        <v>87</v>
      </c>
      <c r="CA17" s="27" t="s">
        <v>89</v>
      </c>
      <c r="CB17" s="27" t="s">
        <v>91</v>
      </c>
      <c r="CC17" s="27" t="s">
        <v>93</v>
      </c>
      <c r="CD17" s="27" t="s">
        <v>95</v>
      </c>
      <c r="CE17" s="27" t="s">
        <v>97</v>
      </c>
      <c r="CF17" s="27" t="s">
        <v>99</v>
      </c>
      <c r="CG17" s="27" t="s">
        <v>101</v>
      </c>
      <c r="CH17" s="27" t="s">
        <v>103</v>
      </c>
      <c r="CI17" s="27" t="s">
        <v>105</v>
      </c>
      <c r="CJ17" s="27" t="s">
        <v>107</v>
      </c>
      <c r="CK17" s="27" t="s">
        <v>109</v>
      </c>
      <c r="CL17" s="27" t="s">
        <v>111</v>
      </c>
      <c r="CM17" s="27" t="s">
        <v>113</v>
      </c>
      <c r="CN17" s="27" t="s">
        <v>115</v>
      </c>
      <c r="CO17" s="27" t="s">
        <v>117</v>
      </c>
      <c r="CP17" s="27" t="s">
        <v>119</v>
      </c>
      <c r="CQ17" s="27" t="s">
        <v>121</v>
      </c>
      <c r="CR17" s="27" t="s">
        <v>123</v>
      </c>
      <c r="CS17" s="27" t="s">
        <v>125</v>
      </c>
      <c r="CT17" s="27" t="s">
        <v>126</v>
      </c>
      <c r="CU17" s="27" t="s">
        <v>128</v>
      </c>
      <c r="CV17" s="27" t="s">
        <v>129</v>
      </c>
      <c r="CW17" s="27" t="s">
        <v>131</v>
      </c>
      <c r="CX17" s="27" t="s">
        <v>133</v>
      </c>
      <c r="CY17" s="27" t="s">
        <v>135</v>
      </c>
      <c r="CZ17" s="27" t="s">
        <v>137</v>
      </c>
      <c r="DA17" s="27" t="s">
        <v>139</v>
      </c>
      <c r="DB17" s="27" t="s">
        <v>141</v>
      </c>
      <c r="DC17" s="27" t="s">
        <v>143</v>
      </c>
      <c r="DD17" s="27" t="s">
        <v>145</v>
      </c>
      <c r="DE17" s="27" t="s">
        <v>147</v>
      </c>
      <c r="DF17" s="27"/>
      <c r="DG17" s="27"/>
      <c r="DH17" s="27"/>
      <c r="DI17" s="27"/>
      <c r="DJ17" s="27"/>
      <c r="DK17" s="27"/>
      <c r="DL17" s="27"/>
      <c r="DM17" s="27"/>
      <c r="DN17" s="27"/>
      <c r="DO17" s="27"/>
      <c r="DP17" s="27"/>
      <c r="DQ17" s="27"/>
      <c r="DR17" s="27"/>
      <c r="DS17" s="27"/>
      <c r="DT17" s="27"/>
      <c r="DU17" s="27"/>
      <c r="DV17" s="27"/>
      <c r="DW17" s="27"/>
      <c r="DX17" s="27"/>
      <c r="DY17" s="27"/>
      <c r="DZ17" s="27"/>
      <c r="EA17" s="27"/>
      <c r="EB17" s="27"/>
      <c r="EC17" s="27"/>
      <c r="ED17" s="27"/>
      <c r="EE17" s="27"/>
      <c r="EF17" s="27"/>
      <c r="EG17" s="27"/>
      <c r="EH17" s="27"/>
      <c r="EI17" s="27"/>
      <c r="EJ17" s="27"/>
      <c r="EK17" s="27"/>
      <c r="EL17" s="27"/>
      <c r="EM17" s="27"/>
      <c r="EN17" s="27"/>
      <c r="EO17" s="27"/>
      <c r="EP17" s="27"/>
      <c r="EQ17" s="27"/>
      <c r="ER17" s="27"/>
      <c r="ES17" s="27"/>
    </row>
    <row r="18" customFormat="false" ht="15" hidden="false" customHeight="false" outlineLevel="0" collapsed="false">
      <c r="A18" s="27" t="n">
        <v>17</v>
      </c>
      <c r="B18" s="7" t="s">
        <v>24</v>
      </c>
      <c r="C18" s="27" t="s">
        <v>303</v>
      </c>
      <c r="D18" s="27" t="s">
        <v>461</v>
      </c>
      <c r="E18" s="27" t="s">
        <v>79</v>
      </c>
      <c r="F18" s="27" t="s">
        <v>79</v>
      </c>
      <c r="G18" s="27" t="s">
        <v>502</v>
      </c>
      <c r="H18" s="27" t="s">
        <v>503</v>
      </c>
      <c r="I18" s="27" t="s">
        <v>81</v>
      </c>
      <c r="J18" s="27" t="s">
        <v>504</v>
      </c>
      <c r="K18" s="27" t="s">
        <v>109</v>
      </c>
      <c r="L18" s="27" t="s">
        <v>505</v>
      </c>
      <c r="M18" s="27" t="s">
        <v>113</v>
      </c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 t="s">
        <v>41</v>
      </c>
      <c r="BL18" s="27" t="s">
        <v>79</v>
      </c>
      <c r="BM18" s="27"/>
      <c r="BN18" s="27"/>
      <c r="BO18" s="27"/>
      <c r="BP18" s="27"/>
      <c r="BQ18" s="27" t="n">
        <f aca="false">COUNTIFS(Trechos!$L$2:$L$838,A18)</f>
        <v>13</v>
      </c>
      <c r="BR18" s="28" t="n">
        <f aca="false">SUMIFS(Trechos!$F$2:$F$838,Trechos!$L$2:$L$838,A18)</f>
        <v>1089.05853291961</v>
      </c>
      <c r="BS18" s="27" t="n">
        <f aca="false">COUNTA(BV18:ES18)</f>
        <v>17</v>
      </c>
      <c r="BT18" s="27" t="str">
        <f aca="false">IF(COUNTA(BV18:ES18)=0,"—",_xlfn.TEXTJOIN(", ",TRUE(),BV18:ES18))</f>
        <v>3302865004, 3300065004, 0320309004, 0310307004, 0303851004, 0310306004, 0303865004, 0342709004, 0303866004, 0303867004, 0302309004, 0300064004, 0320308004, 0301840004, 0303850004, 0320305004, 0346260004</v>
      </c>
      <c r="BU18" s="27" t="s">
        <v>54</v>
      </c>
      <c r="BV18" s="27" t="s">
        <v>81</v>
      </c>
      <c r="BW18" s="27" t="s">
        <v>83</v>
      </c>
      <c r="BX18" s="27" t="s">
        <v>85</v>
      </c>
      <c r="BY18" s="27" t="s">
        <v>87</v>
      </c>
      <c r="BZ18" s="27" t="s">
        <v>89</v>
      </c>
      <c r="CA18" s="27" t="s">
        <v>91</v>
      </c>
      <c r="CB18" s="27" t="s">
        <v>93</v>
      </c>
      <c r="CC18" s="27" t="s">
        <v>95</v>
      </c>
      <c r="CD18" s="27" t="s">
        <v>97</v>
      </c>
      <c r="CE18" s="27" t="s">
        <v>99</v>
      </c>
      <c r="CF18" s="27" t="s">
        <v>101</v>
      </c>
      <c r="CG18" s="27" t="s">
        <v>103</v>
      </c>
      <c r="CH18" s="27" t="s">
        <v>105</v>
      </c>
      <c r="CI18" s="27" t="s">
        <v>107</v>
      </c>
      <c r="CJ18" s="27" t="s">
        <v>109</v>
      </c>
      <c r="CK18" s="27" t="s">
        <v>111</v>
      </c>
      <c r="CL18" s="27" t="s">
        <v>113</v>
      </c>
      <c r="CM18" s="27"/>
      <c r="CN18" s="27"/>
      <c r="CO18" s="27"/>
      <c r="CP18" s="27"/>
      <c r="CQ18" s="27"/>
      <c r="CR18" s="27"/>
      <c r="CS18" s="27"/>
      <c r="CT18" s="27"/>
      <c r="CU18" s="27"/>
      <c r="CV18" s="27"/>
      <c r="CW18" s="27"/>
      <c r="CX18" s="27"/>
      <c r="CY18" s="27"/>
      <c r="CZ18" s="27"/>
      <c r="DA18" s="27"/>
      <c r="DB18" s="27"/>
      <c r="DC18" s="27"/>
      <c r="DD18" s="27"/>
      <c r="DE18" s="27"/>
      <c r="DF18" s="27"/>
      <c r="DG18" s="27"/>
      <c r="DH18" s="27"/>
      <c r="DI18" s="27"/>
      <c r="DJ18" s="27"/>
      <c r="DK18" s="27"/>
      <c r="DL18" s="27"/>
      <c r="DM18" s="27"/>
      <c r="DN18" s="27"/>
      <c r="DO18" s="27"/>
      <c r="DP18" s="27"/>
      <c r="DQ18" s="27"/>
      <c r="DR18" s="27"/>
      <c r="DS18" s="27"/>
      <c r="DT18" s="27"/>
      <c r="DU18" s="27"/>
      <c r="DV18" s="27"/>
      <c r="DW18" s="27"/>
      <c r="DX18" s="27"/>
      <c r="DY18" s="27"/>
      <c r="DZ18" s="27"/>
      <c r="EA18" s="27"/>
      <c r="EB18" s="27"/>
      <c r="EC18" s="27"/>
      <c r="ED18" s="27"/>
      <c r="EE18" s="27"/>
      <c r="EF18" s="27"/>
      <c r="EG18" s="27"/>
      <c r="EH18" s="27"/>
      <c r="EI18" s="27"/>
      <c r="EJ18" s="27"/>
      <c r="EK18" s="27"/>
      <c r="EL18" s="27"/>
      <c r="EM18" s="27"/>
      <c r="EN18" s="27"/>
      <c r="EO18" s="27"/>
      <c r="EP18" s="27"/>
      <c r="EQ18" s="27"/>
      <c r="ER18" s="27"/>
      <c r="ES18" s="27"/>
    </row>
    <row r="19" customFormat="false" ht="15" hidden="false" customHeight="false" outlineLevel="0" collapsed="false">
      <c r="A19" s="27" t="n">
        <v>18</v>
      </c>
      <c r="B19" s="7" t="s">
        <v>24</v>
      </c>
      <c r="C19" s="27" t="s">
        <v>303</v>
      </c>
      <c r="D19" s="27" t="s">
        <v>461</v>
      </c>
      <c r="E19" s="27" t="s">
        <v>81</v>
      </c>
      <c r="F19" s="27" t="s">
        <v>81</v>
      </c>
      <c r="G19" s="27" t="s">
        <v>83</v>
      </c>
      <c r="H19" s="27" t="s">
        <v>103</v>
      </c>
      <c r="I19" s="27" t="s">
        <v>105</v>
      </c>
      <c r="J19" s="27" t="s">
        <v>107</v>
      </c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 t="s">
        <v>41</v>
      </c>
      <c r="BL19" s="27" t="s">
        <v>79</v>
      </c>
      <c r="BM19" s="27" t="s">
        <v>81</v>
      </c>
      <c r="BN19" s="27"/>
      <c r="BO19" s="27"/>
      <c r="BP19" s="27"/>
      <c r="BQ19" s="27" t="n">
        <f aca="false">COUNTIFS(Trechos!$L$2:$L$838,A19)</f>
        <v>12</v>
      </c>
      <c r="BR19" s="28" t="n">
        <f aca="false">SUMIFS(Trechos!$F$2:$F$838,Trechos!$L$2:$L$838,A19)</f>
        <v>1422.78854058268</v>
      </c>
      <c r="BS19" s="27" t="n">
        <f aca="false">COUNTA(BV19:ES19)</f>
        <v>13</v>
      </c>
      <c r="BT19" s="27" t="str">
        <f aca="false">IF(COUNTA(BV19:ES19)=0,"—",_xlfn.TEXTJOIN(", ",TRUE(),BV19:ES19))</f>
        <v>3300065004, 0320309004, 0310307004, 0303851004, 0310306004, 0303865004, 0342709004, 0303866004, 0303867004, 0302309004, 0300064004, 0320308004, 0301840004</v>
      </c>
      <c r="BU19" s="27" t="s">
        <v>54</v>
      </c>
      <c r="BV19" s="27" t="s">
        <v>83</v>
      </c>
      <c r="BW19" s="27" t="s">
        <v>85</v>
      </c>
      <c r="BX19" s="27" t="s">
        <v>87</v>
      </c>
      <c r="BY19" s="27" t="s">
        <v>89</v>
      </c>
      <c r="BZ19" s="27" t="s">
        <v>91</v>
      </c>
      <c r="CA19" s="27" t="s">
        <v>93</v>
      </c>
      <c r="CB19" s="27" t="s">
        <v>95</v>
      </c>
      <c r="CC19" s="27" t="s">
        <v>97</v>
      </c>
      <c r="CD19" s="27" t="s">
        <v>99</v>
      </c>
      <c r="CE19" s="27" t="s">
        <v>101</v>
      </c>
      <c r="CF19" s="27" t="s">
        <v>103</v>
      </c>
      <c r="CG19" s="27" t="s">
        <v>105</v>
      </c>
      <c r="CH19" s="27" t="s">
        <v>107</v>
      </c>
      <c r="CI19" s="27"/>
      <c r="CJ19" s="27"/>
      <c r="CK19" s="27"/>
      <c r="CL19" s="27"/>
      <c r="CM19" s="27"/>
      <c r="CN19" s="27"/>
      <c r="CO19" s="27"/>
      <c r="CP19" s="27"/>
      <c r="CQ19" s="27"/>
      <c r="CR19" s="27"/>
      <c r="CS19" s="27"/>
      <c r="CT19" s="27"/>
      <c r="CU19" s="27"/>
      <c r="CV19" s="27"/>
      <c r="CW19" s="27"/>
      <c r="CX19" s="27"/>
      <c r="CY19" s="27"/>
      <c r="CZ19" s="27"/>
      <c r="DA19" s="27"/>
      <c r="DB19" s="27"/>
      <c r="DC19" s="27"/>
      <c r="DD19" s="27"/>
      <c r="DE19" s="27"/>
      <c r="DF19" s="27"/>
      <c r="DG19" s="27"/>
      <c r="DH19" s="27"/>
      <c r="DI19" s="27"/>
      <c r="DJ19" s="27"/>
      <c r="DK19" s="27"/>
      <c r="DL19" s="27"/>
      <c r="DM19" s="27"/>
      <c r="DN19" s="27"/>
      <c r="DO19" s="27"/>
      <c r="DP19" s="27"/>
      <c r="DQ19" s="27"/>
      <c r="DR19" s="27"/>
      <c r="DS19" s="27"/>
      <c r="DT19" s="27"/>
      <c r="DU19" s="27"/>
      <c r="DV19" s="27"/>
      <c r="DW19" s="27"/>
      <c r="DX19" s="27"/>
      <c r="DY19" s="27"/>
      <c r="DZ19" s="27"/>
      <c r="EA19" s="27"/>
      <c r="EB19" s="27"/>
      <c r="EC19" s="27"/>
      <c r="ED19" s="27"/>
      <c r="EE19" s="27"/>
      <c r="EF19" s="27"/>
      <c r="EG19" s="27"/>
      <c r="EH19" s="27"/>
      <c r="EI19" s="27"/>
      <c r="EJ19" s="27"/>
      <c r="EK19" s="27"/>
      <c r="EL19" s="27"/>
      <c r="EM19" s="27"/>
      <c r="EN19" s="27"/>
      <c r="EO19" s="27"/>
      <c r="EP19" s="27"/>
      <c r="EQ19" s="27"/>
      <c r="ER19" s="27"/>
      <c r="ES19" s="27"/>
    </row>
    <row r="20" customFormat="false" ht="15" hidden="false" customHeight="false" outlineLevel="0" collapsed="false">
      <c r="A20" s="27" t="n">
        <v>19</v>
      </c>
      <c r="B20" s="7" t="s">
        <v>24</v>
      </c>
      <c r="C20" s="27" t="s">
        <v>303</v>
      </c>
      <c r="D20" s="27" t="s">
        <v>461</v>
      </c>
      <c r="E20" s="27" t="s">
        <v>83</v>
      </c>
      <c r="F20" s="27" t="s">
        <v>83</v>
      </c>
      <c r="G20" s="27" t="s">
        <v>85</v>
      </c>
      <c r="H20" s="27" t="s">
        <v>506</v>
      </c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 t="s">
        <v>41</v>
      </c>
      <c r="BL20" s="27" t="s">
        <v>79</v>
      </c>
      <c r="BM20" s="27" t="s">
        <v>81</v>
      </c>
      <c r="BN20" s="27" t="s">
        <v>83</v>
      </c>
      <c r="BO20" s="27"/>
      <c r="BP20" s="27"/>
      <c r="BQ20" s="27" t="n">
        <f aca="false">COUNTIFS(Trechos!$L$2:$L$838,A20)</f>
        <v>5</v>
      </c>
      <c r="BR20" s="28" t="n">
        <f aca="false">SUMIFS(Trechos!$F$2:$F$838,Trechos!$L$2:$L$838,A20)</f>
        <v>300.018250853091</v>
      </c>
      <c r="BS20" s="27" t="n">
        <f aca="false">COUNTA(BV20:ES20)</f>
        <v>9</v>
      </c>
      <c r="BT20" s="27" t="str">
        <f aca="false">IF(COUNTA(BV20:ES20)=0,"—",_xlfn.TEXTJOIN(", ",TRUE(),BV20:ES20))</f>
        <v>0320309004, 0310307004, 0303851004, 0310306004, 0303865004, 0342709004, 0303866004, 0303867004, 0302309004</v>
      </c>
      <c r="BU20" s="27" t="s">
        <v>54</v>
      </c>
      <c r="BV20" s="27" t="s">
        <v>85</v>
      </c>
      <c r="BW20" s="27" t="s">
        <v>87</v>
      </c>
      <c r="BX20" s="27" t="s">
        <v>89</v>
      </c>
      <c r="BY20" s="27" t="s">
        <v>91</v>
      </c>
      <c r="BZ20" s="27" t="s">
        <v>93</v>
      </c>
      <c r="CA20" s="27" t="s">
        <v>95</v>
      </c>
      <c r="CB20" s="27" t="s">
        <v>97</v>
      </c>
      <c r="CC20" s="27" t="s">
        <v>99</v>
      </c>
      <c r="CD20" s="27" t="s">
        <v>101</v>
      </c>
      <c r="CE20" s="27"/>
      <c r="CF20" s="27"/>
      <c r="CG20" s="27"/>
      <c r="CH20" s="27"/>
      <c r="CI20" s="27"/>
      <c r="CJ20" s="27"/>
      <c r="CK20" s="27"/>
      <c r="CL20" s="27"/>
      <c r="CM20" s="27"/>
      <c r="CN20" s="27"/>
      <c r="CO20" s="27"/>
      <c r="CP20" s="27"/>
      <c r="CQ20" s="27"/>
      <c r="CR20" s="27"/>
      <c r="CS20" s="27"/>
      <c r="CT20" s="27"/>
      <c r="CU20" s="27"/>
      <c r="CV20" s="27"/>
      <c r="CW20" s="27"/>
      <c r="CX20" s="27"/>
      <c r="CY20" s="27"/>
      <c r="CZ20" s="27"/>
      <c r="DA20" s="27"/>
      <c r="DB20" s="27"/>
      <c r="DC20" s="27"/>
      <c r="DD20" s="27"/>
      <c r="DE20" s="27"/>
      <c r="DF20" s="27"/>
      <c r="DG20" s="27"/>
      <c r="DH20" s="27"/>
      <c r="DI20" s="27"/>
      <c r="DJ20" s="27"/>
      <c r="DK20" s="27"/>
      <c r="DL20" s="27"/>
      <c r="DM20" s="27"/>
      <c r="DN20" s="27"/>
      <c r="DO20" s="27"/>
      <c r="DP20" s="27"/>
      <c r="DQ20" s="27"/>
      <c r="DR20" s="27"/>
      <c r="DS20" s="27"/>
      <c r="DT20" s="27"/>
      <c r="DU20" s="27"/>
      <c r="DV20" s="27"/>
      <c r="DW20" s="27"/>
      <c r="DX20" s="27"/>
      <c r="DY20" s="27"/>
      <c r="DZ20" s="27"/>
      <c r="EA20" s="27"/>
      <c r="EB20" s="27"/>
      <c r="EC20" s="27"/>
      <c r="ED20" s="27"/>
      <c r="EE20" s="27"/>
      <c r="EF20" s="27"/>
      <c r="EG20" s="27"/>
      <c r="EH20" s="27"/>
      <c r="EI20" s="27"/>
      <c r="EJ20" s="27"/>
      <c r="EK20" s="27"/>
      <c r="EL20" s="27"/>
      <c r="EM20" s="27"/>
      <c r="EN20" s="27"/>
      <c r="EO20" s="27"/>
      <c r="EP20" s="27"/>
      <c r="EQ20" s="27"/>
      <c r="ER20" s="27"/>
      <c r="ES20" s="27"/>
    </row>
    <row r="21" customFormat="false" ht="15" hidden="false" customHeight="false" outlineLevel="0" collapsed="false">
      <c r="A21" s="27" t="n">
        <v>20</v>
      </c>
      <c r="B21" s="7" t="s">
        <v>24</v>
      </c>
      <c r="C21" s="27" t="s">
        <v>303</v>
      </c>
      <c r="D21" s="27" t="s">
        <v>461</v>
      </c>
      <c r="E21" s="27" t="s">
        <v>85</v>
      </c>
      <c r="F21" s="27" t="s">
        <v>85</v>
      </c>
      <c r="G21" s="27" t="s">
        <v>87</v>
      </c>
      <c r="H21" s="27" t="s">
        <v>89</v>
      </c>
      <c r="I21" s="27" t="s">
        <v>91</v>
      </c>
      <c r="J21" s="27" t="s">
        <v>93</v>
      </c>
      <c r="K21" s="27" t="s">
        <v>95</v>
      </c>
      <c r="L21" s="27" t="s">
        <v>97</v>
      </c>
      <c r="M21" s="27" t="s">
        <v>99</v>
      </c>
      <c r="N21" s="27" t="s">
        <v>101</v>
      </c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 t="s">
        <v>41</v>
      </c>
      <c r="BL21" s="27" t="s">
        <v>79</v>
      </c>
      <c r="BM21" s="27" t="s">
        <v>81</v>
      </c>
      <c r="BN21" s="27" t="s">
        <v>83</v>
      </c>
      <c r="BO21" s="27" t="s">
        <v>85</v>
      </c>
      <c r="BP21" s="27"/>
      <c r="BQ21" s="27" t="n">
        <f aca="false">COUNTIFS(Trechos!$L$2:$L$838,A21)</f>
        <v>31</v>
      </c>
      <c r="BR21" s="28" t="n">
        <f aca="false">SUMIFS(Trechos!$F$2:$F$838,Trechos!$L$2:$L$838,A21)</f>
        <v>3388.76749524746</v>
      </c>
      <c r="BS21" s="27" t="n">
        <f aca="false">COUNTA(BV21:ES21)</f>
        <v>8</v>
      </c>
      <c r="BT21" s="27" t="str">
        <f aca="false">IF(COUNTA(BV21:ES21)=0,"—",_xlfn.TEXTJOIN(", ",TRUE(),BV21:ES21))</f>
        <v>0310307004, 0303851004, 0310306004, 0303865004, 0342709004, 0303866004, 0303867004, 0302309004</v>
      </c>
      <c r="BU21" s="27" t="s">
        <v>54</v>
      </c>
      <c r="BV21" s="27" t="s">
        <v>87</v>
      </c>
      <c r="BW21" s="27" t="s">
        <v>89</v>
      </c>
      <c r="BX21" s="27" t="s">
        <v>91</v>
      </c>
      <c r="BY21" s="27" t="s">
        <v>93</v>
      </c>
      <c r="BZ21" s="27" t="s">
        <v>95</v>
      </c>
      <c r="CA21" s="27" t="s">
        <v>97</v>
      </c>
      <c r="CB21" s="27" t="s">
        <v>99</v>
      </c>
      <c r="CC21" s="27" t="s">
        <v>101</v>
      </c>
      <c r="CD21" s="27"/>
      <c r="CE21" s="27"/>
      <c r="CF21" s="27"/>
      <c r="CG21" s="27"/>
      <c r="CH21" s="27"/>
      <c r="CI21" s="27"/>
      <c r="CJ21" s="27"/>
      <c r="CK21" s="27"/>
      <c r="CL21" s="27"/>
      <c r="CM21" s="27"/>
      <c r="CN21" s="27"/>
      <c r="CO21" s="27"/>
      <c r="CP21" s="27"/>
      <c r="CQ21" s="27"/>
      <c r="CR21" s="27"/>
      <c r="CS21" s="27"/>
      <c r="CT21" s="27"/>
      <c r="CU21" s="27"/>
      <c r="CV21" s="27"/>
      <c r="CW21" s="27"/>
      <c r="CX21" s="27"/>
      <c r="CY21" s="27"/>
      <c r="CZ21" s="27"/>
      <c r="DA21" s="27"/>
      <c r="DB21" s="27"/>
      <c r="DC21" s="27"/>
      <c r="DD21" s="27"/>
      <c r="DE21" s="27"/>
      <c r="DF21" s="27"/>
      <c r="DG21" s="27"/>
      <c r="DH21" s="27"/>
      <c r="DI21" s="27"/>
      <c r="DJ21" s="27"/>
      <c r="DK21" s="27"/>
      <c r="DL21" s="27"/>
      <c r="DM21" s="27"/>
      <c r="DN21" s="27"/>
      <c r="DO21" s="27"/>
      <c r="DP21" s="27"/>
      <c r="DQ21" s="27"/>
      <c r="DR21" s="27"/>
      <c r="DS21" s="27"/>
      <c r="DT21" s="27"/>
      <c r="DU21" s="27"/>
      <c r="DV21" s="27"/>
      <c r="DW21" s="27"/>
      <c r="DX21" s="27"/>
      <c r="DY21" s="27"/>
      <c r="DZ21" s="27"/>
      <c r="EA21" s="27"/>
      <c r="EB21" s="27"/>
      <c r="EC21" s="27"/>
      <c r="ED21" s="27"/>
      <c r="EE21" s="27"/>
      <c r="EF21" s="27"/>
      <c r="EG21" s="27"/>
      <c r="EH21" s="27"/>
      <c r="EI21" s="27"/>
      <c r="EJ21" s="27"/>
      <c r="EK21" s="27"/>
      <c r="EL21" s="27"/>
      <c r="EM21" s="27"/>
      <c r="EN21" s="27"/>
      <c r="EO21" s="27"/>
      <c r="EP21" s="27"/>
      <c r="EQ21" s="27"/>
      <c r="ER21" s="27"/>
      <c r="ES21" s="27"/>
    </row>
    <row r="22" customFormat="false" ht="15" hidden="false" customHeight="false" outlineLevel="0" collapsed="false">
      <c r="A22" s="27" t="n">
        <v>21</v>
      </c>
      <c r="B22" s="7" t="s">
        <v>24</v>
      </c>
      <c r="C22" s="27" t="s">
        <v>303</v>
      </c>
      <c r="D22" s="27" t="s">
        <v>461</v>
      </c>
      <c r="E22" s="27" t="s">
        <v>87</v>
      </c>
      <c r="F22" s="27" t="s">
        <v>87</v>
      </c>
      <c r="G22" s="27" t="s">
        <v>88</v>
      </c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 t="s">
        <v>41</v>
      </c>
      <c r="BL22" s="27" t="s">
        <v>79</v>
      </c>
      <c r="BM22" s="27" t="s">
        <v>81</v>
      </c>
      <c r="BN22" s="27" t="s">
        <v>83</v>
      </c>
      <c r="BO22" s="27" t="s">
        <v>85</v>
      </c>
      <c r="BP22" s="27" t="s">
        <v>87</v>
      </c>
      <c r="BQ22" s="27" t="n">
        <f aca="false">COUNTIFS(Trechos!$L$2:$L$838,A22)</f>
        <v>1</v>
      </c>
      <c r="BR22" s="28" t="n">
        <f aca="false">SUMIFS(Trechos!$F$2:$F$838,Trechos!$L$2:$L$838,A22)</f>
        <v>35.9284296513527</v>
      </c>
      <c r="BS22" s="27" t="n">
        <f aca="false">COUNTA(BV22:ES22)</f>
        <v>0</v>
      </c>
      <c r="BT22" s="27" t="str">
        <f aca="false">IF(COUNTA(BV22:ES22)=0,"—",_xlfn.TEXTJOIN(", ",TRUE(),BV22:ES22))</f>
        <v>—</v>
      </c>
      <c r="BU22" s="27" t="s">
        <v>54</v>
      </c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  <c r="CK22" s="27"/>
      <c r="CL22" s="27"/>
      <c r="CM22" s="27"/>
      <c r="CN22" s="27"/>
      <c r="CO22" s="27"/>
      <c r="CP22" s="27"/>
      <c r="CQ22" s="27"/>
      <c r="CR22" s="27"/>
      <c r="CS22" s="27"/>
      <c r="CT22" s="27"/>
      <c r="CU22" s="27"/>
      <c r="CV22" s="27"/>
      <c r="CW22" s="27"/>
      <c r="CX22" s="27"/>
      <c r="CY22" s="27"/>
      <c r="CZ22" s="27"/>
      <c r="DA22" s="27"/>
      <c r="DB22" s="27"/>
      <c r="DC22" s="27"/>
      <c r="DD22" s="27"/>
      <c r="DE22" s="27"/>
      <c r="DF22" s="27"/>
      <c r="DG22" s="27"/>
      <c r="DH22" s="27"/>
      <c r="DI22" s="27"/>
      <c r="DJ22" s="27"/>
      <c r="DK22" s="27"/>
      <c r="DL22" s="27"/>
      <c r="DM22" s="27"/>
      <c r="DN22" s="27"/>
      <c r="DO22" s="27"/>
      <c r="DP22" s="27"/>
      <c r="DQ22" s="27"/>
      <c r="DR22" s="27"/>
      <c r="DS22" s="27"/>
      <c r="DT22" s="27"/>
      <c r="DU22" s="27"/>
      <c r="DV22" s="27"/>
      <c r="DW22" s="27"/>
      <c r="DX22" s="27"/>
      <c r="DY22" s="27"/>
      <c r="DZ22" s="27"/>
      <c r="EA22" s="27"/>
      <c r="EB22" s="27"/>
      <c r="EC22" s="27"/>
      <c r="ED22" s="27"/>
      <c r="EE22" s="27"/>
      <c r="EF22" s="27"/>
      <c r="EG22" s="27"/>
      <c r="EH22" s="27"/>
      <c r="EI22" s="27"/>
      <c r="EJ22" s="27"/>
      <c r="EK22" s="27"/>
      <c r="EL22" s="27"/>
      <c r="EM22" s="27"/>
      <c r="EN22" s="27"/>
      <c r="EO22" s="27"/>
      <c r="EP22" s="27"/>
      <c r="EQ22" s="27"/>
      <c r="ER22" s="27"/>
      <c r="ES22" s="27"/>
    </row>
    <row r="23" customFormat="false" ht="15" hidden="false" customHeight="false" outlineLevel="0" collapsed="false">
      <c r="A23" s="27" t="n">
        <v>22</v>
      </c>
      <c r="B23" s="7" t="s">
        <v>24</v>
      </c>
      <c r="C23" s="27" t="s">
        <v>303</v>
      </c>
      <c r="D23" s="27" t="s">
        <v>461</v>
      </c>
      <c r="E23" s="27" t="s">
        <v>89</v>
      </c>
      <c r="F23" s="27" t="s">
        <v>89</v>
      </c>
      <c r="G23" s="27" t="s">
        <v>90</v>
      </c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 t="s">
        <v>41</v>
      </c>
      <c r="BL23" s="27" t="s">
        <v>79</v>
      </c>
      <c r="BM23" s="27" t="s">
        <v>81</v>
      </c>
      <c r="BN23" s="27" t="s">
        <v>83</v>
      </c>
      <c r="BO23" s="27" t="s">
        <v>85</v>
      </c>
      <c r="BP23" s="27" t="s">
        <v>89</v>
      </c>
      <c r="BQ23" s="27" t="n">
        <f aca="false">COUNTIFS(Trechos!$L$2:$L$838,A23)</f>
        <v>1</v>
      </c>
      <c r="BR23" s="28" t="n">
        <f aca="false">SUMIFS(Trechos!$F$2:$F$838,Trechos!$L$2:$L$838,A23)</f>
        <v>466.717236768371</v>
      </c>
      <c r="BS23" s="27" t="n">
        <f aca="false">COUNTA(BV23:ES23)</f>
        <v>0</v>
      </c>
      <c r="BT23" s="27" t="str">
        <f aca="false">IF(COUNTA(BV23:ES23)=0,"—",_xlfn.TEXTJOIN(", ",TRUE(),BV23:ES23))</f>
        <v>—</v>
      </c>
      <c r="BU23" s="27" t="s">
        <v>54</v>
      </c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  <c r="CK23" s="27"/>
      <c r="CL23" s="27"/>
      <c r="CM23" s="27"/>
      <c r="CN23" s="27"/>
      <c r="CO23" s="27"/>
      <c r="CP23" s="27"/>
      <c r="CQ23" s="27"/>
      <c r="CR23" s="27"/>
      <c r="CS23" s="27"/>
      <c r="CT23" s="27"/>
      <c r="CU23" s="27"/>
      <c r="CV23" s="27"/>
      <c r="CW23" s="27"/>
      <c r="CX23" s="27"/>
      <c r="CY23" s="27"/>
      <c r="CZ23" s="27"/>
      <c r="DA23" s="27"/>
      <c r="DB23" s="27"/>
      <c r="DC23" s="27"/>
      <c r="DD23" s="27"/>
      <c r="DE23" s="27"/>
      <c r="DF23" s="27"/>
      <c r="DG23" s="27"/>
      <c r="DH23" s="27"/>
      <c r="DI23" s="27"/>
      <c r="DJ23" s="27"/>
      <c r="DK23" s="27"/>
      <c r="DL23" s="27"/>
      <c r="DM23" s="27"/>
      <c r="DN23" s="27"/>
      <c r="DO23" s="27"/>
      <c r="DP23" s="27"/>
      <c r="DQ23" s="27"/>
      <c r="DR23" s="27"/>
      <c r="DS23" s="27"/>
      <c r="DT23" s="27"/>
      <c r="DU23" s="27"/>
      <c r="DV23" s="27"/>
      <c r="DW23" s="27"/>
      <c r="DX23" s="27"/>
      <c r="DY23" s="27"/>
      <c r="DZ23" s="27"/>
      <c r="EA23" s="27"/>
      <c r="EB23" s="27"/>
      <c r="EC23" s="27"/>
      <c r="ED23" s="27"/>
      <c r="EE23" s="27"/>
      <c r="EF23" s="27"/>
      <c r="EG23" s="27"/>
      <c r="EH23" s="27"/>
      <c r="EI23" s="27"/>
      <c r="EJ23" s="27"/>
      <c r="EK23" s="27"/>
      <c r="EL23" s="27"/>
      <c r="EM23" s="27"/>
      <c r="EN23" s="27"/>
      <c r="EO23" s="27"/>
      <c r="EP23" s="27"/>
      <c r="EQ23" s="27"/>
      <c r="ER23" s="27"/>
      <c r="ES23" s="27"/>
    </row>
    <row r="24" customFormat="false" ht="15" hidden="false" customHeight="false" outlineLevel="0" collapsed="false">
      <c r="A24" s="27" t="n">
        <v>23</v>
      </c>
      <c r="B24" s="7" t="s">
        <v>24</v>
      </c>
      <c r="C24" s="27" t="s">
        <v>303</v>
      </c>
      <c r="D24" s="27" t="s">
        <v>461</v>
      </c>
      <c r="E24" s="27" t="s">
        <v>91</v>
      </c>
      <c r="F24" s="27" t="s">
        <v>91</v>
      </c>
      <c r="G24" s="27" t="s">
        <v>92</v>
      </c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 t="s">
        <v>41</v>
      </c>
      <c r="BL24" s="27" t="s">
        <v>79</v>
      </c>
      <c r="BM24" s="27" t="s">
        <v>81</v>
      </c>
      <c r="BN24" s="27" t="s">
        <v>83</v>
      </c>
      <c r="BO24" s="27" t="s">
        <v>85</v>
      </c>
      <c r="BP24" s="27" t="s">
        <v>91</v>
      </c>
      <c r="BQ24" s="27" t="n">
        <f aca="false">COUNTIFS(Trechos!$L$2:$L$838,A24)</f>
        <v>1</v>
      </c>
      <c r="BR24" s="28" t="n">
        <f aca="false">SUMIFS(Trechos!$F$2:$F$838,Trechos!$L$2:$L$838,A24)</f>
        <v>261.896214627817</v>
      </c>
      <c r="BS24" s="27" t="n">
        <f aca="false">COUNTA(BV24:ES24)</f>
        <v>0</v>
      </c>
      <c r="BT24" s="27" t="str">
        <f aca="false">IF(COUNTA(BV24:ES24)=0,"—",_xlfn.TEXTJOIN(", ",TRUE(),BV24:ES24))</f>
        <v>—</v>
      </c>
      <c r="BU24" s="27" t="s">
        <v>54</v>
      </c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  <c r="CK24" s="27"/>
      <c r="CL24" s="27"/>
      <c r="CM24" s="27"/>
      <c r="CN24" s="27"/>
      <c r="CO24" s="27"/>
      <c r="CP24" s="27"/>
      <c r="CQ24" s="27"/>
      <c r="CR24" s="27"/>
      <c r="CS24" s="27"/>
      <c r="CT24" s="27"/>
      <c r="CU24" s="27"/>
      <c r="CV24" s="27"/>
      <c r="CW24" s="27"/>
      <c r="CX24" s="27"/>
      <c r="CY24" s="27"/>
      <c r="CZ24" s="27"/>
      <c r="DA24" s="27"/>
      <c r="DB24" s="27"/>
      <c r="DC24" s="27"/>
      <c r="DD24" s="27"/>
      <c r="DE24" s="27"/>
      <c r="DF24" s="27"/>
      <c r="DG24" s="27"/>
      <c r="DH24" s="27"/>
      <c r="DI24" s="27"/>
      <c r="DJ24" s="27"/>
      <c r="DK24" s="27"/>
      <c r="DL24" s="27"/>
      <c r="DM24" s="27"/>
      <c r="DN24" s="27"/>
      <c r="DO24" s="27"/>
      <c r="DP24" s="27"/>
      <c r="DQ24" s="27"/>
      <c r="DR24" s="27"/>
      <c r="DS24" s="27"/>
      <c r="DT24" s="27"/>
      <c r="DU24" s="27"/>
      <c r="DV24" s="27"/>
      <c r="DW24" s="27"/>
      <c r="DX24" s="27"/>
      <c r="DY24" s="27"/>
      <c r="DZ24" s="27"/>
      <c r="EA24" s="27"/>
      <c r="EB24" s="27"/>
      <c r="EC24" s="27"/>
      <c r="ED24" s="27"/>
      <c r="EE24" s="27"/>
      <c r="EF24" s="27"/>
      <c r="EG24" s="27"/>
      <c r="EH24" s="27"/>
      <c r="EI24" s="27"/>
      <c r="EJ24" s="27"/>
      <c r="EK24" s="27"/>
      <c r="EL24" s="27"/>
      <c r="EM24" s="27"/>
      <c r="EN24" s="27"/>
      <c r="EO24" s="27"/>
      <c r="EP24" s="27"/>
      <c r="EQ24" s="27"/>
      <c r="ER24" s="27"/>
      <c r="ES24" s="27"/>
    </row>
    <row r="25" customFormat="false" ht="15" hidden="false" customHeight="false" outlineLevel="0" collapsed="false">
      <c r="A25" s="27" t="n">
        <v>24</v>
      </c>
      <c r="B25" s="7" t="s">
        <v>24</v>
      </c>
      <c r="C25" s="27" t="s">
        <v>303</v>
      </c>
      <c r="D25" s="27" t="s">
        <v>461</v>
      </c>
      <c r="E25" s="27" t="s">
        <v>93</v>
      </c>
      <c r="F25" s="27" t="s">
        <v>93</v>
      </c>
      <c r="G25" s="27" t="s">
        <v>94</v>
      </c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 t="s">
        <v>41</v>
      </c>
      <c r="BL25" s="27" t="s">
        <v>79</v>
      </c>
      <c r="BM25" s="27" t="s">
        <v>81</v>
      </c>
      <c r="BN25" s="27" t="s">
        <v>83</v>
      </c>
      <c r="BO25" s="27" t="s">
        <v>85</v>
      </c>
      <c r="BP25" s="27" t="s">
        <v>93</v>
      </c>
      <c r="BQ25" s="27" t="n">
        <f aca="false">COUNTIFS(Trechos!$L$2:$L$838,A25)</f>
        <v>1</v>
      </c>
      <c r="BR25" s="28" t="n">
        <f aca="false">SUMIFS(Trechos!$F$2:$F$838,Trechos!$L$2:$L$838,A25)</f>
        <v>114.556695977505</v>
      </c>
      <c r="BS25" s="27" t="n">
        <f aca="false">COUNTA(BV25:ES25)</f>
        <v>0</v>
      </c>
      <c r="BT25" s="27" t="str">
        <f aca="false">IF(COUNTA(BV25:ES25)=0,"—",_xlfn.TEXTJOIN(", ",TRUE(),BV25:ES25))</f>
        <v>—</v>
      </c>
      <c r="BU25" s="27" t="s">
        <v>54</v>
      </c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  <c r="CK25" s="27"/>
      <c r="CL25" s="27"/>
      <c r="CM25" s="27"/>
      <c r="CN25" s="27"/>
      <c r="CO25" s="27"/>
      <c r="CP25" s="27"/>
      <c r="CQ25" s="27"/>
      <c r="CR25" s="27"/>
      <c r="CS25" s="27"/>
      <c r="CT25" s="27"/>
      <c r="CU25" s="27"/>
      <c r="CV25" s="27"/>
      <c r="CW25" s="27"/>
      <c r="CX25" s="27"/>
      <c r="CY25" s="27"/>
      <c r="CZ25" s="27"/>
      <c r="DA25" s="27"/>
      <c r="DB25" s="27"/>
      <c r="DC25" s="27"/>
      <c r="DD25" s="27"/>
      <c r="DE25" s="27"/>
      <c r="DF25" s="27"/>
      <c r="DG25" s="27"/>
      <c r="DH25" s="27"/>
      <c r="DI25" s="27"/>
      <c r="DJ25" s="27"/>
      <c r="DK25" s="27"/>
      <c r="DL25" s="27"/>
      <c r="DM25" s="27"/>
      <c r="DN25" s="27"/>
      <c r="DO25" s="27"/>
      <c r="DP25" s="27"/>
      <c r="DQ25" s="27"/>
      <c r="DR25" s="27"/>
      <c r="DS25" s="27"/>
      <c r="DT25" s="27"/>
      <c r="DU25" s="27"/>
      <c r="DV25" s="27"/>
      <c r="DW25" s="27"/>
      <c r="DX25" s="27"/>
      <c r="DY25" s="27"/>
      <c r="DZ25" s="27"/>
      <c r="EA25" s="27"/>
      <c r="EB25" s="27"/>
      <c r="EC25" s="27"/>
      <c r="ED25" s="27"/>
      <c r="EE25" s="27"/>
      <c r="EF25" s="27"/>
      <c r="EG25" s="27"/>
      <c r="EH25" s="27"/>
      <c r="EI25" s="27"/>
      <c r="EJ25" s="27"/>
      <c r="EK25" s="27"/>
      <c r="EL25" s="27"/>
      <c r="EM25" s="27"/>
      <c r="EN25" s="27"/>
      <c r="EO25" s="27"/>
      <c r="EP25" s="27"/>
      <c r="EQ25" s="27"/>
      <c r="ER25" s="27"/>
      <c r="ES25" s="27"/>
    </row>
    <row r="26" customFormat="false" ht="15" hidden="false" customHeight="false" outlineLevel="0" collapsed="false">
      <c r="A26" s="27" t="n">
        <v>25</v>
      </c>
      <c r="B26" s="7" t="s">
        <v>24</v>
      </c>
      <c r="C26" s="27" t="s">
        <v>303</v>
      </c>
      <c r="D26" s="27" t="s">
        <v>461</v>
      </c>
      <c r="E26" s="27" t="s">
        <v>95</v>
      </c>
      <c r="F26" s="27" t="s">
        <v>95</v>
      </c>
      <c r="G26" s="27" t="s">
        <v>96</v>
      </c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 t="s">
        <v>41</v>
      </c>
      <c r="BL26" s="27" t="s">
        <v>79</v>
      </c>
      <c r="BM26" s="27" t="s">
        <v>81</v>
      </c>
      <c r="BN26" s="27" t="s">
        <v>83</v>
      </c>
      <c r="BO26" s="27" t="s">
        <v>85</v>
      </c>
      <c r="BP26" s="27" t="s">
        <v>95</v>
      </c>
      <c r="BQ26" s="27" t="n">
        <f aca="false">COUNTIFS(Trechos!$L$2:$L$838,A26)</f>
        <v>3</v>
      </c>
      <c r="BR26" s="28" t="n">
        <f aca="false">SUMIFS(Trechos!$F$2:$F$838,Trechos!$L$2:$L$838,A26)</f>
        <v>106.355731496363</v>
      </c>
      <c r="BS26" s="27" t="n">
        <f aca="false">COUNTA(BV26:ES26)</f>
        <v>0</v>
      </c>
      <c r="BT26" s="27" t="str">
        <f aca="false">IF(COUNTA(BV26:ES26)=0,"—",_xlfn.TEXTJOIN(", ",TRUE(),BV26:ES26))</f>
        <v>—</v>
      </c>
      <c r="BU26" s="27" t="s">
        <v>54</v>
      </c>
      <c r="BV26" s="27"/>
      <c r="BW26" s="27"/>
      <c r="BX26" s="27"/>
      <c r="BY26" s="27"/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  <c r="CK26" s="27"/>
      <c r="CL26" s="27"/>
      <c r="CM26" s="27"/>
      <c r="CN26" s="27"/>
      <c r="CO26" s="27"/>
      <c r="CP26" s="27"/>
      <c r="CQ26" s="27"/>
      <c r="CR26" s="27"/>
      <c r="CS26" s="27"/>
      <c r="CT26" s="27"/>
      <c r="CU26" s="27"/>
      <c r="CV26" s="27"/>
      <c r="CW26" s="27"/>
      <c r="CX26" s="27"/>
      <c r="CY26" s="27"/>
      <c r="CZ26" s="27"/>
      <c r="DA26" s="27"/>
      <c r="DB26" s="27"/>
      <c r="DC26" s="27"/>
      <c r="DD26" s="27"/>
      <c r="DE26" s="27"/>
      <c r="DF26" s="27"/>
      <c r="DG26" s="27"/>
      <c r="DH26" s="27"/>
      <c r="DI26" s="27"/>
      <c r="DJ26" s="27"/>
      <c r="DK26" s="27"/>
      <c r="DL26" s="27"/>
      <c r="DM26" s="27"/>
      <c r="DN26" s="27"/>
      <c r="DO26" s="27"/>
      <c r="DP26" s="27"/>
      <c r="DQ26" s="27"/>
      <c r="DR26" s="27"/>
      <c r="DS26" s="27"/>
      <c r="DT26" s="27"/>
      <c r="DU26" s="27"/>
      <c r="DV26" s="27"/>
      <c r="DW26" s="27"/>
      <c r="DX26" s="27"/>
      <c r="DY26" s="27"/>
      <c r="DZ26" s="27"/>
      <c r="EA26" s="27"/>
      <c r="EB26" s="27"/>
      <c r="EC26" s="27"/>
      <c r="ED26" s="27"/>
      <c r="EE26" s="27"/>
      <c r="EF26" s="27"/>
      <c r="EG26" s="27"/>
      <c r="EH26" s="27"/>
      <c r="EI26" s="27"/>
      <c r="EJ26" s="27"/>
      <c r="EK26" s="27"/>
      <c r="EL26" s="27"/>
      <c r="EM26" s="27"/>
      <c r="EN26" s="27"/>
      <c r="EO26" s="27"/>
      <c r="EP26" s="27"/>
      <c r="EQ26" s="27"/>
      <c r="ER26" s="27"/>
      <c r="ES26" s="27"/>
    </row>
    <row r="27" customFormat="false" ht="15" hidden="false" customHeight="false" outlineLevel="0" collapsed="false">
      <c r="A27" s="27" t="n">
        <v>26</v>
      </c>
      <c r="B27" s="7" t="s">
        <v>24</v>
      </c>
      <c r="C27" s="27" t="s">
        <v>303</v>
      </c>
      <c r="D27" s="27" t="s">
        <v>461</v>
      </c>
      <c r="E27" s="27" t="s">
        <v>97</v>
      </c>
      <c r="F27" s="27" t="s">
        <v>97</v>
      </c>
      <c r="G27" s="27" t="s">
        <v>98</v>
      </c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 t="s">
        <v>41</v>
      </c>
      <c r="BL27" s="27" t="s">
        <v>79</v>
      </c>
      <c r="BM27" s="27" t="s">
        <v>81</v>
      </c>
      <c r="BN27" s="27" t="s">
        <v>83</v>
      </c>
      <c r="BO27" s="27" t="s">
        <v>85</v>
      </c>
      <c r="BP27" s="27" t="s">
        <v>97</v>
      </c>
      <c r="BQ27" s="27" t="n">
        <f aca="false">COUNTIFS(Trechos!$L$2:$L$838,A27)</f>
        <v>1</v>
      </c>
      <c r="BR27" s="28" t="n">
        <f aca="false">SUMIFS(Trechos!$F$2:$F$838,Trechos!$L$2:$L$838,A27)</f>
        <v>50.2992505888517</v>
      </c>
      <c r="BS27" s="27" t="n">
        <f aca="false">COUNTA(BV27:ES27)</f>
        <v>0</v>
      </c>
      <c r="BT27" s="27" t="str">
        <f aca="false">IF(COUNTA(BV27:ES27)=0,"—",_xlfn.TEXTJOIN(", ",TRUE(),BV27:ES27))</f>
        <v>—</v>
      </c>
      <c r="BU27" s="27" t="s">
        <v>54</v>
      </c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  <c r="CK27" s="27"/>
      <c r="CL27" s="27"/>
      <c r="CM27" s="27"/>
      <c r="CN27" s="27"/>
      <c r="CO27" s="27"/>
      <c r="CP27" s="27"/>
      <c r="CQ27" s="27"/>
      <c r="CR27" s="27"/>
      <c r="CS27" s="27"/>
      <c r="CT27" s="27"/>
      <c r="CU27" s="27"/>
      <c r="CV27" s="27"/>
      <c r="CW27" s="27"/>
      <c r="CX27" s="27"/>
      <c r="CY27" s="27"/>
      <c r="CZ27" s="27"/>
      <c r="DA27" s="27"/>
      <c r="DB27" s="27"/>
      <c r="DC27" s="27"/>
      <c r="DD27" s="27"/>
      <c r="DE27" s="27"/>
      <c r="DF27" s="27"/>
      <c r="DG27" s="27"/>
      <c r="DH27" s="27"/>
      <c r="DI27" s="27"/>
      <c r="DJ27" s="27"/>
      <c r="DK27" s="27"/>
      <c r="DL27" s="27"/>
      <c r="DM27" s="27"/>
      <c r="DN27" s="27"/>
      <c r="DO27" s="27"/>
      <c r="DP27" s="27"/>
      <c r="DQ27" s="27"/>
      <c r="DR27" s="27"/>
      <c r="DS27" s="27"/>
      <c r="DT27" s="27"/>
      <c r="DU27" s="27"/>
      <c r="DV27" s="27"/>
      <c r="DW27" s="27"/>
      <c r="DX27" s="27"/>
      <c r="DY27" s="27"/>
      <c r="DZ27" s="27"/>
      <c r="EA27" s="27"/>
      <c r="EB27" s="27"/>
      <c r="EC27" s="27"/>
      <c r="ED27" s="27"/>
      <c r="EE27" s="27"/>
      <c r="EF27" s="27"/>
      <c r="EG27" s="27"/>
      <c r="EH27" s="27"/>
      <c r="EI27" s="27"/>
      <c r="EJ27" s="27"/>
      <c r="EK27" s="27"/>
      <c r="EL27" s="27"/>
      <c r="EM27" s="27"/>
      <c r="EN27" s="27"/>
      <c r="EO27" s="27"/>
      <c r="EP27" s="27"/>
      <c r="EQ27" s="27"/>
      <c r="ER27" s="27"/>
      <c r="ES27" s="27"/>
    </row>
    <row r="28" customFormat="false" ht="15" hidden="false" customHeight="false" outlineLevel="0" collapsed="false">
      <c r="A28" s="27" t="n">
        <v>27</v>
      </c>
      <c r="B28" s="7" t="s">
        <v>24</v>
      </c>
      <c r="C28" s="27" t="s">
        <v>303</v>
      </c>
      <c r="D28" s="27" t="s">
        <v>461</v>
      </c>
      <c r="E28" s="27" t="s">
        <v>99</v>
      </c>
      <c r="F28" s="27" t="s">
        <v>99</v>
      </c>
      <c r="G28" s="27" t="s">
        <v>100</v>
      </c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 t="s">
        <v>41</v>
      </c>
      <c r="BL28" s="27" t="s">
        <v>79</v>
      </c>
      <c r="BM28" s="27" t="s">
        <v>81</v>
      </c>
      <c r="BN28" s="27" t="s">
        <v>83</v>
      </c>
      <c r="BO28" s="27" t="s">
        <v>85</v>
      </c>
      <c r="BP28" s="27" t="s">
        <v>99</v>
      </c>
      <c r="BQ28" s="27" t="n">
        <f aca="false">COUNTIFS(Trechos!$L$2:$L$838,A28)</f>
        <v>1</v>
      </c>
      <c r="BR28" s="28" t="n">
        <f aca="false">SUMIFS(Trechos!$F$2:$F$838,Trechos!$L$2:$L$838,A28)</f>
        <v>92.2586306696714</v>
      </c>
      <c r="BS28" s="27" t="n">
        <f aca="false">COUNTA(BV28:ES28)</f>
        <v>0</v>
      </c>
      <c r="BT28" s="27" t="str">
        <f aca="false">IF(COUNTA(BV28:ES28)=0,"—",_xlfn.TEXTJOIN(", ",TRUE(),BV28:ES28))</f>
        <v>—</v>
      </c>
      <c r="BU28" s="27" t="s">
        <v>54</v>
      </c>
      <c r="BV28" s="27"/>
      <c r="BW28" s="27"/>
      <c r="BX28" s="27"/>
      <c r="BY28" s="27"/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  <c r="CK28" s="27"/>
      <c r="CL28" s="27"/>
      <c r="CM28" s="27"/>
      <c r="CN28" s="27"/>
      <c r="CO28" s="27"/>
      <c r="CP28" s="27"/>
      <c r="CQ28" s="27"/>
      <c r="CR28" s="27"/>
      <c r="CS28" s="27"/>
      <c r="CT28" s="27"/>
      <c r="CU28" s="27"/>
      <c r="CV28" s="27"/>
      <c r="CW28" s="27"/>
      <c r="CX28" s="27"/>
      <c r="CY28" s="27"/>
      <c r="CZ28" s="27"/>
      <c r="DA28" s="27"/>
      <c r="DB28" s="27"/>
      <c r="DC28" s="27"/>
      <c r="DD28" s="27"/>
      <c r="DE28" s="27"/>
      <c r="DF28" s="27"/>
      <c r="DG28" s="27"/>
      <c r="DH28" s="27"/>
      <c r="DI28" s="27"/>
      <c r="DJ28" s="27"/>
      <c r="DK28" s="27"/>
      <c r="DL28" s="27"/>
      <c r="DM28" s="27"/>
      <c r="DN28" s="27"/>
      <c r="DO28" s="27"/>
      <c r="DP28" s="27"/>
      <c r="DQ28" s="27"/>
      <c r="DR28" s="27"/>
      <c r="DS28" s="27"/>
      <c r="DT28" s="27"/>
      <c r="DU28" s="27"/>
      <c r="DV28" s="27"/>
      <c r="DW28" s="27"/>
      <c r="DX28" s="27"/>
      <c r="DY28" s="27"/>
      <c r="DZ28" s="27"/>
      <c r="EA28" s="27"/>
      <c r="EB28" s="27"/>
      <c r="EC28" s="27"/>
      <c r="ED28" s="27"/>
      <c r="EE28" s="27"/>
      <c r="EF28" s="27"/>
      <c r="EG28" s="27"/>
      <c r="EH28" s="27"/>
      <c r="EI28" s="27"/>
      <c r="EJ28" s="27"/>
      <c r="EK28" s="27"/>
      <c r="EL28" s="27"/>
      <c r="EM28" s="27"/>
      <c r="EN28" s="27"/>
      <c r="EO28" s="27"/>
      <c r="EP28" s="27"/>
      <c r="EQ28" s="27"/>
      <c r="ER28" s="27"/>
      <c r="ES28" s="27"/>
    </row>
    <row r="29" customFormat="false" ht="15" hidden="false" customHeight="false" outlineLevel="0" collapsed="false">
      <c r="A29" s="27" t="n">
        <v>28</v>
      </c>
      <c r="B29" s="7" t="s">
        <v>24</v>
      </c>
      <c r="C29" s="27" t="s">
        <v>303</v>
      </c>
      <c r="D29" s="27" t="s">
        <v>461</v>
      </c>
      <c r="E29" s="27" t="s">
        <v>101</v>
      </c>
      <c r="F29" s="27" t="s">
        <v>101</v>
      </c>
      <c r="G29" s="27" t="s">
        <v>102</v>
      </c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 t="s">
        <v>41</v>
      </c>
      <c r="BL29" s="27" t="s">
        <v>79</v>
      </c>
      <c r="BM29" s="27" t="s">
        <v>81</v>
      </c>
      <c r="BN29" s="27" t="s">
        <v>83</v>
      </c>
      <c r="BO29" s="27" t="s">
        <v>85</v>
      </c>
      <c r="BP29" s="27" t="s">
        <v>101</v>
      </c>
      <c r="BQ29" s="27" t="n">
        <f aca="false">COUNTIFS(Trechos!$L$2:$L$838,A29)</f>
        <v>1</v>
      </c>
      <c r="BR29" s="28" t="n">
        <f aca="false">SUMIFS(Trechos!$F$2:$F$838,Trechos!$L$2:$L$838,A29)</f>
        <v>252.909183033416</v>
      </c>
      <c r="BS29" s="27" t="n">
        <f aca="false">COUNTA(BV29:ES29)</f>
        <v>0</v>
      </c>
      <c r="BT29" s="27" t="str">
        <f aca="false">IF(COUNTA(BV29:ES29)=0,"—",_xlfn.TEXTJOIN(", ",TRUE(),BV29:ES29))</f>
        <v>—</v>
      </c>
      <c r="BU29" s="27" t="s">
        <v>54</v>
      </c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  <c r="CK29" s="27"/>
      <c r="CL29" s="27"/>
      <c r="CM29" s="27"/>
      <c r="CN29" s="27"/>
      <c r="CO29" s="27"/>
      <c r="CP29" s="27"/>
      <c r="CQ29" s="27"/>
      <c r="CR29" s="27"/>
      <c r="CS29" s="27"/>
      <c r="CT29" s="27"/>
      <c r="CU29" s="27"/>
      <c r="CV29" s="27"/>
      <c r="CW29" s="27"/>
      <c r="CX29" s="27"/>
      <c r="CY29" s="27"/>
      <c r="CZ29" s="27"/>
      <c r="DA29" s="27"/>
      <c r="DB29" s="27"/>
      <c r="DC29" s="27"/>
      <c r="DD29" s="27"/>
      <c r="DE29" s="27"/>
      <c r="DF29" s="27"/>
      <c r="DG29" s="27"/>
      <c r="DH29" s="27"/>
      <c r="DI29" s="27"/>
      <c r="DJ29" s="27"/>
      <c r="DK29" s="27"/>
      <c r="DL29" s="27"/>
      <c r="DM29" s="27"/>
      <c r="DN29" s="27"/>
      <c r="DO29" s="27"/>
      <c r="DP29" s="27"/>
      <c r="DQ29" s="27"/>
      <c r="DR29" s="27"/>
      <c r="DS29" s="27"/>
      <c r="DT29" s="27"/>
      <c r="DU29" s="27"/>
      <c r="DV29" s="27"/>
      <c r="DW29" s="27"/>
      <c r="DX29" s="27"/>
      <c r="DY29" s="27"/>
      <c r="DZ29" s="27"/>
      <c r="EA29" s="27"/>
      <c r="EB29" s="27"/>
      <c r="EC29" s="27"/>
      <c r="ED29" s="27"/>
      <c r="EE29" s="27"/>
      <c r="EF29" s="27"/>
      <c r="EG29" s="27"/>
      <c r="EH29" s="27"/>
      <c r="EI29" s="27"/>
      <c r="EJ29" s="27"/>
      <c r="EK29" s="27"/>
      <c r="EL29" s="27"/>
      <c r="EM29" s="27"/>
      <c r="EN29" s="27"/>
      <c r="EO29" s="27"/>
      <c r="EP29" s="27"/>
      <c r="EQ29" s="27"/>
      <c r="ER29" s="27"/>
      <c r="ES29" s="27"/>
    </row>
    <row r="30" customFormat="false" ht="15" hidden="false" customHeight="false" outlineLevel="0" collapsed="false">
      <c r="A30" s="27" t="n">
        <v>29</v>
      </c>
      <c r="B30" s="7" t="s">
        <v>24</v>
      </c>
      <c r="C30" s="27" t="s">
        <v>303</v>
      </c>
      <c r="D30" s="27" t="s">
        <v>461</v>
      </c>
      <c r="E30" s="27" t="s">
        <v>103</v>
      </c>
      <c r="F30" s="27" t="s">
        <v>103</v>
      </c>
      <c r="G30" s="27" t="s">
        <v>104</v>
      </c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 t="s">
        <v>41</v>
      </c>
      <c r="BL30" s="27" t="s">
        <v>79</v>
      </c>
      <c r="BM30" s="27" t="s">
        <v>81</v>
      </c>
      <c r="BN30" s="27" t="s">
        <v>103</v>
      </c>
      <c r="BO30" s="27"/>
      <c r="BP30" s="27"/>
      <c r="BQ30" s="27" t="n">
        <f aca="false">COUNTIFS(Trechos!$L$2:$L$838,A30)</f>
        <v>1</v>
      </c>
      <c r="BR30" s="28" t="n">
        <f aca="false">SUMIFS(Trechos!$F$2:$F$838,Trechos!$L$2:$L$838,A30)</f>
        <v>30.8355904582397</v>
      </c>
      <c r="BS30" s="27" t="n">
        <f aca="false">COUNTA(BV30:ES30)</f>
        <v>0</v>
      </c>
      <c r="BT30" s="27" t="str">
        <f aca="false">IF(COUNTA(BV30:ES30)=0,"—",_xlfn.TEXTJOIN(", ",TRUE(),BV30:ES30))</f>
        <v>—</v>
      </c>
      <c r="BU30" s="27" t="s">
        <v>54</v>
      </c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  <c r="CK30" s="27"/>
      <c r="CL30" s="27"/>
      <c r="CM30" s="27"/>
      <c r="CN30" s="27"/>
      <c r="CO30" s="27"/>
      <c r="CP30" s="27"/>
      <c r="CQ30" s="27"/>
      <c r="CR30" s="27"/>
      <c r="CS30" s="27"/>
      <c r="CT30" s="27"/>
      <c r="CU30" s="27"/>
      <c r="CV30" s="27"/>
      <c r="CW30" s="27"/>
      <c r="CX30" s="27"/>
      <c r="CY30" s="27"/>
      <c r="CZ30" s="27"/>
      <c r="DA30" s="27"/>
      <c r="DB30" s="27"/>
      <c r="DC30" s="27"/>
      <c r="DD30" s="27"/>
      <c r="DE30" s="27"/>
      <c r="DF30" s="27"/>
      <c r="DG30" s="27"/>
      <c r="DH30" s="27"/>
      <c r="DI30" s="27"/>
      <c r="DJ30" s="27"/>
      <c r="DK30" s="27"/>
      <c r="DL30" s="27"/>
      <c r="DM30" s="27"/>
      <c r="DN30" s="27"/>
      <c r="DO30" s="27"/>
      <c r="DP30" s="27"/>
      <c r="DQ30" s="27"/>
      <c r="DR30" s="27"/>
      <c r="DS30" s="27"/>
      <c r="DT30" s="27"/>
      <c r="DU30" s="27"/>
      <c r="DV30" s="27"/>
      <c r="DW30" s="27"/>
      <c r="DX30" s="27"/>
      <c r="DY30" s="27"/>
      <c r="DZ30" s="27"/>
      <c r="EA30" s="27"/>
      <c r="EB30" s="27"/>
      <c r="EC30" s="27"/>
      <c r="ED30" s="27"/>
      <c r="EE30" s="27"/>
      <c r="EF30" s="27"/>
      <c r="EG30" s="27"/>
      <c r="EH30" s="27"/>
      <c r="EI30" s="27"/>
      <c r="EJ30" s="27"/>
      <c r="EK30" s="27"/>
      <c r="EL30" s="27"/>
      <c r="EM30" s="27"/>
      <c r="EN30" s="27"/>
      <c r="EO30" s="27"/>
      <c r="EP30" s="27"/>
      <c r="EQ30" s="27"/>
      <c r="ER30" s="27"/>
      <c r="ES30" s="27"/>
    </row>
    <row r="31" customFormat="false" ht="15" hidden="false" customHeight="false" outlineLevel="0" collapsed="false">
      <c r="A31" s="27" t="n">
        <v>30</v>
      </c>
      <c r="B31" s="7" t="s">
        <v>24</v>
      </c>
      <c r="C31" s="27" t="s">
        <v>303</v>
      </c>
      <c r="D31" s="27" t="s">
        <v>461</v>
      </c>
      <c r="E31" s="27" t="s">
        <v>105</v>
      </c>
      <c r="F31" s="27" t="s">
        <v>105</v>
      </c>
      <c r="G31" s="27" t="s">
        <v>106</v>
      </c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 t="s">
        <v>41</v>
      </c>
      <c r="BL31" s="27" t="s">
        <v>79</v>
      </c>
      <c r="BM31" s="27" t="s">
        <v>81</v>
      </c>
      <c r="BN31" s="27" t="s">
        <v>105</v>
      </c>
      <c r="BO31" s="27"/>
      <c r="BP31" s="27"/>
      <c r="BQ31" s="27" t="n">
        <f aca="false">COUNTIFS(Trechos!$L$2:$L$838,A31)</f>
        <v>1</v>
      </c>
      <c r="BR31" s="28" t="n">
        <f aca="false">SUMIFS(Trechos!$F$2:$F$838,Trechos!$L$2:$L$838,A31)</f>
        <v>60.4709293449866</v>
      </c>
      <c r="BS31" s="27" t="n">
        <f aca="false">COUNTA(BV31:ES31)</f>
        <v>0</v>
      </c>
      <c r="BT31" s="27" t="str">
        <f aca="false">IF(COUNTA(BV31:ES31)=0,"—",_xlfn.TEXTJOIN(", ",TRUE(),BV31:ES31))</f>
        <v>—</v>
      </c>
      <c r="BU31" s="27" t="s">
        <v>54</v>
      </c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  <c r="CK31" s="27"/>
      <c r="CL31" s="27"/>
      <c r="CM31" s="27"/>
      <c r="CN31" s="27"/>
      <c r="CO31" s="27"/>
      <c r="CP31" s="27"/>
      <c r="CQ31" s="27"/>
      <c r="CR31" s="27"/>
      <c r="CS31" s="27"/>
      <c r="CT31" s="27"/>
      <c r="CU31" s="27"/>
      <c r="CV31" s="27"/>
      <c r="CW31" s="27"/>
      <c r="CX31" s="27"/>
      <c r="CY31" s="27"/>
      <c r="CZ31" s="27"/>
      <c r="DA31" s="27"/>
      <c r="DB31" s="27"/>
      <c r="DC31" s="27"/>
      <c r="DD31" s="27"/>
      <c r="DE31" s="27"/>
      <c r="DF31" s="27"/>
      <c r="DG31" s="27"/>
      <c r="DH31" s="27"/>
      <c r="DI31" s="27"/>
      <c r="DJ31" s="27"/>
      <c r="DK31" s="27"/>
      <c r="DL31" s="27"/>
      <c r="DM31" s="27"/>
      <c r="DN31" s="27"/>
      <c r="DO31" s="27"/>
      <c r="DP31" s="27"/>
      <c r="DQ31" s="27"/>
      <c r="DR31" s="27"/>
      <c r="DS31" s="27"/>
      <c r="DT31" s="27"/>
      <c r="DU31" s="27"/>
      <c r="DV31" s="27"/>
      <c r="DW31" s="27"/>
      <c r="DX31" s="27"/>
      <c r="DY31" s="27"/>
      <c r="DZ31" s="27"/>
      <c r="EA31" s="27"/>
      <c r="EB31" s="27"/>
      <c r="EC31" s="27"/>
      <c r="ED31" s="27"/>
      <c r="EE31" s="27"/>
      <c r="EF31" s="27"/>
      <c r="EG31" s="27"/>
      <c r="EH31" s="27"/>
      <c r="EI31" s="27"/>
      <c r="EJ31" s="27"/>
      <c r="EK31" s="27"/>
      <c r="EL31" s="27"/>
      <c r="EM31" s="27"/>
      <c r="EN31" s="27"/>
      <c r="EO31" s="27"/>
      <c r="EP31" s="27"/>
      <c r="EQ31" s="27"/>
      <c r="ER31" s="27"/>
      <c r="ES31" s="27"/>
    </row>
    <row r="32" customFormat="false" ht="15" hidden="false" customHeight="false" outlineLevel="0" collapsed="false">
      <c r="A32" s="27" t="n">
        <v>31</v>
      </c>
      <c r="B32" s="7" t="s">
        <v>24</v>
      </c>
      <c r="C32" s="27" t="s">
        <v>303</v>
      </c>
      <c r="D32" s="27" t="s">
        <v>461</v>
      </c>
      <c r="E32" s="27" t="s">
        <v>107</v>
      </c>
      <c r="F32" s="27" t="s">
        <v>107</v>
      </c>
      <c r="G32" s="27" t="s">
        <v>108</v>
      </c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 t="s">
        <v>41</v>
      </c>
      <c r="BL32" s="27" t="s">
        <v>79</v>
      </c>
      <c r="BM32" s="27" t="s">
        <v>81</v>
      </c>
      <c r="BN32" s="27" t="s">
        <v>107</v>
      </c>
      <c r="BO32" s="27"/>
      <c r="BP32" s="27"/>
      <c r="BQ32" s="27" t="n">
        <f aca="false">COUNTIFS(Trechos!$L$2:$L$838,A32)</f>
        <v>1</v>
      </c>
      <c r="BR32" s="28" t="n">
        <f aca="false">SUMIFS(Trechos!$F$2:$F$838,Trechos!$L$2:$L$838,A32)</f>
        <v>347.967746604303</v>
      </c>
      <c r="BS32" s="27" t="n">
        <f aca="false">COUNTA(BV32:ES32)</f>
        <v>0</v>
      </c>
      <c r="BT32" s="27" t="str">
        <f aca="false">IF(COUNTA(BV32:ES32)=0,"—",_xlfn.TEXTJOIN(", ",TRUE(),BV32:ES32))</f>
        <v>—</v>
      </c>
      <c r="BU32" s="27" t="s">
        <v>54</v>
      </c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  <c r="CK32" s="27"/>
      <c r="CL32" s="27"/>
      <c r="CM32" s="27"/>
      <c r="CN32" s="27"/>
      <c r="CO32" s="27"/>
      <c r="CP32" s="27"/>
      <c r="CQ32" s="27"/>
      <c r="CR32" s="27"/>
      <c r="CS32" s="27"/>
      <c r="CT32" s="27"/>
      <c r="CU32" s="27"/>
      <c r="CV32" s="27"/>
      <c r="CW32" s="27"/>
      <c r="CX32" s="27"/>
      <c r="CY32" s="27"/>
      <c r="CZ32" s="27"/>
      <c r="DA32" s="27"/>
      <c r="DB32" s="27"/>
      <c r="DC32" s="27"/>
      <c r="DD32" s="27"/>
      <c r="DE32" s="27"/>
      <c r="DF32" s="27"/>
      <c r="DG32" s="27"/>
      <c r="DH32" s="27"/>
      <c r="DI32" s="27"/>
      <c r="DJ32" s="27"/>
      <c r="DK32" s="27"/>
      <c r="DL32" s="27"/>
      <c r="DM32" s="27"/>
      <c r="DN32" s="27"/>
      <c r="DO32" s="27"/>
      <c r="DP32" s="27"/>
      <c r="DQ32" s="27"/>
      <c r="DR32" s="27"/>
      <c r="DS32" s="27"/>
      <c r="DT32" s="27"/>
      <c r="DU32" s="27"/>
      <c r="DV32" s="27"/>
      <c r="DW32" s="27"/>
      <c r="DX32" s="27"/>
      <c r="DY32" s="27"/>
      <c r="DZ32" s="27"/>
      <c r="EA32" s="27"/>
      <c r="EB32" s="27"/>
      <c r="EC32" s="27"/>
      <c r="ED32" s="27"/>
      <c r="EE32" s="27"/>
      <c r="EF32" s="27"/>
      <c r="EG32" s="27"/>
      <c r="EH32" s="27"/>
      <c r="EI32" s="27"/>
      <c r="EJ32" s="27"/>
      <c r="EK32" s="27"/>
      <c r="EL32" s="27"/>
      <c r="EM32" s="27"/>
      <c r="EN32" s="27"/>
      <c r="EO32" s="27"/>
      <c r="EP32" s="27"/>
      <c r="EQ32" s="27"/>
      <c r="ER32" s="27"/>
      <c r="ES32" s="27"/>
    </row>
    <row r="33" customFormat="false" ht="15" hidden="false" customHeight="false" outlineLevel="0" collapsed="false">
      <c r="A33" s="27" t="n">
        <v>32</v>
      </c>
      <c r="B33" s="7" t="s">
        <v>24</v>
      </c>
      <c r="C33" s="27" t="s">
        <v>303</v>
      </c>
      <c r="D33" s="27" t="s">
        <v>461</v>
      </c>
      <c r="E33" s="27" t="s">
        <v>109</v>
      </c>
      <c r="F33" s="27" t="s">
        <v>109</v>
      </c>
      <c r="G33" s="27" t="s">
        <v>111</v>
      </c>
      <c r="H33" s="27" t="s">
        <v>507</v>
      </c>
      <c r="I33" s="27" t="s">
        <v>508</v>
      </c>
      <c r="J33" s="27" t="s">
        <v>509</v>
      </c>
      <c r="K33" s="27" t="s">
        <v>510</v>
      </c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 t="s">
        <v>41</v>
      </c>
      <c r="BL33" s="27" t="s">
        <v>79</v>
      </c>
      <c r="BM33" s="27" t="s">
        <v>109</v>
      </c>
      <c r="BN33" s="27"/>
      <c r="BO33" s="27"/>
      <c r="BP33" s="27"/>
      <c r="BQ33" s="27" t="n">
        <f aca="false">COUNTIFS(Trechos!$L$2:$L$838,A33)</f>
        <v>12</v>
      </c>
      <c r="BR33" s="28" t="n">
        <f aca="false">SUMIFS(Trechos!$F$2:$F$838,Trechos!$L$2:$L$838,A33)</f>
        <v>559.312234111401</v>
      </c>
      <c r="BS33" s="27" t="n">
        <f aca="false">COUNTA(BV33:ES33)</f>
        <v>1</v>
      </c>
      <c r="BT33" s="27" t="str">
        <f aca="false">IF(COUNTA(BV33:ES33)=0,"—",_xlfn.TEXTJOIN(", ",TRUE(),BV33:ES33))</f>
        <v>0320305004</v>
      </c>
      <c r="BU33" s="27" t="s">
        <v>54</v>
      </c>
      <c r="BV33" s="27" t="s">
        <v>111</v>
      </c>
      <c r="BW33" s="27"/>
      <c r="BX33" s="27"/>
      <c r="BY33" s="27"/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  <c r="CK33" s="27"/>
      <c r="CL33" s="27"/>
      <c r="CM33" s="27"/>
      <c r="CN33" s="27"/>
      <c r="CO33" s="27"/>
      <c r="CP33" s="27"/>
      <c r="CQ33" s="27"/>
      <c r="CR33" s="27"/>
      <c r="CS33" s="27"/>
      <c r="CT33" s="27"/>
      <c r="CU33" s="27"/>
      <c r="CV33" s="27"/>
      <c r="CW33" s="27"/>
      <c r="CX33" s="27"/>
      <c r="CY33" s="27"/>
      <c r="CZ33" s="27"/>
      <c r="DA33" s="27"/>
      <c r="DB33" s="27"/>
      <c r="DC33" s="27"/>
      <c r="DD33" s="27"/>
      <c r="DE33" s="27"/>
      <c r="DF33" s="27"/>
      <c r="DG33" s="27"/>
      <c r="DH33" s="27"/>
      <c r="DI33" s="27"/>
      <c r="DJ33" s="27"/>
      <c r="DK33" s="27"/>
      <c r="DL33" s="27"/>
      <c r="DM33" s="27"/>
      <c r="DN33" s="27"/>
      <c r="DO33" s="27"/>
      <c r="DP33" s="27"/>
      <c r="DQ33" s="27"/>
      <c r="DR33" s="27"/>
      <c r="DS33" s="27"/>
      <c r="DT33" s="27"/>
      <c r="DU33" s="27"/>
      <c r="DV33" s="27"/>
      <c r="DW33" s="27"/>
      <c r="DX33" s="27"/>
      <c r="DY33" s="27"/>
      <c r="DZ33" s="27"/>
      <c r="EA33" s="27"/>
      <c r="EB33" s="27"/>
      <c r="EC33" s="27"/>
      <c r="ED33" s="27"/>
      <c r="EE33" s="27"/>
      <c r="EF33" s="27"/>
      <c r="EG33" s="27"/>
      <c r="EH33" s="27"/>
      <c r="EI33" s="27"/>
      <c r="EJ33" s="27"/>
      <c r="EK33" s="27"/>
      <c r="EL33" s="27"/>
      <c r="EM33" s="27"/>
      <c r="EN33" s="27"/>
      <c r="EO33" s="27"/>
      <c r="EP33" s="27"/>
      <c r="EQ33" s="27"/>
      <c r="ER33" s="27"/>
      <c r="ES33" s="27"/>
    </row>
    <row r="34" customFormat="false" ht="15" hidden="false" customHeight="false" outlineLevel="0" collapsed="false">
      <c r="A34" s="27" t="n">
        <v>33</v>
      </c>
      <c r="B34" s="7" t="s">
        <v>24</v>
      </c>
      <c r="C34" s="27" t="s">
        <v>303</v>
      </c>
      <c r="D34" s="27" t="s">
        <v>461</v>
      </c>
      <c r="E34" s="27" t="s">
        <v>111</v>
      </c>
      <c r="F34" s="27" t="s">
        <v>111</v>
      </c>
      <c r="G34" s="27" t="s">
        <v>511</v>
      </c>
      <c r="H34" s="27" t="s">
        <v>512</v>
      </c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 t="s">
        <v>41</v>
      </c>
      <c r="BL34" s="27" t="s">
        <v>79</v>
      </c>
      <c r="BM34" s="27" t="s">
        <v>109</v>
      </c>
      <c r="BN34" s="27" t="s">
        <v>111</v>
      </c>
      <c r="BO34" s="27"/>
      <c r="BP34" s="27"/>
      <c r="BQ34" s="27" t="n">
        <f aca="false">COUNTIFS(Trechos!$L$2:$L$838,A34)</f>
        <v>10</v>
      </c>
      <c r="BR34" s="28" t="n">
        <f aca="false">SUMIFS(Trechos!$F$2:$F$838,Trechos!$L$2:$L$838,A34)</f>
        <v>647.302896044083</v>
      </c>
      <c r="BS34" s="27" t="n">
        <f aca="false">COUNTA(BV34:ES34)</f>
        <v>0</v>
      </c>
      <c r="BT34" s="27" t="str">
        <f aca="false">IF(COUNTA(BV34:ES34)=0,"—",_xlfn.TEXTJOIN(", ",TRUE(),BV34:ES34))</f>
        <v>—</v>
      </c>
      <c r="BU34" s="27" t="s">
        <v>54</v>
      </c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I34" s="27"/>
      <c r="CJ34" s="27"/>
      <c r="CK34" s="27"/>
      <c r="CL34" s="27"/>
      <c r="CM34" s="27"/>
      <c r="CN34" s="27"/>
      <c r="CO34" s="27"/>
      <c r="CP34" s="27"/>
      <c r="CQ34" s="27"/>
      <c r="CR34" s="27"/>
      <c r="CS34" s="27"/>
      <c r="CT34" s="27"/>
      <c r="CU34" s="27"/>
      <c r="CV34" s="27"/>
      <c r="CW34" s="27"/>
      <c r="CX34" s="27"/>
      <c r="CY34" s="27"/>
      <c r="CZ34" s="27"/>
      <c r="DA34" s="27"/>
      <c r="DB34" s="27"/>
      <c r="DC34" s="27"/>
      <c r="DD34" s="27"/>
      <c r="DE34" s="27"/>
      <c r="DF34" s="27"/>
      <c r="DG34" s="27"/>
      <c r="DH34" s="27"/>
      <c r="DI34" s="27"/>
      <c r="DJ34" s="27"/>
      <c r="DK34" s="27"/>
      <c r="DL34" s="27"/>
      <c r="DM34" s="27"/>
      <c r="DN34" s="27"/>
      <c r="DO34" s="27"/>
      <c r="DP34" s="27"/>
      <c r="DQ34" s="27"/>
      <c r="DR34" s="27"/>
      <c r="DS34" s="27"/>
      <c r="DT34" s="27"/>
      <c r="DU34" s="27"/>
      <c r="DV34" s="27"/>
      <c r="DW34" s="27"/>
      <c r="DX34" s="27"/>
      <c r="DY34" s="27"/>
      <c r="DZ34" s="27"/>
      <c r="EA34" s="27"/>
      <c r="EB34" s="27"/>
      <c r="EC34" s="27"/>
      <c r="ED34" s="27"/>
      <c r="EE34" s="27"/>
      <c r="EF34" s="27"/>
      <c r="EG34" s="27"/>
      <c r="EH34" s="27"/>
      <c r="EI34" s="27"/>
      <c r="EJ34" s="27"/>
      <c r="EK34" s="27"/>
      <c r="EL34" s="27"/>
      <c r="EM34" s="27"/>
      <c r="EN34" s="27"/>
      <c r="EO34" s="27"/>
      <c r="EP34" s="27"/>
      <c r="EQ34" s="27"/>
      <c r="ER34" s="27"/>
      <c r="ES34" s="27"/>
    </row>
    <row r="35" customFormat="false" ht="15" hidden="false" customHeight="false" outlineLevel="0" collapsed="false">
      <c r="A35" s="27" t="n">
        <v>34</v>
      </c>
      <c r="B35" s="7" t="s">
        <v>24</v>
      </c>
      <c r="C35" s="27" t="s">
        <v>303</v>
      </c>
      <c r="D35" s="27" t="s">
        <v>461</v>
      </c>
      <c r="E35" s="27" t="s">
        <v>113</v>
      </c>
      <c r="F35" s="27" t="s">
        <v>113</v>
      </c>
      <c r="G35" s="27" t="s">
        <v>513</v>
      </c>
      <c r="H35" s="27" t="s">
        <v>514</v>
      </c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 t="s">
        <v>41</v>
      </c>
      <c r="BL35" s="27" t="s">
        <v>79</v>
      </c>
      <c r="BM35" s="27" t="s">
        <v>113</v>
      </c>
      <c r="BN35" s="27"/>
      <c r="BO35" s="27"/>
      <c r="BP35" s="27"/>
      <c r="BQ35" s="27" t="n">
        <f aca="false">COUNTIFS(Trechos!$L$2:$L$838,A35)</f>
        <v>3</v>
      </c>
      <c r="BR35" s="28" t="n">
        <f aca="false">SUMIFS(Trechos!$F$2:$F$838,Trechos!$L$2:$L$838,A35)</f>
        <v>23.5272145662876</v>
      </c>
      <c r="BS35" s="27" t="n">
        <f aca="false">COUNTA(BV35:ES35)</f>
        <v>0</v>
      </c>
      <c r="BT35" s="27" t="str">
        <f aca="false">IF(COUNTA(BV35:ES35)=0,"—",_xlfn.TEXTJOIN(", ",TRUE(),BV35:ES35))</f>
        <v>—</v>
      </c>
      <c r="BU35" s="27" t="s">
        <v>54</v>
      </c>
      <c r="BV35" s="27"/>
      <c r="BW35" s="27"/>
      <c r="BX35" s="27"/>
      <c r="BY35" s="27"/>
      <c r="BZ35" s="27"/>
      <c r="CA35" s="27"/>
      <c r="CB35" s="27"/>
      <c r="CC35" s="27"/>
      <c r="CD35" s="27"/>
      <c r="CE35" s="27"/>
      <c r="CF35" s="27"/>
      <c r="CG35" s="27"/>
      <c r="CH35" s="27"/>
      <c r="CI35" s="27"/>
      <c r="CJ35" s="27"/>
      <c r="CK35" s="27"/>
      <c r="CL35" s="27"/>
      <c r="CM35" s="27"/>
      <c r="CN35" s="27"/>
      <c r="CO35" s="27"/>
      <c r="CP35" s="27"/>
      <c r="CQ35" s="27"/>
      <c r="CR35" s="27"/>
      <c r="CS35" s="27"/>
      <c r="CT35" s="27"/>
      <c r="CU35" s="27"/>
      <c r="CV35" s="27"/>
      <c r="CW35" s="27"/>
      <c r="CX35" s="27"/>
      <c r="CY35" s="27"/>
      <c r="CZ35" s="27"/>
      <c r="DA35" s="27"/>
      <c r="DB35" s="27"/>
      <c r="DC35" s="27"/>
      <c r="DD35" s="27"/>
      <c r="DE35" s="27"/>
      <c r="DF35" s="27"/>
      <c r="DG35" s="27"/>
      <c r="DH35" s="27"/>
      <c r="DI35" s="27"/>
      <c r="DJ35" s="27"/>
      <c r="DK35" s="27"/>
      <c r="DL35" s="27"/>
      <c r="DM35" s="27"/>
      <c r="DN35" s="27"/>
      <c r="DO35" s="27"/>
      <c r="DP35" s="27"/>
      <c r="DQ35" s="27"/>
      <c r="DR35" s="27"/>
      <c r="DS35" s="27"/>
      <c r="DT35" s="27"/>
      <c r="DU35" s="27"/>
      <c r="DV35" s="27"/>
      <c r="DW35" s="27"/>
      <c r="DX35" s="27"/>
      <c r="DY35" s="27"/>
      <c r="DZ35" s="27"/>
      <c r="EA35" s="27"/>
      <c r="EB35" s="27"/>
      <c r="EC35" s="27"/>
      <c r="ED35" s="27"/>
      <c r="EE35" s="27"/>
      <c r="EF35" s="27"/>
      <c r="EG35" s="27"/>
      <c r="EH35" s="27"/>
      <c r="EI35" s="27"/>
      <c r="EJ35" s="27"/>
      <c r="EK35" s="27"/>
      <c r="EL35" s="27"/>
      <c r="EM35" s="27"/>
      <c r="EN35" s="27"/>
      <c r="EO35" s="27"/>
      <c r="EP35" s="27"/>
      <c r="EQ35" s="27"/>
      <c r="ER35" s="27"/>
      <c r="ES35" s="27"/>
    </row>
    <row r="36" customFormat="false" ht="15" hidden="false" customHeight="false" outlineLevel="0" collapsed="false">
      <c r="A36" s="27" t="n">
        <v>35</v>
      </c>
      <c r="B36" s="7" t="s">
        <v>24</v>
      </c>
      <c r="C36" s="27" t="s">
        <v>303</v>
      </c>
      <c r="D36" s="27" t="s">
        <v>461</v>
      </c>
      <c r="E36" s="27" t="s">
        <v>115</v>
      </c>
      <c r="F36" s="27" t="s">
        <v>115</v>
      </c>
      <c r="G36" s="27" t="s">
        <v>116</v>
      </c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 t="s">
        <v>41</v>
      </c>
      <c r="BL36" s="27" t="s">
        <v>115</v>
      </c>
      <c r="BM36" s="27"/>
      <c r="BN36" s="27"/>
      <c r="BO36" s="27"/>
      <c r="BP36" s="27"/>
      <c r="BQ36" s="27" t="n">
        <f aca="false">COUNTIFS(Trechos!$L$2:$L$838,A36)</f>
        <v>2</v>
      </c>
      <c r="BR36" s="28" t="n">
        <f aca="false">SUMIFS(Trechos!$F$2:$F$838,Trechos!$L$2:$L$838,A36)</f>
        <v>14.9755209740523</v>
      </c>
      <c r="BS36" s="27" t="n">
        <f aca="false">COUNTA(BV36:ES36)</f>
        <v>0</v>
      </c>
      <c r="BT36" s="27" t="str">
        <f aca="false">IF(COUNTA(BV36:ES36)=0,"—",_xlfn.TEXTJOIN(", ",TRUE(),BV36:ES36))</f>
        <v>—</v>
      </c>
      <c r="BU36" s="27" t="s">
        <v>54</v>
      </c>
      <c r="BV36" s="27"/>
      <c r="BW36" s="27"/>
      <c r="BX36" s="27"/>
      <c r="BY36" s="27"/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7"/>
      <c r="CK36" s="27"/>
      <c r="CL36" s="27"/>
      <c r="CM36" s="27"/>
      <c r="CN36" s="27"/>
      <c r="CO36" s="27"/>
      <c r="CP36" s="27"/>
      <c r="CQ36" s="27"/>
      <c r="CR36" s="27"/>
      <c r="CS36" s="27"/>
      <c r="CT36" s="27"/>
      <c r="CU36" s="27"/>
      <c r="CV36" s="27"/>
      <c r="CW36" s="27"/>
      <c r="CX36" s="27"/>
      <c r="CY36" s="27"/>
      <c r="CZ36" s="27"/>
      <c r="DA36" s="27"/>
      <c r="DB36" s="27"/>
      <c r="DC36" s="27"/>
      <c r="DD36" s="27"/>
      <c r="DE36" s="27"/>
      <c r="DF36" s="27"/>
      <c r="DG36" s="27"/>
      <c r="DH36" s="27"/>
      <c r="DI36" s="27"/>
      <c r="DJ36" s="27"/>
      <c r="DK36" s="27"/>
      <c r="DL36" s="27"/>
      <c r="DM36" s="27"/>
      <c r="DN36" s="27"/>
      <c r="DO36" s="27"/>
      <c r="DP36" s="27"/>
      <c r="DQ36" s="27"/>
      <c r="DR36" s="27"/>
      <c r="DS36" s="27"/>
      <c r="DT36" s="27"/>
      <c r="DU36" s="27"/>
      <c r="DV36" s="27"/>
      <c r="DW36" s="27"/>
      <c r="DX36" s="27"/>
      <c r="DY36" s="27"/>
      <c r="DZ36" s="27"/>
      <c r="EA36" s="27"/>
      <c r="EB36" s="27"/>
      <c r="EC36" s="27"/>
      <c r="ED36" s="27"/>
      <c r="EE36" s="27"/>
      <c r="EF36" s="27"/>
      <c r="EG36" s="27"/>
      <c r="EH36" s="27"/>
      <c r="EI36" s="27"/>
      <c r="EJ36" s="27"/>
      <c r="EK36" s="27"/>
      <c r="EL36" s="27"/>
      <c r="EM36" s="27"/>
      <c r="EN36" s="27"/>
      <c r="EO36" s="27"/>
      <c r="EP36" s="27"/>
      <c r="EQ36" s="27"/>
      <c r="ER36" s="27"/>
      <c r="ES36" s="27"/>
    </row>
    <row r="37" customFormat="false" ht="15" hidden="false" customHeight="false" outlineLevel="0" collapsed="false">
      <c r="A37" s="27" t="n">
        <v>36</v>
      </c>
      <c r="B37" s="7" t="s">
        <v>24</v>
      </c>
      <c r="C37" s="27" t="s">
        <v>303</v>
      </c>
      <c r="D37" s="27" t="s">
        <v>461</v>
      </c>
      <c r="E37" s="27" t="s">
        <v>117</v>
      </c>
      <c r="F37" s="27" t="s">
        <v>117</v>
      </c>
      <c r="G37" s="27" t="s">
        <v>118</v>
      </c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 t="s">
        <v>41</v>
      </c>
      <c r="BL37" s="27" t="s">
        <v>117</v>
      </c>
      <c r="BM37" s="27"/>
      <c r="BN37" s="27"/>
      <c r="BO37" s="27"/>
      <c r="BP37" s="27"/>
      <c r="BQ37" s="27" t="n">
        <f aca="false">COUNTIFS(Trechos!$L$2:$L$838,A37)</f>
        <v>1</v>
      </c>
      <c r="BR37" s="28" t="n">
        <f aca="false">SUMIFS(Trechos!$F$2:$F$838,Trechos!$L$2:$L$838,A37)</f>
        <v>13.6181650270171</v>
      </c>
      <c r="BS37" s="27" t="n">
        <f aca="false">COUNTA(BV37:ES37)</f>
        <v>0</v>
      </c>
      <c r="BT37" s="27" t="str">
        <f aca="false">IF(COUNTA(BV37:ES37)=0,"—",_xlfn.TEXTJOIN(", ",TRUE(),BV37:ES37))</f>
        <v>—</v>
      </c>
      <c r="BU37" s="27" t="s">
        <v>54</v>
      </c>
      <c r="BV37" s="27"/>
      <c r="BW37" s="27"/>
      <c r="BX37" s="27"/>
      <c r="BY37" s="27"/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  <c r="CK37" s="27"/>
      <c r="CL37" s="27"/>
      <c r="CM37" s="27"/>
      <c r="CN37" s="27"/>
      <c r="CO37" s="27"/>
      <c r="CP37" s="27"/>
      <c r="CQ37" s="27"/>
      <c r="CR37" s="27"/>
      <c r="CS37" s="27"/>
      <c r="CT37" s="27"/>
      <c r="CU37" s="27"/>
      <c r="CV37" s="27"/>
      <c r="CW37" s="27"/>
      <c r="CX37" s="27"/>
      <c r="CY37" s="27"/>
      <c r="CZ37" s="27"/>
      <c r="DA37" s="27"/>
      <c r="DB37" s="27"/>
      <c r="DC37" s="27"/>
      <c r="DD37" s="27"/>
      <c r="DE37" s="27"/>
      <c r="DF37" s="27"/>
      <c r="DG37" s="27"/>
      <c r="DH37" s="27"/>
      <c r="DI37" s="27"/>
      <c r="DJ37" s="27"/>
      <c r="DK37" s="27"/>
      <c r="DL37" s="27"/>
      <c r="DM37" s="27"/>
      <c r="DN37" s="27"/>
      <c r="DO37" s="27"/>
      <c r="DP37" s="27"/>
      <c r="DQ37" s="27"/>
      <c r="DR37" s="27"/>
      <c r="DS37" s="27"/>
      <c r="DT37" s="27"/>
      <c r="DU37" s="27"/>
      <c r="DV37" s="27"/>
      <c r="DW37" s="27"/>
      <c r="DX37" s="27"/>
      <c r="DY37" s="27"/>
      <c r="DZ37" s="27"/>
      <c r="EA37" s="27"/>
      <c r="EB37" s="27"/>
      <c r="EC37" s="27"/>
      <c r="ED37" s="27"/>
      <c r="EE37" s="27"/>
      <c r="EF37" s="27"/>
      <c r="EG37" s="27"/>
      <c r="EH37" s="27"/>
      <c r="EI37" s="27"/>
      <c r="EJ37" s="27"/>
      <c r="EK37" s="27"/>
      <c r="EL37" s="27"/>
      <c r="EM37" s="27"/>
      <c r="EN37" s="27"/>
      <c r="EO37" s="27"/>
      <c r="EP37" s="27"/>
      <c r="EQ37" s="27"/>
      <c r="ER37" s="27"/>
      <c r="ES37" s="27"/>
    </row>
    <row r="38" customFormat="false" ht="15" hidden="false" customHeight="false" outlineLevel="0" collapsed="false">
      <c r="A38" s="27" t="n">
        <v>37</v>
      </c>
      <c r="B38" s="7" t="s">
        <v>24</v>
      </c>
      <c r="C38" s="27" t="s">
        <v>303</v>
      </c>
      <c r="D38" s="27" t="s">
        <v>461</v>
      </c>
      <c r="E38" s="27" t="s">
        <v>119</v>
      </c>
      <c r="F38" s="27" t="s">
        <v>119</v>
      </c>
      <c r="G38" s="27" t="s">
        <v>515</v>
      </c>
      <c r="H38" s="27" t="s">
        <v>516</v>
      </c>
      <c r="I38" s="27" t="s">
        <v>517</v>
      </c>
      <c r="J38" s="27" t="s">
        <v>518</v>
      </c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 t="s">
        <v>41</v>
      </c>
      <c r="BL38" s="27" t="s">
        <v>119</v>
      </c>
      <c r="BM38" s="27"/>
      <c r="BN38" s="27"/>
      <c r="BO38" s="27"/>
      <c r="BP38" s="27"/>
      <c r="BQ38" s="27" t="n">
        <f aca="false">COUNTIFS(Trechos!$L$2:$L$838,A38)</f>
        <v>11</v>
      </c>
      <c r="BR38" s="28" t="n">
        <f aca="false">SUMIFS(Trechos!$F$2:$F$838,Trechos!$L$2:$L$838,A38)</f>
        <v>499.028674643975</v>
      </c>
      <c r="BS38" s="27" t="n">
        <f aca="false">COUNTA(BV38:ES38)</f>
        <v>0</v>
      </c>
      <c r="BT38" s="27" t="str">
        <f aca="false">IF(COUNTA(BV38:ES38)=0,"—",_xlfn.TEXTJOIN(", ",TRUE(),BV38:ES38))</f>
        <v>—</v>
      </c>
      <c r="BU38" s="27" t="s">
        <v>54</v>
      </c>
      <c r="BV38" s="27"/>
      <c r="BW38" s="27"/>
      <c r="BX38" s="27"/>
      <c r="BY38" s="27"/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7"/>
      <c r="CK38" s="27"/>
      <c r="CL38" s="27"/>
      <c r="CM38" s="27"/>
      <c r="CN38" s="27"/>
      <c r="CO38" s="27"/>
      <c r="CP38" s="27"/>
      <c r="CQ38" s="27"/>
      <c r="CR38" s="27"/>
      <c r="CS38" s="27"/>
      <c r="CT38" s="27"/>
      <c r="CU38" s="27"/>
      <c r="CV38" s="27"/>
      <c r="CW38" s="27"/>
      <c r="CX38" s="27"/>
      <c r="CY38" s="27"/>
      <c r="CZ38" s="27"/>
      <c r="DA38" s="27"/>
      <c r="DB38" s="27"/>
      <c r="DC38" s="27"/>
      <c r="DD38" s="27"/>
      <c r="DE38" s="27"/>
      <c r="DF38" s="27"/>
      <c r="DG38" s="27"/>
      <c r="DH38" s="27"/>
      <c r="DI38" s="27"/>
      <c r="DJ38" s="27"/>
      <c r="DK38" s="27"/>
      <c r="DL38" s="27"/>
      <c r="DM38" s="27"/>
      <c r="DN38" s="27"/>
      <c r="DO38" s="27"/>
      <c r="DP38" s="27"/>
      <c r="DQ38" s="27"/>
      <c r="DR38" s="27"/>
      <c r="DS38" s="27"/>
      <c r="DT38" s="27"/>
      <c r="DU38" s="27"/>
      <c r="DV38" s="27"/>
      <c r="DW38" s="27"/>
      <c r="DX38" s="27"/>
      <c r="DY38" s="27"/>
      <c r="DZ38" s="27"/>
      <c r="EA38" s="27"/>
      <c r="EB38" s="27"/>
      <c r="EC38" s="27"/>
      <c r="ED38" s="27"/>
      <c r="EE38" s="27"/>
      <c r="EF38" s="27"/>
      <c r="EG38" s="27"/>
      <c r="EH38" s="27"/>
      <c r="EI38" s="27"/>
      <c r="EJ38" s="27"/>
      <c r="EK38" s="27"/>
      <c r="EL38" s="27"/>
      <c r="EM38" s="27"/>
      <c r="EN38" s="27"/>
      <c r="EO38" s="27"/>
      <c r="EP38" s="27"/>
      <c r="EQ38" s="27"/>
      <c r="ER38" s="27"/>
      <c r="ES38" s="27"/>
    </row>
    <row r="39" customFormat="false" ht="15" hidden="false" customHeight="false" outlineLevel="0" collapsed="false">
      <c r="A39" s="27" t="n">
        <v>38</v>
      </c>
      <c r="B39" s="7" t="s">
        <v>24</v>
      </c>
      <c r="C39" s="27" t="s">
        <v>303</v>
      </c>
      <c r="D39" s="27" t="s">
        <v>461</v>
      </c>
      <c r="E39" s="27" t="s">
        <v>121</v>
      </c>
      <c r="F39" s="27" t="s">
        <v>121</v>
      </c>
      <c r="G39" s="27" t="s">
        <v>122</v>
      </c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 t="s">
        <v>41</v>
      </c>
      <c r="BL39" s="27" t="s">
        <v>121</v>
      </c>
      <c r="BM39" s="27"/>
      <c r="BN39" s="27"/>
      <c r="BO39" s="27"/>
      <c r="BP39" s="27"/>
      <c r="BQ39" s="27" t="n">
        <f aca="false">COUNTIFS(Trechos!$L$2:$L$838,A39)</f>
        <v>1</v>
      </c>
      <c r="BR39" s="28" t="n">
        <f aca="false">SUMIFS(Trechos!$F$2:$F$838,Trechos!$L$2:$L$838,A39)</f>
        <v>99.536474084685</v>
      </c>
      <c r="BS39" s="27" t="n">
        <f aca="false">COUNTA(BV39:ES39)</f>
        <v>0</v>
      </c>
      <c r="BT39" s="27" t="str">
        <f aca="false">IF(COUNTA(BV39:ES39)=0,"—",_xlfn.TEXTJOIN(", ",TRUE(),BV39:ES39))</f>
        <v>—</v>
      </c>
      <c r="BU39" s="27" t="s">
        <v>54</v>
      </c>
      <c r="BV39" s="27"/>
      <c r="BW39" s="27"/>
      <c r="BX39" s="27"/>
      <c r="BY39" s="27"/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  <c r="CK39" s="27"/>
      <c r="CL39" s="27"/>
      <c r="CM39" s="27"/>
      <c r="CN39" s="27"/>
      <c r="CO39" s="27"/>
      <c r="CP39" s="27"/>
      <c r="CQ39" s="27"/>
      <c r="CR39" s="27"/>
      <c r="CS39" s="27"/>
      <c r="CT39" s="27"/>
      <c r="CU39" s="27"/>
      <c r="CV39" s="27"/>
      <c r="CW39" s="27"/>
      <c r="CX39" s="27"/>
      <c r="CY39" s="27"/>
      <c r="CZ39" s="27"/>
      <c r="DA39" s="27"/>
      <c r="DB39" s="27"/>
      <c r="DC39" s="27"/>
      <c r="DD39" s="27"/>
      <c r="DE39" s="27"/>
      <c r="DF39" s="27"/>
      <c r="DG39" s="27"/>
      <c r="DH39" s="27"/>
      <c r="DI39" s="27"/>
      <c r="DJ39" s="27"/>
      <c r="DK39" s="27"/>
      <c r="DL39" s="27"/>
      <c r="DM39" s="27"/>
      <c r="DN39" s="27"/>
      <c r="DO39" s="27"/>
      <c r="DP39" s="27"/>
      <c r="DQ39" s="27"/>
      <c r="DR39" s="27"/>
      <c r="DS39" s="27"/>
      <c r="DT39" s="27"/>
      <c r="DU39" s="27"/>
      <c r="DV39" s="27"/>
      <c r="DW39" s="27"/>
      <c r="DX39" s="27"/>
      <c r="DY39" s="27"/>
      <c r="DZ39" s="27"/>
      <c r="EA39" s="27"/>
      <c r="EB39" s="27"/>
      <c r="EC39" s="27"/>
      <c r="ED39" s="27"/>
      <c r="EE39" s="27"/>
      <c r="EF39" s="27"/>
      <c r="EG39" s="27"/>
      <c r="EH39" s="27"/>
      <c r="EI39" s="27"/>
      <c r="EJ39" s="27"/>
      <c r="EK39" s="27"/>
      <c r="EL39" s="27"/>
      <c r="EM39" s="27"/>
      <c r="EN39" s="27"/>
      <c r="EO39" s="27"/>
      <c r="EP39" s="27"/>
      <c r="EQ39" s="27"/>
      <c r="ER39" s="27"/>
      <c r="ES39" s="27"/>
    </row>
    <row r="40" customFormat="false" ht="15" hidden="false" customHeight="false" outlineLevel="0" collapsed="false">
      <c r="A40" s="27" t="n">
        <v>39</v>
      </c>
      <c r="B40" s="7" t="s">
        <v>24</v>
      </c>
      <c r="C40" s="27" t="s">
        <v>303</v>
      </c>
      <c r="D40" s="27" t="s">
        <v>461</v>
      </c>
      <c r="E40" s="27" t="s">
        <v>123</v>
      </c>
      <c r="F40" s="27" t="s">
        <v>123</v>
      </c>
      <c r="G40" s="27" t="s">
        <v>519</v>
      </c>
      <c r="H40" s="27" t="s">
        <v>520</v>
      </c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 t="s">
        <v>41</v>
      </c>
      <c r="BL40" s="27" t="s">
        <v>123</v>
      </c>
      <c r="BM40" s="27"/>
      <c r="BN40" s="27"/>
      <c r="BO40" s="27"/>
      <c r="BP40" s="27"/>
      <c r="BQ40" s="27" t="n">
        <f aca="false">COUNTIFS(Trechos!$L$2:$L$838,A40)</f>
        <v>7</v>
      </c>
      <c r="BR40" s="28" t="n">
        <f aca="false">SUMIFS(Trechos!$F$2:$F$838,Trechos!$L$2:$L$838,A40)</f>
        <v>438.92528121548</v>
      </c>
      <c r="BS40" s="27" t="n">
        <f aca="false">COUNTA(BV40:ES40)</f>
        <v>0</v>
      </c>
      <c r="BT40" s="27" t="str">
        <f aca="false">IF(COUNTA(BV40:ES40)=0,"—",_xlfn.TEXTJOIN(", ",TRUE(),BV40:ES40))</f>
        <v>—</v>
      </c>
      <c r="BU40" s="27" t="s">
        <v>54</v>
      </c>
      <c r="BV40" s="27"/>
      <c r="BW40" s="27"/>
      <c r="BX40" s="27"/>
      <c r="BY40" s="27"/>
      <c r="BZ40" s="27"/>
      <c r="CA40" s="27"/>
      <c r="CB40" s="27"/>
      <c r="CC40" s="27"/>
      <c r="CD40" s="27"/>
      <c r="CE40" s="27"/>
      <c r="CF40" s="27"/>
      <c r="CG40" s="27"/>
      <c r="CH40" s="27"/>
      <c r="CI40" s="27"/>
      <c r="CJ40" s="27"/>
      <c r="CK40" s="27"/>
      <c r="CL40" s="27"/>
      <c r="CM40" s="27"/>
      <c r="CN40" s="27"/>
      <c r="CO40" s="27"/>
      <c r="CP40" s="27"/>
      <c r="CQ40" s="27"/>
      <c r="CR40" s="27"/>
      <c r="CS40" s="27"/>
      <c r="CT40" s="27"/>
      <c r="CU40" s="27"/>
      <c r="CV40" s="27"/>
      <c r="CW40" s="27"/>
      <c r="CX40" s="27"/>
      <c r="CY40" s="27"/>
      <c r="CZ40" s="27"/>
      <c r="DA40" s="27"/>
      <c r="DB40" s="27"/>
      <c r="DC40" s="27"/>
      <c r="DD40" s="27"/>
      <c r="DE40" s="27"/>
      <c r="DF40" s="27"/>
      <c r="DG40" s="27"/>
      <c r="DH40" s="27"/>
      <c r="DI40" s="27"/>
      <c r="DJ40" s="27"/>
      <c r="DK40" s="27"/>
      <c r="DL40" s="27"/>
      <c r="DM40" s="27"/>
      <c r="DN40" s="27"/>
      <c r="DO40" s="27"/>
      <c r="DP40" s="27"/>
      <c r="DQ40" s="27"/>
      <c r="DR40" s="27"/>
      <c r="DS40" s="27"/>
      <c r="DT40" s="27"/>
      <c r="DU40" s="27"/>
      <c r="DV40" s="27"/>
      <c r="DW40" s="27"/>
      <c r="DX40" s="27"/>
      <c r="DY40" s="27"/>
      <c r="DZ40" s="27"/>
      <c r="EA40" s="27"/>
      <c r="EB40" s="27"/>
      <c r="EC40" s="27"/>
      <c r="ED40" s="27"/>
      <c r="EE40" s="27"/>
      <c r="EF40" s="27"/>
      <c r="EG40" s="27"/>
      <c r="EH40" s="27"/>
      <c r="EI40" s="27"/>
      <c r="EJ40" s="27"/>
      <c r="EK40" s="27"/>
      <c r="EL40" s="27"/>
      <c r="EM40" s="27"/>
      <c r="EN40" s="27"/>
      <c r="EO40" s="27"/>
      <c r="EP40" s="27"/>
      <c r="EQ40" s="27"/>
      <c r="ER40" s="27"/>
      <c r="ES40" s="27"/>
    </row>
    <row r="41" customFormat="false" ht="15" hidden="false" customHeight="false" outlineLevel="0" collapsed="false">
      <c r="A41" s="27" t="n">
        <v>40</v>
      </c>
      <c r="B41" s="7" t="s">
        <v>24</v>
      </c>
      <c r="C41" s="27" t="s">
        <v>303</v>
      </c>
      <c r="D41" s="27" t="s">
        <v>461</v>
      </c>
      <c r="E41" s="27" t="s">
        <v>125</v>
      </c>
      <c r="F41" s="27" t="s">
        <v>125</v>
      </c>
      <c r="G41" s="27" t="s">
        <v>126</v>
      </c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 t="s">
        <v>41</v>
      </c>
      <c r="BL41" s="27" t="s">
        <v>125</v>
      </c>
      <c r="BM41" s="27"/>
      <c r="BN41" s="27"/>
      <c r="BO41" s="27"/>
      <c r="BP41" s="27"/>
      <c r="BQ41" s="27" t="n">
        <f aca="false">COUNTIFS(Trechos!$L$2:$L$838,A41)</f>
        <v>6</v>
      </c>
      <c r="BR41" s="28" t="n">
        <f aca="false">SUMIFS(Trechos!$F$2:$F$838,Trechos!$L$2:$L$838,A41)</f>
        <v>411.997129045167</v>
      </c>
      <c r="BS41" s="27" t="n">
        <f aca="false">COUNTA(BV41:ES41)</f>
        <v>1</v>
      </c>
      <c r="BT41" s="27" t="str">
        <f aca="false">IF(COUNTA(BV41:ES41)=0,"—",_xlfn.TEXTJOIN(", ",TRUE(),BV41:ES41))</f>
        <v>0210950004</v>
      </c>
      <c r="BU41" s="27" t="s">
        <v>54</v>
      </c>
      <c r="BV41" s="27" t="s">
        <v>126</v>
      </c>
      <c r="BW41" s="27"/>
      <c r="BX41" s="27"/>
      <c r="BY41" s="27"/>
      <c r="BZ41" s="27"/>
      <c r="CA41" s="27"/>
      <c r="CB41" s="27"/>
      <c r="CC41" s="27"/>
      <c r="CD41" s="27"/>
      <c r="CE41" s="27"/>
      <c r="CF41" s="27"/>
      <c r="CG41" s="27"/>
      <c r="CH41" s="27"/>
      <c r="CI41" s="27"/>
      <c r="CJ41" s="27"/>
      <c r="CK41" s="27"/>
      <c r="CL41" s="27"/>
      <c r="CM41" s="27"/>
      <c r="CN41" s="27"/>
      <c r="CO41" s="27"/>
      <c r="CP41" s="27"/>
      <c r="CQ41" s="27"/>
      <c r="CR41" s="27"/>
      <c r="CS41" s="27"/>
      <c r="CT41" s="27"/>
      <c r="CU41" s="27"/>
      <c r="CV41" s="27"/>
      <c r="CW41" s="27"/>
      <c r="CX41" s="27"/>
      <c r="CY41" s="27"/>
      <c r="CZ41" s="27"/>
      <c r="DA41" s="27"/>
      <c r="DB41" s="27"/>
      <c r="DC41" s="27"/>
      <c r="DD41" s="27"/>
      <c r="DE41" s="27"/>
      <c r="DF41" s="27"/>
      <c r="DG41" s="27"/>
      <c r="DH41" s="27"/>
      <c r="DI41" s="27"/>
      <c r="DJ41" s="27"/>
      <c r="DK41" s="27"/>
      <c r="DL41" s="27"/>
      <c r="DM41" s="27"/>
      <c r="DN41" s="27"/>
      <c r="DO41" s="27"/>
      <c r="DP41" s="27"/>
      <c r="DQ41" s="27"/>
      <c r="DR41" s="27"/>
      <c r="DS41" s="27"/>
      <c r="DT41" s="27"/>
      <c r="DU41" s="27"/>
      <c r="DV41" s="27"/>
      <c r="DW41" s="27"/>
      <c r="DX41" s="27"/>
      <c r="DY41" s="27"/>
      <c r="DZ41" s="27"/>
      <c r="EA41" s="27"/>
      <c r="EB41" s="27"/>
      <c r="EC41" s="27"/>
      <c r="ED41" s="27"/>
      <c r="EE41" s="27"/>
      <c r="EF41" s="27"/>
      <c r="EG41" s="27"/>
      <c r="EH41" s="27"/>
      <c r="EI41" s="27"/>
      <c r="EJ41" s="27"/>
      <c r="EK41" s="27"/>
      <c r="EL41" s="27"/>
      <c r="EM41" s="27"/>
      <c r="EN41" s="27"/>
      <c r="EO41" s="27"/>
      <c r="EP41" s="27"/>
      <c r="EQ41" s="27"/>
      <c r="ER41" s="27"/>
      <c r="ES41" s="27"/>
    </row>
    <row r="42" customFormat="false" ht="15" hidden="false" customHeight="false" outlineLevel="0" collapsed="false">
      <c r="A42" s="27" t="n">
        <v>41</v>
      </c>
      <c r="B42" s="7" t="s">
        <v>24</v>
      </c>
      <c r="C42" s="27" t="s">
        <v>303</v>
      </c>
      <c r="D42" s="27" t="s">
        <v>461</v>
      </c>
      <c r="E42" s="27" t="s">
        <v>126</v>
      </c>
      <c r="F42" s="27" t="s">
        <v>126</v>
      </c>
      <c r="G42" s="27" t="s">
        <v>127</v>
      </c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 t="s">
        <v>41</v>
      </c>
      <c r="BL42" s="27" t="s">
        <v>125</v>
      </c>
      <c r="BM42" s="27" t="s">
        <v>126</v>
      </c>
      <c r="BN42" s="27"/>
      <c r="BO42" s="27"/>
      <c r="BP42" s="27"/>
      <c r="BQ42" s="27" t="n">
        <f aca="false">COUNTIFS(Trechos!$L$2:$L$838,A42)</f>
        <v>2</v>
      </c>
      <c r="BR42" s="28" t="n">
        <f aca="false">SUMIFS(Trechos!$F$2:$F$838,Trechos!$L$2:$L$838,A42)</f>
        <v>59.6121722731697</v>
      </c>
      <c r="BS42" s="27" t="n">
        <f aca="false">COUNTA(BV42:ES42)</f>
        <v>0</v>
      </c>
      <c r="BT42" s="27" t="str">
        <f aca="false">IF(COUNTA(BV42:ES42)=0,"—",_xlfn.TEXTJOIN(", ",TRUE(),BV42:ES42))</f>
        <v>—</v>
      </c>
      <c r="BU42" s="27" t="s">
        <v>54</v>
      </c>
      <c r="BV42" s="27"/>
      <c r="BW42" s="27"/>
      <c r="BX42" s="27"/>
      <c r="BY42" s="27"/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7"/>
      <c r="CK42" s="27"/>
      <c r="CL42" s="27"/>
      <c r="CM42" s="27"/>
      <c r="CN42" s="27"/>
      <c r="CO42" s="27"/>
      <c r="CP42" s="27"/>
      <c r="CQ42" s="27"/>
      <c r="CR42" s="27"/>
      <c r="CS42" s="27"/>
      <c r="CT42" s="27"/>
      <c r="CU42" s="27"/>
      <c r="CV42" s="27"/>
      <c r="CW42" s="27"/>
      <c r="CX42" s="27"/>
      <c r="CY42" s="27"/>
      <c r="CZ42" s="27"/>
      <c r="DA42" s="27"/>
      <c r="DB42" s="27"/>
      <c r="DC42" s="27"/>
      <c r="DD42" s="27"/>
      <c r="DE42" s="27"/>
      <c r="DF42" s="27"/>
      <c r="DG42" s="27"/>
      <c r="DH42" s="27"/>
      <c r="DI42" s="27"/>
      <c r="DJ42" s="27"/>
      <c r="DK42" s="27"/>
      <c r="DL42" s="27"/>
      <c r="DM42" s="27"/>
      <c r="DN42" s="27"/>
      <c r="DO42" s="27"/>
      <c r="DP42" s="27"/>
      <c r="DQ42" s="27"/>
      <c r="DR42" s="27"/>
      <c r="DS42" s="27"/>
      <c r="DT42" s="27"/>
      <c r="DU42" s="27"/>
      <c r="DV42" s="27"/>
      <c r="DW42" s="27"/>
      <c r="DX42" s="27"/>
      <c r="DY42" s="27"/>
      <c r="DZ42" s="27"/>
      <c r="EA42" s="27"/>
      <c r="EB42" s="27"/>
      <c r="EC42" s="27"/>
      <c r="ED42" s="27"/>
      <c r="EE42" s="27"/>
      <c r="EF42" s="27"/>
      <c r="EG42" s="27"/>
      <c r="EH42" s="27"/>
      <c r="EI42" s="27"/>
      <c r="EJ42" s="27"/>
      <c r="EK42" s="27"/>
      <c r="EL42" s="27"/>
      <c r="EM42" s="27"/>
      <c r="EN42" s="27"/>
      <c r="EO42" s="27"/>
      <c r="EP42" s="27"/>
      <c r="EQ42" s="27"/>
      <c r="ER42" s="27"/>
      <c r="ES42" s="27"/>
    </row>
    <row r="43" customFormat="false" ht="15" hidden="false" customHeight="false" outlineLevel="0" collapsed="false">
      <c r="A43" s="27" t="n">
        <v>42</v>
      </c>
      <c r="B43" s="7" t="s">
        <v>24</v>
      </c>
      <c r="C43" s="27" t="s">
        <v>303</v>
      </c>
      <c r="D43" s="27" t="s">
        <v>461</v>
      </c>
      <c r="E43" s="27" t="s">
        <v>128</v>
      </c>
      <c r="F43" s="27" t="s">
        <v>128</v>
      </c>
      <c r="G43" s="27" t="s">
        <v>129</v>
      </c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 t="s">
        <v>41</v>
      </c>
      <c r="BL43" s="27" t="s">
        <v>128</v>
      </c>
      <c r="BM43" s="27"/>
      <c r="BN43" s="27"/>
      <c r="BO43" s="27"/>
      <c r="BP43" s="27"/>
      <c r="BQ43" s="27" t="n">
        <f aca="false">COUNTIFS(Trechos!$L$2:$L$838,A43)</f>
        <v>6</v>
      </c>
      <c r="BR43" s="28" t="n">
        <f aca="false">SUMIFS(Trechos!$F$2:$F$838,Trechos!$L$2:$L$838,A43)</f>
        <v>1387.10887729362</v>
      </c>
      <c r="BS43" s="27" t="n">
        <f aca="false">COUNTA(BV43:ES43)</f>
        <v>1</v>
      </c>
      <c r="BT43" s="27" t="str">
        <f aca="false">IF(COUNTA(BV43:ES43)=0,"—",_xlfn.TEXTJOIN(", ",TRUE(),BV43:ES43))</f>
        <v>0301839004</v>
      </c>
      <c r="BU43" s="27" t="s">
        <v>54</v>
      </c>
      <c r="BV43" s="27" t="s">
        <v>129</v>
      </c>
      <c r="BW43" s="27"/>
      <c r="BX43" s="27"/>
      <c r="BY43" s="27"/>
      <c r="BZ43" s="27"/>
      <c r="CA43" s="27"/>
      <c r="CB43" s="27"/>
      <c r="CC43" s="27"/>
      <c r="CD43" s="27"/>
      <c r="CE43" s="27"/>
      <c r="CF43" s="27"/>
      <c r="CG43" s="27"/>
      <c r="CH43" s="27"/>
      <c r="CI43" s="27"/>
      <c r="CJ43" s="27"/>
      <c r="CK43" s="27"/>
      <c r="CL43" s="27"/>
      <c r="CM43" s="27"/>
      <c r="CN43" s="27"/>
      <c r="CO43" s="27"/>
      <c r="CP43" s="27"/>
      <c r="CQ43" s="27"/>
      <c r="CR43" s="27"/>
      <c r="CS43" s="27"/>
      <c r="CT43" s="27"/>
      <c r="CU43" s="27"/>
      <c r="CV43" s="27"/>
      <c r="CW43" s="27"/>
      <c r="CX43" s="27"/>
      <c r="CY43" s="27"/>
      <c r="CZ43" s="27"/>
      <c r="DA43" s="27"/>
      <c r="DB43" s="27"/>
      <c r="DC43" s="27"/>
      <c r="DD43" s="27"/>
      <c r="DE43" s="27"/>
      <c r="DF43" s="27"/>
      <c r="DG43" s="27"/>
      <c r="DH43" s="27"/>
      <c r="DI43" s="27"/>
      <c r="DJ43" s="27"/>
      <c r="DK43" s="27"/>
      <c r="DL43" s="27"/>
      <c r="DM43" s="27"/>
      <c r="DN43" s="27"/>
      <c r="DO43" s="27"/>
      <c r="DP43" s="27"/>
      <c r="DQ43" s="27"/>
      <c r="DR43" s="27"/>
      <c r="DS43" s="27"/>
      <c r="DT43" s="27"/>
      <c r="DU43" s="27"/>
      <c r="DV43" s="27"/>
      <c r="DW43" s="27"/>
      <c r="DX43" s="27"/>
      <c r="DY43" s="27"/>
      <c r="DZ43" s="27"/>
      <c r="EA43" s="27"/>
      <c r="EB43" s="27"/>
      <c r="EC43" s="27"/>
      <c r="ED43" s="27"/>
      <c r="EE43" s="27"/>
      <c r="EF43" s="27"/>
      <c r="EG43" s="27"/>
      <c r="EH43" s="27"/>
      <c r="EI43" s="27"/>
      <c r="EJ43" s="27"/>
      <c r="EK43" s="27"/>
      <c r="EL43" s="27"/>
      <c r="EM43" s="27"/>
      <c r="EN43" s="27"/>
      <c r="EO43" s="27"/>
      <c r="EP43" s="27"/>
      <c r="EQ43" s="27"/>
      <c r="ER43" s="27"/>
      <c r="ES43" s="27"/>
    </row>
    <row r="44" customFormat="false" ht="15" hidden="false" customHeight="false" outlineLevel="0" collapsed="false">
      <c r="A44" s="27" t="n">
        <v>43</v>
      </c>
      <c r="B44" s="7" t="s">
        <v>24</v>
      </c>
      <c r="C44" s="27" t="s">
        <v>303</v>
      </c>
      <c r="D44" s="27" t="s">
        <v>461</v>
      </c>
      <c r="E44" s="27" t="s">
        <v>129</v>
      </c>
      <c r="F44" s="27" t="s">
        <v>129</v>
      </c>
      <c r="G44" s="27" t="s">
        <v>130</v>
      </c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 t="s">
        <v>41</v>
      </c>
      <c r="BL44" s="27" t="s">
        <v>128</v>
      </c>
      <c r="BM44" s="27" t="s">
        <v>129</v>
      </c>
      <c r="BN44" s="27"/>
      <c r="BO44" s="27"/>
      <c r="BP44" s="27"/>
      <c r="BQ44" s="27" t="n">
        <f aca="false">COUNTIFS(Trechos!$L$2:$L$838,A44)</f>
        <v>1</v>
      </c>
      <c r="BR44" s="28" t="n">
        <f aca="false">SUMIFS(Trechos!$F$2:$F$838,Trechos!$L$2:$L$838,A44)</f>
        <v>281.305385439173</v>
      </c>
      <c r="BS44" s="27" t="n">
        <f aca="false">COUNTA(BV44:ES44)</f>
        <v>0</v>
      </c>
      <c r="BT44" s="27" t="str">
        <f aca="false">IF(COUNTA(BV44:ES44)=0,"—",_xlfn.TEXTJOIN(", ",TRUE(),BV44:ES44))</f>
        <v>—</v>
      </c>
      <c r="BU44" s="27" t="s">
        <v>54</v>
      </c>
      <c r="BV44" s="27"/>
      <c r="BW44" s="27"/>
      <c r="BX44" s="27"/>
      <c r="BY44" s="27"/>
      <c r="BZ44" s="27"/>
      <c r="CA44" s="27"/>
      <c r="CB44" s="27"/>
      <c r="CC44" s="27"/>
      <c r="CD44" s="27"/>
      <c r="CE44" s="27"/>
      <c r="CF44" s="27"/>
      <c r="CG44" s="27"/>
      <c r="CH44" s="27"/>
      <c r="CI44" s="27"/>
      <c r="CJ44" s="27"/>
      <c r="CK44" s="27"/>
      <c r="CL44" s="27"/>
      <c r="CM44" s="27"/>
      <c r="CN44" s="27"/>
      <c r="CO44" s="27"/>
      <c r="CP44" s="27"/>
      <c r="CQ44" s="27"/>
      <c r="CR44" s="27"/>
      <c r="CS44" s="27"/>
      <c r="CT44" s="27"/>
      <c r="CU44" s="27"/>
      <c r="CV44" s="27"/>
      <c r="CW44" s="27"/>
      <c r="CX44" s="27"/>
      <c r="CY44" s="27"/>
      <c r="CZ44" s="27"/>
      <c r="DA44" s="27"/>
      <c r="DB44" s="27"/>
      <c r="DC44" s="27"/>
      <c r="DD44" s="27"/>
      <c r="DE44" s="27"/>
      <c r="DF44" s="27"/>
      <c r="DG44" s="27"/>
      <c r="DH44" s="27"/>
      <c r="DI44" s="27"/>
      <c r="DJ44" s="27"/>
      <c r="DK44" s="27"/>
      <c r="DL44" s="27"/>
      <c r="DM44" s="27"/>
      <c r="DN44" s="27"/>
      <c r="DO44" s="27"/>
      <c r="DP44" s="27"/>
      <c r="DQ44" s="27"/>
      <c r="DR44" s="27"/>
      <c r="DS44" s="27"/>
      <c r="DT44" s="27"/>
      <c r="DU44" s="27"/>
      <c r="DV44" s="27"/>
      <c r="DW44" s="27"/>
      <c r="DX44" s="27"/>
      <c r="DY44" s="27"/>
      <c r="DZ44" s="27"/>
      <c r="EA44" s="27"/>
      <c r="EB44" s="27"/>
      <c r="EC44" s="27"/>
      <c r="ED44" s="27"/>
      <c r="EE44" s="27"/>
      <c r="EF44" s="27"/>
      <c r="EG44" s="27"/>
      <c r="EH44" s="27"/>
      <c r="EI44" s="27"/>
      <c r="EJ44" s="27"/>
      <c r="EK44" s="27"/>
      <c r="EL44" s="27"/>
      <c r="EM44" s="27"/>
      <c r="EN44" s="27"/>
      <c r="EO44" s="27"/>
      <c r="EP44" s="27"/>
      <c r="EQ44" s="27"/>
      <c r="ER44" s="27"/>
      <c r="ES44" s="27"/>
    </row>
    <row r="45" customFormat="false" ht="15" hidden="false" customHeight="false" outlineLevel="0" collapsed="false">
      <c r="A45" s="27" t="n">
        <v>44</v>
      </c>
      <c r="B45" s="7" t="s">
        <v>24</v>
      </c>
      <c r="C45" s="27" t="s">
        <v>303</v>
      </c>
      <c r="D45" s="27" t="s">
        <v>461</v>
      </c>
      <c r="E45" s="27" t="s">
        <v>131</v>
      </c>
      <c r="F45" s="27" t="s">
        <v>131</v>
      </c>
      <c r="G45" s="27" t="s">
        <v>132</v>
      </c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 t="s">
        <v>41</v>
      </c>
      <c r="BL45" s="27" t="s">
        <v>131</v>
      </c>
      <c r="BM45" s="27"/>
      <c r="BN45" s="27"/>
      <c r="BO45" s="27"/>
      <c r="BP45" s="27"/>
      <c r="BQ45" s="27" t="n">
        <f aca="false">COUNTIFS(Trechos!$L$2:$L$838,A45)</f>
        <v>2</v>
      </c>
      <c r="BR45" s="28" t="n">
        <f aca="false">SUMIFS(Trechos!$F$2:$F$838,Trechos!$L$2:$L$838,A45)</f>
        <v>36.5036013188628</v>
      </c>
      <c r="BS45" s="27" t="n">
        <f aca="false">COUNTA(BV45:ES45)</f>
        <v>0</v>
      </c>
      <c r="BT45" s="27" t="str">
        <f aca="false">IF(COUNTA(BV45:ES45)=0,"—",_xlfn.TEXTJOIN(", ",TRUE(),BV45:ES45))</f>
        <v>—</v>
      </c>
      <c r="BU45" s="27" t="s">
        <v>54</v>
      </c>
      <c r="BV45" s="27"/>
      <c r="BW45" s="27"/>
      <c r="BX45" s="27"/>
      <c r="BY45" s="27"/>
      <c r="BZ45" s="27"/>
      <c r="CA45" s="27"/>
      <c r="CB45" s="27"/>
      <c r="CC45" s="27"/>
      <c r="CD45" s="27"/>
      <c r="CE45" s="27"/>
      <c r="CF45" s="27"/>
      <c r="CG45" s="27"/>
      <c r="CH45" s="27"/>
      <c r="CI45" s="27"/>
      <c r="CJ45" s="27"/>
      <c r="CK45" s="27"/>
      <c r="CL45" s="27"/>
      <c r="CM45" s="27"/>
      <c r="CN45" s="27"/>
      <c r="CO45" s="27"/>
      <c r="CP45" s="27"/>
      <c r="CQ45" s="27"/>
      <c r="CR45" s="27"/>
      <c r="CS45" s="27"/>
      <c r="CT45" s="27"/>
      <c r="CU45" s="27"/>
      <c r="CV45" s="27"/>
      <c r="CW45" s="27"/>
      <c r="CX45" s="27"/>
      <c r="CY45" s="27"/>
      <c r="CZ45" s="27"/>
      <c r="DA45" s="27"/>
      <c r="DB45" s="27"/>
      <c r="DC45" s="27"/>
      <c r="DD45" s="27"/>
      <c r="DE45" s="27"/>
      <c r="DF45" s="27"/>
      <c r="DG45" s="27"/>
      <c r="DH45" s="27"/>
      <c r="DI45" s="27"/>
      <c r="DJ45" s="27"/>
      <c r="DK45" s="27"/>
      <c r="DL45" s="27"/>
      <c r="DM45" s="27"/>
      <c r="DN45" s="27"/>
      <c r="DO45" s="27"/>
      <c r="DP45" s="27"/>
      <c r="DQ45" s="27"/>
      <c r="DR45" s="27"/>
      <c r="DS45" s="27"/>
      <c r="DT45" s="27"/>
      <c r="DU45" s="27"/>
      <c r="DV45" s="27"/>
      <c r="DW45" s="27"/>
      <c r="DX45" s="27"/>
      <c r="DY45" s="27"/>
      <c r="DZ45" s="27"/>
      <c r="EA45" s="27"/>
      <c r="EB45" s="27"/>
      <c r="EC45" s="27"/>
      <c r="ED45" s="27"/>
      <c r="EE45" s="27"/>
      <c r="EF45" s="27"/>
      <c r="EG45" s="27"/>
      <c r="EH45" s="27"/>
      <c r="EI45" s="27"/>
      <c r="EJ45" s="27"/>
      <c r="EK45" s="27"/>
      <c r="EL45" s="27"/>
      <c r="EM45" s="27"/>
      <c r="EN45" s="27"/>
      <c r="EO45" s="27"/>
      <c r="EP45" s="27"/>
      <c r="EQ45" s="27"/>
      <c r="ER45" s="27"/>
      <c r="ES45" s="27"/>
    </row>
    <row r="46" customFormat="false" ht="15" hidden="false" customHeight="false" outlineLevel="0" collapsed="false">
      <c r="A46" s="27" t="n">
        <v>45</v>
      </c>
      <c r="B46" s="7" t="s">
        <v>24</v>
      </c>
      <c r="C46" s="27" t="s">
        <v>303</v>
      </c>
      <c r="D46" s="27" t="s">
        <v>461</v>
      </c>
      <c r="E46" s="27" t="s">
        <v>133</v>
      </c>
      <c r="F46" s="27" t="s">
        <v>133</v>
      </c>
      <c r="G46" s="27" t="s">
        <v>134</v>
      </c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27"/>
      <c r="AV46" s="27"/>
      <c r="AW46" s="27"/>
      <c r="AX46" s="27"/>
      <c r="AY46" s="27"/>
      <c r="AZ46" s="27"/>
      <c r="BA46" s="27"/>
      <c r="BB46" s="27"/>
      <c r="BC46" s="27"/>
      <c r="BD46" s="27"/>
      <c r="BE46" s="27"/>
      <c r="BF46" s="27"/>
      <c r="BG46" s="27"/>
      <c r="BH46" s="27"/>
      <c r="BI46" s="27"/>
      <c r="BJ46" s="27"/>
      <c r="BK46" s="27" t="s">
        <v>41</v>
      </c>
      <c r="BL46" s="27" t="s">
        <v>133</v>
      </c>
      <c r="BM46" s="27"/>
      <c r="BN46" s="27"/>
      <c r="BO46" s="27"/>
      <c r="BP46" s="27"/>
      <c r="BQ46" s="27" t="n">
        <f aca="false">COUNTIFS(Trechos!$L$2:$L$838,A46)</f>
        <v>2</v>
      </c>
      <c r="BR46" s="28" t="n">
        <f aca="false">SUMIFS(Trechos!$F$2:$F$838,Trechos!$L$2:$L$838,A46)</f>
        <v>5.21714313214573</v>
      </c>
      <c r="BS46" s="27" t="n">
        <f aca="false">COUNTA(BV46:ES46)</f>
        <v>0</v>
      </c>
      <c r="BT46" s="27" t="str">
        <f aca="false">IF(COUNTA(BV46:ES46)=0,"—",_xlfn.TEXTJOIN(", ",TRUE(),BV46:ES46))</f>
        <v>—</v>
      </c>
      <c r="BU46" s="27" t="s">
        <v>54</v>
      </c>
      <c r="BV46" s="27"/>
      <c r="BW46" s="27"/>
      <c r="BX46" s="27"/>
      <c r="BY46" s="27"/>
      <c r="BZ46" s="27"/>
      <c r="CA46" s="27"/>
      <c r="CB46" s="27"/>
      <c r="CC46" s="27"/>
      <c r="CD46" s="27"/>
      <c r="CE46" s="27"/>
      <c r="CF46" s="27"/>
      <c r="CG46" s="27"/>
      <c r="CH46" s="27"/>
      <c r="CI46" s="27"/>
      <c r="CJ46" s="27"/>
      <c r="CK46" s="27"/>
      <c r="CL46" s="27"/>
      <c r="CM46" s="27"/>
      <c r="CN46" s="27"/>
      <c r="CO46" s="27"/>
      <c r="CP46" s="27"/>
      <c r="CQ46" s="27"/>
      <c r="CR46" s="27"/>
      <c r="CS46" s="27"/>
      <c r="CT46" s="27"/>
      <c r="CU46" s="27"/>
      <c r="CV46" s="27"/>
      <c r="CW46" s="27"/>
      <c r="CX46" s="27"/>
      <c r="CY46" s="27"/>
      <c r="CZ46" s="27"/>
      <c r="DA46" s="27"/>
      <c r="DB46" s="27"/>
      <c r="DC46" s="27"/>
      <c r="DD46" s="27"/>
      <c r="DE46" s="27"/>
      <c r="DF46" s="27"/>
      <c r="DG46" s="27"/>
      <c r="DH46" s="27"/>
      <c r="DI46" s="27"/>
      <c r="DJ46" s="27"/>
      <c r="DK46" s="27"/>
      <c r="DL46" s="27"/>
      <c r="DM46" s="27"/>
      <c r="DN46" s="27"/>
      <c r="DO46" s="27"/>
      <c r="DP46" s="27"/>
      <c r="DQ46" s="27"/>
      <c r="DR46" s="27"/>
      <c r="DS46" s="27"/>
      <c r="DT46" s="27"/>
      <c r="DU46" s="27"/>
      <c r="DV46" s="27"/>
      <c r="DW46" s="27"/>
      <c r="DX46" s="27"/>
      <c r="DY46" s="27"/>
      <c r="DZ46" s="27"/>
      <c r="EA46" s="27"/>
      <c r="EB46" s="27"/>
      <c r="EC46" s="27"/>
      <c r="ED46" s="27"/>
      <c r="EE46" s="27"/>
      <c r="EF46" s="27"/>
      <c r="EG46" s="27"/>
      <c r="EH46" s="27"/>
      <c r="EI46" s="27"/>
      <c r="EJ46" s="27"/>
      <c r="EK46" s="27"/>
      <c r="EL46" s="27"/>
      <c r="EM46" s="27"/>
      <c r="EN46" s="27"/>
      <c r="EO46" s="27"/>
      <c r="EP46" s="27"/>
      <c r="EQ46" s="27"/>
      <c r="ER46" s="27"/>
      <c r="ES46" s="27"/>
    </row>
    <row r="47" customFormat="false" ht="15" hidden="false" customHeight="false" outlineLevel="0" collapsed="false">
      <c r="A47" s="27" t="n">
        <v>46</v>
      </c>
      <c r="B47" s="7" t="s">
        <v>24</v>
      </c>
      <c r="C47" s="27" t="s">
        <v>303</v>
      </c>
      <c r="D47" s="27" t="s">
        <v>461</v>
      </c>
      <c r="E47" s="27" t="s">
        <v>135</v>
      </c>
      <c r="F47" s="27" t="s">
        <v>135</v>
      </c>
      <c r="G47" s="27" t="s">
        <v>136</v>
      </c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  <c r="AW47" s="27"/>
      <c r="AX47" s="27"/>
      <c r="AY47" s="27"/>
      <c r="AZ47" s="27"/>
      <c r="BA47" s="27"/>
      <c r="BB47" s="27"/>
      <c r="BC47" s="27"/>
      <c r="BD47" s="27"/>
      <c r="BE47" s="27"/>
      <c r="BF47" s="27"/>
      <c r="BG47" s="27"/>
      <c r="BH47" s="27"/>
      <c r="BI47" s="27"/>
      <c r="BJ47" s="27"/>
      <c r="BK47" s="27" t="s">
        <v>41</v>
      </c>
      <c r="BL47" s="27" t="s">
        <v>135</v>
      </c>
      <c r="BM47" s="27"/>
      <c r="BN47" s="27"/>
      <c r="BO47" s="27"/>
      <c r="BP47" s="27"/>
      <c r="BQ47" s="27" t="n">
        <f aca="false">COUNTIFS(Trechos!$L$2:$L$838,A47)</f>
        <v>2</v>
      </c>
      <c r="BR47" s="28" t="n">
        <f aca="false">SUMIFS(Trechos!$F$2:$F$838,Trechos!$L$2:$L$838,A47)</f>
        <v>21.9975305593168</v>
      </c>
      <c r="BS47" s="27" t="n">
        <f aca="false">COUNTA(BV47:ES47)</f>
        <v>0</v>
      </c>
      <c r="BT47" s="27" t="str">
        <f aca="false">IF(COUNTA(BV47:ES47)=0,"—",_xlfn.TEXTJOIN(", ",TRUE(),BV47:ES47))</f>
        <v>—</v>
      </c>
      <c r="BU47" s="27" t="s">
        <v>54</v>
      </c>
      <c r="BV47" s="27"/>
      <c r="BW47" s="27"/>
      <c r="BX47" s="27"/>
      <c r="BY47" s="27"/>
      <c r="BZ47" s="27"/>
      <c r="CA47" s="27"/>
      <c r="CB47" s="27"/>
      <c r="CC47" s="27"/>
      <c r="CD47" s="27"/>
      <c r="CE47" s="27"/>
      <c r="CF47" s="27"/>
      <c r="CG47" s="27"/>
      <c r="CH47" s="27"/>
      <c r="CI47" s="27"/>
      <c r="CJ47" s="27"/>
      <c r="CK47" s="27"/>
      <c r="CL47" s="27"/>
      <c r="CM47" s="27"/>
      <c r="CN47" s="27"/>
      <c r="CO47" s="27"/>
      <c r="CP47" s="27"/>
      <c r="CQ47" s="27"/>
      <c r="CR47" s="27"/>
      <c r="CS47" s="27"/>
      <c r="CT47" s="27"/>
      <c r="CU47" s="27"/>
      <c r="CV47" s="27"/>
      <c r="CW47" s="27"/>
      <c r="CX47" s="27"/>
      <c r="CY47" s="27"/>
      <c r="CZ47" s="27"/>
      <c r="DA47" s="27"/>
      <c r="DB47" s="27"/>
      <c r="DC47" s="27"/>
      <c r="DD47" s="27"/>
      <c r="DE47" s="27"/>
      <c r="DF47" s="27"/>
      <c r="DG47" s="27"/>
      <c r="DH47" s="27"/>
      <c r="DI47" s="27"/>
      <c r="DJ47" s="27"/>
      <c r="DK47" s="27"/>
      <c r="DL47" s="27"/>
      <c r="DM47" s="27"/>
      <c r="DN47" s="27"/>
      <c r="DO47" s="27"/>
      <c r="DP47" s="27"/>
      <c r="DQ47" s="27"/>
      <c r="DR47" s="27"/>
      <c r="DS47" s="27"/>
      <c r="DT47" s="27"/>
      <c r="DU47" s="27"/>
      <c r="DV47" s="27"/>
      <c r="DW47" s="27"/>
      <c r="DX47" s="27"/>
      <c r="DY47" s="27"/>
      <c r="DZ47" s="27"/>
      <c r="EA47" s="27"/>
      <c r="EB47" s="27"/>
      <c r="EC47" s="27"/>
      <c r="ED47" s="27"/>
      <c r="EE47" s="27"/>
      <c r="EF47" s="27"/>
      <c r="EG47" s="27"/>
      <c r="EH47" s="27"/>
      <c r="EI47" s="27"/>
      <c r="EJ47" s="27"/>
      <c r="EK47" s="27"/>
      <c r="EL47" s="27"/>
      <c r="EM47" s="27"/>
      <c r="EN47" s="27"/>
      <c r="EO47" s="27"/>
      <c r="EP47" s="27"/>
      <c r="EQ47" s="27"/>
      <c r="ER47" s="27"/>
      <c r="ES47" s="27"/>
    </row>
    <row r="48" customFormat="false" ht="15" hidden="false" customHeight="false" outlineLevel="0" collapsed="false">
      <c r="A48" s="27" t="n">
        <v>47</v>
      </c>
      <c r="B48" s="7" t="s">
        <v>24</v>
      </c>
      <c r="C48" s="27" t="s">
        <v>303</v>
      </c>
      <c r="D48" s="27" t="s">
        <v>461</v>
      </c>
      <c r="E48" s="27" t="s">
        <v>137</v>
      </c>
      <c r="F48" s="27" t="s">
        <v>137</v>
      </c>
      <c r="G48" s="27" t="s">
        <v>521</v>
      </c>
      <c r="H48" s="27" t="s">
        <v>139</v>
      </c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  <c r="AR48" s="27"/>
      <c r="AS48" s="27"/>
      <c r="AT48" s="27"/>
      <c r="AU48" s="27"/>
      <c r="AV48" s="27"/>
      <c r="AW48" s="27"/>
      <c r="AX48" s="27"/>
      <c r="AY48" s="27"/>
      <c r="AZ48" s="27"/>
      <c r="BA48" s="27"/>
      <c r="BB48" s="27"/>
      <c r="BC48" s="27"/>
      <c r="BD48" s="27"/>
      <c r="BE48" s="27"/>
      <c r="BF48" s="27"/>
      <c r="BG48" s="27"/>
      <c r="BH48" s="27"/>
      <c r="BI48" s="27"/>
      <c r="BJ48" s="27"/>
      <c r="BK48" s="27" t="s">
        <v>41</v>
      </c>
      <c r="BL48" s="27" t="s">
        <v>137</v>
      </c>
      <c r="BM48" s="27"/>
      <c r="BN48" s="27"/>
      <c r="BO48" s="27"/>
      <c r="BP48" s="27"/>
      <c r="BQ48" s="27" t="n">
        <f aca="false">COUNTIFS(Trechos!$L$2:$L$838,A48)</f>
        <v>17</v>
      </c>
      <c r="BR48" s="28" t="n">
        <f aca="false">SUMIFS(Trechos!$F$2:$F$838,Trechos!$L$2:$L$838,A48)</f>
        <v>934.40969699882</v>
      </c>
      <c r="BS48" s="27" t="n">
        <f aca="false">COUNTA(BV48:ES48)</f>
        <v>1</v>
      </c>
      <c r="BT48" s="27" t="str">
        <f aca="false">IF(COUNTA(BV48:ES48)=0,"—",_xlfn.TEXTJOIN(", ",TRUE(),BV48:ES48))</f>
        <v>0354093004</v>
      </c>
      <c r="BU48" s="27" t="s">
        <v>54</v>
      </c>
      <c r="BV48" s="27" t="s">
        <v>139</v>
      </c>
      <c r="BW48" s="27"/>
      <c r="BX48" s="27"/>
      <c r="BY48" s="27"/>
      <c r="BZ48" s="27"/>
      <c r="CA48" s="27"/>
      <c r="CB48" s="27"/>
      <c r="CC48" s="27"/>
      <c r="CD48" s="27"/>
      <c r="CE48" s="27"/>
      <c r="CF48" s="27"/>
      <c r="CG48" s="27"/>
      <c r="CH48" s="27"/>
      <c r="CI48" s="27"/>
      <c r="CJ48" s="27"/>
      <c r="CK48" s="27"/>
      <c r="CL48" s="27"/>
      <c r="CM48" s="27"/>
      <c r="CN48" s="27"/>
      <c r="CO48" s="27"/>
      <c r="CP48" s="27"/>
      <c r="CQ48" s="27"/>
      <c r="CR48" s="27"/>
      <c r="CS48" s="27"/>
      <c r="CT48" s="27"/>
      <c r="CU48" s="27"/>
      <c r="CV48" s="27"/>
      <c r="CW48" s="27"/>
      <c r="CX48" s="27"/>
      <c r="CY48" s="27"/>
      <c r="CZ48" s="27"/>
      <c r="DA48" s="27"/>
      <c r="DB48" s="27"/>
      <c r="DC48" s="27"/>
      <c r="DD48" s="27"/>
      <c r="DE48" s="27"/>
      <c r="DF48" s="27"/>
      <c r="DG48" s="27"/>
      <c r="DH48" s="27"/>
      <c r="DI48" s="27"/>
      <c r="DJ48" s="27"/>
      <c r="DK48" s="27"/>
      <c r="DL48" s="27"/>
      <c r="DM48" s="27"/>
      <c r="DN48" s="27"/>
      <c r="DO48" s="27"/>
      <c r="DP48" s="27"/>
      <c r="DQ48" s="27"/>
      <c r="DR48" s="27"/>
      <c r="DS48" s="27"/>
      <c r="DT48" s="27"/>
      <c r="DU48" s="27"/>
      <c r="DV48" s="27"/>
      <c r="DW48" s="27"/>
      <c r="DX48" s="27"/>
      <c r="DY48" s="27"/>
      <c r="DZ48" s="27"/>
      <c r="EA48" s="27"/>
      <c r="EB48" s="27"/>
      <c r="EC48" s="27"/>
      <c r="ED48" s="27"/>
      <c r="EE48" s="27"/>
      <c r="EF48" s="27"/>
      <c r="EG48" s="27"/>
      <c r="EH48" s="27"/>
      <c r="EI48" s="27"/>
      <c r="EJ48" s="27"/>
      <c r="EK48" s="27"/>
      <c r="EL48" s="27"/>
      <c r="EM48" s="27"/>
      <c r="EN48" s="27"/>
      <c r="EO48" s="27"/>
      <c r="EP48" s="27"/>
      <c r="EQ48" s="27"/>
      <c r="ER48" s="27"/>
      <c r="ES48" s="27"/>
    </row>
    <row r="49" customFormat="false" ht="15" hidden="false" customHeight="false" outlineLevel="0" collapsed="false">
      <c r="A49" s="27" t="n">
        <v>48</v>
      </c>
      <c r="B49" s="7" t="s">
        <v>24</v>
      </c>
      <c r="C49" s="27" t="s">
        <v>303</v>
      </c>
      <c r="D49" s="27" t="s">
        <v>461</v>
      </c>
      <c r="E49" s="27" t="s">
        <v>139</v>
      </c>
      <c r="F49" s="27" t="s">
        <v>139</v>
      </c>
      <c r="G49" s="27" t="s">
        <v>140</v>
      </c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7"/>
      <c r="AW49" s="27"/>
      <c r="AX49" s="27"/>
      <c r="AY49" s="27"/>
      <c r="AZ49" s="27"/>
      <c r="BA49" s="27"/>
      <c r="BB49" s="27"/>
      <c r="BC49" s="27"/>
      <c r="BD49" s="27"/>
      <c r="BE49" s="27"/>
      <c r="BF49" s="27"/>
      <c r="BG49" s="27"/>
      <c r="BH49" s="27"/>
      <c r="BI49" s="27"/>
      <c r="BJ49" s="27"/>
      <c r="BK49" s="27" t="s">
        <v>41</v>
      </c>
      <c r="BL49" s="27" t="s">
        <v>137</v>
      </c>
      <c r="BM49" s="27" t="s">
        <v>139</v>
      </c>
      <c r="BN49" s="27"/>
      <c r="BO49" s="27"/>
      <c r="BP49" s="27"/>
      <c r="BQ49" s="27" t="n">
        <f aca="false">COUNTIFS(Trechos!$L$2:$L$838,A49)</f>
        <v>1</v>
      </c>
      <c r="BR49" s="28" t="n">
        <f aca="false">SUMIFS(Trechos!$F$2:$F$838,Trechos!$L$2:$L$838,A49)</f>
        <v>71.8171864522846</v>
      </c>
      <c r="BS49" s="27" t="n">
        <f aca="false">COUNTA(BV49:ES49)</f>
        <v>0</v>
      </c>
      <c r="BT49" s="27" t="str">
        <f aca="false">IF(COUNTA(BV49:ES49)=0,"—",_xlfn.TEXTJOIN(", ",TRUE(),BV49:ES49))</f>
        <v>—</v>
      </c>
      <c r="BU49" s="27" t="s">
        <v>54</v>
      </c>
      <c r="BV49" s="27"/>
      <c r="BW49" s="27"/>
      <c r="BX49" s="27"/>
      <c r="BY49" s="27"/>
      <c r="BZ49" s="27"/>
      <c r="CA49" s="27"/>
      <c r="CB49" s="27"/>
      <c r="CC49" s="27"/>
      <c r="CD49" s="27"/>
      <c r="CE49" s="27"/>
      <c r="CF49" s="27"/>
      <c r="CG49" s="27"/>
      <c r="CH49" s="27"/>
      <c r="CI49" s="27"/>
      <c r="CJ49" s="27"/>
      <c r="CK49" s="27"/>
      <c r="CL49" s="27"/>
      <c r="CM49" s="27"/>
      <c r="CN49" s="27"/>
      <c r="CO49" s="27"/>
      <c r="CP49" s="27"/>
      <c r="CQ49" s="27"/>
      <c r="CR49" s="27"/>
      <c r="CS49" s="27"/>
      <c r="CT49" s="27"/>
      <c r="CU49" s="27"/>
      <c r="CV49" s="27"/>
      <c r="CW49" s="27"/>
      <c r="CX49" s="27"/>
      <c r="CY49" s="27"/>
      <c r="CZ49" s="27"/>
      <c r="DA49" s="27"/>
      <c r="DB49" s="27"/>
      <c r="DC49" s="27"/>
      <c r="DD49" s="27"/>
      <c r="DE49" s="27"/>
      <c r="DF49" s="27"/>
      <c r="DG49" s="27"/>
      <c r="DH49" s="27"/>
      <c r="DI49" s="27"/>
      <c r="DJ49" s="27"/>
      <c r="DK49" s="27"/>
      <c r="DL49" s="27"/>
      <c r="DM49" s="27"/>
      <c r="DN49" s="27"/>
      <c r="DO49" s="27"/>
      <c r="DP49" s="27"/>
      <c r="DQ49" s="27"/>
      <c r="DR49" s="27"/>
      <c r="DS49" s="27"/>
      <c r="DT49" s="27"/>
      <c r="DU49" s="27"/>
      <c r="DV49" s="27"/>
      <c r="DW49" s="27"/>
      <c r="DX49" s="27"/>
      <c r="DY49" s="27"/>
      <c r="DZ49" s="27"/>
      <c r="EA49" s="27"/>
      <c r="EB49" s="27"/>
      <c r="EC49" s="27"/>
      <c r="ED49" s="27"/>
      <c r="EE49" s="27"/>
      <c r="EF49" s="27"/>
      <c r="EG49" s="27"/>
      <c r="EH49" s="27"/>
      <c r="EI49" s="27"/>
      <c r="EJ49" s="27"/>
      <c r="EK49" s="27"/>
      <c r="EL49" s="27"/>
      <c r="EM49" s="27"/>
      <c r="EN49" s="27"/>
      <c r="EO49" s="27"/>
      <c r="EP49" s="27"/>
      <c r="EQ49" s="27"/>
      <c r="ER49" s="27"/>
      <c r="ES49" s="27"/>
    </row>
    <row r="50" customFormat="false" ht="15" hidden="false" customHeight="false" outlineLevel="0" collapsed="false">
      <c r="A50" s="27" t="n">
        <v>49</v>
      </c>
      <c r="B50" s="7" t="s">
        <v>24</v>
      </c>
      <c r="C50" s="27" t="s">
        <v>303</v>
      </c>
      <c r="D50" s="27" t="s">
        <v>461</v>
      </c>
      <c r="E50" s="27" t="s">
        <v>141</v>
      </c>
      <c r="F50" s="27" t="s">
        <v>141</v>
      </c>
      <c r="G50" s="27" t="s">
        <v>142</v>
      </c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27"/>
      <c r="AX50" s="27"/>
      <c r="AY50" s="27"/>
      <c r="AZ50" s="27"/>
      <c r="BA50" s="27"/>
      <c r="BB50" s="27"/>
      <c r="BC50" s="27"/>
      <c r="BD50" s="27"/>
      <c r="BE50" s="27"/>
      <c r="BF50" s="27"/>
      <c r="BG50" s="27"/>
      <c r="BH50" s="27"/>
      <c r="BI50" s="27"/>
      <c r="BJ50" s="27"/>
      <c r="BK50" s="27" t="s">
        <v>41</v>
      </c>
      <c r="BL50" s="27" t="s">
        <v>141</v>
      </c>
      <c r="BM50" s="27"/>
      <c r="BN50" s="27"/>
      <c r="BO50" s="27"/>
      <c r="BP50" s="27"/>
      <c r="BQ50" s="27" t="n">
        <f aca="false">COUNTIFS(Trechos!$L$2:$L$838,A50)</f>
        <v>1</v>
      </c>
      <c r="BR50" s="28" t="n">
        <f aca="false">SUMIFS(Trechos!$F$2:$F$838,Trechos!$L$2:$L$838,A50)</f>
        <v>18.1883751631324</v>
      </c>
      <c r="BS50" s="27" t="n">
        <f aca="false">COUNTA(BV50:ES50)</f>
        <v>0</v>
      </c>
      <c r="BT50" s="27" t="str">
        <f aca="false">IF(COUNTA(BV50:ES50)=0,"—",_xlfn.TEXTJOIN(", ",TRUE(),BV50:ES50))</f>
        <v>—</v>
      </c>
      <c r="BU50" s="27" t="s">
        <v>54</v>
      </c>
      <c r="BV50" s="27"/>
      <c r="BW50" s="27"/>
      <c r="BX50" s="27"/>
      <c r="BY50" s="27"/>
      <c r="BZ50" s="27"/>
      <c r="CA50" s="27"/>
      <c r="CB50" s="27"/>
      <c r="CC50" s="27"/>
      <c r="CD50" s="27"/>
      <c r="CE50" s="27"/>
      <c r="CF50" s="27"/>
      <c r="CG50" s="27"/>
      <c r="CH50" s="27"/>
      <c r="CI50" s="27"/>
      <c r="CJ50" s="27"/>
      <c r="CK50" s="27"/>
      <c r="CL50" s="27"/>
      <c r="CM50" s="27"/>
      <c r="CN50" s="27"/>
      <c r="CO50" s="27"/>
      <c r="CP50" s="27"/>
      <c r="CQ50" s="27"/>
      <c r="CR50" s="27"/>
      <c r="CS50" s="27"/>
      <c r="CT50" s="27"/>
      <c r="CU50" s="27"/>
      <c r="CV50" s="27"/>
      <c r="CW50" s="27"/>
      <c r="CX50" s="27"/>
      <c r="CY50" s="27"/>
      <c r="CZ50" s="27"/>
      <c r="DA50" s="27"/>
      <c r="DB50" s="27"/>
      <c r="DC50" s="27"/>
      <c r="DD50" s="27"/>
      <c r="DE50" s="27"/>
      <c r="DF50" s="27"/>
      <c r="DG50" s="27"/>
      <c r="DH50" s="27"/>
      <c r="DI50" s="27"/>
      <c r="DJ50" s="27"/>
      <c r="DK50" s="27"/>
      <c r="DL50" s="27"/>
      <c r="DM50" s="27"/>
      <c r="DN50" s="27"/>
      <c r="DO50" s="27"/>
      <c r="DP50" s="27"/>
      <c r="DQ50" s="27"/>
      <c r="DR50" s="27"/>
      <c r="DS50" s="27"/>
      <c r="DT50" s="27"/>
      <c r="DU50" s="27"/>
      <c r="DV50" s="27"/>
      <c r="DW50" s="27"/>
      <c r="DX50" s="27"/>
      <c r="DY50" s="27"/>
      <c r="DZ50" s="27"/>
      <c r="EA50" s="27"/>
      <c r="EB50" s="27"/>
      <c r="EC50" s="27"/>
      <c r="ED50" s="27"/>
      <c r="EE50" s="27"/>
      <c r="EF50" s="27"/>
      <c r="EG50" s="27"/>
      <c r="EH50" s="27"/>
      <c r="EI50" s="27"/>
      <c r="EJ50" s="27"/>
      <c r="EK50" s="27"/>
      <c r="EL50" s="27"/>
      <c r="EM50" s="27"/>
      <c r="EN50" s="27"/>
      <c r="EO50" s="27"/>
      <c r="EP50" s="27"/>
      <c r="EQ50" s="27"/>
      <c r="ER50" s="27"/>
      <c r="ES50" s="27"/>
    </row>
    <row r="51" customFormat="false" ht="15" hidden="false" customHeight="false" outlineLevel="0" collapsed="false">
      <c r="A51" s="27" t="n">
        <v>50</v>
      </c>
      <c r="B51" s="7" t="s">
        <v>24</v>
      </c>
      <c r="C51" s="27" t="s">
        <v>303</v>
      </c>
      <c r="D51" s="27" t="s">
        <v>461</v>
      </c>
      <c r="E51" s="27" t="s">
        <v>143</v>
      </c>
      <c r="F51" s="27" t="s">
        <v>143</v>
      </c>
      <c r="G51" s="27" t="s">
        <v>144</v>
      </c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  <c r="AW51" s="27"/>
      <c r="AX51" s="27"/>
      <c r="AY51" s="27"/>
      <c r="AZ51" s="27"/>
      <c r="BA51" s="27"/>
      <c r="BB51" s="27"/>
      <c r="BC51" s="27"/>
      <c r="BD51" s="27"/>
      <c r="BE51" s="27"/>
      <c r="BF51" s="27"/>
      <c r="BG51" s="27"/>
      <c r="BH51" s="27"/>
      <c r="BI51" s="27"/>
      <c r="BJ51" s="27"/>
      <c r="BK51" s="27" t="s">
        <v>41</v>
      </c>
      <c r="BL51" s="27" t="s">
        <v>143</v>
      </c>
      <c r="BM51" s="27"/>
      <c r="BN51" s="27"/>
      <c r="BO51" s="27"/>
      <c r="BP51" s="27"/>
      <c r="BQ51" s="27" t="n">
        <f aca="false">COUNTIFS(Trechos!$L$2:$L$838,A51)</f>
        <v>2</v>
      </c>
      <c r="BR51" s="28" t="n">
        <f aca="false">SUMIFS(Trechos!$F$2:$F$838,Trechos!$L$2:$L$838,A51)</f>
        <v>13.7394333667504</v>
      </c>
      <c r="BS51" s="27" t="n">
        <f aca="false">COUNTA(BV51:ES51)</f>
        <v>0</v>
      </c>
      <c r="BT51" s="27" t="str">
        <f aca="false">IF(COUNTA(BV51:ES51)=0,"—",_xlfn.TEXTJOIN(", ",TRUE(),BV51:ES51))</f>
        <v>—</v>
      </c>
      <c r="BU51" s="27" t="s">
        <v>54</v>
      </c>
      <c r="BV51" s="27"/>
      <c r="BW51" s="27"/>
      <c r="BX51" s="27"/>
      <c r="BY51" s="27"/>
      <c r="BZ51" s="27"/>
      <c r="CA51" s="27"/>
      <c r="CB51" s="27"/>
      <c r="CC51" s="27"/>
      <c r="CD51" s="27"/>
      <c r="CE51" s="27"/>
      <c r="CF51" s="27"/>
      <c r="CG51" s="27"/>
      <c r="CH51" s="27"/>
      <c r="CI51" s="27"/>
      <c r="CJ51" s="27"/>
      <c r="CK51" s="27"/>
      <c r="CL51" s="27"/>
      <c r="CM51" s="27"/>
      <c r="CN51" s="27"/>
      <c r="CO51" s="27"/>
      <c r="CP51" s="27"/>
      <c r="CQ51" s="27"/>
      <c r="CR51" s="27"/>
      <c r="CS51" s="27"/>
      <c r="CT51" s="27"/>
      <c r="CU51" s="27"/>
      <c r="CV51" s="27"/>
      <c r="CW51" s="27"/>
      <c r="CX51" s="27"/>
      <c r="CY51" s="27"/>
      <c r="CZ51" s="27"/>
      <c r="DA51" s="27"/>
      <c r="DB51" s="27"/>
      <c r="DC51" s="27"/>
      <c r="DD51" s="27"/>
      <c r="DE51" s="27"/>
      <c r="DF51" s="27"/>
      <c r="DG51" s="27"/>
      <c r="DH51" s="27"/>
      <c r="DI51" s="27"/>
      <c r="DJ51" s="27"/>
      <c r="DK51" s="27"/>
      <c r="DL51" s="27"/>
      <c r="DM51" s="27"/>
      <c r="DN51" s="27"/>
      <c r="DO51" s="27"/>
      <c r="DP51" s="27"/>
      <c r="DQ51" s="27"/>
      <c r="DR51" s="27"/>
      <c r="DS51" s="27"/>
      <c r="DT51" s="27"/>
      <c r="DU51" s="27"/>
      <c r="DV51" s="27"/>
      <c r="DW51" s="27"/>
      <c r="DX51" s="27"/>
      <c r="DY51" s="27"/>
      <c r="DZ51" s="27"/>
      <c r="EA51" s="27"/>
      <c r="EB51" s="27"/>
      <c r="EC51" s="27"/>
      <c r="ED51" s="27"/>
      <c r="EE51" s="27"/>
      <c r="EF51" s="27"/>
      <c r="EG51" s="27"/>
      <c r="EH51" s="27"/>
      <c r="EI51" s="27"/>
      <c r="EJ51" s="27"/>
      <c r="EK51" s="27"/>
      <c r="EL51" s="27"/>
      <c r="EM51" s="27"/>
      <c r="EN51" s="27"/>
      <c r="EO51" s="27"/>
      <c r="EP51" s="27"/>
      <c r="EQ51" s="27"/>
      <c r="ER51" s="27"/>
      <c r="ES51" s="27"/>
    </row>
    <row r="52" customFormat="false" ht="15" hidden="false" customHeight="false" outlineLevel="0" collapsed="false">
      <c r="A52" s="27" t="n">
        <v>51</v>
      </c>
      <c r="B52" s="7" t="s">
        <v>24</v>
      </c>
      <c r="C52" s="27" t="s">
        <v>303</v>
      </c>
      <c r="D52" s="27" t="s">
        <v>461</v>
      </c>
      <c r="E52" s="27" t="s">
        <v>145</v>
      </c>
      <c r="F52" s="27" t="s">
        <v>145</v>
      </c>
      <c r="G52" s="27" t="s">
        <v>146</v>
      </c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7"/>
      <c r="AW52" s="27"/>
      <c r="AX52" s="27"/>
      <c r="AY52" s="27"/>
      <c r="AZ52" s="27"/>
      <c r="BA52" s="27"/>
      <c r="BB52" s="27"/>
      <c r="BC52" s="27"/>
      <c r="BD52" s="27"/>
      <c r="BE52" s="27"/>
      <c r="BF52" s="27"/>
      <c r="BG52" s="27"/>
      <c r="BH52" s="27"/>
      <c r="BI52" s="27"/>
      <c r="BJ52" s="27"/>
      <c r="BK52" s="27" t="s">
        <v>41</v>
      </c>
      <c r="BL52" s="27" t="s">
        <v>145</v>
      </c>
      <c r="BM52" s="27"/>
      <c r="BN52" s="27"/>
      <c r="BO52" s="27"/>
      <c r="BP52" s="27"/>
      <c r="BQ52" s="27" t="n">
        <f aca="false">COUNTIFS(Trechos!$L$2:$L$838,A52)</f>
        <v>1</v>
      </c>
      <c r="BR52" s="28" t="n">
        <f aca="false">SUMIFS(Trechos!$F$2:$F$838,Trechos!$L$2:$L$838,A52)</f>
        <v>29.8546668707764</v>
      </c>
      <c r="BS52" s="27" t="n">
        <f aca="false">COUNTA(BV52:ES52)</f>
        <v>0</v>
      </c>
      <c r="BT52" s="27" t="str">
        <f aca="false">IF(COUNTA(BV52:ES52)=0,"—",_xlfn.TEXTJOIN(", ",TRUE(),BV52:ES52))</f>
        <v>—</v>
      </c>
      <c r="BU52" s="27" t="s">
        <v>54</v>
      </c>
      <c r="BV52" s="27"/>
      <c r="BW52" s="27"/>
      <c r="BX52" s="27"/>
      <c r="BY52" s="27"/>
      <c r="BZ52" s="27"/>
      <c r="CA52" s="27"/>
      <c r="CB52" s="27"/>
      <c r="CC52" s="27"/>
      <c r="CD52" s="27"/>
      <c r="CE52" s="27"/>
      <c r="CF52" s="27"/>
      <c r="CG52" s="27"/>
      <c r="CH52" s="27"/>
      <c r="CI52" s="27"/>
      <c r="CJ52" s="27"/>
      <c r="CK52" s="27"/>
      <c r="CL52" s="27"/>
      <c r="CM52" s="27"/>
      <c r="CN52" s="27"/>
      <c r="CO52" s="27"/>
      <c r="CP52" s="27"/>
      <c r="CQ52" s="27"/>
      <c r="CR52" s="27"/>
      <c r="CS52" s="27"/>
      <c r="CT52" s="27"/>
      <c r="CU52" s="27"/>
      <c r="CV52" s="27"/>
      <c r="CW52" s="27"/>
      <c r="CX52" s="27"/>
      <c r="CY52" s="27"/>
      <c r="CZ52" s="27"/>
      <c r="DA52" s="27"/>
      <c r="DB52" s="27"/>
      <c r="DC52" s="27"/>
      <c r="DD52" s="27"/>
      <c r="DE52" s="27"/>
      <c r="DF52" s="27"/>
      <c r="DG52" s="27"/>
      <c r="DH52" s="27"/>
      <c r="DI52" s="27"/>
      <c r="DJ52" s="27"/>
      <c r="DK52" s="27"/>
      <c r="DL52" s="27"/>
      <c r="DM52" s="27"/>
      <c r="DN52" s="27"/>
      <c r="DO52" s="27"/>
      <c r="DP52" s="27"/>
      <c r="DQ52" s="27"/>
      <c r="DR52" s="27"/>
      <c r="DS52" s="27"/>
      <c r="DT52" s="27"/>
      <c r="DU52" s="27"/>
      <c r="DV52" s="27"/>
      <c r="DW52" s="27"/>
      <c r="DX52" s="27"/>
      <c r="DY52" s="27"/>
      <c r="DZ52" s="27"/>
      <c r="EA52" s="27"/>
      <c r="EB52" s="27"/>
      <c r="EC52" s="27"/>
      <c r="ED52" s="27"/>
      <c r="EE52" s="27"/>
      <c r="EF52" s="27"/>
      <c r="EG52" s="27"/>
      <c r="EH52" s="27"/>
      <c r="EI52" s="27"/>
      <c r="EJ52" s="27"/>
      <c r="EK52" s="27"/>
      <c r="EL52" s="27"/>
      <c r="EM52" s="27"/>
      <c r="EN52" s="27"/>
      <c r="EO52" s="27"/>
      <c r="EP52" s="27"/>
      <c r="EQ52" s="27"/>
      <c r="ER52" s="27"/>
      <c r="ES52" s="27"/>
    </row>
    <row r="53" customFormat="false" ht="15" hidden="false" customHeight="false" outlineLevel="0" collapsed="false">
      <c r="A53" s="27" t="n">
        <v>52</v>
      </c>
      <c r="B53" s="7" t="s">
        <v>24</v>
      </c>
      <c r="C53" s="27" t="s">
        <v>303</v>
      </c>
      <c r="D53" s="27" t="s">
        <v>461</v>
      </c>
      <c r="E53" s="27" t="s">
        <v>147</v>
      </c>
      <c r="F53" s="27" t="s">
        <v>147</v>
      </c>
      <c r="G53" s="27" t="s">
        <v>522</v>
      </c>
      <c r="H53" s="27" t="s">
        <v>523</v>
      </c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27"/>
      <c r="AW53" s="27"/>
      <c r="AX53" s="27"/>
      <c r="AY53" s="27"/>
      <c r="AZ53" s="27"/>
      <c r="BA53" s="27"/>
      <c r="BB53" s="27"/>
      <c r="BC53" s="27"/>
      <c r="BD53" s="27"/>
      <c r="BE53" s="27"/>
      <c r="BF53" s="27"/>
      <c r="BG53" s="27"/>
      <c r="BH53" s="27"/>
      <c r="BI53" s="27"/>
      <c r="BJ53" s="27"/>
      <c r="BK53" s="27" t="s">
        <v>41</v>
      </c>
      <c r="BL53" s="27" t="s">
        <v>147</v>
      </c>
      <c r="BM53" s="27"/>
      <c r="BN53" s="27"/>
      <c r="BO53" s="27"/>
      <c r="BP53" s="27"/>
      <c r="BQ53" s="27" t="n">
        <f aca="false">COUNTIFS(Trechos!$L$2:$L$838,A53)</f>
        <v>3</v>
      </c>
      <c r="BR53" s="28" t="n">
        <f aca="false">SUMIFS(Trechos!$F$2:$F$838,Trechos!$L$2:$L$838,A53)</f>
        <v>83.3876796493266</v>
      </c>
      <c r="BS53" s="27" t="n">
        <f aca="false">COUNTA(BV53:ES53)</f>
        <v>0</v>
      </c>
      <c r="BT53" s="27" t="str">
        <f aca="false">IF(COUNTA(BV53:ES53)=0,"—",_xlfn.TEXTJOIN(", ",TRUE(),BV53:ES53))</f>
        <v>—</v>
      </c>
      <c r="BU53" s="27" t="s">
        <v>54</v>
      </c>
      <c r="BV53" s="27"/>
      <c r="BW53" s="27"/>
      <c r="BX53" s="27"/>
      <c r="BY53" s="27"/>
      <c r="BZ53" s="27"/>
      <c r="CA53" s="27"/>
      <c r="CB53" s="27"/>
      <c r="CC53" s="27"/>
      <c r="CD53" s="27"/>
      <c r="CE53" s="27"/>
      <c r="CF53" s="27"/>
      <c r="CG53" s="27"/>
      <c r="CH53" s="27"/>
      <c r="CI53" s="27"/>
      <c r="CJ53" s="27"/>
      <c r="CK53" s="27"/>
      <c r="CL53" s="27"/>
      <c r="CM53" s="27"/>
      <c r="CN53" s="27"/>
      <c r="CO53" s="27"/>
      <c r="CP53" s="27"/>
      <c r="CQ53" s="27"/>
      <c r="CR53" s="27"/>
      <c r="CS53" s="27"/>
      <c r="CT53" s="27"/>
      <c r="CU53" s="27"/>
      <c r="CV53" s="27"/>
      <c r="CW53" s="27"/>
      <c r="CX53" s="27"/>
      <c r="CY53" s="27"/>
      <c r="CZ53" s="27"/>
      <c r="DA53" s="27"/>
      <c r="DB53" s="27"/>
      <c r="DC53" s="27"/>
      <c r="DD53" s="27"/>
      <c r="DE53" s="27"/>
      <c r="DF53" s="27"/>
      <c r="DG53" s="27"/>
      <c r="DH53" s="27"/>
      <c r="DI53" s="27"/>
      <c r="DJ53" s="27"/>
      <c r="DK53" s="27"/>
      <c r="DL53" s="27"/>
      <c r="DM53" s="27"/>
      <c r="DN53" s="27"/>
      <c r="DO53" s="27"/>
      <c r="DP53" s="27"/>
      <c r="DQ53" s="27"/>
      <c r="DR53" s="27"/>
      <c r="DS53" s="27"/>
      <c r="DT53" s="27"/>
      <c r="DU53" s="27"/>
      <c r="DV53" s="27"/>
      <c r="DW53" s="27"/>
      <c r="DX53" s="27"/>
      <c r="DY53" s="27"/>
      <c r="DZ53" s="27"/>
      <c r="EA53" s="27"/>
      <c r="EB53" s="27"/>
      <c r="EC53" s="27"/>
      <c r="ED53" s="27"/>
      <c r="EE53" s="27"/>
      <c r="EF53" s="27"/>
      <c r="EG53" s="27"/>
      <c r="EH53" s="27"/>
      <c r="EI53" s="27"/>
      <c r="EJ53" s="27"/>
      <c r="EK53" s="27"/>
      <c r="EL53" s="27"/>
      <c r="EM53" s="27"/>
      <c r="EN53" s="27"/>
      <c r="EO53" s="27"/>
      <c r="EP53" s="27"/>
      <c r="EQ53" s="27"/>
      <c r="ER53" s="27"/>
      <c r="ES53" s="27"/>
    </row>
    <row r="54" customFormat="false" ht="15" hidden="false" customHeight="false" outlineLevel="0" collapsed="false">
      <c r="A54" s="27" t="n">
        <v>53</v>
      </c>
      <c r="B54" s="5" t="s">
        <v>22</v>
      </c>
      <c r="C54" s="27" t="s">
        <v>303</v>
      </c>
      <c r="D54" s="27" t="s">
        <v>524</v>
      </c>
      <c r="E54" s="27" t="s">
        <v>41</v>
      </c>
      <c r="F54" s="27" t="s">
        <v>150</v>
      </c>
      <c r="G54" s="27" t="s">
        <v>525</v>
      </c>
      <c r="H54" s="27" t="s">
        <v>526</v>
      </c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  <c r="AQ54" s="27"/>
      <c r="AR54" s="27"/>
      <c r="AS54" s="27"/>
      <c r="AT54" s="27"/>
      <c r="AU54" s="27"/>
      <c r="AV54" s="27"/>
      <c r="AW54" s="27"/>
      <c r="AX54" s="27"/>
      <c r="AY54" s="27"/>
      <c r="AZ54" s="27"/>
      <c r="BA54" s="27"/>
      <c r="BB54" s="27"/>
      <c r="BC54" s="27"/>
      <c r="BD54" s="27"/>
      <c r="BE54" s="27"/>
      <c r="BF54" s="27"/>
      <c r="BG54" s="27"/>
      <c r="BH54" s="27"/>
      <c r="BI54" s="27"/>
      <c r="BJ54" s="27"/>
      <c r="BK54" s="27" t="s">
        <v>41</v>
      </c>
      <c r="BL54" s="27"/>
      <c r="BM54" s="27"/>
      <c r="BN54" s="27"/>
      <c r="BO54" s="27"/>
      <c r="BP54" s="27"/>
      <c r="BQ54" s="27" t="n">
        <f aca="false">COUNTIFS(Trechos!$L$2:$L$838,A54)</f>
        <v>2</v>
      </c>
      <c r="BR54" s="28" t="n">
        <f aca="false">SUMIFS(Trechos!$F$2:$F$838,Trechos!$L$2:$L$838,A54)</f>
        <v>48.0807141979609</v>
      </c>
      <c r="BS54" s="27" t="n">
        <f aca="false">COUNTA(BV54:ES54)</f>
        <v>0</v>
      </c>
      <c r="BT54" s="27" t="str">
        <f aca="false">IF(COUNTA(BV54:ES54)=0,"—",_xlfn.TEXTJOIN(", ",TRUE(),BV54:ES54))</f>
        <v>—</v>
      </c>
      <c r="BU54" s="27" t="s">
        <v>54</v>
      </c>
      <c r="BV54" s="27"/>
      <c r="BW54" s="27"/>
      <c r="BX54" s="27"/>
      <c r="BY54" s="27"/>
      <c r="BZ54" s="27"/>
      <c r="CA54" s="27"/>
      <c r="CB54" s="27"/>
      <c r="CC54" s="27"/>
      <c r="CD54" s="27"/>
      <c r="CE54" s="27"/>
      <c r="CF54" s="27"/>
      <c r="CG54" s="27"/>
      <c r="CH54" s="27"/>
      <c r="CI54" s="27"/>
      <c r="CJ54" s="27"/>
      <c r="CK54" s="27"/>
      <c r="CL54" s="27"/>
      <c r="CM54" s="27"/>
      <c r="CN54" s="27"/>
      <c r="CO54" s="27"/>
      <c r="CP54" s="27"/>
      <c r="CQ54" s="27"/>
      <c r="CR54" s="27"/>
      <c r="CS54" s="27"/>
      <c r="CT54" s="27"/>
      <c r="CU54" s="27"/>
      <c r="CV54" s="27"/>
      <c r="CW54" s="27"/>
      <c r="CX54" s="27"/>
      <c r="CY54" s="27"/>
      <c r="CZ54" s="27"/>
      <c r="DA54" s="27"/>
      <c r="DB54" s="27"/>
      <c r="DC54" s="27"/>
      <c r="DD54" s="27"/>
      <c r="DE54" s="27"/>
      <c r="DF54" s="27"/>
      <c r="DG54" s="27"/>
      <c r="DH54" s="27"/>
      <c r="DI54" s="27"/>
      <c r="DJ54" s="27"/>
      <c r="DK54" s="27"/>
      <c r="DL54" s="27"/>
      <c r="DM54" s="27"/>
      <c r="DN54" s="27"/>
      <c r="DO54" s="27"/>
      <c r="DP54" s="27"/>
      <c r="DQ54" s="27"/>
      <c r="DR54" s="27"/>
      <c r="DS54" s="27"/>
      <c r="DT54" s="27"/>
      <c r="DU54" s="27"/>
      <c r="DV54" s="27"/>
      <c r="DW54" s="27"/>
      <c r="DX54" s="27"/>
      <c r="DY54" s="27"/>
      <c r="DZ54" s="27"/>
      <c r="EA54" s="27"/>
      <c r="EB54" s="27"/>
      <c r="EC54" s="27"/>
      <c r="ED54" s="27"/>
      <c r="EE54" s="27"/>
      <c r="EF54" s="27"/>
      <c r="EG54" s="27"/>
      <c r="EH54" s="27"/>
      <c r="EI54" s="27"/>
      <c r="EJ54" s="27"/>
      <c r="EK54" s="27"/>
      <c r="EL54" s="27"/>
      <c r="EM54" s="27"/>
      <c r="EN54" s="27"/>
      <c r="EO54" s="27"/>
      <c r="EP54" s="27"/>
      <c r="EQ54" s="27"/>
      <c r="ER54" s="27"/>
      <c r="ES54" s="27"/>
    </row>
    <row r="55" customFormat="false" ht="15" hidden="false" customHeight="false" outlineLevel="0" collapsed="false">
      <c r="A55" s="27" t="n">
        <v>54</v>
      </c>
      <c r="B55" s="5" t="s">
        <v>22</v>
      </c>
      <c r="C55" s="27" t="s">
        <v>303</v>
      </c>
      <c r="D55" s="27" t="s">
        <v>527</v>
      </c>
      <c r="E55" s="27" t="s">
        <v>41</v>
      </c>
      <c r="F55" s="27" t="s">
        <v>153</v>
      </c>
      <c r="G55" s="27" t="s">
        <v>154</v>
      </c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7"/>
      <c r="AS55" s="27"/>
      <c r="AT55" s="27"/>
      <c r="AU55" s="27"/>
      <c r="AV55" s="27"/>
      <c r="AW55" s="27"/>
      <c r="AX55" s="27"/>
      <c r="AY55" s="27"/>
      <c r="AZ55" s="27"/>
      <c r="BA55" s="27"/>
      <c r="BB55" s="27"/>
      <c r="BC55" s="27"/>
      <c r="BD55" s="27"/>
      <c r="BE55" s="27"/>
      <c r="BF55" s="27"/>
      <c r="BG55" s="27"/>
      <c r="BH55" s="27"/>
      <c r="BI55" s="27"/>
      <c r="BJ55" s="27"/>
      <c r="BK55" s="27" t="s">
        <v>41</v>
      </c>
      <c r="BL55" s="27"/>
      <c r="BM55" s="27"/>
      <c r="BN55" s="27"/>
      <c r="BO55" s="27"/>
      <c r="BP55" s="27"/>
      <c r="BQ55" s="27" t="n">
        <f aca="false">COUNTIFS(Trechos!$L$2:$L$838,A55)</f>
        <v>1</v>
      </c>
      <c r="BR55" s="28" t="n">
        <f aca="false">SUMIFS(Trechos!$F$2:$F$838,Trechos!$L$2:$L$838,A55)</f>
        <v>4.92769448934394</v>
      </c>
      <c r="BS55" s="27" t="n">
        <f aca="false">COUNTA(BV55:ES55)</f>
        <v>0</v>
      </c>
      <c r="BT55" s="27" t="str">
        <f aca="false">IF(COUNTA(BV55:ES55)=0,"—",_xlfn.TEXTJOIN(", ",TRUE(),BV55:ES55))</f>
        <v>—</v>
      </c>
      <c r="BU55" s="27" t="s">
        <v>54</v>
      </c>
      <c r="BV55" s="27"/>
      <c r="BW55" s="27"/>
      <c r="BX55" s="27"/>
      <c r="BY55" s="27"/>
      <c r="BZ55" s="27"/>
      <c r="CA55" s="27"/>
      <c r="CB55" s="27"/>
      <c r="CC55" s="27"/>
      <c r="CD55" s="27"/>
      <c r="CE55" s="27"/>
      <c r="CF55" s="27"/>
      <c r="CG55" s="27"/>
      <c r="CH55" s="27"/>
      <c r="CI55" s="27"/>
      <c r="CJ55" s="27"/>
      <c r="CK55" s="27"/>
      <c r="CL55" s="27"/>
      <c r="CM55" s="27"/>
      <c r="CN55" s="27"/>
      <c r="CO55" s="27"/>
      <c r="CP55" s="27"/>
      <c r="CQ55" s="27"/>
      <c r="CR55" s="27"/>
      <c r="CS55" s="27"/>
      <c r="CT55" s="27"/>
      <c r="CU55" s="27"/>
      <c r="CV55" s="27"/>
      <c r="CW55" s="27"/>
      <c r="CX55" s="27"/>
      <c r="CY55" s="27"/>
      <c r="CZ55" s="27"/>
      <c r="DA55" s="27"/>
      <c r="DB55" s="27"/>
      <c r="DC55" s="27"/>
      <c r="DD55" s="27"/>
      <c r="DE55" s="27"/>
      <c r="DF55" s="27"/>
      <c r="DG55" s="27"/>
      <c r="DH55" s="27"/>
      <c r="DI55" s="27"/>
      <c r="DJ55" s="27"/>
      <c r="DK55" s="27"/>
      <c r="DL55" s="27"/>
      <c r="DM55" s="27"/>
      <c r="DN55" s="27"/>
      <c r="DO55" s="27"/>
      <c r="DP55" s="27"/>
      <c r="DQ55" s="27"/>
      <c r="DR55" s="27"/>
      <c r="DS55" s="27"/>
      <c r="DT55" s="27"/>
      <c r="DU55" s="27"/>
      <c r="DV55" s="27"/>
      <c r="DW55" s="27"/>
      <c r="DX55" s="27"/>
      <c r="DY55" s="27"/>
      <c r="DZ55" s="27"/>
      <c r="EA55" s="27"/>
      <c r="EB55" s="27"/>
      <c r="EC55" s="27"/>
      <c r="ED55" s="27"/>
      <c r="EE55" s="27"/>
      <c r="EF55" s="27"/>
      <c r="EG55" s="27"/>
      <c r="EH55" s="27"/>
      <c r="EI55" s="27"/>
      <c r="EJ55" s="27"/>
      <c r="EK55" s="27"/>
      <c r="EL55" s="27"/>
      <c r="EM55" s="27"/>
      <c r="EN55" s="27"/>
      <c r="EO55" s="27"/>
      <c r="EP55" s="27"/>
      <c r="EQ55" s="27"/>
      <c r="ER55" s="27"/>
      <c r="ES55" s="27"/>
    </row>
    <row r="56" customFormat="false" ht="15" hidden="false" customHeight="false" outlineLevel="0" collapsed="false">
      <c r="A56" s="27" t="n">
        <v>55</v>
      </c>
      <c r="B56" s="6" t="s">
        <v>23</v>
      </c>
      <c r="C56" s="27" t="s">
        <v>303</v>
      </c>
      <c r="D56" s="27" t="s">
        <v>528</v>
      </c>
      <c r="E56" s="27" t="s">
        <v>42</v>
      </c>
      <c r="F56" s="27" t="s">
        <v>156</v>
      </c>
      <c r="G56" s="27" t="s">
        <v>157</v>
      </c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  <c r="AQ56" s="27"/>
      <c r="AR56" s="27"/>
      <c r="AS56" s="27"/>
      <c r="AT56" s="27"/>
      <c r="AU56" s="27"/>
      <c r="AV56" s="27"/>
      <c r="AW56" s="27"/>
      <c r="AX56" s="27"/>
      <c r="AY56" s="27"/>
      <c r="AZ56" s="27"/>
      <c r="BA56" s="27"/>
      <c r="BB56" s="27"/>
      <c r="BC56" s="27"/>
      <c r="BD56" s="27"/>
      <c r="BE56" s="27"/>
      <c r="BF56" s="27"/>
      <c r="BG56" s="27"/>
      <c r="BH56" s="27"/>
      <c r="BI56" s="27"/>
      <c r="BJ56" s="27"/>
      <c r="BK56" s="27" t="s">
        <v>41</v>
      </c>
      <c r="BL56" s="27" t="s">
        <v>42</v>
      </c>
      <c r="BM56" s="27"/>
      <c r="BN56" s="27"/>
      <c r="BO56" s="27"/>
      <c r="BP56" s="27"/>
      <c r="BQ56" s="27" t="n">
        <f aca="false">COUNTIFS(Trechos!$L$2:$L$838,A56)</f>
        <v>1</v>
      </c>
      <c r="BR56" s="28" t="n">
        <f aca="false">SUMIFS(Trechos!$F$2:$F$838,Trechos!$L$2:$L$838,A56)</f>
        <v>4.85000849754405</v>
      </c>
      <c r="BS56" s="27" t="n">
        <f aca="false">COUNTA(BV56:ES56)</f>
        <v>0</v>
      </c>
      <c r="BT56" s="27" t="str">
        <f aca="false">IF(COUNTA(BV56:ES56)=0,"—",_xlfn.TEXTJOIN(", ",TRUE(),BV56:ES56))</f>
        <v>—</v>
      </c>
      <c r="BU56" s="27" t="s">
        <v>54</v>
      </c>
      <c r="BV56" s="27"/>
      <c r="BW56" s="27"/>
      <c r="BX56" s="27"/>
      <c r="BY56" s="27"/>
      <c r="BZ56" s="27"/>
      <c r="CA56" s="27"/>
      <c r="CB56" s="27"/>
      <c r="CC56" s="27"/>
      <c r="CD56" s="27"/>
      <c r="CE56" s="27"/>
      <c r="CF56" s="27"/>
      <c r="CG56" s="27"/>
      <c r="CH56" s="27"/>
      <c r="CI56" s="27"/>
      <c r="CJ56" s="27"/>
      <c r="CK56" s="27"/>
      <c r="CL56" s="27"/>
      <c r="CM56" s="27"/>
      <c r="CN56" s="27"/>
      <c r="CO56" s="27"/>
      <c r="CP56" s="27"/>
      <c r="CQ56" s="27"/>
      <c r="CR56" s="27"/>
      <c r="CS56" s="27"/>
      <c r="CT56" s="27"/>
      <c r="CU56" s="27"/>
      <c r="CV56" s="27"/>
      <c r="CW56" s="27"/>
      <c r="CX56" s="27"/>
      <c r="CY56" s="27"/>
      <c r="CZ56" s="27"/>
      <c r="DA56" s="27"/>
      <c r="DB56" s="27"/>
      <c r="DC56" s="27"/>
      <c r="DD56" s="27"/>
      <c r="DE56" s="27"/>
      <c r="DF56" s="27"/>
      <c r="DG56" s="27"/>
      <c r="DH56" s="27"/>
      <c r="DI56" s="27"/>
      <c r="DJ56" s="27"/>
      <c r="DK56" s="27"/>
      <c r="DL56" s="27"/>
      <c r="DM56" s="27"/>
      <c r="DN56" s="27"/>
      <c r="DO56" s="27"/>
      <c r="DP56" s="27"/>
      <c r="DQ56" s="27"/>
      <c r="DR56" s="27"/>
      <c r="DS56" s="27"/>
      <c r="DT56" s="27"/>
      <c r="DU56" s="27"/>
      <c r="DV56" s="27"/>
      <c r="DW56" s="27"/>
      <c r="DX56" s="27"/>
      <c r="DY56" s="27"/>
      <c r="DZ56" s="27"/>
      <c r="EA56" s="27"/>
      <c r="EB56" s="27"/>
      <c r="EC56" s="27"/>
      <c r="ED56" s="27"/>
      <c r="EE56" s="27"/>
      <c r="EF56" s="27"/>
      <c r="EG56" s="27"/>
      <c r="EH56" s="27"/>
      <c r="EI56" s="27"/>
      <c r="EJ56" s="27"/>
      <c r="EK56" s="27"/>
      <c r="EL56" s="27"/>
      <c r="EM56" s="27"/>
      <c r="EN56" s="27"/>
      <c r="EO56" s="27"/>
      <c r="EP56" s="27"/>
      <c r="EQ56" s="27"/>
      <c r="ER56" s="27"/>
      <c r="ES56" s="27"/>
    </row>
    <row r="57" customFormat="false" ht="15" hidden="false" customHeight="false" outlineLevel="0" collapsed="false">
      <c r="A57" s="27" t="n">
        <v>56</v>
      </c>
      <c r="B57" s="6" t="s">
        <v>23</v>
      </c>
      <c r="C57" s="27" t="s">
        <v>303</v>
      </c>
      <c r="D57" s="27" t="s">
        <v>529</v>
      </c>
      <c r="E57" s="27" t="s">
        <v>42</v>
      </c>
      <c r="F57" s="27" t="s">
        <v>159</v>
      </c>
      <c r="G57" s="27" t="s">
        <v>160</v>
      </c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  <c r="AR57" s="27"/>
      <c r="AS57" s="27"/>
      <c r="AT57" s="27"/>
      <c r="AU57" s="27"/>
      <c r="AV57" s="27"/>
      <c r="AW57" s="27"/>
      <c r="AX57" s="27"/>
      <c r="AY57" s="27"/>
      <c r="AZ57" s="27"/>
      <c r="BA57" s="27"/>
      <c r="BB57" s="27"/>
      <c r="BC57" s="27"/>
      <c r="BD57" s="27"/>
      <c r="BE57" s="27"/>
      <c r="BF57" s="27"/>
      <c r="BG57" s="27"/>
      <c r="BH57" s="27"/>
      <c r="BI57" s="27"/>
      <c r="BJ57" s="27"/>
      <c r="BK57" s="27" t="s">
        <v>41</v>
      </c>
      <c r="BL57" s="27" t="s">
        <v>42</v>
      </c>
      <c r="BM57" s="27"/>
      <c r="BN57" s="27"/>
      <c r="BO57" s="27"/>
      <c r="BP57" s="27"/>
      <c r="BQ57" s="27" t="n">
        <f aca="false">COUNTIFS(Trechos!$L$2:$L$838,A57)</f>
        <v>1</v>
      </c>
      <c r="BR57" s="28" t="n">
        <f aca="false">SUMIFS(Trechos!$F$2:$F$838,Trechos!$L$2:$L$838,A57)</f>
        <v>0.398726182617518</v>
      </c>
      <c r="BS57" s="27" t="n">
        <f aca="false">COUNTA(BV57:ES57)</f>
        <v>1</v>
      </c>
      <c r="BT57" s="27" t="str">
        <f aca="false">IF(COUNTA(BV57:ES57)=0,"—",_xlfn.TEXTJOIN(", ",TRUE(),BV57:ES57))</f>
        <v>0204420004</v>
      </c>
      <c r="BU57" s="27" t="s">
        <v>54</v>
      </c>
      <c r="BV57" s="27" t="s">
        <v>160</v>
      </c>
      <c r="BW57" s="27"/>
      <c r="BX57" s="27"/>
      <c r="BY57" s="27"/>
      <c r="BZ57" s="27"/>
      <c r="CA57" s="27"/>
      <c r="CB57" s="27"/>
      <c r="CC57" s="27"/>
      <c r="CD57" s="27"/>
      <c r="CE57" s="27"/>
      <c r="CF57" s="27"/>
      <c r="CG57" s="27"/>
      <c r="CH57" s="27"/>
      <c r="CI57" s="27"/>
      <c r="CJ57" s="27"/>
      <c r="CK57" s="27"/>
      <c r="CL57" s="27"/>
      <c r="CM57" s="27"/>
      <c r="CN57" s="27"/>
      <c r="CO57" s="27"/>
      <c r="CP57" s="27"/>
      <c r="CQ57" s="27"/>
      <c r="CR57" s="27"/>
      <c r="CS57" s="27"/>
      <c r="CT57" s="27"/>
      <c r="CU57" s="27"/>
      <c r="CV57" s="27"/>
      <c r="CW57" s="27"/>
      <c r="CX57" s="27"/>
      <c r="CY57" s="27"/>
      <c r="CZ57" s="27"/>
      <c r="DA57" s="27"/>
      <c r="DB57" s="27"/>
      <c r="DC57" s="27"/>
      <c r="DD57" s="27"/>
      <c r="DE57" s="27"/>
      <c r="DF57" s="27"/>
      <c r="DG57" s="27"/>
      <c r="DH57" s="27"/>
      <c r="DI57" s="27"/>
      <c r="DJ57" s="27"/>
      <c r="DK57" s="27"/>
      <c r="DL57" s="27"/>
      <c r="DM57" s="27"/>
      <c r="DN57" s="27"/>
      <c r="DO57" s="27"/>
      <c r="DP57" s="27"/>
      <c r="DQ57" s="27"/>
      <c r="DR57" s="27"/>
      <c r="DS57" s="27"/>
      <c r="DT57" s="27"/>
      <c r="DU57" s="27"/>
      <c r="DV57" s="27"/>
      <c r="DW57" s="27"/>
      <c r="DX57" s="27"/>
      <c r="DY57" s="27"/>
      <c r="DZ57" s="27"/>
      <c r="EA57" s="27"/>
      <c r="EB57" s="27"/>
      <c r="EC57" s="27"/>
      <c r="ED57" s="27"/>
      <c r="EE57" s="27"/>
      <c r="EF57" s="27"/>
      <c r="EG57" s="27"/>
      <c r="EH57" s="27"/>
      <c r="EI57" s="27"/>
      <c r="EJ57" s="27"/>
      <c r="EK57" s="27"/>
      <c r="EL57" s="27"/>
      <c r="EM57" s="27"/>
      <c r="EN57" s="27"/>
      <c r="EO57" s="27"/>
      <c r="EP57" s="27"/>
      <c r="EQ57" s="27"/>
      <c r="ER57" s="27"/>
      <c r="ES57" s="27"/>
    </row>
    <row r="58" customFormat="false" ht="15" hidden="false" customHeight="false" outlineLevel="0" collapsed="false">
      <c r="A58" s="27" t="n">
        <v>57</v>
      </c>
      <c r="B58" s="7" t="s">
        <v>24</v>
      </c>
      <c r="C58" s="27" t="s">
        <v>303</v>
      </c>
      <c r="D58" s="27" t="s">
        <v>529</v>
      </c>
      <c r="E58" s="27" t="s">
        <v>160</v>
      </c>
      <c r="F58" s="27" t="s">
        <v>160</v>
      </c>
      <c r="G58" s="27" t="s">
        <v>161</v>
      </c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  <c r="AO58" s="27"/>
      <c r="AP58" s="27"/>
      <c r="AQ58" s="27"/>
      <c r="AR58" s="27"/>
      <c r="AS58" s="27"/>
      <c r="AT58" s="27"/>
      <c r="AU58" s="27"/>
      <c r="AV58" s="27"/>
      <c r="AW58" s="27"/>
      <c r="AX58" s="27"/>
      <c r="AY58" s="27"/>
      <c r="AZ58" s="27"/>
      <c r="BA58" s="27"/>
      <c r="BB58" s="27"/>
      <c r="BC58" s="27"/>
      <c r="BD58" s="27"/>
      <c r="BE58" s="27"/>
      <c r="BF58" s="27"/>
      <c r="BG58" s="27"/>
      <c r="BH58" s="27"/>
      <c r="BI58" s="27"/>
      <c r="BJ58" s="27"/>
      <c r="BK58" s="27" t="s">
        <v>41</v>
      </c>
      <c r="BL58" s="27" t="s">
        <v>42</v>
      </c>
      <c r="BM58" s="27" t="s">
        <v>160</v>
      </c>
      <c r="BN58" s="27"/>
      <c r="BO58" s="27"/>
      <c r="BP58" s="27"/>
      <c r="BQ58" s="27" t="n">
        <f aca="false">COUNTIFS(Trechos!$L$2:$L$838,A58)</f>
        <v>4</v>
      </c>
      <c r="BR58" s="28" t="n">
        <f aca="false">SUMIFS(Trechos!$F$2:$F$838,Trechos!$L$2:$L$838,A58)</f>
        <v>203.968023140271</v>
      </c>
      <c r="BS58" s="27" t="n">
        <f aca="false">COUNTA(BV58:ES58)</f>
        <v>0</v>
      </c>
      <c r="BT58" s="27" t="str">
        <f aca="false">IF(COUNTA(BV58:ES58)=0,"—",_xlfn.TEXTJOIN(", ",TRUE(),BV58:ES58))</f>
        <v>—</v>
      </c>
      <c r="BU58" s="27" t="s">
        <v>54</v>
      </c>
      <c r="BV58" s="27"/>
      <c r="BW58" s="27"/>
      <c r="BX58" s="27"/>
      <c r="BY58" s="27"/>
      <c r="BZ58" s="27"/>
      <c r="CA58" s="27"/>
      <c r="CB58" s="27"/>
      <c r="CC58" s="27"/>
      <c r="CD58" s="27"/>
      <c r="CE58" s="27"/>
      <c r="CF58" s="27"/>
      <c r="CG58" s="27"/>
      <c r="CH58" s="27"/>
      <c r="CI58" s="27"/>
      <c r="CJ58" s="27"/>
      <c r="CK58" s="27"/>
      <c r="CL58" s="27"/>
      <c r="CM58" s="27"/>
      <c r="CN58" s="27"/>
      <c r="CO58" s="27"/>
      <c r="CP58" s="27"/>
      <c r="CQ58" s="27"/>
      <c r="CR58" s="27"/>
      <c r="CS58" s="27"/>
      <c r="CT58" s="27"/>
      <c r="CU58" s="27"/>
      <c r="CV58" s="27"/>
      <c r="CW58" s="27"/>
      <c r="CX58" s="27"/>
      <c r="CY58" s="27"/>
      <c r="CZ58" s="27"/>
      <c r="DA58" s="27"/>
      <c r="DB58" s="27"/>
      <c r="DC58" s="27"/>
      <c r="DD58" s="27"/>
      <c r="DE58" s="27"/>
      <c r="DF58" s="27"/>
      <c r="DG58" s="27"/>
      <c r="DH58" s="27"/>
      <c r="DI58" s="27"/>
      <c r="DJ58" s="27"/>
      <c r="DK58" s="27"/>
      <c r="DL58" s="27"/>
      <c r="DM58" s="27"/>
      <c r="DN58" s="27"/>
      <c r="DO58" s="27"/>
      <c r="DP58" s="27"/>
      <c r="DQ58" s="27"/>
      <c r="DR58" s="27"/>
      <c r="DS58" s="27"/>
      <c r="DT58" s="27"/>
      <c r="DU58" s="27"/>
      <c r="DV58" s="27"/>
      <c r="DW58" s="27"/>
      <c r="DX58" s="27"/>
      <c r="DY58" s="27"/>
      <c r="DZ58" s="27"/>
      <c r="EA58" s="27"/>
      <c r="EB58" s="27"/>
      <c r="EC58" s="27"/>
      <c r="ED58" s="27"/>
      <c r="EE58" s="27"/>
      <c r="EF58" s="27"/>
      <c r="EG58" s="27"/>
      <c r="EH58" s="27"/>
      <c r="EI58" s="27"/>
      <c r="EJ58" s="27"/>
      <c r="EK58" s="27"/>
      <c r="EL58" s="27"/>
      <c r="EM58" s="27"/>
      <c r="EN58" s="27"/>
      <c r="EO58" s="27"/>
      <c r="EP58" s="27"/>
      <c r="EQ58" s="27"/>
      <c r="ER58" s="27"/>
      <c r="ES58" s="27"/>
    </row>
    <row r="59" customFormat="false" ht="15" hidden="false" customHeight="false" outlineLevel="0" collapsed="false">
      <c r="A59" s="27" t="n">
        <v>58</v>
      </c>
      <c r="B59" s="6" t="s">
        <v>23</v>
      </c>
      <c r="C59" s="27" t="s">
        <v>303</v>
      </c>
      <c r="D59" s="27" t="s">
        <v>530</v>
      </c>
      <c r="E59" s="27" t="s">
        <v>42</v>
      </c>
      <c r="F59" s="27" t="s">
        <v>163</v>
      </c>
      <c r="G59" s="27" t="s">
        <v>164</v>
      </c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V59" s="27"/>
      <c r="AW59" s="27"/>
      <c r="AX59" s="27"/>
      <c r="AY59" s="27"/>
      <c r="AZ59" s="27"/>
      <c r="BA59" s="27"/>
      <c r="BB59" s="27"/>
      <c r="BC59" s="27"/>
      <c r="BD59" s="27"/>
      <c r="BE59" s="27"/>
      <c r="BF59" s="27"/>
      <c r="BG59" s="27"/>
      <c r="BH59" s="27"/>
      <c r="BI59" s="27"/>
      <c r="BJ59" s="27"/>
      <c r="BK59" s="27" t="s">
        <v>41</v>
      </c>
      <c r="BL59" s="27" t="s">
        <v>42</v>
      </c>
      <c r="BM59" s="27"/>
      <c r="BN59" s="27"/>
      <c r="BO59" s="27"/>
      <c r="BP59" s="27"/>
      <c r="BQ59" s="27" t="n">
        <f aca="false">COUNTIFS(Trechos!$L$2:$L$838,A59)</f>
        <v>1</v>
      </c>
      <c r="BR59" s="28" t="n">
        <f aca="false">SUMIFS(Trechos!$F$2:$F$838,Trechos!$L$2:$L$838,A59)</f>
        <v>3.65729932426605</v>
      </c>
      <c r="BS59" s="27" t="n">
        <f aca="false">COUNTA(BV59:ES59)</f>
        <v>1</v>
      </c>
      <c r="BT59" s="27" t="str">
        <f aca="false">IF(COUNTA(BV59:ES59)=0,"—",_xlfn.TEXTJOIN(", ",TRUE(),BV59:ES59))</f>
        <v>0200023004</v>
      </c>
      <c r="BU59" s="27" t="s">
        <v>54</v>
      </c>
      <c r="BV59" s="27" t="s">
        <v>164</v>
      </c>
      <c r="BW59" s="27"/>
      <c r="BX59" s="27"/>
      <c r="BY59" s="27"/>
      <c r="BZ59" s="27"/>
      <c r="CA59" s="27"/>
      <c r="CB59" s="27"/>
      <c r="CC59" s="27"/>
      <c r="CD59" s="27"/>
      <c r="CE59" s="27"/>
      <c r="CF59" s="27"/>
      <c r="CG59" s="27"/>
      <c r="CH59" s="27"/>
      <c r="CI59" s="27"/>
      <c r="CJ59" s="27"/>
      <c r="CK59" s="27"/>
      <c r="CL59" s="27"/>
      <c r="CM59" s="27"/>
      <c r="CN59" s="27"/>
      <c r="CO59" s="27"/>
      <c r="CP59" s="27"/>
      <c r="CQ59" s="27"/>
      <c r="CR59" s="27"/>
      <c r="CS59" s="27"/>
      <c r="CT59" s="27"/>
      <c r="CU59" s="27"/>
      <c r="CV59" s="27"/>
      <c r="CW59" s="27"/>
      <c r="CX59" s="27"/>
      <c r="CY59" s="27"/>
      <c r="CZ59" s="27"/>
      <c r="DA59" s="27"/>
      <c r="DB59" s="27"/>
      <c r="DC59" s="27"/>
      <c r="DD59" s="27"/>
      <c r="DE59" s="27"/>
      <c r="DF59" s="27"/>
      <c r="DG59" s="27"/>
      <c r="DH59" s="27"/>
      <c r="DI59" s="27"/>
      <c r="DJ59" s="27"/>
      <c r="DK59" s="27"/>
      <c r="DL59" s="27"/>
      <c r="DM59" s="27"/>
      <c r="DN59" s="27"/>
      <c r="DO59" s="27"/>
      <c r="DP59" s="27"/>
      <c r="DQ59" s="27"/>
      <c r="DR59" s="27"/>
      <c r="DS59" s="27"/>
      <c r="DT59" s="27"/>
      <c r="DU59" s="27"/>
      <c r="DV59" s="27"/>
      <c r="DW59" s="27"/>
      <c r="DX59" s="27"/>
      <c r="DY59" s="27"/>
      <c r="DZ59" s="27"/>
      <c r="EA59" s="27"/>
      <c r="EB59" s="27"/>
      <c r="EC59" s="27"/>
      <c r="ED59" s="27"/>
      <c r="EE59" s="27"/>
      <c r="EF59" s="27"/>
      <c r="EG59" s="27"/>
      <c r="EH59" s="27"/>
      <c r="EI59" s="27"/>
      <c r="EJ59" s="27"/>
      <c r="EK59" s="27"/>
      <c r="EL59" s="27"/>
      <c r="EM59" s="27"/>
      <c r="EN59" s="27"/>
      <c r="EO59" s="27"/>
      <c r="EP59" s="27"/>
      <c r="EQ59" s="27"/>
      <c r="ER59" s="27"/>
      <c r="ES59" s="27"/>
    </row>
    <row r="60" customFormat="false" ht="15" hidden="false" customHeight="false" outlineLevel="0" collapsed="false">
      <c r="A60" s="27" t="n">
        <v>59</v>
      </c>
      <c r="B60" s="7" t="s">
        <v>24</v>
      </c>
      <c r="C60" s="27" t="s">
        <v>303</v>
      </c>
      <c r="D60" s="27" t="s">
        <v>530</v>
      </c>
      <c r="E60" s="27" t="s">
        <v>164</v>
      </c>
      <c r="F60" s="27" t="s">
        <v>164</v>
      </c>
      <c r="G60" s="27" t="s">
        <v>165</v>
      </c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  <c r="AO60" s="27"/>
      <c r="AP60" s="27"/>
      <c r="AQ60" s="27"/>
      <c r="AR60" s="27"/>
      <c r="AS60" s="27"/>
      <c r="AT60" s="27"/>
      <c r="AU60" s="27"/>
      <c r="AV60" s="27"/>
      <c r="AW60" s="27"/>
      <c r="AX60" s="27"/>
      <c r="AY60" s="27"/>
      <c r="AZ60" s="27"/>
      <c r="BA60" s="27"/>
      <c r="BB60" s="27"/>
      <c r="BC60" s="27"/>
      <c r="BD60" s="27"/>
      <c r="BE60" s="27"/>
      <c r="BF60" s="27"/>
      <c r="BG60" s="27"/>
      <c r="BH60" s="27"/>
      <c r="BI60" s="27"/>
      <c r="BJ60" s="27"/>
      <c r="BK60" s="27" t="s">
        <v>41</v>
      </c>
      <c r="BL60" s="27" t="s">
        <v>42</v>
      </c>
      <c r="BM60" s="27" t="s">
        <v>164</v>
      </c>
      <c r="BN60" s="27"/>
      <c r="BO60" s="27"/>
      <c r="BP60" s="27"/>
      <c r="BQ60" s="27" t="n">
        <f aca="false">COUNTIFS(Trechos!$L$2:$L$838,A60)</f>
        <v>1</v>
      </c>
      <c r="BR60" s="28" t="n">
        <f aca="false">SUMIFS(Trechos!$F$2:$F$838,Trechos!$L$2:$L$838,A60)</f>
        <v>32.4139609250605</v>
      </c>
      <c r="BS60" s="27" t="n">
        <f aca="false">COUNTA(BV60:ES60)</f>
        <v>0</v>
      </c>
      <c r="BT60" s="27" t="str">
        <f aca="false">IF(COUNTA(BV60:ES60)=0,"—",_xlfn.TEXTJOIN(", ",TRUE(),BV60:ES60))</f>
        <v>—</v>
      </c>
      <c r="BU60" s="27" t="s">
        <v>54</v>
      </c>
      <c r="BV60" s="27"/>
      <c r="BW60" s="27"/>
      <c r="BX60" s="27"/>
      <c r="BY60" s="27"/>
      <c r="BZ60" s="27"/>
      <c r="CA60" s="27"/>
      <c r="CB60" s="27"/>
      <c r="CC60" s="27"/>
      <c r="CD60" s="27"/>
      <c r="CE60" s="27"/>
      <c r="CF60" s="27"/>
      <c r="CG60" s="27"/>
      <c r="CH60" s="27"/>
      <c r="CI60" s="27"/>
      <c r="CJ60" s="27"/>
      <c r="CK60" s="27"/>
      <c r="CL60" s="27"/>
      <c r="CM60" s="27"/>
      <c r="CN60" s="27"/>
      <c r="CO60" s="27"/>
      <c r="CP60" s="27"/>
      <c r="CQ60" s="27"/>
      <c r="CR60" s="27"/>
      <c r="CS60" s="27"/>
      <c r="CT60" s="27"/>
      <c r="CU60" s="27"/>
      <c r="CV60" s="27"/>
      <c r="CW60" s="27"/>
      <c r="CX60" s="27"/>
      <c r="CY60" s="27"/>
      <c r="CZ60" s="27"/>
      <c r="DA60" s="27"/>
      <c r="DB60" s="27"/>
      <c r="DC60" s="27"/>
      <c r="DD60" s="27"/>
      <c r="DE60" s="27"/>
      <c r="DF60" s="27"/>
      <c r="DG60" s="27"/>
      <c r="DH60" s="27"/>
      <c r="DI60" s="27"/>
      <c r="DJ60" s="27"/>
      <c r="DK60" s="27"/>
      <c r="DL60" s="27"/>
      <c r="DM60" s="27"/>
      <c r="DN60" s="27"/>
      <c r="DO60" s="27"/>
      <c r="DP60" s="27"/>
      <c r="DQ60" s="27"/>
      <c r="DR60" s="27"/>
      <c r="DS60" s="27"/>
      <c r="DT60" s="27"/>
      <c r="DU60" s="27"/>
      <c r="DV60" s="27"/>
      <c r="DW60" s="27"/>
      <c r="DX60" s="27"/>
      <c r="DY60" s="27"/>
      <c r="DZ60" s="27"/>
      <c r="EA60" s="27"/>
      <c r="EB60" s="27"/>
      <c r="EC60" s="27"/>
      <c r="ED60" s="27"/>
      <c r="EE60" s="27"/>
      <c r="EF60" s="27"/>
      <c r="EG60" s="27"/>
      <c r="EH60" s="27"/>
      <c r="EI60" s="27"/>
      <c r="EJ60" s="27"/>
      <c r="EK60" s="27"/>
      <c r="EL60" s="27"/>
      <c r="EM60" s="27"/>
      <c r="EN60" s="27"/>
      <c r="EO60" s="27"/>
      <c r="EP60" s="27"/>
      <c r="EQ60" s="27"/>
      <c r="ER60" s="27"/>
      <c r="ES60" s="27"/>
    </row>
    <row r="61" customFormat="false" ht="15" hidden="false" customHeight="false" outlineLevel="0" collapsed="false">
      <c r="A61" s="27" t="n">
        <v>60</v>
      </c>
      <c r="B61" s="6" t="s">
        <v>23</v>
      </c>
      <c r="C61" s="27" t="s">
        <v>303</v>
      </c>
      <c r="D61" s="27" t="s">
        <v>531</v>
      </c>
      <c r="E61" s="27" t="s">
        <v>42</v>
      </c>
      <c r="F61" s="27" t="s">
        <v>167</v>
      </c>
      <c r="G61" s="27" t="s">
        <v>168</v>
      </c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  <c r="AO61" s="27"/>
      <c r="AP61" s="27"/>
      <c r="AQ61" s="27"/>
      <c r="AR61" s="27"/>
      <c r="AS61" s="27"/>
      <c r="AT61" s="27"/>
      <c r="AU61" s="27"/>
      <c r="AV61" s="27"/>
      <c r="AW61" s="27"/>
      <c r="AX61" s="27"/>
      <c r="AY61" s="27"/>
      <c r="AZ61" s="27"/>
      <c r="BA61" s="27"/>
      <c r="BB61" s="27"/>
      <c r="BC61" s="27"/>
      <c r="BD61" s="27"/>
      <c r="BE61" s="27"/>
      <c r="BF61" s="27"/>
      <c r="BG61" s="27"/>
      <c r="BH61" s="27"/>
      <c r="BI61" s="27"/>
      <c r="BJ61" s="27"/>
      <c r="BK61" s="27" t="s">
        <v>41</v>
      </c>
      <c r="BL61" s="27" t="s">
        <v>42</v>
      </c>
      <c r="BM61" s="27"/>
      <c r="BN61" s="27"/>
      <c r="BO61" s="27"/>
      <c r="BP61" s="27"/>
      <c r="BQ61" s="27" t="n">
        <f aca="false">COUNTIFS(Trechos!$L$2:$L$838,A61)</f>
        <v>2</v>
      </c>
      <c r="BR61" s="28" t="n">
        <f aca="false">SUMIFS(Trechos!$F$2:$F$838,Trechos!$L$2:$L$838,A61)</f>
        <v>17.0441008665413</v>
      </c>
      <c r="BS61" s="27" t="n">
        <f aca="false">COUNTA(BV61:ES61)</f>
        <v>1</v>
      </c>
      <c r="BT61" s="27" t="str">
        <f aca="false">IF(COUNTA(BV61:ES61)=0,"—",_xlfn.TEXTJOIN(", ",TRUE(),BV61:ES61))</f>
        <v>0355236004</v>
      </c>
      <c r="BU61" s="27" t="s">
        <v>54</v>
      </c>
      <c r="BV61" s="27" t="s">
        <v>168</v>
      </c>
      <c r="BW61" s="27"/>
      <c r="BX61" s="27"/>
      <c r="BY61" s="27"/>
      <c r="BZ61" s="27"/>
      <c r="CA61" s="27"/>
      <c r="CB61" s="27"/>
      <c r="CC61" s="27"/>
      <c r="CD61" s="27"/>
      <c r="CE61" s="27"/>
      <c r="CF61" s="27"/>
      <c r="CG61" s="27"/>
      <c r="CH61" s="27"/>
      <c r="CI61" s="27"/>
      <c r="CJ61" s="27"/>
      <c r="CK61" s="27"/>
      <c r="CL61" s="27"/>
      <c r="CM61" s="27"/>
      <c r="CN61" s="27"/>
      <c r="CO61" s="27"/>
      <c r="CP61" s="27"/>
      <c r="CQ61" s="27"/>
      <c r="CR61" s="27"/>
      <c r="CS61" s="27"/>
      <c r="CT61" s="27"/>
      <c r="CU61" s="27"/>
      <c r="CV61" s="27"/>
      <c r="CW61" s="27"/>
      <c r="CX61" s="27"/>
      <c r="CY61" s="27"/>
      <c r="CZ61" s="27"/>
      <c r="DA61" s="27"/>
      <c r="DB61" s="27"/>
      <c r="DC61" s="27"/>
      <c r="DD61" s="27"/>
      <c r="DE61" s="27"/>
      <c r="DF61" s="27"/>
      <c r="DG61" s="27"/>
      <c r="DH61" s="27"/>
      <c r="DI61" s="27"/>
      <c r="DJ61" s="27"/>
      <c r="DK61" s="27"/>
      <c r="DL61" s="27"/>
      <c r="DM61" s="27"/>
      <c r="DN61" s="27"/>
      <c r="DO61" s="27"/>
      <c r="DP61" s="27"/>
      <c r="DQ61" s="27"/>
      <c r="DR61" s="27"/>
      <c r="DS61" s="27"/>
      <c r="DT61" s="27"/>
      <c r="DU61" s="27"/>
      <c r="DV61" s="27"/>
      <c r="DW61" s="27"/>
      <c r="DX61" s="27"/>
      <c r="DY61" s="27"/>
      <c r="DZ61" s="27"/>
      <c r="EA61" s="27"/>
      <c r="EB61" s="27"/>
      <c r="EC61" s="27"/>
      <c r="ED61" s="27"/>
      <c r="EE61" s="27"/>
      <c r="EF61" s="27"/>
      <c r="EG61" s="27"/>
      <c r="EH61" s="27"/>
      <c r="EI61" s="27"/>
      <c r="EJ61" s="27"/>
      <c r="EK61" s="27"/>
      <c r="EL61" s="27"/>
      <c r="EM61" s="27"/>
      <c r="EN61" s="27"/>
      <c r="EO61" s="27"/>
      <c r="EP61" s="27"/>
      <c r="EQ61" s="27"/>
      <c r="ER61" s="27"/>
      <c r="ES61" s="27"/>
    </row>
    <row r="62" customFormat="false" ht="15" hidden="false" customHeight="false" outlineLevel="0" collapsed="false">
      <c r="A62" s="27" t="n">
        <v>61</v>
      </c>
      <c r="B62" s="7" t="s">
        <v>24</v>
      </c>
      <c r="C62" s="27" t="s">
        <v>303</v>
      </c>
      <c r="D62" s="27" t="s">
        <v>531</v>
      </c>
      <c r="E62" s="27" t="s">
        <v>168</v>
      </c>
      <c r="F62" s="27" t="s">
        <v>168</v>
      </c>
      <c r="G62" s="27" t="s">
        <v>169</v>
      </c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7"/>
      <c r="AR62" s="27"/>
      <c r="AS62" s="27"/>
      <c r="AT62" s="27"/>
      <c r="AU62" s="27"/>
      <c r="AV62" s="27"/>
      <c r="AW62" s="27"/>
      <c r="AX62" s="27"/>
      <c r="AY62" s="27"/>
      <c r="AZ62" s="27"/>
      <c r="BA62" s="27"/>
      <c r="BB62" s="27"/>
      <c r="BC62" s="27"/>
      <c r="BD62" s="27"/>
      <c r="BE62" s="27"/>
      <c r="BF62" s="27"/>
      <c r="BG62" s="27"/>
      <c r="BH62" s="27"/>
      <c r="BI62" s="27"/>
      <c r="BJ62" s="27"/>
      <c r="BK62" s="27" t="s">
        <v>41</v>
      </c>
      <c r="BL62" s="27" t="s">
        <v>42</v>
      </c>
      <c r="BM62" s="27" t="s">
        <v>168</v>
      </c>
      <c r="BN62" s="27"/>
      <c r="BO62" s="27"/>
      <c r="BP62" s="27"/>
      <c r="BQ62" s="27" t="n">
        <f aca="false">COUNTIFS(Trechos!$L$2:$L$838,A62)</f>
        <v>1</v>
      </c>
      <c r="BR62" s="28" t="n">
        <f aca="false">SUMIFS(Trechos!$F$2:$F$838,Trechos!$L$2:$L$838,A62)</f>
        <v>4.53964890126043</v>
      </c>
      <c r="BS62" s="27" t="n">
        <f aca="false">COUNTA(BV62:ES62)</f>
        <v>0</v>
      </c>
      <c r="BT62" s="27" t="str">
        <f aca="false">IF(COUNTA(BV62:ES62)=0,"—",_xlfn.TEXTJOIN(", ",TRUE(),BV62:ES62))</f>
        <v>—</v>
      </c>
      <c r="BU62" s="27" t="s">
        <v>54</v>
      </c>
      <c r="BV62" s="27"/>
      <c r="BW62" s="27"/>
      <c r="BX62" s="27"/>
      <c r="BY62" s="27"/>
      <c r="BZ62" s="27"/>
      <c r="CA62" s="27"/>
      <c r="CB62" s="27"/>
      <c r="CC62" s="27"/>
      <c r="CD62" s="27"/>
      <c r="CE62" s="27"/>
      <c r="CF62" s="27"/>
      <c r="CG62" s="27"/>
      <c r="CH62" s="27"/>
      <c r="CI62" s="27"/>
      <c r="CJ62" s="27"/>
      <c r="CK62" s="27"/>
      <c r="CL62" s="27"/>
      <c r="CM62" s="27"/>
      <c r="CN62" s="27"/>
      <c r="CO62" s="27"/>
      <c r="CP62" s="27"/>
      <c r="CQ62" s="27"/>
      <c r="CR62" s="27"/>
      <c r="CS62" s="27"/>
      <c r="CT62" s="27"/>
      <c r="CU62" s="27"/>
      <c r="CV62" s="27"/>
      <c r="CW62" s="27"/>
      <c r="CX62" s="27"/>
      <c r="CY62" s="27"/>
      <c r="CZ62" s="27"/>
      <c r="DA62" s="27"/>
      <c r="DB62" s="27"/>
      <c r="DC62" s="27"/>
      <c r="DD62" s="27"/>
      <c r="DE62" s="27"/>
      <c r="DF62" s="27"/>
      <c r="DG62" s="27"/>
      <c r="DH62" s="27"/>
      <c r="DI62" s="27"/>
      <c r="DJ62" s="27"/>
      <c r="DK62" s="27"/>
      <c r="DL62" s="27"/>
      <c r="DM62" s="27"/>
      <c r="DN62" s="27"/>
      <c r="DO62" s="27"/>
      <c r="DP62" s="27"/>
      <c r="DQ62" s="27"/>
      <c r="DR62" s="27"/>
      <c r="DS62" s="27"/>
      <c r="DT62" s="27"/>
      <c r="DU62" s="27"/>
      <c r="DV62" s="27"/>
      <c r="DW62" s="27"/>
      <c r="DX62" s="27"/>
      <c r="DY62" s="27"/>
      <c r="DZ62" s="27"/>
      <c r="EA62" s="27"/>
      <c r="EB62" s="27"/>
      <c r="EC62" s="27"/>
      <c r="ED62" s="27"/>
      <c r="EE62" s="27"/>
      <c r="EF62" s="27"/>
      <c r="EG62" s="27"/>
      <c r="EH62" s="27"/>
      <c r="EI62" s="27"/>
      <c r="EJ62" s="27"/>
      <c r="EK62" s="27"/>
      <c r="EL62" s="27"/>
      <c r="EM62" s="27"/>
      <c r="EN62" s="27"/>
      <c r="EO62" s="27"/>
      <c r="EP62" s="27"/>
      <c r="EQ62" s="27"/>
      <c r="ER62" s="27"/>
      <c r="ES62" s="27"/>
    </row>
    <row r="63" customFormat="false" ht="15" hidden="false" customHeight="false" outlineLevel="0" collapsed="false">
      <c r="A63" s="27" t="n">
        <v>62</v>
      </c>
      <c r="B63" s="6" t="s">
        <v>23</v>
      </c>
      <c r="C63" s="27" t="s">
        <v>303</v>
      </c>
      <c r="D63" s="27" t="s">
        <v>532</v>
      </c>
      <c r="E63" s="27" t="s">
        <v>42</v>
      </c>
      <c r="F63" s="27" t="s">
        <v>171</v>
      </c>
      <c r="G63" s="27" t="s">
        <v>172</v>
      </c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  <c r="AO63" s="27"/>
      <c r="AP63" s="27"/>
      <c r="AQ63" s="27"/>
      <c r="AR63" s="27"/>
      <c r="AS63" s="27"/>
      <c r="AT63" s="27"/>
      <c r="AU63" s="27"/>
      <c r="AV63" s="27"/>
      <c r="AW63" s="27"/>
      <c r="AX63" s="27"/>
      <c r="AY63" s="27"/>
      <c r="AZ63" s="27"/>
      <c r="BA63" s="27"/>
      <c r="BB63" s="27"/>
      <c r="BC63" s="27"/>
      <c r="BD63" s="27"/>
      <c r="BE63" s="27"/>
      <c r="BF63" s="27"/>
      <c r="BG63" s="27"/>
      <c r="BH63" s="27"/>
      <c r="BI63" s="27"/>
      <c r="BJ63" s="27"/>
      <c r="BK63" s="27" t="s">
        <v>41</v>
      </c>
      <c r="BL63" s="27" t="s">
        <v>42</v>
      </c>
      <c r="BM63" s="27"/>
      <c r="BN63" s="27"/>
      <c r="BO63" s="27"/>
      <c r="BP63" s="27"/>
      <c r="BQ63" s="27" t="n">
        <f aca="false">COUNTIFS(Trechos!$L$2:$L$838,A63)</f>
        <v>3</v>
      </c>
      <c r="BR63" s="28" t="n">
        <f aca="false">SUMIFS(Trechos!$F$2:$F$838,Trechos!$L$2:$L$838,A63)</f>
        <v>44.0228548137309</v>
      </c>
      <c r="BS63" s="27" t="n">
        <f aca="false">COUNTA(BV63:ES63)</f>
        <v>2</v>
      </c>
      <c r="BT63" s="27" t="str">
        <f aca="false">IF(COUNTA(BV63:ES63)=0,"—",_xlfn.TEXTJOIN(", ",TRUE(),BV63:ES63))</f>
        <v>0349562004, 0349564004</v>
      </c>
      <c r="BU63" s="27" t="s">
        <v>54</v>
      </c>
      <c r="BV63" s="27" t="s">
        <v>172</v>
      </c>
      <c r="BW63" s="27" t="s">
        <v>174</v>
      </c>
      <c r="BX63" s="27"/>
      <c r="BY63" s="27"/>
      <c r="BZ63" s="27"/>
      <c r="CA63" s="27"/>
      <c r="CB63" s="27"/>
      <c r="CC63" s="27"/>
      <c r="CD63" s="27"/>
      <c r="CE63" s="27"/>
      <c r="CF63" s="27"/>
      <c r="CG63" s="27"/>
      <c r="CH63" s="27"/>
      <c r="CI63" s="27"/>
      <c r="CJ63" s="27"/>
      <c r="CK63" s="27"/>
      <c r="CL63" s="27"/>
      <c r="CM63" s="27"/>
      <c r="CN63" s="27"/>
      <c r="CO63" s="27"/>
      <c r="CP63" s="27"/>
      <c r="CQ63" s="27"/>
      <c r="CR63" s="27"/>
      <c r="CS63" s="27"/>
      <c r="CT63" s="27"/>
      <c r="CU63" s="27"/>
      <c r="CV63" s="27"/>
      <c r="CW63" s="27"/>
      <c r="CX63" s="27"/>
      <c r="CY63" s="27"/>
      <c r="CZ63" s="27"/>
      <c r="DA63" s="27"/>
      <c r="DB63" s="27"/>
      <c r="DC63" s="27"/>
      <c r="DD63" s="27"/>
      <c r="DE63" s="27"/>
      <c r="DF63" s="27"/>
      <c r="DG63" s="27"/>
      <c r="DH63" s="27"/>
      <c r="DI63" s="27"/>
      <c r="DJ63" s="27"/>
      <c r="DK63" s="27"/>
      <c r="DL63" s="27"/>
      <c r="DM63" s="27"/>
      <c r="DN63" s="27"/>
      <c r="DO63" s="27"/>
      <c r="DP63" s="27"/>
      <c r="DQ63" s="27"/>
      <c r="DR63" s="27"/>
      <c r="DS63" s="27"/>
      <c r="DT63" s="27"/>
      <c r="DU63" s="27"/>
      <c r="DV63" s="27"/>
      <c r="DW63" s="27"/>
      <c r="DX63" s="27"/>
      <c r="DY63" s="27"/>
      <c r="DZ63" s="27"/>
      <c r="EA63" s="27"/>
      <c r="EB63" s="27"/>
      <c r="EC63" s="27"/>
      <c r="ED63" s="27"/>
      <c r="EE63" s="27"/>
      <c r="EF63" s="27"/>
      <c r="EG63" s="27"/>
      <c r="EH63" s="27"/>
      <c r="EI63" s="27"/>
      <c r="EJ63" s="27"/>
      <c r="EK63" s="27"/>
      <c r="EL63" s="27"/>
      <c r="EM63" s="27"/>
      <c r="EN63" s="27"/>
      <c r="EO63" s="27"/>
      <c r="EP63" s="27"/>
      <c r="EQ63" s="27"/>
      <c r="ER63" s="27"/>
      <c r="ES63" s="27"/>
    </row>
    <row r="64" customFormat="false" ht="15" hidden="false" customHeight="false" outlineLevel="0" collapsed="false">
      <c r="A64" s="27" t="n">
        <v>63</v>
      </c>
      <c r="B64" s="7" t="s">
        <v>24</v>
      </c>
      <c r="C64" s="27" t="s">
        <v>303</v>
      </c>
      <c r="D64" s="27" t="s">
        <v>532</v>
      </c>
      <c r="E64" s="27" t="s">
        <v>172</v>
      </c>
      <c r="F64" s="27" t="s">
        <v>172</v>
      </c>
      <c r="G64" s="27" t="s">
        <v>533</v>
      </c>
      <c r="H64" s="27" t="s">
        <v>174</v>
      </c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27"/>
      <c r="AQ64" s="27"/>
      <c r="AR64" s="27"/>
      <c r="AS64" s="27"/>
      <c r="AT64" s="27"/>
      <c r="AU64" s="27"/>
      <c r="AV64" s="27"/>
      <c r="AW64" s="27"/>
      <c r="AX64" s="27"/>
      <c r="AY64" s="27"/>
      <c r="AZ64" s="27"/>
      <c r="BA64" s="27"/>
      <c r="BB64" s="27"/>
      <c r="BC64" s="27"/>
      <c r="BD64" s="27"/>
      <c r="BE64" s="27"/>
      <c r="BF64" s="27"/>
      <c r="BG64" s="27"/>
      <c r="BH64" s="27"/>
      <c r="BI64" s="27"/>
      <c r="BJ64" s="27"/>
      <c r="BK64" s="27" t="s">
        <v>41</v>
      </c>
      <c r="BL64" s="27" t="s">
        <v>42</v>
      </c>
      <c r="BM64" s="27" t="s">
        <v>172</v>
      </c>
      <c r="BN64" s="27"/>
      <c r="BO64" s="27"/>
      <c r="BP64" s="27"/>
      <c r="BQ64" s="27" t="n">
        <f aca="false">COUNTIFS(Trechos!$L$2:$L$838,A64)</f>
        <v>5</v>
      </c>
      <c r="BR64" s="28" t="n">
        <f aca="false">SUMIFS(Trechos!$F$2:$F$838,Trechos!$L$2:$L$838,A64)</f>
        <v>224.089176505866</v>
      </c>
      <c r="BS64" s="27" t="n">
        <f aca="false">COUNTA(BV64:ES64)</f>
        <v>1</v>
      </c>
      <c r="BT64" s="27" t="str">
        <f aca="false">IF(COUNTA(BV64:ES64)=0,"—",_xlfn.TEXTJOIN(", ",TRUE(),BV64:ES64))</f>
        <v>0349564004</v>
      </c>
      <c r="BU64" s="27" t="s">
        <v>54</v>
      </c>
      <c r="BV64" s="27" t="s">
        <v>174</v>
      </c>
      <c r="BW64" s="27"/>
      <c r="BX64" s="27"/>
      <c r="BY64" s="27"/>
      <c r="BZ64" s="27"/>
      <c r="CA64" s="27"/>
      <c r="CB64" s="27"/>
      <c r="CC64" s="27"/>
      <c r="CD64" s="27"/>
      <c r="CE64" s="27"/>
      <c r="CF64" s="27"/>
      <c r="CG64" s="27"/>
      <c r="CH64" s="27"/>
      <c r="CI64" s="27"/>
      <c r="CJ64" s="27"/>
      <c r="CK64" s="27"/>
      <c r="CL64" s="27"/>
      <c r="CM64" s="27"/>
      <c r="CN64" s="27"/>
      <c r="CO64" s="27"/>
      <c r="CP64" s="27"/>
      <c r="CQ64" s="27"/>
      <c r="CR64" s="27"/>
      <c r="CS64" s="27"/>
      <c r="CT64" s="27"/>
      <c r="CU64" s="27"/>
      <c r="CV64" s="27"/>
      <c r="CW64" s="27"/>
      <c r="CX64" s="27"/>
      <c r="CY64" s="27"/>
      <c r="CZ64" s="27"/>
      <c r="DA64" s="27"/>
      <c r="DB64" s="27"/>
      <c r="DC64" s="27"/>
      <c r="DD64" s="27"/>
      <c r="DE64" s="27"/>
      <c r="DF64" s="27"/>
      <c r="DG64" s="27"/>
      <c r="DH64" s="27"/>
      <c r="DI64" s="27"/>
      <c r="DJ64" s="27"/>
      <c r="DK64" s="27"/>
      <c r="DL64" s="27"/>
      <c r="DM64" s="27"/>
      <c r="DN64" s="27"/>
      <c r="DO64" s="27"/>
      <c r="DP64" s="27"/>
      <c r="DQ64" s="27"/>
      <c r="DR64" s="27"/>
      <c r="DS64" s="27"/>
      <c r="DT64" s="27"/>
      <c r="DU64" s="27"/>
      <c r="DV64" s="27"/>
      <c r="DW64" s="27"/>
      <c r="DX64" s="27"/>
      <c r="DY64" s="27"/>
      <c r="DZ64" s="27"/>
      <c r="EA64" s="27"/>
      <c r="EB64" s="27"/>
      <c r="EC64" s="27"/>
      <c r="ED64" s="27"/>
      <c r="EE64" s="27"/>
      <c r="EF64" s="27"/>
      <c r="EG64" s="27"/>
      <c r="EH64" s="27"/>
      <c r="EI64" s="27"/>
      <c r="EJ64" s="27"/>
      <c r="EK64" s="27"/>
      <c r="EL64" s="27"/>
      <c r="EM64" s="27"/>
      <c r="EN64" s="27"/>
      <c r="EO64" s="27"/>
      <c r="EP64" s="27"/>
      <c r="EQ64" s="27"/>
      <c r="ER64" s="27"/>
      <c r="ES64" s="27"/>
    </row>
    <row r="65" customFormat="false" ht="15" hidden="false" customHeight="false" outlineLevel="0" collapsed="false">
      <c r="A65" s="27" t="n">
        <v>64</v>
      </c>
      <c r="B65" s="7" t="s">
        <v>24</v>
      </c>
      <c r="C65" s="27" t="s">
        <v>303</v>
      </c>
      <c r="D65" s="27" t="s">
        <v>532</v>
      </c>
      <c r="E65" s="27" t="s">
        <v>174</v>
      </c>
      <c r="F65" s="27" t="s">
        <v>174</v>
      </c>
      <c r="G65" s="27" t="s">
        <v>175</v>
      </c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  <c r="AQ65" s="27"/>
      <c r="AR65" s="27"/>
      <c r="AS65" s="27"/>
      <c r="AT65" s="27"/>
      <c r="AU65" s="27"/>
      <c r="AV65" s="27"/>
      <c r="AW65" s="27"/>
      <c r="AX65" s="27"/>
      <c r="AY65" s="27"/>
      <c r="AZ65" s="27"/>
      <c r="BA65" s="27"/>
      <c r="BB65" s="27"/>
      <c r="BC65" s="27"/>
      <c r="BD65" s="27"/>
      <c r="BE65" s="27"/>
      <c r="BF65" s="27"/>
      <c r="BG65" s="27"/>
      <c r="BH65" s="27"/>
      <c r="BI65" s="27"/>
      <c r="BJ65" s="27"/>
      <c r="BK65" s="27" t="s">
        <v>41</v>
      </c>
      <c r="BL65" s="27" t="s">
        <v>42</v>
      </c>
      <c r="BM65" s="27" t="s">
        <v>172</v>
      </c>
      <c r="BN65" s="27" t="s">
        <v>174</v>
      </c>
      <c r="BO65" s="27"/>
      <c r="BP65" s="27"/>
      <c r="BQ65" s="27" t="n">
        <f aca="false">COUNTIFS(Trechos!$L$2:$L$838,A65)</f>
        <v>1</v>
      </c>
      <c r="BR65" s="28" t="n">
        <f aca="false">SUMIFS(Trechos!$F$2:$F$838,Trechos!$L$2:$L$838,A65)</f>
        <v>4.01961224744084</v>
      </c>
      <c r="BS65" s="27" t="n">
        <f aca="false">COUNTA(BV65:ES65)</f>
        <v>0</v>
      </c>
      <c r="BT65" s="27" t="str">
        <f aca="false">IF(COUNTA(BV65:ES65)=0,"—",_xlfn.TEXTJOIN(", ",TRUE(),BV65:ES65))</f>
        <v>—</v>
      </c>
      <c r="BU65" s="27" t="s">
        <v>54</v>
      </c>
      <c r="BV65" s="27"/>
      <c r="BW65" s="27"/>
      <c r="BX65" s="27"/>
      <c r="BY65" s="27"/>
      <c r="BZ65" s="27"/>
      <c r="CA65" s="27"/>
      <c r="CB65" s="27"/>
      <c r="CC65" s="27"/>
      <c r="CD65" s="27"/>
      <c r="CE65" s="27"/>
      <c r="CF65" s="27"/>
      <c r="CG65" s="27"/>
      <c r="CH65" s="27"/>
      <c r="CI65" s="27"/>
      <c r="CJ65" s="27"/>
      <c r="CK65" s="27"/>
      <c r="CL65" s="27"/>
      <c r="CM65" s="27"/>
      <c r="CN65" s="27"/>
      <c r="CO65" s="27"/>
      <c r="CP65" s="27"/>
      <c r="CQ65" s="27"/>
      <c r="CR65" s="27"/>
      <c r="CS65" s="27"/>
      <c r="CT65" s="27"/>
      <c r="CU65" s="27"/>
      <c r="CV65" s="27"/>
      <c r="CW65" s="27"/>
      <c r="CX65" s="27"/>
      <c r="CY65" s="27"/>
      <c r="CZ65" s="27"/>
      <c r="DA65" s="27"/>
      <c r="DB65" s="27"/>
      <c r="DC65" s="27"/>
      <c r="DD65" s="27"/>
      <c r="DE65" s="27"/>
      <c r="DF65" s="27"/>
      <c r="DG65" s="27"/>
      <c r="DH65" s="27"/>
      <c r="DI65" s="27"/>
      <c r="DJ65" s="27"/>
      <c r="DK65" s="27"/>
      <c r="DL65" s="27"/>
      <c r="DM65" s="27"/>
      <c r="DN65" s="27"/>
      <c r="DO65" s="27"/>
      <c r="DP65" s="27"/>
      <c r="DQ65" s="27"/>
      <c r="DR65" s="27"/>
      <c r="DS65" s="27"/>
      <c r="DT65" s="27"/>
      <c r="DU65" s="27"/>
      <c r="DV65" s="27"/>
      <c r="DW65" s="27"/>
      <c r="DX65" s="27"/>
      <c r="DY65" s="27"/>
      <c r="DZ65" s="27"/>
      <c r="EA65" s="27"/>
      <c r="EB65" s="27"/>
      <c r="EC65" s="27"/>
      <c r="ED65" s="27"/>
      <c r="EE65" s="27"/>
      <c r="EF65" s="27"/>
      <c r="EG65" s="27"/>
      <c r="EH65" s="27"/>
      <c r="EI65" s="27"/>
      <c r="EJ65" s="27"/>
      <c r="EK65" s="27"/>
      <c r="EL65" s="27"/>
      <c r="EM65" s="27"/>
      <c r="EN65" s="27"/>
      <c r="EO65" s="27"/>
      <c r="EP65" s="27"/>
      <c r="EQ65" s="27"/>
      <c r="ER65" s="27"/>
      <c r="ES65" s="27"/>
    </row>
    <row r="66" customFormat="false" ht="15" hidden="false" customHeight="false" outlineLevel="0" collapsed="false">
      <c r="A66" s="27" t="n">
        <v>65</v>
      </c>
      <c r="B66" s="6" t="s">
        <v>23</v>
      </c>
      <c r="C66" s="27" t="s">
        <v>303</v>
      </c>
      <c r="D66" s="27" t="s">
        <v>534</v>
      </c>
      <c r="E66" s="27" t="s">
        <v>42</v>
      </c>
      <c r="F66" s="27" t="s">
        <v>177</v>
      </c>
      <c r="G66" s="27" t="s">
        <v>178</v>
      </c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  <c r="AO66" s="27"/>
      <c r="AP66" s="27"/>
      <c r="AQ66" s="27"/>
      <c r="AR66" s="27"/>
      <c r="AS66" s="27"/>
      <c r="AT66" s="27"/>
      <c r="AU66" s="27"/>
      <c r="AV66" s="27"/>
      <c r="AW66" s="27"/>
      <c r="AX66" s="27"/>
      <c r="AY66" s="27"/>
      <c r="AZ66" s="27"/>
      <c r="BA66" s="27"/>
      <c r="BB66" s="27"/>
      <c r="BC66" s="27"/>
      <c r="BD66" s="27"/>
      <c r="BE66" s="27"/>
      <c r="BF66" s="27"/>
      <c r="BG66" s="27"/>
      <c r="BH66" s="27"/>
      <c r="BI66" s="27"/>
      <c r="BJ66" s="27"/>
      <c r="BK66" s="27" t="s">
        <v>41</v>
      </c>
      <c r="BL66" s="27" t="s">
        <v>42</v>
      </c>
      <c r="BM66" s="27"/>
      <c r="BN66" s="27"/>
      <c r="BO66" s="27"/>
      <c r="BP66" s="27"/>
      <c r="BQ66" s="27" t="n">
        <f aca="false">COUNTIFS(Trechos!$L$2:$L$838,A66)</f>
        <v>1</v>
      </c>
      <c r="BR66" s="28" t="n">
        <f aca="false">SUMIFS(Trechos!$F$2:$F$838,Trechos!$L$2:$L$838,A66)</f>
        <v>1.92903024916566</v>
      </c>
      <c r="BS66" s="27" t="n">
        <f aca="false">COUNTA(BV66:ES66)</f>
        <v>1</v>
      </c>
      <c r="BT66" s="27" t="str">
        <f aca="false">IF(COUNTA(BV66:ES66)=0,"—",_xlfn.TEXTJOIN(", ",TRUE(),BV66:ES66))</f>
        <v>0300024004</v>
      </c>
      <c r="BU66" s="27" t="s">
        <v>54</v>
      </c>
      <c r="BV66" s="27" t="s">
        <v>178</v>
      </c>
      <c r="BW66" s="27"/>
      <c r="BX66" s="27"/>
      <c r="BY66" s="27"/>
      <c r="BZ66" s="27"/>
      <c r="CA66" s="27"/>
      <c r="CB66" s="27"/>
      <c r="CC66" s="27"/>
      <c r="CD66" s="27"/>
      <c r="CE66" s="27"/>
      <c r="CF66" s="27"/>
      <c r="CG66" s="27"/>
      <c r="CH66" s="27"/>
      <c r="CI66" s="27"/>
      <c r="CJ66" s="27"/>
      <c r="CK66" s="27"/>
      <c r="CL66" s="27"/>
      <c r="CM66" s="27"/>
      <c r="CN66" s="27"/>
      <c r="CO66" s="27"/>
      <c r="CP66" s="27"/>
      <c r="CQ66" s="27"/>
      <c r="CR66" s="27"/>
      <c r="CS66" s="27"/>
      <c r="CT66" s="27"/>
      <c r="CU66" s="27"/>
      <c r="CV66" s="27"/>
      <c r="CW66" s="27"/>
      <c r="CX66" s="27"/>
      <c r="CY66" s="27"/>
      <c r="CZ66" s="27"/>
      <c r="DA66" s="27"/>
      <c r="DB66" s="27"/>
      <c r="DC66" s="27"/>
      <c r="DD66" s="27"/>
      <c r="DE66" s="27"/>
      <c r="DF66" s="27"/>
      <c r="DG66" s="27"/>
      <c r="DH66" s="27"/>
      <c r="DI66" s="27"/>
      <c r="DJ66" s="27"/>
      <c r="DK66" s="27"/>
      <c r="DL66" s="27"/>
      <c r="DM66" s="27"/>
      <c r="DN66" s="27"/>
      <c r="DO66" s="27"/>
      <c r="DP66" s="27"/>
      <c r="DQ66" s="27"/>
      <c r="DR66" s="27"/>
      <c r="DS66" s="27"/>
      <c r="DT66" s="27"/>
      <c r="DU66" s="27"/>
      <c r="DV66" s="27"/>
      <c r="DW66" s="27"/>
      <c r="DX66" s="27"/>
      <c r="DY66" s="27"/>
      <c r="DZ66" s="27"/>
      <c r="EA66" s="27"/>
      <c r="EB66" s="27"/>
      <c r="EC66" s="27"/>
      <c r="ED66" s="27"/>
      <c r="EE66" s="27"/>
      <c r="EF66" s="27"/>
      <c r="EG66" s="27"/>
      <c r="EH66" s="27"/>
      <c r="EI66" s="27"/>
      <c r="EJ66" s="27"/>
      <c r="EK66" s="27"/>
      <c r="EL66" s="27"/>
      <c r="EM66" s="27"/>
      <c r="EN66" s="27"/>
      <c r="EO66" s="27"/>
      <c r="EP66" s="27"/>
      <c r="EQ66" s="27"/>
      <c r="ER66" s="27"/>
      <c r="ES66" s="27"/>
    </row>
    <row r="67" customFormat="false" ht="15" hidden="false" customHeight="false" outlineLevel="0" collapsed="false">
      <c r="A67" s="27" t="n">
        <v>66</v>
      </c>
      <c r="B67" s="7" t="s">
        <v>24</v>
      </c>
      <c r="C67" s="27" t="s">
        <v>303</v>
      </c>
      <c r="D67" s="27" t="s">
        <v>534</v>
      </c>
      <c r="E67" s="27" t="s">
        <v>178</v>
      </c>
      <c r="F67" s="27" t="s">
        <v>178</v>
      </c>
      <c r="G67" s="27" t="s">
        <v>535</v>
      </c>
      <c r="H67" s="27" t="s">
        <v>536</v>
      </c>
      <c r="I67" s="27" t="s">
        <v>537</v>
      </c>
      <c r="J67" s="27" t="s">
        <v>538</v>
      </c>
      <c r="K67" s="27" t="s">
        <v>539</v>
      </c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  <c r="AQ67" s="27"/>
      <c r="AR67" s="27"/>
      <c r="AS67" s="27"/>
      <c r="AT67" s="27"/>
      <c r="AU67" s="27"/>
      <c r="AV67" s="27"/>
      <c r="AW67" s="27"/>
      <c r="AX67" s="27"/>
      <c r="AY67" s="27"/>
      <c r="AZ67" s="27"/>
      <c r="BA67" s="27"/>
      <c r="BB67" s="27"/>
      <c r="BC67" s="27"/>
      <c r="BD67" s="27"/>
      <c r="BE67" s="27"/>
      <c r="BF67" s="27"/>
      <c r="BG67" s="27"/>
      <c r="BH67" s="27"/>
      <c r="BI67" s="27"/>
      <c r="BJ67" s="27"/>
      <c r="BK67" s="27" t="s">
        <v>41</v>
      </c>
      <c r="BL67" s="27" t="s">
        <v>42</v>
      </c>
      <c r="BM67" s="27" t="s">
        <v>178</v>
      </c>
      <c r="BN67" s="27"/>
      <c r="BO67" s="27"/>
      <c r="BP67" s="27"/>
      <c r="BQ67" s="27" t="n">
        <f aca="false">COUNTIFS(Trechos!$L$2:$L$838,A67)</f>
        <v>11</v>
      </c>
      <c r="BR67" s="28" t="n">
        <f aca="false">SUMIFS(Trechos!$F$2:$F$838,Trechos!$L$2:$L$838,A67)</f>
        <v>379.697822817925</v>
      </c>
      <c r="BS67" s="27" t="n">
        <f aca="false">COUNTA(BV67:ES67)</f>
        <v>0</v>
      </c>
      <c r="BT67" s="27" t="str">
        <f aca="false">IF(COUNTA(BV67:ES67)=0,"—",_xlfn.TEXTJOIN(", ",TRUE(),BV67:ES67))</f>
        <v>—</v>
      </c>
      <c r="BU67" s="27" t="s">
        <v>180</v>
      </c>
      <c r="BV67" s="27"/>
      <c r="BW67" s="27"/>
      <c r="BX67" s="27"/>
      <c r="BY67" s="27"/>
      <c r="BZ67" s="27"/>
      <c r="CA67" s="27"/>
      <c r="CB67" s="27"/>
      <c r="CC67" s="27"/>
      <c r="CD67" s="27"/>
      <c r="CE67" s="27"/>
      <c r="CF67" s="27"/>
      <c r="CG67" s="27"/>
      <c r="CH67" s="27"/>
      <c r="CI67" s="27"/>
      <c r="CJ67" s="27"/>
      <c r="CK67" s="27"/>
      <c r="CL67" s="27"/>
      <c r="CM67" s="27"/>
      <c r="CN67" s="27"/>
      <c r="CO67" s="27"/>
      <c r="CP67" s="27"/>
      <c r="CQ67" s="27"/>
      <c r="CR67" s="27"/>
      <c r="CS67" s="27"/>
      <c r="CT67" s="27"/>
      <c r="CU67" s="27"/>
      <c r="CV67" s="27"/>
      <c r="CW67" s="27"/>
      <c r="CX67" s="27"/>
      <c r="CY67" s="27"/>
      <c r="CZ67" s="27"/>
      <c r="DA67" s="27"/>
      <c r="DB67" s="27"/>
      <c r="DC67" s="27"/>
      <c r="DD67" s="27"/>
      <c r="DE67" s="27"/>
      <c r="DF67" s="27"/>
      <c r="DG67" s="27"/>
      <c r="DH67" s="27"/>
      <c r="DI67" s="27"/>
      <c r="DJ67" s="27"/>
      <c r="DK67" s="27"/>
      <c r="DL67" s="27"/>
      <c r="DM67" s="27"/>
      <c r="DN67" s="27"/>
      <c r="DO67" s="27"/>
      <c r="DP67" s="27"/>
      <c r="DQ67" s="27"/>
      <c r="DR67" s="27"/>
      <c r="DS67" s="27"/>
      <c r="DT67" s="27"/>
      <c r="DU67" s="27"/>
      <c r="DV67" s="27"/>
      <c r="DW67" s="27"/>
      <c r="DX67" s="27"/>
      <c r="DY67" s="27"/>
      <c r="DZ67" s="27"/>
      <c r="EA67" s="27"/>
      <c r="EB67" s="27"/>
      <c r="EC67" s="27"/>
      <c r="ED67" s="27"/>
      <c r="EE67" s="27"/>
      <c r="EF67" s="27"/>
      <c r="EG67" s="27"/>
      <c r="EH67" s="27"/>
      <c r="EI67" s="27"/>
      <c r="EJ67" s="27"/>
      <c r="EK67" s="27"/>
      <c r="EL67" s="27"/>
      <c r="EM67" s="27"/>
      <c r="EN67" s="27"/>
      <c r="EO67" s="27"/>
      <c r="EP67" s="27"/>
      <c r="EQ67" s="27"/>
      <c r="ER67" s="27"/>
      <c r="ES67" s="27"/>
    </row>
    <row r="68" customFormat="false" ht="15" hidden="false" customHeight="false" outlineLevel="0" collapsed="false">
      <c r="A68" s="27" t="n">
        <v>67</v>
      </c>
      <c r="B68" s="6" t="s">
        <v>23</v>
      </c>
      <c r="C68" s="27" t="s">
        <v>303</v>
      </c>
      <c r="D68" s="27" t="s">
        <v>540</v>
      </c>
      <c r="E68" s="27" t="s">
        <v>42</v>
      </c>
      <c r="F68" s="27" t="s">
        <v>182</v>
      </c>
      <c r="G68" s="27" t="s">
        <v>183</v>
      </c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  <c r="AQ68" s="27"/>
      <c r="AR68" s="27"/>
      <c r="AS68" s="27"/>
      <c r="AT68" s="27"/>
      <c r="AU68" s="27"/>
      <c r="AV68" s="27"/>
      <c r="AW68" s="27"/>
      <c r="AX68" s="27"/>
      <c r="AY68" s="27"/>
      <c r="AZ68" s="27"/>
      <c r="BA68" s="27"/>
      <c r="BB68" s="27"/>
      <c r="BC68" s="27"/>
      <c r="BD68" s="27"/>
      <c r="BE68" s="27"/>
      <c r="BF68" s="27"/>
      <c r="BG68" s="27"/>
      <c r="BH68" s="27"/>
      <c r="BI68" s="27"/>
      <c r="BJ68" s="27"/>
      <c r="BK68" s="27" t="s">
        <v>41</v>
      </c>
      <c r="BL68" s="27" t="s">
        <v>42</v>
      </c>
      <c r="BM68" s="27"/>
      <c r="BN68" s="27"/>
      <c r="BO68" s="27"/>
      <c r="BP68" s="27"/>
      <c r="BQ68" s="27" t="n">
        <f aca="false">COUNTIFS(Trechos!$L$2:$L$838,A68)</f>
        <v>1</v>
      </c>
      <c r="BR68" s="28" t="n">
        <f aca="false">SUMIFS(Trechos!$F$2:$F$838,Trechos!$L$2:$L$838,A68)</f>
        <v>1.29239739029268</v>
      </c>
      <c r="BS68" s="27" t="n">
        <f aca="false">COUNTA(BV68:ES68)</f>
        <v>1</v>
      </c>
      <c r="BT68" s="27" t="str">
        <f aca="false">IF(COUNTA(BV68:ES68)=0,"—",_xlfn.TEXTJOIN(", ",TRUE(),BV68:ES68))</f>
        <v>0200028004</v>
      </c>
      <c r="BU68" s="27" t="s">
        <v>54</v>
      </c>
      <c r="BV68" s="27" t="s">
        <v>183</v>
      </c>
      <c r="BW68" s="27"/>
      <c r="BX68" s="27"/>
      <c r="BY68" s="27"/>
      <c r="BZ68" s="27"/>
      <c r="CA68" s="27"/>
      <c r="CB68" s="27"/>
      <c r="CC68" s="27"/>
      <c r="CD68" s="27"/>
      <c r="CE68" s="27"/>
      <c r="CF68" s="27"/>
      <c r="CG68" s="27"/>
      <c r="CH68" s="27"/>
      <c r="CI68" s="27"/>
      <c r="CJ68" s="27"/>
      <c r="CK68" s="27"/>
      <c r="CL68" s="27"/>
      <c r="CM68" s="27"/>
      <c r="CN68" s="27"/>
      <c r="CO68" s="27"/>
      <c r="CP68" s="27"/>
      <c r="CQ68" s="27"/>
      <c r="CR68" s="27"/>
      <c r="CS68" s="27"/>
      <c r="CT68" s="27"/>
      <c r="CU68" s="27"/>
      <c r="CV68" s="27"/>
      <c r="CW68" s="27"/>
      <c r="CX68" s="27"/>
      <c r="CY68" s="27"/>
      <c r="CZ68" s="27"/>
      <c r="DA68" s="27"/>
      <c r="DB68" s="27"/>
      <c r="DC68" s="27"/>
      <c r="DD68" s="27"/>
      <c r="DE68" s="27"/>
      <c r="DF68" s="27"/>
      <c r="DG68" s="27"/>
      <c r="DH68" s="27"/>
      <c r="DI68" s="27"/>
      <c r="DJ68" s="27"/>
      <c r="DK68" s="27"/>
      <c r="DL68" s="27"/>
      <c r="DM68" s="27"/>
      <c r="DN68" s="27"/>
      <c r="DO68" s="27"/>
      <c r="DP68" s="27"/>
      <c r="DQ68" s="27"/>
      <c r="DR68" s="27"/>
      <c r="DS68" s="27"/>
      <c r="DT68" s="27"/>
      <c r="DU68" s="27"/>
      <c r="DV68" s="27"/>
      <c r="DW68" s="27"/>
      <c r="DX68" s="27"/>
      <c r="DY68" s="27"/>
      <c r="DZ68" s="27"/>
      <c r="EA68" s="27"/>
      <c r="EB68" s="27"/>
      <c r="EC68" s="27"/>
      <c r="ED68" s="27"/>
      <c r="EE68" s="27"/>
      <c r="EF68" s="27"/>
      <c r="EG68" s="27"/>
      <c r="EH68" s="27"/>
      <c r="EI68" s="27"/>
      <c r="EJ68" s="27"/>
      <c r="EK68" s="27"/>
      <c r="EL68" s="27"/>
      <c r="EM68" s="27"/>
      <c r="EN68" s="27"/>
      <c r="EO68" s="27"/>
      <c r="EP68" s="27"/>
      <c r="EQ68" s="27"/>
      <c r="ER68" s="27"/>
      <c r="ES68" s="27"/>
    </row>
    <row r="69" customFormat="false" ht="15" hidden="false" customHeight="false" outlineLevel="0" collapsed="false">
      <c r="A69" s="27" t="n">
        <v>68</v>
      </c>
      <c r="B69" s="7" t="s">
        <v>24</v>
      </c>
      <c r="C69" s="27" t="s">
        <v>303</v>
      </c>
      <c r="D69" s="27" t="s">
        <v>540</v>
      </c>
      <c r="E69" s="27" t="s">
        <v>183</v>
      </c>
      <c r="F69" s="27" t="s">
        <v>183</v>
      </c>
      <c r="G69" s="27" t="s">
        <v>184</v>
      </c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  <c r="AO69" s="27"/>
      <c r="AP69" s="27"/>
      <c r="AQ69" s="27"/>
      <c r="AR69" s="27"/>
      <c r="AS69" s="27"/>
      <c r="AT69" s="27"/>
      <c r="AU69" s="27"/>
      <c r="AV69" s="27"/>
      <c r="AW69" s="27"/>
      <c r="AX69" s="27"/>
      <c r="AY69" s="27"/>
      <c r="AZ69" s="27"/>
      <c r="BA69" s="27"/>
      <c r="BB69" s="27"/>
      <c r="BC69" s="27"/>
      <c r="BD69" s="27"/>
      <c r="BE69" s="27"/>
      <c r="BF69" s="27"/>
      <c r="BG69" s="27"/>
      <c r="BH69" s="27"/>
      <c r="BI69" s="27"/>
      <c r="BJ69" s="27"/>
      <c r="BK69" s="27" t="s">
        <v>41</v>
      </c>
      <c r="BL69" s="27" t="s">
        <v>42</v>
      </c>
      <c r="BM69" s="27" t="s">
        <v>183</v>
      </c>
      <c r="BN69" s="27"/>
      <c r="BO69" s="27"/>
      <c r="BP69" s="27"/>
      <c r="BQ69" s="27" t="n">
        <f aca="false">COUNTIFS(Trechos!$L$2:$L$838,A69)</f>
        <v>2</v>
      </c>
      <c r="BR69" s="28" t="n">
        <f aca="false">SUMIFS(Trechos!$F$2:$F$838,Trechos!$L$2:$L$838,A69)</f>
        <v>29.7290914186443</v>
      </c>
      <c r="BS69" s="27" t="n">
        <f aca="false">COUNTA(BV69:ES69)</f>
        <v>0</v>
      </c>
      <c r="BT69" s="27" t="str">
        <f aca="false">IF(COUNTA(BV69:ES69)=0,"—",_xlfn.TEXTJOIN(", ",TRUE(),BV69:ES69))</f>
        <v>—</v>
      </c>
      <c r="BU69" s="27" t="s">
        <v>54</v>
      </c>
      <c r="BV69" s="27"/>
      <c r="BW69" s="27"/>
      <c r="BX69" s="27"/>
      <c r="BY69" s="27"/>
      <c r="BZ69" s="27"/>
      <c r="CA69" s="27"/>
      <c r="CB69" s="27"/>
      <c r="CC69" s="27"/>
      <c r="CD69" s="27"/>
      <c r="CE69" s="27"/>
      <c r="CF69" s="27"/>
      <c r="CG69" s="27"/>
      <c r="CH69" s="27"/>
      <c r="CI69" s="27"/>
      <c r="CJ69" s="27"/>
      <c r="CK69" s="27"/>
      <c r="CL69" s="27"/>
      <c r="CM69" s="27"/>
      <c r="CN69" s="27"/>
      <c r="CO69" s="27"/>
      <c r="CP69" s="27"/>
      <c r="CQ69" s="27"/>
      <c r="CR69" s="27"/>
      <c r="CS69" s="27"/>
      <c r="CT69" s="27"/>
      <c r="CU69" s="27"/>
      <c r="CV69" s="27"/>
      <c r="CW69" s="27"/>
      <c r="CX69" s="27"/>
      <c r="CY69" s="27"/>
      <c r="CZ69" s="27"/>
      <c r="DA69" s="27"/>
      <c r="DB69" s="27"/>
      <c r="DC69" s="27"/>
      <c r="DD69" s="27"/>
      <c r="DE69" s="27"/>
      <c r="DF69" s="27"/>
      <c r="DG69" s="27"/>
      <c r="DH69" s="27"/>
      <c r="DI69" s="27"/>
      <c r="DJ69" s="27"/>
      <c r="DK69" s="27"/>
      <c r="DL69" s="27"/>
      <c r="DM69" s="27"/>
      <c r="DN69" s="27"/>
      <c r="DO69" s="27"/>
      <c r="DP69" s="27"/>
      <c r="DQ69" s="27"/>
      <c r="DR69" s="27"/>
      <c r="DS69" s="27"/>
      <c r="DT69" s="27"/>
      <c r="DU69" s="27"/>
      <c r="DV69" s="27"/>
      <c r="DW69" s="27"/>
      <c r="DX69" s="27"/>
      <c r="DY69" s="27"/>
      <c r="DZ69" s="27"/>
      <c r="EA69" s="27"/>
      <c r="EB69" s="27"/>
      <c r="EC69" s="27"/>
      <c r="ED69" s="27"/>
      <c r="EE69" s="27"/>
      <c r="EF69" s="27"/>
      <c r="EG69" s="27"/>
      <c r="EH69" s="27"/>
      <c r="EI69" s="27"/>
      <c r="EJ69" s="27"/>
      <c r="EK69" s="27"/>
      <c r="EL69" s="27"/>
      <c r="EM69" s="27"/>
      <c r="EN69" s="27"/>
      <c r="EO69" s="27"/>
      <c r="EP69" s="27"/>
      <c r="EQ69" s="27"/>
      <c r="ER69" s="27"/>
      <c r="ES69" s="27"/>
    </row>
    <row r="70" customFormat="false" ht="15" hidden="false" customHeight="false" outlineLevel="0" collapsed="false">
      <c r="A70" s="27" t="n">
        <v>69</v>
      </c>
      <c r="B70" s="6" t="s">
        <v>23</v>
      </c>
      <c r="C70" s="27" t="s">
        <v>303</v>
      </c>
      <c r="D70" s="27" t="s">
        <v>541</v>
      </c>
      <c r="E70" s="27" t="s">
        <v>42</v>
      </c>
      <c r="F70" s="27" t="s">
        <v>186</v>
      </c>
      <c r="G70" s="27" t="s">
        <v>542</v>
      </c>
      <c r="H70" s="27" t="s">
        <v>543</v>
      </c>
      <c r="I70" s="27" t="s">
        <v>544</v>
      </c>
      <c r="J70" s="27" t="s">
        <v>189</v>
      </c>
      <c r="K70" s="27" t="s">
        <v>545</v>
      </c>
      <c r="L70" s="27" t="s">
        <v>191</v>
      </c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  <c r="AO70" s="27"/>
      <c r="AP70" s="27"/>
      <c r="AQ70" s="27"/>
      <c r="AR70" s="27"/>
      <c r="AS70" s="27"/>
      <c r="AT70" s="27"/>
      <c r="AU70" s="27"/>
      <c r="AV70" s="27"/>
      <c r="AW70" s="27"/>
      <c r="AX70" s="27"/>
      <c r="AY70" s="27"/>
      <c r="AZ70" s="27"/>
      <c r="BA70" s="27"/>
      <c r="BB70" s="27"/>
      <c r="BC70" s="27"/>
      <c r="BD70" s="27"/>
      <c r="BE70" s="27"/>
      <c r="BF70" s="27"/>
      <c r="BG70" s="27"/>
      <c r="BH70" s="27"/>
      <c r="BI70" s="27"/>
      <c r="BJ70" s="27"/>
      <c r="BK70" s="27" t="s">
        <v>41</v>
      </c>
      <c r="BL70" s="27" t="s">
        <v>42</v>
      </c>
      <c r="BM70" s="27"/>
      <c r="BN70" s="27"/>
      <c r="BO70" s="27"/>
      <c r="BP70" s="27"/>
      <c r="BQ70" s="27" t="n">
        <f aca="false">COUNTIFS(Trechos!$L$2:$L$838,A70)</f>
        <v>41</v>
      </c>
      <c r="BR70" s="28" t="n">
        <f aca="false">SUMIFS(Trechos!$F$2:$F$838,Trechos!$L$2:$L$838,A70)</f>
        <v>1991.42192965238</v>
      </c>
      <c r="BS70" s="27" t="n">
        <f aca="false">COUNTA(BV70:ES70)</f>
        <v>2</v>
      </c>
      <c r="BT70" s="27" t="str">
        <f aca="false">IF(COUNTA(BV70:ES70)=0,"—",_xlfn.TEXTJOIN(", ",TRUE(),BV70:ES70))</f>
        <v>0300052004, 0200050004</v>
      </c>
      <c r="BU70" s="27" t="s">
        <v>188</v>
      </c>
      <c r="BV70" s="27" t="s">
        <v>189</v>
      </c>
      <c r="BW70" s="27" t="s">
        <v>191</v>
      </c>
      <c r="BX70" s="27"/>
      <c r="BY70" s="27"/>
      <c r="BZ70" s="27"/>
      <c r="CA70" s="27"/>
      <c r="CB70" s="27"/>
      <c r="CC70" s="27"/>
      <c r="CD70" s="27"/>
      <c r="CE70" s="27"/>
      <c r="CF70" s="27"/>
      <c r="CG70" s="27"/>
      <c r="CH70" s="27"/>
      <c r="CI70" s="27"/>
      <c r="CJ70" s="27"/>
      <c r="CK70" s="27"/>
      <c r="CL70" s="27"/>
      <c r="CM70" s="27"/>
      <c r="CN70" s="27"/>
      <c r="CO70" s="27"/>
      <c r="CP70" s="27"/>
      <c r="CQ70" s="27"/>
      <c r="CR70" s="27"/>
      <c r="CS70" s="27"/>
      <c r="CT70" s="27"/>
      <c r="CU70" s="27"/>
      <c r="CV70" s="27"/>
      <c r="CW70" s="27"/>
      <c r="CX70" s="27"/>
      <c r="CY70" s="27"/>
      <c r="CZ70" s="27"/>
      <c r="DA70" s="27"/>
      <c r="DB70" s="27"/>
      <c r="DC70" s="27"/>
      <c r="DD70" s="27"/>
      <c r="DE70" s="27"/>
      <c r="DF70" s="27"/>
      <c r="DG70" s="27"/>
      <c r="DH70" s="27"/>
      <c r="DI70" s="27"/>
      <c r="DJ70" s="27"/>
      <c r="DK70" s="27"/>
      <c r="DL70" s="27"/>
      <c r="DM70" s="27"/>
      <c r="DN70" s="27"/>
      <c r="DO70" s="27"/>
      <c r="DP70" s="27"/>
      <c r="DQ70" s="27"/>
      <c r="DR70" s="27"/>
      <c r="DS70" s="27"/>
      <c r="DT70" s="27"/>
      <c r="DU70" s="27"/>
      <c r="DV70" s="27"/>
      <c r="DW70" s="27"/>
      <c r="DX70" s="27"/>
      <c r="DY70" s="27"/>
      <c r="DZ70" s="27"/>
      <c r="EA70" s="27"/>
      <c r="EB70" s="27"/>
      <c r="EC70" s="27"/>
      <c r="ED70" s="27"/>
      <c r="EE70" s="27"/>
      <c r="EF70" s="27"/>
      <c r="EG70" s="27"/>
      <c r="EH70" s="27"/>
      <c r="EI70" s="27"/>
      <c r="EJ70" s="27"/>
      <c r="EK70" s="27"/>
      <c r="EL70" s="27"/>
      <c r="EM70" s="27"/>
      <c r="EN70" s="27"/>
      <c r="EO70" s="27"/>
      <c r="EP70" s="27"/>
      <c r="EQ70" s="27"/>
      <c r="ER70" s="27"/>
      <c r="ES70" s="27"/>
    </row>
    <row r="71" customFormat="false" ht="15" hidden="false" customHeight="false" outlineLevel="0" collapsed="false">
      <c r="A71" s="27" t="n">
        <v>70</v>
      </c>
      <c r="B71" s="7" t="s">
        <v>24</v>
      </c>
      <c r="C71" s="27" t="s">
        <v>303</v>
      </c>
      <c r="D71" s="27" t="s">
        <v>541</v>
      </c>
      <c r="E71" s="27" t="s">
        <v>189</v>
      </c>
      <c r="F71" s="27" t="s">
        <v>189</v>
      </c>
      <c r="G71" s="27" t="s">
        <v>190</v>
      </c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  <c r="AO71" s="27"/>
      <c r="AP71" s="27"/>
      <c r="AQ71" s="27"/>
      <c r="AR71" s="27"/>
      <c r="AS71" s="27"/>
      <c r="AT71" s="27"/>
      <c r="AU71" s="27"/>
      <c r="AV71" s="27"/>
      <c r="AW71" s="27"/>
      <c r="AX71" s="27"/>
      <c r="AY71" s="27"/>
      <c r="AZ71" s="27"/>
      <c r="BA71" s="27"/>
      <c r="BB71" s="27"/>
      <c r="BC71" s="27"/>
      <c r="BD71" s="27"/>
      <c r="BE71" s="27"/>
      <c r="BF71" s="27"/>
      <c r="BG71" s="27"/>
      <c r="BH71" s="27"/>
      <c r="BI71" s="27"/>
      <c r="BJ71" s="27"/>
      <c r="BK71" s="27" t="s">
        <v>41</v>
      </c>
      <c r="BL71" s="27" t="s">
        <v>42</v>
      </c>
      <c r="BM71" s="27" t="s">
        <v>189</v>
      </c>
      <c r="BN71" s="27"/>
      <c r="BO71" s="27"/>
      <c r="BP71" s="27"/>
      <c r="BQ71" s="27" t="n">
        <f aca="false">COUNTIFS(Trechos!$L$2:$L$838,A71)</f>
        <v>1</v>
      </c>
      <c r="BR71" s="28" t="n">
        <f aca="false">SUMIFS(Trechos!$F$2:$F$838,Trechos!$L$2:$L$838,A71)</f>
        <v>10.9270182219447</v>
      </c>
      <c r="BS71" s="27" t="n">
        <f aca="false">COUNTA(BV71:ES71)</f>
        <v>0</v>
      </c>
      <c r="BT71" s="27" t="str">
        <f aca="false">IF(COUNTA(BV71:ES71)=0,"—",_xlfn.TEXTJOIN(", ",TRUE(),BV71:ES71))</f>
        <v>—</v>
      </c>
      <c r="BU71" s="27" t="s">
        <v>54</v>
      </c>
      <c r="BV71" s="27"/>
      <c r="BW71" s="27"/>
      <c r="BX71" s="27"/>
      <c r="BY71" s="27"/>
      <c r="BZ71" s="27"/>
      <c r="CA71" s="27"/>
      <c r="CB71" s="27"/>
      <c r="CC71" s="27"/>
      <c r="CD71" s="27"/>
      <c r="CE71" s="27"/>
      <c r="CF71" s="27"/>
      <c r="CG71" s="27"/>
      <c r="CH71" s="27"/>
      <c r="CI71" s="27"/>
      <c r="CJ71" s="27"/>
      <c r="CK71" s="27"/>
      <c r="CL71" s="27"/>
      <c r="CM71" s="27"/>
      <c r="CN71" s="27"/>
      <c r="CO71" s="27"/>
      <c r="CP71" s="27"/>
      <c r="CQ71" s="27"/>
      <c r="CR71" s="27"/>
      <c r="CS71" s="27"/>
      <c r="CT71" s="27"/>
      <c r="CU71" s="27"/>
      <c r="CV71" s="27"/>
      <c r="CW71" s="27"/>
      <c r="CX71" s="27"/>
      <c r="CY71" s="27"/>
      <c r="CZ71" s="27"/>
      <c r="DA71" s="27"/>
      <c r="DB71" s="27"/>
      <c r="DC71" s="27"/>
      <c r="DD71" s="27"/>
      <c r="DE71" s="27"/>
      <c r="DF71" s="27"/>
      <c r="DG71" s="27"/>
      <c r="DH71" s="27"/>
      <c r="DI71" s="27"/>
      <c r="DJ71" s="27"/>
      <c r="DK71" s="27"/>
      <c r="DL71" s="27"/>
      <c r="DM71" s="27"/>
      <c r="DN71" s="27"/>
      <c r="DO71" s="27"/>
      <c r="DP71" s="27"/>
      <c r="DQ71" s="27"/>
      <c r="DR71" s="27"/>
      <c r="DS71" s="27"/>
      <c r="DT71" s="27"/>
      <c r="DU71" s="27"/>
      <c r="DV71" s="27"/>
      <c r="DW71" s="27"/>
      <c r="DX71" s="27"/>
      <c r="DY71" s="27"/>
      <c r="DZ71" s="27"/>
      <c r="EA71" s="27"/>
      <c r="EB71" s="27"/>
      <c r="EC71" s="27"/>
      <c r="ED71" s="27"/>
      <c r="EE71" s="27"/>
      <c r="EF71" s="27"/>
      <c r="EG71" s="27"/>
      <c r="EH71" s="27"/>
      <c r="EI71" s="27"/>
      <c r="EJ71" s="27"/>
      <c r="EK71" s="27"/>
      <c r="EL71" s="27"/>
      <c r="EM71" s="27"/>
      <c r="EN71" s="27"/>
      <c r="EO71" s="27"/>
      <c r="EP71" s="27"/>
      <c r="EQ71" s="27"/>
      <c r="ER71" s="27"/>
      <c r="ES71" s="27"/>
    </row>
    <row r="72" customFormat="false" ht="15" hidden="false" customHeight="false" outlineLevel="0" collapsed="false">
      <c r="A72" s="27" t="n">
        <v>71</v>
      </c>
      <c r="B72" s="7" t="s">
        <v>24</v>
      </c>
      <c r="C72" s="27" t="s">
        <v>303</v>
      </c>
      <c r="D72" s="27" t="s">
        <v>541</v>
      </c>
      <c r="E72" s="27" t="s">
        <v>191</v>
      </c>
      <c r="F72" s="27" t="s">
        <v>191</v>
      </c>
      <c r="G72" s="27" t="s">
        <v>192</v>
      </c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  <c r="AO72" s="27"/>
      <c r="AP72" s="27"/>
      <c r="AQ72" s="27"/>
      <c r="AR72" s="27"/>
      <c r="AS72" s="27"/>
      <c r="AT72" s="27"/>
      <c r="AU72" s="27"/>
      <c r="AV72" s="27"/>
      <c r="AW72" s="27"/>
      <c r="AX72" s="27"/>
      <c r="AY72" s="27"/>
      <c r="AZ72" s="27"/>
      <c r="BA72" s="27"/>
      <c r="BB72" s="27"/>
      <c r="BC72" s="27"/>
      <c r="BD72" s="27"/>
      <c r="BE72" s="27"/>
      <c r="BF72" s="27"/>
      <c r="BG72" s="27"/>
      <c r="BH72" s="27"/>
      <c r="BI72" s="27"/>
      <c r="BJ72" s="27"/>
      <c r="BK72" s="27" t="s">
        <v>41</v>
      </c>
      <c r="BL72" s="27" t="s">
        <v>42</v>
      </c>
      <c r="BM72" s="27" t="s">
        <v>191</v>
      </c>
      <c r="BN72" s="27"/>
      <c r="BO72" s="27"/>
      <c r="BP72" s="27"/>
      <c r="BQ72" s="27" t="n">
        <f aca="false">COUNTIFS(Trechos!$L$2:$L$838,A72)</f>
        <v>1</v>
      </c>
      <c r="BR72" s="28" t="n">
        <f aca="false">SUMIFS(Trechos!$F$2:$F$838,Trechos!$L$2:$L$838,A72)</f>
        <v>12.6041120650505</v>
      </c>
      <c r="BS72" s="27" t="n">
        <f aca="false">COUNTA(BV72:ES72)</f>
        <v>0</v>
      </c>
      <c r="BT72" s="27" t="str">
        <f aca="false">IF(COUNTA(BV72:ES72)=0,"—",_xlfn.TEXTJOIN(", ",TRUE(),BV72:ES72))</f>
        <v>—</v>
      </c>
      <c r="BU72" s="27" t="s">
        <v>54</v>
      </c>
      <c r="BV72" s="27"/>
      <c r="BW72" s="27"/>
      <c r="BX72" s="27"/>
      <c r="BY72" s="27"/>
      <c r="BZ72" s="27"/>
      <c r="CA72" s="27"/>
      <c r="CB72" s="27"/>
      <c r="CC72" s="27"/>
      <c r="CD72" s="27"/>
      <c r="CE72" s="27"/>
      <c r="CF72" s="27"/>
      <c r="CG72" s="27"/>
      <c r="CH72" s="27"/>
      <c r="CI72" s="27"/>
      <c r="CJ72" s="27"/>
      <c r="CK72" s="27"/>
      <c r="CL72" s="27"/>
      <c r="CM72" s="27"/>
      <c r="CN72" s="27"/>
      <c r="CO72" s="27"/>
      <c r="CP72" s="27"/>
      <c r="CQ72" s="27"/>
      <c r="CR72" s="27"/>
      <c r="CS72" s="27"/>
      <c r="CT72" s="27"/>
      <c r="CU72" s="27"/>
      <c r="CV72" s="27"/>
      <c r="CW72" s="27"/>
      <c r="CX72" s="27"/>
      <c r="CY72" s="27"/>
      <c r="CZ72" s="27"/>
      <c r="DA72" s="27"/>
      <c r="DB72" s="27"/>
      <c r="DC72" s="27"/>
      <c r="DD72" s="27"/>
      <c r="DE72" s="27"/>
      <c r="DF72" s="27"/>
      <c r="DG72" s="27"/>
      <c r="DH72" s="27"/>
      <c r="DI72" s="27"/>
      <c r="DJ72" s="27"/>
      <c r="DK72" s="27"/>
      <c r="DL72" s="27"/>
      <c r="DM72" s="27"/>
      <c r="DN72" s="27"/>
      <c r="DO72" s="27"/>
      <c r="DP72" s="27"/>
      <c r="DQ72" s="27"/>
      <c r="DR72" s="27"/>
      <c r="DS72" s="27"/>
      <c r="DT72" s="27"/>
      <c r="DU72" s="27"/>
      <c r="DV72" s="27"/>
      <c r="DW72" s="27"/>
      <c r="DX72" s="27"/>
      <c r="DY72" s="27"/>
      <c r="DZ72" s="27"/>
      <c r="EA72" s="27"/>
      <c r="EB72" s="27"/>
      <c r="EC72" s="27"/>
      <c r="ED72" s="27"/>
      <c r="EE72" s="27"/>
      <c r="EF72" s="27"/>
      <c r="EG72" s="27"/>
      <c r="EH72" s="27"/>
      <c r="EI72" s="27"/>
      <c r="EJ72" s="27"/>
      <c r="EK72" s="27"/>
      <c r="EL72" s="27"/>
      <c r="EM72" s="27"/>
      <c r="EN72" s="27"/>
      <c r="EO72" s="27"/>
      <c r="EP72" s="27"/>
      <c r="EQ72" s="27"/>
      <c r="ER72" s="27"/>
      <c r="ES72" s="27"/>
    </row>
    <row r="73" customFormat="false" ht="15" hidden="false" customHeight="false" outlineLevel="0" collapsed="false">
      <c r="A73" s="27" t="n">
        <v>72</v>
      </c>
      <c r="B73" s="6" t="s">
        <v>23</v>
      </c>
      <c r="C73" s="27" t="s">
        <v>303</v>
      </c>
      <c r="D73" s="27" t="s">
        <v>546</v>
      </c>
      <c r="E73" s="27" t="s">
        <v>42</v>
      </c>
      <c r="F73" s="27" t="s">
        <v>194</v>
      </c>
      <c r="G73" s="27" t="s">
        <v>195</v>
      </c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27"/>
      <c r="AV73" s="27"/>
      <c r="AW73" s="27"/>
      <c r="AX73" s="27"/>
      <c r="AY73" s="27"/>
      <c r="AZ73" s="27"/>
      <c r="BA73" s="27"/>
      <c r="BB73" s="27"/>
      <c r="BC73" s="27"/>
      <c r="BD73" s="27"/>
      <c r="BE73" s="27"/>
      <c r="BF73" s="27"/>
      <c r="BG73" s="27"/>
      <c r="BH73" s="27"/>
      <c r="BI73" s="27"/>
      <c r="BJ73" s="27"/>
      <c r="BK73" s="27" t="s">
        <v>41</v>
      </c>
      <c r="BL73" s="27" t="s">
        <v>42</v>
      </c>
      <c r="BM73" s="27"/>
      <c r="BN73" s="27"/>
      <c r="BO73" s="27"/>
      <c r="BP73" s="27"/>
      <c r="BQ73" s="27" t="n">
        <f aca="false">COUNTIFS(Trechos!$L$2:$L$838,A73)</f>
        <v>2</v>
      </c>
      <c r="BR73" s="28" t="n">
        <f aca="false">SUMIFS(Trechos!$F$2:$F$838,Trechos!$L$2:$L$838,A73)</f>
        <v>3.02913411342669</v>
      </c>
      <c r="BS73" s="27" t="n">
        <f aca="false">COUNTA(BV73:ES73)</f>
        <v>0</v>
      </c>
      <c r="BT73" s="27" t="str">
        <f aca="false">IF(COUNTA(BV73:ES73)=0,"—",_xlfn.TEXTJOIN(", ",TRUE(),BV73:ES73))</f>
        <v>—</v>
      </c>
      <c r="BU73" s="27" t="s">
        <v>54</v>
      </c>
      <c r="BV73" s="27"/>
      <c r="BW73" s="27"/>
      <c r="BX73" s="27"/>
      <c r="BY73" s="27"/>
      <c r="BZ73" s="27"/>
      <c r="CA73" s="27"/>
      <c r="CB73" s="27"/>
      <c r="CC73" s="27"/>
      <c r="CD73" s="27"/>
      <c r="CE73" s="27"/>
      <c r="CF73" s="27"/>
      <c r="CG73" s="27"/>
      <c r="CH73" s="27"/>
      <c r="CI73" s="27"/>
      <c r="CJ73" s="27"/>
      <c r="CK73" s="27"/>
      <c r="CL73" s="27"/>
      <c r="CM73" s="27"/>
      <c r="CN73" s="27"/>
      <c r="CO73" s="27"/>
      <c r="CP73" s="27"/>
      <c r="CQ73" s="27"/>
      <c r="CR73" s="27"/>
      <c r="CS73" s="27"/>
      <c r="CT73" s="27"/>
      <c r="CU73" s="27"/>
      <c r="CV73" s="27"/>
      <c r="CW73" s="27"/>
      <c r="CX73" s="27"/>
      <c r="CY73" s="27"/>
      <c r="CZ73" s="27"/>
      <c r="DA73" s="27"/>
      <c r="DB73" s="27"/>
      <c r="DC73" s="27"/>
      <c r="DD73" s="27"/>
      <c r="DE73" s="27"/>
      <c r="DF73" s="27"/>
      <c r="DG73" s="27"/>
      <c r="DH73" s="27"/>
      <c r="DI73" s="27"/>
      <c r="DJ73" s="27"/>
      <c r="DK73" s="27"/>
      <c r="DL73" s="27"/>
      <c r="DM73" s="27"/>
      <c r="DN73" s="27"/>
      <c r="DO73" s="27"/>
      <c r="DP73" s="27"/>
      <c r="DQ73" s="27"/>
      <c r="DR73" s="27"/>
      <c r="DS73" s="27"/>
      <c r="DT73" s="27"/>
      <c r="DU73" s="27"/>
      <c r="DV73" s="27"/>
      <c r="DW73" s="27"/>
      <c r="DX73" s="27"/>
      <c r="DY73" s="27"/>
      <c r="DZ73" s="27"/>
      <c r="EA73" s="27"/>
      <c r="EB73" s="27"/>
      <c r="EC73" s="27"/>
      <c r="ED73" s="27"/>
      <c r="EE73" s="27"/>
      <c r="EF73" s="27"/>
      <c r="EG73" s="27"/>
      <c r="EH73" s="27"/>
      <c r="EI73" s="27"/>
      <c r="EJ73" s="27"/>
      <c r="EK73" s="27"/>
      <c r="EL73" s="27"/>
      <c r="EM73" s="27"/>
      <c r="EN73" s="27"/>
      <c r="EO73" s="27"/>
      <c r="EP73" s="27"/>
      <c r="EQ73" s="27"/>
      <c r="ER73" s="27"/>
      <c r="ES73" s="27"/>
    </row>
    <row r="74" customFormat="false" ht="15" hidden="false" customHeight="false" outlineLevel="0" collapsed="false">
      <c r="A74" s="27" t="n">
        <v>73</v>
      </c>
      <c r="B74" s="6" t="s">
        <v>23</v>
      </c>
      <c r="C74" s="27" t="s">
        <v>303</v>
      </c>
      <c r="D74" s="27" t="s">
        <v>547</v>
      </c>
      <c r="E74" s="27" t="s">
        <v>44</v>
      </c>
      <c r="F74" s="27" t="s">
        <v>197</v>
      </c>
      <c r="G74" s="27" t="s">
        <v>198</v>
      </c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/>
      <c r="AR74" s="27"/>
      <c r="AS74" s="27"/>
      <c r="AT74" s="27"/>
      <c r="AU74" s="27"/>
      <c r="AV74" s="27"/>
      <c r="AW74" s="27"/>
      <c r="AX74" s="27"/>
      <c r="AY74" s="27"/>
      <c r="AZ74" s="27"/>
      <c r="BA74" s="27"/>
      <c r="BB74" s="27"/>
      <c r="BC74" s="27"/>
      <c r="BD74" s="27"/>
      <c r="BE74" s="27"/>
      <c r="BF74" s="27"/>
      <c r="BG74" s="27"/>
      <c r="BH74" s="27"/>
      <c r="BI74" s="27"/>
      <c r="BJ74" s="27"/>
      <c r="BK74" s="27" t="s">
        <v>41</v>
      </c>
      <c r="BL74" s="27" t="s">
        <v>42</v>
      </c>
      <c r="BM74" s="27" t="s">
        <v>44</v>
      </c>
      <c r="BN74" s="27"/>
      <c r="BO74" s="27"/>
      <c r="BP74" s="27"/>
      <c r="BQ74" s="27" t="n">
        <f aca="false">COUNTIFS(Trechos!$L$2:$L$838,A74)</f>
        <v>1</v>
      </c>
      <c r="BR74" s="28" t="n">
        <f aca="false">SUMIFS(Trechos!$F$2:$F$838,Trechos!$L$2:$L$838,A74)</f>
        <v>20.417790421367</v>
      </c>
      <c r="BS74" s="27" t="n">
        <f aca="false">COUNTA(BV74:ES74)</f>
        <v>0</v>
      </c>
      <c r="BT74" s="27" t="str">
        <f aca="false">IF(COUNTA(BV74:ES74)=0,"—",_xlfn.TEXTJOIN(", ",TRUE(),BV74:ES74))</f>
        <v>—</v>
      </c>
      <c r="BU74" s="27" t="s">
        <v>54</v>
      </c>
      <c r="BV74" s="27"/>
      <c r="BW74" s="27"/>
      <c r="BX74" s="27"/>
      <c r="BY74" s="27"/>
      <c r="BZ74" s="27"/>
      <c r="CA74" s="27"/>
      <c r="CB74" s="27"/>
      <c r="CC74" s="27"/>
      <c r="CD74" s="27"/>
      <c r="CE74" s="27"/>
      <c r="CF74" s="27"/>
      <c r="CG74" s="27"/>
      <c r="CH74" s="27"/>
      <c r="CI74" s="27"/>
      <c r="CJ74" s="27"/>
      <c r="CK74" s="27"/>
      <c r="CL74" s="27"/>
      <c r="CM74" s="27"/>
      <c r="CN74" s="27"/>
      <c r="CO74" s="27"/>
      <c r="CP74" s="27"/>
      <c r="CQ74" s="27"/>
      <c r="CR74" s="27"/>
      <c r="CS74" s="27"/>
      <c r="CT74" s="27"/>
      <c r="CU74" s="27"/>
      <c r="CV74" s="27"/>
      <c r="CW74" s="27"/>
      <c r="CX74" s="27"/>
      <c r="CY74" s="27"/>
      <c r="CZ74" s="27"/>
      <c r="DA74" s="27"/>
      <c r="DB74" s="27"/>
      <c r="DC74" s="27"/>
      <c r="DD74" s="27"/>
      <c r="DE74" s="27"/>
      <c r="DF74" s="27"/>
      <c r="DG74" s="27"/>
      <c r="DH74" s="27"/>
      <c r="DI74" s="27"/>
      <c r="DJ74" s="27"/>
      <c r="DK74" s="27"/>
      <c r="DL74" s="27"/>
      <c r="DM74" s="27"/>
      <c r="DN74" s="27"/>
      <c r="DO74" s="27"/>
      <c r="DP74" s="27"/>
      <c r="DQ74" s="27"/>
      <c r="DR74" s="27"/>
      <c r="DS74" s="27"/>
      <c r="DT74" s="27"/>
      <c r="DU74" s="27"/>
      <c r="DV74" s="27"/>
      <c r="DW74" s="27"/>
      <c r="DX74" s="27"/>
      <c r="DY74" s="27"/>
      <c r="DZ74" s="27"/>
      <c r="EA74" s="27"/>
      <c r="EB74" s="27"/>
      <c r="EC74" s="27"/>
      <c r="ED74" s="27"/>
      <c r="EE74" s="27"/>
      <c r="EF74" s="27"/>
      <c r="EG74" s="27"/>
      <c r="EH74" s="27"/>
      <c r="EI74" s="27"/>
      <c r="EJ74" s="27"/>
      <c r="EK74" s="27"/>
      <c r="EL74" s="27"/>
      <c r="EM74" s="27"/>
      <c r="EN74" s="27"/>
      <c r="EO74" s="27"/>
      <c r="EP74" s="27"/>
      <c r="EQ74" s="27"/>
      <c r="ER74" s="27"/>
      <c r="ES74" s="27"/>
    </row>
    <row r="75" customFormat="false" ht="15" hidden="false" customHeight="false" outlineLevel="0" collapsed="false">
      <c r="A75" s="27" t="n">
        <v>74</v>
      </c>
      <c r="B75" s="6" t="s">
        <v>23</v>
      </c>
      <c r="C75" s="27" t="s">
        <v>303</v>
      </c>
      <c r="D75" s="27" t="s">
        <v>548</v>
      </c>
      <c r="E75" s="27" t="s">
        <v>44</v>
      </c>
      <c r="F75" s="27" t="s">
        <v>200</v>
      </c>
      <c r="G75" s="27" t="s">
        <v>201</v>
      </c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  <c r="AO75" s="27"/>
      <c r="AP75" s="27"/>
      <c r="AQ75" s="27"/>
      <c r="AR75" s="27"/>
      <c r="AS75" s="27"/>
      <c r="AT75" s="27"/>
      <c r="AU75" s="27"/>
      <c r="AV75" s="27"/>
      <c r="AW75" s="27"/>
      <c r="AX75" s="27"/>
      <c r="AY75" s="27"/>
      <c r="AZ75" s="27"/>
      <c r="BA75" s="27"/>
      <c r="BB75" s="27"/>
      <c r="BC75" s="27"/>
      <c r="BD75" s="27"/>
      <c r="BE75" s="27"/>
      <c r="BF75" s="27"/>
      <c r="BG75" s="27"/>
      <c r="BH75" s="27"/>
      <c r="BI75" s="27"/>
      <c r="BJ75" s="27"/>
      <c r="BK75" s="27" t="s">
        <v>41</v>
      </c>
      <c r="BL75" s="27" t="s">
        <v>42</v>
      </c>
      <c r="BM75" s="27" t="s">
        <v>44</v>
      </c>
      <c r="BN75" s="27"/>
      <c r="BO75" s="27"/>
      <c r="BP75" s="27"/>
      <c r="BQ75" s="27" t="n">
        <f aca="false">COUNTIFS(Trechos!$L$2:$L$838,A75)</f>
        <v>1</v>
      </c>
      <c r="BR75" s="28" t="n">
        <f aca="false">SUMIFS(Trechos!$F$2:$F$838,Trechos!$L$2:$L$838,A75)</f>
        <v>7.73594669834113</v>
      </c>
      <c r="BS75" s="27" t="n">
        <f aca="false">COUNTA(BV75:ES75)</f>
        <v>0</v>
      </c>
      <c r="BT75" s="27" t="str">
        <f aca="false">IF(COUNTA(BV75:ES75)=0,"—",_xlfn.TEXTJOIN(", ",TRUE(),BV75:ES75))</f>
        <v>—</v>
      </c>
      <c r="BU75" s="27" t="s">
        <v>54</v>
      </c>
      <c r="BV75" s="27"/>
      <c r="BW75" s="27"/>
      <c r="BX75" s="27"/>
      <c r="BY75" s="27"/>
      <c r="BZ75" s="27"/>
      <c r="CA75" s="27"/>
      <c r="CB75" s="27"/>
      <c r="CC75" s="27"/>
      <c r="CD75" s="27"/>
      <c r="CE75" s="27"/>
      <c r="CF75" s="27"/>
      <c r="CG75" s="27"/>
      <c r="CH75" s="27"/>
      <c r="CI75" s="27"/>
      <c r="CJ75" s="27"/>
      <c r="CK75" s="27"/>
      <c r="CL75" s="27"/>
      <c r="CM75" s="27"/>
      <c r="CN75" s="27"/>
      <c r="CO75" s="27"/>
      <c r="CP75" s="27"/>
      <c r="CQ75" s="27"/>
      <c r="CR75" s="27"/>
      <c r="CS75" s="27"/>
      <c r="CT75" s="27"/>
      <c r="CU75" s="27"/>
      <c r="CV75" s="27"/>
      <c r="CW75" s="27"/>
      <c r="CX75" s="27"/>
      <c r="CY75" s="27"/>
      <c r="CZ75" s="27"/>
      <c r="DA75" s="27"/>
      <c r="DB75" s="27"/>
      <c r="DC75" s="27"/>
      <c r="DD75" s="27"/>
      <c r="DE75" s="27"/>
      <c r="DF75" s="27"/>
      <c r="DG75" s="27"/>
      <c r="DH75" s="27"/>
      <c r="DI75" s="27"/>
      <c r="DJ75" s="27"/>
      <c r="DK75" s="27"/>
      <c r="DL75" s="27"/>
      <c r="DM75" s="27"/>
      <c r="DN75" s="27"/>
      <c r="DO75" s="27"/>
      <c r="DP75" s="27"/>
      <c r="DQ75" s="27"/>
      <c r="DR75" s="27"/>
      <c r="DS75" s="27"/>
      <c r="DT75" s="27"/>
      <c r="DU75" s="27"/>
      <c r="DV75" s="27"/>
      <c r="DW75" s="27"/>
      <c r="DX75" s="27"/>
      <c r="DY75" s="27"/>
      <c r="DZ75" s="27"/>
      <c r="EA75" s="27"/>
      <c r="EB75" s="27"/>
      <c r="EC75" s="27"/>
      <c r="ED75" s="27"/>
      <c r="EE75" s="27"/>
      <c r="EF75" s="27"/>
      <c r="EG75" s="27"/>
      <c r="EH75" s="27"/>
      <c r="EI75" s="27"/>
      <c r="EJ75" s="27"/>
      <c r="EK75" s="27"/>
      <c r="EL75" s="27"/>
      <c r="EM75" s="27"/>
      <c r="EN75" s="27"/>
      <c r="EO75" s="27"/>
      <c r="EP75" s="27"/>
      <c r="EQ75" s="27"/>
      <c r="ER75" s="27"/>
      <c r="ES75" s="27"/>
    </row>
    <row r="76" customFormat="false" ht="15" hidden="false" customHeight="false" outlineLevel="0" collapsed="false">
      <c r="A76" s="27" t="n">
        <v>75</v>
      </c>
      <c r="B76" s="7" t="s">
        <v>24</v>
      </c>
      <c r="C76" s="27" t="s">
        <v>303</v>
      </c>
      <c r="D76" s="27" t="s">
        <v>549</v>
      </c>
      <c r="E76" s="27" t="s">
        <v>203</v>
      </c>
      <c r="F76" s="27" t="s">
        <v>203</v>
      </c>
      <c r="G76" s="27" t="s">
        <v>550</v>
      </c>
      <c r="H76" s="27" t="s">
        <v>551</v>
      </c>
      <c r="I76" s="27" t="s">
        <v>552</v>
      </c>
      <c r="J76" s="27" t="s">
        <v>553</v>
      </c>
      <c r="K76" s="27" t="s">
        <v>554</v>
      </c>
      <c r="L76" s="27" t="s">
        <v>555</v>
      </c>
      <c r="M76" s="27" t="s">
        <v>206</v>
      </c>
      <c r="N76" s="27" t="s">
        <v>556</v>
      </c>
      <c r="O76" s="27" t="s">
        <v>557</v>
      </c>
      <c r="P76" s="27" t="s">
        <v>558</v>
      </c>
      <c r="Q76" s="27" t="s">
        <v>208</v>
      </c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7"/>
      <c r="AQ76" s="27"/>
      <c r="AR76" s="27"/>
      <c r="AS76" s="27"/>
      <c r="AT76" s="27"/>
      <c r="AU76" s="27"/>
      <c r="AV76" s="27"/>
      <c r="AW76" s="27"/>
      <c r="AX76" s="27"/>
      <c r="AY76" s="27"/>
      <c r="AZ76" s="27"/>
      <c r="BA76" s="27"/>
      <c r="BB76" s="27"/>
      <c r="BC76" s="27"/>
      <c r="BD76" s="27"/>
      <c r="BE76" s="27"/>
      <c r="BF76" s="27"/>
      <c r="BG76" s="27"/>
      <c r="BH76" s="27"/>
      <c r="BI76" s="27"/>
      <c r="BJ76" s="27"/>
      <c r="BK76" s="27" t="s">
        <v>41</v>
      </c>
      <c r="BL76" s="27" t="s">
        <v>42</v>
      </c>
      <c r="BM76" s="27" t="s">
        <v>44</v>
      </c>
      <c r="BN76" s="27" t="s">
        <v>203</v>
      </c>
      <c r="BO76" s="27"/>
      <c r="BP76" s="27"/>
      <c r="BQ76" s="27" t="n">
        <f aca="false">COUNTIFS(Trechos!$L$2:$L$838,A76)</f>
        <v>26</v>
      </c>
      <c r="BR76" s="28" t="n">
        <f aca="false">SUMIFS(Trechos!$F$2:$F$838,Trechos!$L$2:$L$838,A76)</f>
        <v>1411.64193664859</v>
      </c>
      <c r="BS76" s="27" t="n">
        <f aca="false">COUNTA(BV76:ES76)</f>
        <v>2</v>
      </c>
      <c r="BT76" s="27" t="str">
        <f aca="false">IF(COUNTA(BV76:ES76)=0,"—",_xlfn.TEXTJOIN(", ",TRUE(),BV76:ES76))</f>
        <v>0345006004, 0352810004</v>
      </c>
      <c r="BU76" s="27" t="s">
        <v>205</v>
      </c>
      <c r="BV76" s="27" t="s">
        <v>206</v>
      </c>
      <c r="BW76" s="27" t="s">
        <v>208</v>
      </c>
      <c r="BX76" s="27"/>
      <c r="BY76" s="27"/>
      <c r="BZ76" s="27"/>
      <c r="CA76" s="27"/>
      <c r="CB76" s="27"/>
      <c r="CC76" s="27"/>
      <c r="CD76" s="27"/>
      <c r="CE76" s="27"/>
      <c r="CF76" s="27"/>
      <c r="CG76" s="27"/>
      <c r="CH76" s="27"/>
      <c r="CI76" s="27"/>
      <c r="CJ76" s="27"/>
      <c r="CK76" s="27"/>
      <c r="CL76" s="27"/>
      <c r="CM76" s="27"/>
      <c r="CN76" s="27"/>
      <c r="CO76" s="27"/>
      <c r="CP76" s="27"/>
      <c r="CQ76" s="27"/>
      <c r="CR76" s="27"/>
      <c r="CS76" s="27"/>
      <c r="CT76" s="27"/>
      <c r="CU76" s="27"/>
      <c r="CV76" s="27"/>
      <c r="CW76" s="27"/>
      <c r="CX76" s="27"/>
      <c r="CY76" s="27"/>
      <c r="CZ76" s="27"/>
      <c r="DA76" s="27"/>
      <c r="DB76" s="27"/>
      <c r="DC76" s="27"/>
      <c r="DD76" s="27"/>
      <c r="DE76" s="27"/>
      <c r="DF76" s="27"/>
      <c r="DG76" s="27"/>
      <c r="DH76" s="27"/>
      <c r="DI76" s="27"/>
      <c r="DJ76" s="27"/>
      <c r="DK76" s="27"/>
      <c r="DL76" s="27"/>
      <c r="DM76" s="27"/>
      <c r="DN76" s="27"/>
      <c r="DO76" s="27"/>
      <c r="DP76" s="27"/>
      <c r="DQ76" s="27"/>
      <c r="DR76" s="27"/>
      <c r="DS76" s="27"/>
      <c r="DT76" s="27"/>
      <c r="DU76" s="27"/>
      <c r="DV76" s="27"/>
      <c r="DW76" s="27"/>
      <c r="DX76" s="27"/>
      <c r="DY76" s="27"/>
      <c r="DZ76" s="27"/>
      <c r="EA76" s="27"/>
      <c r="EB76" s="27"/>
      <c r="EC76" s="27"/>
      <c r="ED76" s="27"/>
      <c r="EE76" s="27"/>
      <c r="EF76" s="27"/>
      <c r="EG76" s="27"/>
      <c r="EH76" s="27"/>
      <c r="EI76" s="27"/>
      <c r="EJ76" s="27"/>
      <c r="EK76" s="27"/>
      <c r="EL76" s="27"/>
      <c r="EM76" s="27"/>
      <c r="EN76" s="27"/>
      <c r="EO76" s="27"/>
      <c r="EP76" s="27"/>
      <c r="EQ76" s="27"/>
      <c r="ER76" s="27"/>
      <c r="ES76" s="27"/>
    </row>
    <row r="77" customFormat="false" ht="15" hidden="false" customHeight="false" outlineLevel="0" collapsed="false">
      <c r="A77" s="27" t="n">
        <v>76</v>
      </c>
      <c r="B77" s="7" t="s">
        <v>24</v>
      </c>
      <c r="C77" s="27" t="s">
        <v>303</v>
      </c>
      <c r="D77" s="27" t="s">
        <v>549</v>
      </c>
      <c r="E77" s="27" t="s">
        <v>206</v>
      </c>
      <c r="F77" s="27" t="s">
        <v>206</v>
      </c>
      <c r="G77" s="27" t="s">
        <v>207</v>
      </c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7"/>
      <c r="AU77" s="27"/>
      <c r="AV77" s="27"/>
      <c r="AW77" s="27"/>
      <c r="AX77" s="27"/>
      <c r="AY77" s="27"/>
      <c r="AZ77" s="27"/>
      <c r="BA77" s="27"/>
      <c r="BB77" s="27"/>
      <c r="BC77" s="27"/>
      <c r="BD77" s="27"/>
      <c r="BE77" s="27"/>
      <c r="BF77" s="27"/>
      <c r="BG77" s="27"/>
      <c r="BH77" s="27"/>
      <c r="BI77" s="27"/>
      <c r="BJ77" s="27"/>
      <c r="BK77" s="27" t="s">
        <v>41</v>
      </c>
      <c r="BL77" s="27" t="s">
        <v>42</v>
      </c>
      <c r="BM77" s="27" t="s">
        <v>44</v>
      </c>
      <c r="BN77" s="27" t="s">
        <v>203</v>
      </c>
      <c r="BO77" s="27" t="s">
        <v>206</v>
      </c>
      <c r="BP77" s="27"/>
      <c r="BQ77" s="27" t="n">
        <f aca="false">COUNTIFS(Trechos!$L$2:$L$838,A77)</f>
        <v>1</v>
      </c>
      <c r="BR77" s="28" t="n">
        <f aca="false">SUMIFS(Trechos!$F$2:$F$838,Trechos!$L$2:$L$838,A77)</f>
        <v>6.35943390482056</v>
      </c>
      <c r="BS77" s="27" t="n">
        <f aca="false">COUNTA(BV77:ES77)</f>
        <v>0</v>
      </c>
      <c r="BT77" s="27" t="str">
        <f aca="false">IF(COUNTA(BV77:ES77)=0,"—",_xlfn.TEXTJOIN(", ",TRUE(),BV77:ES77))</f>
        <v>—</v>
      </c>
      <c r="BU77" s="27" t="s">
        <v>54</v>
      </c>
      <c r="BV77" s="27"/>
      <c r="BW77" s="27"/>
      <c r="BX77" s="27"/>
      <c r="BY77" s="27"/>
      <c r="BZ77" s="27"/>
      <c r="CA77" s="27"/>
      <c r="CB77" s="27"/>
      <c r="CC77" s="27"/>
      <c r="CD77" s="27"/>
      <c r="CE77" s="27"/>
      <c r="CF77" s="27"/>
      <c r="CG77" s="27"/>
      <c r="CH77" s="27"/>
      <c r="CI77" s="27"/>
      <c r="CJ77" s="27"/>
      <c r="CK77" s="27"/>
      <c r="CL77" s="27"/>
      <c r="CM77" s="27"/>
      <c r="CN77" s="27"/>
      <c r="CO77" s="27"/>
      <c r="CP77" s="27"/>
      <c r="CQ77" s="27"/>
      <c r="CR77" s="27"/>
      <c r="CS77" s="27"/>
      <c r="CT77" s="27"/>
      <c r="CU77" s="27"/>
      <c r="CV77" s="27"/>
      <c r="CW77" s="27"/>
      <c r="CX77" s="27"/>
      <c r="CY77" s="27"/>
      <c r="CZ77" s="27"/>
      <c r="DA77" s="27"/>
      <c r="DB77" s="27"/>
      <c r="DC77" s="27"/>
      <c r="DD77" s="27"/>
      <c r="DE77" s="27"/>
      <c r="DF77" s="27"/>
      <c r="DG77" s="27"/>
      <c r="DH77" s="27"/>
      <c r="DI77" s="27"/>
      <c r="DJ77" s="27"/>
      <c r="DK77" s="27"/>
      <c r="DL77" s="27"/>
      <c r="DM77" s="27"/>
      <c r="DN77" s="27"/>
      <c r="DO77" s="27"/>
      <c r="DP77" s="27"/>
      <c r="DQ77" s="27"/>
      <c r="DR77" s="27"/>
      <c r="DS77" s="27"/>
      <c r="DT77" s="27"/>
      <c r="DU77" s="27"/>
      <c r="DV77" s="27"/>
      <c r="DW77" s="27"/>
      <c r="DX77" s="27"/>
      <c r="DY77" s="27"/>
      <c r="DZ77" s="27"/>
      <c r="EA77" s="27"/>
      <c r="EB77" s="27"/>
      <c r="EC77" s="27"/>
      <c r="ED77" s="27"/>
      <c r="EE77" s="27"/>
      <c r="EF77" s="27"/>
      <c r="EG77" s="27"/>
      <c r="EH77" s="27"/>
      <c r="EI77" s="27"/>
      <c r="EJ77" s="27"/>
      <c r="EK77" s="27"/>
      <c r="EL77" s="27"/>
      <c r="EM77" s="27"/>
      <c r="EN77" s="27"/>
      <c r="EO77" s="27"/>
      <c r="EP77" s="27"/>
      <c r="EQ77" s="27"/>
      <c r="ER77" s="27"/>
      <c r="ES77" s="27"/>
    </row>
    <row r="78" customFormat="false" ht="15" hidden="false" customHeight="false" outlineLevel="0" collapsed="false">
      <c r="A78" s="27" t="n">
        <v>77</v>
      </c>
      <c r="B78" s="7" t="s">
        <v>24</v>
      </c>
      <c r="C78" s="27" t="s">
        <v>303</v>
      </c>
      <c r="D78" s="27" t="s">
        <v>549</v>
      </c>
      <c r="E78" s="27" t="s">
        <v>208</v>
      </c>
      <c r="F78" s="27" t="s">
        <v>208</v>
      </c>
      <c r="G78" s="27" t="s">
        <v>209</v>
      </c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  <c r="AO78" s="27"/>
      <c r="AP78" s="27"/>
      <c r="AQ78" s="27"/>
      <c r="AR78" s="27"/>
      <c r="AS78" s="27"/>
      <c r="AT78" s="27"/>
      <c r="AU78" s="27"/>
      <c r="AV78" s="27"/>
      <c r="AW78" s="27"/>
      <c r="AX78" s="27"/>
      <c r="AY78" s="27"/>
      <c r="AZ78" s="27"/>
      <c r="BA78" s="27"/>
      <c r="BB78" s="27"/>
      <c r="BC78" s="27"/>
      <c r="BD78" s="27"/>
      <c r="BE78" s="27"/>
      <c r="BF78" s="27"/>
      <c r="BG78" s="27"/>
      <c r="BH78" s="27"/>
      <c r="BI78" s="27"/>
      <c r="BJ78" s="27"/>
      <c r="BK78" s="27" t="s">
        <v>41</v>
      </c>
      <c r="BL78" s="27" t="s">
        <v>42</v>
      </c>
      <c r="BM78" s="27" t="s">
        <v>44</v>
      </c>
      <c r="BN78" s="27" t="s">
        <v>203</v>
      </c>
      <c r="BO78" s="27" t="s">
        <v>208</v>
      </c>
      <c r="BP78" s="27"/>
      <c r="BQ78" s="27" t="n">
        <f aca="false">COUNTIFS(Trechos!$L$2:$L$838,A78)</f>
        <v>1</v>
      </c>
      <c r="BR78" s="28" t="n">
        <f aca="false">SUMIFS(Trechos!$F$2:$F$838,Trechos!$L$2:$L$838,A78)</f>
        <v>8.91912484041897</v>
      </c>
      <c r="BS78" s="27" t="n">
        <f aca="false">COUNTA(BV78:ES78)</f>
        <v>0</v>
      </c>
      <c r="BT78" s="27" t="str">
        <f aca="false">IF(COUNTA(BV78:ES78)=0,"—",_xlfn.TEXTJOIN(", ",TRUE(),BV78:ES78))</f>
        <v>—</v>
      </c>
      <c r="BU78" s="27" t="s">
        <v>54</v>
      </c>
      <c r="BV78" s="27"/>
      <c r="BW78" s="27"/>
      <c r="BX78" s="27"/>
      <c r="BY78" s="27"/>
      <c r="BZ78" s="27"/>
      <c r="CA78" s="27"/>
      <c r="CB78" s="27"/>
      <c r="CC78" s="27"/>
      <c r="CD78" s="27"/>
      <c r="CE78" s="27"/>
      <c r="CF78" s="27"/>
      <c r="CG78" s="27"/>
      <c r="CH78" s="27"/>
      <c r="CI78" s="27"/>
      <c r="CJ78" s="27"/>
      <c r="CK78" s="27"/>
      <c r="CL78" s="27"/>
      <c r="CM78" s="27"/>
      <c r="CN78" s="27"/>
      <c r="CO78" s="27"/>
      <c r="CP78" s="27"/>
      <c r="CQ78" s="27"/>
      <c r="CR78" s="27"/>
      <c r="CS78" s="27"/>
      <c r="CT78" s="27"/>
      <c r="CU78" s="27"/>
      <c r="CV78" s="27"/>
      <c r="CW78" s="27"/>
      <c r="CX78" s="27"/>
      <c r="CY78" s="27"/>
      <c r="CZ78" s="27"/>
      <c r="DA78" s="27"/>
      <c r="DB78" s="27"/>
      <c r="DC78" s="27"/>
      <c r="DD78" s="27"/>
      <c r="DE78" s="27"/>
      <c r="DF78" s="27"/>
      <c r="DG78" s="27"/>
      <c r="DH78" s="27"/>
      <c r="DI78" s="27"/>
      <c r="DJ78" s="27"/>
      <c r="DK78" s="27"/>
      <c r="DL78" s="27"/>
      <c r="DM78" s="27"/>
      <c r="DN78" s="27"/>
      <c r="DO78" s="27"/>
      <c r="DP78" s="27"/>
      <c r="DQ78" s="27"/>
      <c r="DR78" s="27"/>
      <c r="DS78" s="27"/>
      <c r="DT78" s="27"/>
      <c r="DU78" s="27"/>
      <c r="DV78" s="27"/>
      <c r="DW78" s="27"/>
      <c r="DX78" s="27"/>
      <c r="DY78" s="27"/>
      <c r="DZ78" s="27"/>
      <c r="EA78" s="27"/>
      <c r="EB78" s="27"/>
      <c r="EC78" s="27"/>
      <c r="ED78" s="27"/>
      <c r="EE78" s="27"/>
      <c r="EF78" s="27"/>
      <c r="EG78" s="27"/>
      <c r="EH78" s="27"/>
      <c r="EI78" s="27"/>
      <c r="EJ78" s="27"/>
      <c r="EK78" s="27"/>
      <c r="EL78" s="27"/>
      <c r="EM78" s="27"/>
      <c r="EN78" s="27"/>
      <c r="EO78" s="27"/>
      <c r="EP78" s="27"/>
      <c r="EQ78" s="27"/>
      <c r="ER78" s="27"/>
      <c r="ES78" s="27"/>
    </row>
    <row r="79" customFormat="false" ht="15" hidden="false" customHeight="false" outlineLevel="0" collapsed="false">
      <c r="A79" s="27" t="n">
        <v>78</v>
      </c>
      <c r="B79" s="7" t="s">
        <v>24</v>
      </c>
      <c r="C79" s="27" t="s">
        <v>303</v>
      </c>
      <c r="D79" s="27" t="s">
        <v>559</v>
      </c>
      <c r="E79" s="27" t="s">
        <v>211</v>
      </c>
      <c r="F79" s="27" t="s">
        <v>211</v>
      </c>
      <c r="G79" s="27" t="s">
        <v>212</v>
      </c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  <c r="AO79" s="27"/>
      <c r="AP79" s="27"/>
      <c r="AQ79" s="27"/>
      <c r="AR79" s="27"/>
      <c r="AS79" s="27"/>
      <c r="AT79" s="27"/>
      <c r="AU79" s="27"/>
      <c r="AV79" s="27"/>
      <c r="AW79" s="27"/>
      <c r="AX79" s="27"/>
      <c r="AY79" s="27"/>
      <c r="AZ79" s="27"/>
      <c r="BA79" s="27"/>
      <c r="BB79" s="27"/>
      <c r="BC79" s="27"/>
      <c r="BD79" s="27"/>
      <c r="BE79" s="27"/>
      <c r="BF79" s="27"/>
      <c r="BG79" s="27"/>
      <c r="BH79" s="27"/>
      <c r="BI79" s="27"/>
      <c r="BJ79" s="27"/>
      <c r="BK79" s="27" t="s">
        <v>41</v>
      </c>
      <c r="BL79" s="27" t="s">
        <v>42</v>
      </c>
      <c r="BM79" s="27" t="s">
        <v>44</v>
      </c>
      <c r="BN79" s="27" t="s">
        <v>211</v>
      </c>
      <c r="BO79" s="27"/>
      <c r="BP79" s="27"/>
      <c r="BQ79" s="27" t="n">
        <f aca="false">COUNTIFS(Trechos!$L$2:$L$838,A79)</f>
        <v>2</v>
      </c>
      <c r="BR79" s="28" t="n">
        <f aca="false">SUMIFS(Trechos!$F$2:$F$838,Trechos!$L$2:$L$838,A79)</f>
        <v>497.374537974624</v>
      </c>
      <c r="BS79" s="27" t="n">
        <f aca="false">COUNTA(BV79:ES79)</f>
        <v>0</v>
      </c>
      <c r="BT79" s="27" t="str">
        <f aca="false">IF(COUNTA(BV79:ES79)=0,"—",_xlfn.TEXTJOIN(", ",TRUE(),BV79:ES79))</f>
        <v>—</v>
      </c>
      <c r="BU79" s="27" t="s">
        <v>54</v>
      </c>
      <c r="BV79" s="27"/>
      <c r="BW79" s="27"/>
      <c r="BX79" s="27"/>
      <c r="BY79" s="27"/>
      <c r="BZ79" s="27"/>
      <c r="CA79" s="27"/>
      <c r="CB79" s="27"/>
      <c r="CC79" s="27"/>
      <c r="CD79" s="27"/>
      <c r="CE79" s="27"/>
      <c r="CF79" s="27"/>
      <c r="CG79" s="27"/>
      <c r="CH79" s="27"/>
      <c r="CI79" s="27"/>
      <c r="CJ79" s="27"/>
      <c r="CK79" s="27"/>
      <c r="CL79" s="27"/>
      <c r="CM79" s="27"/>
      <c r="CN79" s="27"/>
      <c r="CO79" s="27"/>
      <c r="CP79" s="27"/>
      <c r="CQ79" s="27"/>
      <c r="CR79" s="27"/>
      <c r="CS79" s="27"/>
      <c r="CT79" s="27"/>
      <c r="CU79" s="27"/>
      <c r="CV79" s="27"/>
      <c r="CW79" s="27"/>
      <c r="CX79" s="27"/>
      <c r="CY79" s="27"/>
      <c r="CZ79" s="27"/>
      <c r="DA79" s="27"/>
      <c r="DB79" s="27"/>
      <c r="DC79" s="27"/>
      <c r="DD79" s="27"/>
      <c r="DE79" s="27"/>
      <c r="DF79" s="27"/>
      <c r="DG79" s="27"/>
      <c r="DH79" s="27"/>
      <c r="DI79" s="27"/>
      <c r="DJ79" s="27"/>
      <c r="DK79" s="27"/>
      <c r="DL79" s="27"/>
      <c r="DM79" s="27"/>
      <c r="DN79" s="27"/>
      <c r="DO79" s="27"/>
      <c r="DP79" s="27"/>
      <c r="DQ79" s="27"/>
      <c r="DR79" s="27"/>
      <c r="DS79" s="27"/>
      <c r="DT79" s="27"/>
      <c r="DU79" s="27"/>
      <c r="DV79" s="27"/>
      <c r="DW79" s="27"/>
      <c r="DX79" s="27"/>
      <c r="DY79" s="27"/>
      <c r="DZ79" s="27"/>
      <c r="EA79" s="27"/>
      <c r="EB79" s="27"/>
      <c r="EC79" s="27"/>
      <c r="ED79" s="27"/>
      <c r="EE79" s="27"/>
      <c r="EF79" s="27"/>
      <c r="EG79" s="27"/>
      <c r="EH79" s="27"/>
      <c r="EI79" s="27"/>
      <c r="EJ79" s="27"/>
      <c r="EK79" s="27"/>
      <c r="EL79" s="27"/>
      <c r="EM79" s="27"/>
      <c r="EN79" s="27"/>
      <c r="EO79" s="27"/>
      <c r="EP79" s="27"/>
      <c r="EQ79" s="27"/>
      <c r="ER79" s="27"/>
      <c r="ES79" s="27"/>
    </row>
    <row r="80" customFormat="false" ht="15" hidden="false" customHeight="false" outlineLevel="0" collapsed="false">
      <c r="A80" s="27" t="n">
        <v>79</v>
      </c>
      <c r="B80" s="6" t="s">
        <v>23</v>
      </c>
      <c r="C80" s="27" t="s">
        <v>303</v>
      </c>
      <c r="D80" s="27" t="s">
        <v>560</v>
      </c>
      <c r="E80" s="27" t="s">
        <v>44</v>
      </c>
      <c r="F80" s="27" t="s">
        <v>214</v>
      </c>
      <c r="G80" s="27" t="s">
        <v>215</v>
      </c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  <c r="AO80" s="27"/>
      <c r="AP80" s="27"/>
      <c r="AQ80" s="27"/>
      <c r="AR80" s="27"/>
      <c r="AS80" s="27"/>
      <c r="AT80" s="27"/>
      <c r="AU80" s="27"/>
      <c r="AV80" s="27"/>
      <c r="AW80" s="27"/>
      <c r="AX80" s="27"/>
      <c r="AY80" s="27"/>
      <c r="AZ80" s="27"/>
      <c r="BA80" s="27"/>
      <c r="BB80" s="27"/>
      <c r="BC80" s="27"/>
      <c r="BD80" s="27"/>
      <c r="BE80" s="27"/>
      <c r="BF80" s="27"/>
      <c r="BG80" s="27"/>
      <c r="BH80" s="27"/>
      <c r="BI80" s="27"/>
      <c r="BJ80" s="27"/>
      <c r="BK80" s="27" t="s">
        <v>41</v>
      </c>
      <c r="BL80" s="27" t="s">
        <v>42</v>
      </c>
      <c r="BM80" s="27" t="s">
        <v>44</v>
      </c>
      <c r="BN80" s="27"/>
      <c r="BO80" s="27"/>
      <c r="BP80" s="27"/>
      <c r="BQ80" s="27" t="n">
        <f aca="false">COUNTIFS(Trechos!$L$2:$L$838,A80)</f>
        <v>2</v>
      </c>
      <c r="BR80" s="28" t="n">
        <f aca="false">SUMIFS(Trechos!$F$2:$F$838,Trechos!$L$2:$L$838,A80)</f>
        <v>65.1910048681943</v>
      </c>
      <c r="BS80" s="27" t="n">
        <f aca="false">COUNTA(BV80:ES80)</f>
        <v>0</v>
      </c>
      <c r="BT80" s="27" t="str">
        <f aca="false">IF(COUNTA(BV80:ES80)=0,"—",_xlfn.TEXTJOIN(", ",TRUE(),BV80:ES80))</f>
        <v>—</v>
      </c>
      <c r="BU80" s="27" t="s">
        <v>54</v>
      </c>
      <c r="BV80" s="27"/>
      <c r="BW80" s="27"/>
      <c r="BX80" s="27"/>
      <c r="BY80" s="27"/>
      <c r="BZ80" s="27"/>
      <c r="CA80" s="27"/>
      <c r="CB80" s="27"/>
      <c r="CC80" s="27"/>
      <c r="CD80" s="27"/>
      <c r="CE80" s="27"/>
      <c r="CF80" s="27"/>
      <c r="CG80" s="27"/>
      <c r="CH80" s="27"/>
      <c r="CI80" s="27"/>
      <c r="CJ80" s="27"/>
      <c r="CK80" s="27"/>
      <c r="CL80" s="27"/>
      <c r="CM80" s="27"/>
      <c r="CN80" s="27"/>
      <c r="CO80" s="27"/>
      <c r="CP80" s="27"/>
      <c r="CQ80" s="27"/>
      <c r="CR80" s="27"/>
      <c r="CS80" s="27"/>
      <c r="CT80" s="27"/>
      <c r="CU80" s="27"/>
      <c r="CV80" s="27"/>
      <c r="CW80" s="27"/>
      <c r="CX80" s="27"/>
      <c r="CY80" s="27"/>
      <c r="CZ80" s="27"/>
      <c r="DA80" s="27"/>
      <c r="DB80" s="27"/>
      <c r="DC80" s="27"/>
      <c r="DD80" s="27"/>
      <c r="DE80" s="27"/>
      <c r="DF80" s="27"/>
      <c r="DG80" s="27"/>
      <c r="DH80" s="27"/>
      <c r="DI80" s="27"/>
      <c r="DJ80" s="27"/>
      <c r="DK80" s="27"/>
      <c r="DL80" s="27"/>
      <c r="DM80" s="27"/>
      <c r="DN80" s="27"/>
      <c r="DO80" s="27"/>
      <c r="DP80" s="27"/>
      <c r="DQ80" s="27"/>
      <c r="DR80" s="27"/>
      <c r="DS80" s="27"/>
      <c r="DT80" s="27"/>
      <c r="DU80" s="27"/>
      <c r="DV80" s="27"/>
      <c r="DW80" s="27"/>
      <c r="DX80" s="27"/>
      <c r="DY80" s="27"/>
      <c r="DZ80" s="27"/>
      <c r="EA80" s="27"/>
      <c r="EB80" s="27"/>
      <c r="EC80" s="27"/>
      <c r="ED80" s="27"/>
      <c r="EE80" s="27"/>
      <c r="EF80" s="27"/>
      <c r="EG80" s="27"/>
      <c r="EH80" s="27"/>
      <c r="EI80" s="27"/>
      <c r="EJ80" s="27"/>
      <c r="EK80" s="27"/>
      <c r="EL80" s="27"/>
      <c r="EM80" s="27"/>
      <c r="EN80" s="27"/>
      <c r="EO80" s="27"/>
      <c r="EP80" s="27"/>
      <c r="EQ80" s="27"/>
      <c r="ER80" s="27"/>
      <c r="ES80" s="27"/>
    </row>
    <row r="81" customFormat="false" ht="15" hidden="false" customHeight="false" outlineLevel="0" collapsed="false">
      <c r="A81" s="27" t="n">
        <v>80</v>
      </c>
      <c r="B81" s="6" t="s">
        <v>23</v>
      </c>
      <c r="C81" s="27" t="s">
        <v>303</v>
      </c>
      <c r="D81" s="27" t="s">
        <v>561</v>
      </c>
      <c r="E81" s="27" t="s">
        <v>44</v>
      </c>
      <c r="F81" s="27" t="s">
        <v>217</v>
      </c>
      <c r="G81" s="27" t="s">
        <v>562</v>
      </c>
      <c r="H81" s="27" t="s">
        <v>563</v>
      </c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  <c r="AO81" s="27"/>
      <c r="AP81" s="27"/>
      <c r="AQ81" s="27"/>
      <c r="AR81" s="27"/>
      <c r="AS81" s="27"/>
      <c r="AT81" s="27"/>
      <c r="AU81" s="27"/>
      <c r="AV81" s="27"/>
      <c r="AW81" s="27"/>
      <c r="AX81" s="27"/>
      <c r="AY81" s="27"/>
      <c r="AZ81" s="27"/>
      <c r="BA81" s="27"/>
      <c r="BB81" s="27"/>
      <c r="BC81" s="27"/>
      <c r="BD81" s="27"/>
      <c r="BE81" s="27"/>
      <c r="BF81" s="27"/>
      <c r="BG81" s="27"/>
      <c r="BH81" s="27"/>
      <c r="BI81" s="27"/>
      <c r="BJ81" s="27"/>
      <c r="BK81" s="27" t="s">
        <v>41</v>
      </c>
      <c r="BL81" s="27" t="s">
        <v>42</v>
      </c>
      <c r="BM81" s="27" t="s">
        <v>44</v>
      </c>
      <c r="BN81" s="27"/>
      <c r="BO81" s="27"/>
      <c r="BP81" s="27"/>
      <c r="BQ81" s="27" t="n">
        <f aca="false">COUNTIFS(Trechos!$L$2:$L$838,A81)</f>
        <v>5</v>
      </c>
      <c r="BR81" s="28" t="n">
        <f aca="false">SUMIFS(Trechos!$F$2:$F$838,Trechos!$L$2:$L$838,A81)</f>
        <v>237.446791659637</v>
      </c>
      <c r="BS81" s="27" t="n">
        <f aca="false">COUNTA(BV81:ES81)</f>
        <v>0</v>
      </c>
      <c r="BT81" s="27" t="str">
        <f aca="false">IF(COUNTA(BV81:ES81)=0,"—",_xlfn.TEXTJOIN(", ",TRUE(),BV81:ES81))</f>
        <v>—</v>
      </c>
      <c r="BU81" s="27" t="s">
        <v>54</v>
      </c>
      <c r="BV81" s="27"/>
      <c r="BW81" s="27"/>
      <c r="BX81" s="27"/>
      <c r="BY81" s="27"/>
      <c r="BZ81" s="27"/>
      <c r="CA81" s="27"/>
      <c r="CB81" s="27"/>
      <c r="CC81" s="27"/>
      <c r="CD81" s="27"/>
      <c r="CE81" s="27"/>
      <c r="CF81" s="27"/>
      <c r="CG81" s="27"/>
      <c r="CH81" s="27"/>
      <c r="CI81" s="27"/>
      <c r="CJ81" s="27"/>
      <c r="CK81" s="27"/>
      <c r="CL81" s="27"/>
      <c r="CM81" s="27"/>
      <c r="CN81" s="27"/>
      <c r="CO81" s="27"/>
      <c r="CP81" s="27"/>
      <c r="CQ81" s="27"/>
      <c r="CR81" s="27"/>
      <c r="CS81" s="27"/>
      <c r="CT81" s="27"/>
      <c r="CU81" s="27"/>
      <c r="CV81" s="27"/>
      <c r="CW81" s="27"/>
      <c r="CX81" s="27"/>
      <c r="CY81" s="27"/>
      <c r="CZ81" s="27"/>
      <c r="DA81" s="27"/>
      <c r="DB81" s="27"/>
      <c r="DC81" s="27"/>
      <c r="DD81" s="27"/>
      <c r="DE81" s="27"/>
      <c r="DF81" s="27"/>
      <c r="DG81" s="27"/>
      <c r="DH81" s="27"/>
      <c r="DI81" s="27"/>
      <c r="DJ81" s="27"/>
      <c r="DK81" s="27"/>
      <c r="DL81" s="27"/>
      <c r="DM81" s="27"/>
      <c r="DN81" s="27"/>
      <c r="DO81" s="27"/>
      <c r="DP81" s="27"/>
      <c r="DQ81" s="27"/>
      <c r="DR81" s="27"/>
      <c r="DS81" s="27"/>
      <c r="DT81" s="27"/>
      <c r="DU81" s="27"/>
      <c r="DV81" s="27"/>
      <c r="DW81" s="27"/>
      <c r="DX81" s="27"/>
      <c r="DY81" s="27"/>
      <c r="DZ81" s="27"/>
      <c r="EA81" s="27"/>
      <c r="EB81" s="27"/>
      <c r="EC81" s="27"/>
      <c r="ED81" s="27"/>
      <c r="EE81" s="27"/>
      <c r="EF81" s="27"/>
      <c r="EG81" s="27"/>
      <c r="EH81" s="27"/>
      <c r="EI81" s="27"/>
      <c r="EJ81" s="27"/>
      <c r="EK81" s="27"/>
      <c r="EL81" s="27"/>
      <c r="EM81" s="27"/>
      <c r="EN81" s="27"/>
      <c r="EO81" s="27"/>
      <c r="EP81" s="27"/>
      <c r="EQ81" s="27"/>
      <c r="ER81" s="27"/>
      <c r="ES81" s="27"/>
    </row>
    <row r="82" customFormat="false" ht="15" hidden="false" customHeight="false" outlineLevel="0" collapsed="false">
      <c r="A82" s="27" t="n">
        <v>81</v>
      </c>
      <c r="B82" s="7" t="s">
        <v>24</v>
      </c>
      <c r="C82" s="27" t="s">
        <v>303</v>
      </c>
      <c r="D82" s="27" t="s">
        <v>564</v>
      </c>
      <c r="E82" s="27" t="s">
        <v>220</v>
      </c>
      <c r="F82" s="27" t="s">
        <v>220</v>
      </c>
      <c r="G82" s="27" t="s">
        <v>221</v>
      </c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  <c r="AO82" s="27"/>
      <c r="AP82" s="27"/>
      <c r="AQ82" s="27"/>
      <c r="AR82" s="27"/>
      <c r="AS82" s="27"/>
      <c r="AT82" s="27"/>
      <c r="AU82" s="27"/>
      <c r="AV82" s="27"/>
      <c r="AW82" s="27"/>
      <c r="AX82" s="27"/>
      <c r="AY82" s="27"/>
      <c r="AZ82" s="27"/>
      <c r="BA82" s="27"/>
      <c r="BB82" s="27"/>
      <c r="BC82" s="27"/>
      <c r="BD82" s="27"/>
      <c r="BE82" s="27"/>
      <c r="BF82" s="27"/>
      <c r="BG82" s="27"/>
      <c r="BH82" s="27"/>
      <c r="BI82" s="27"/>
      <c r="BJ82" s="27"/>
      <c r="BK82" s="27" t="s">
        <v>41</v>
      </c>
      <c r="BL82" s="27" t="s">
        <v>42</v>
      </c>
      <c r="BM82" s="27" t="s">
        <v>44</v>
      </c>
      <c r="BN82" s="27" t="s">
        <v>220</v>
      </c>
      <c r="BO82" s="27"/>
      <c r="BP82" s="27"/>
      <c r="BQ82" s="27" t="n">
        <f aca="false">COUNTIFS(Trechos!$L$2:$L$838,A82)</f>
        <v>1</v>
      </c>
      <c r="BR82" s="28" t="n">
        <f aca="false">SUMIFS(Trechos!$F$2:$F$838,Trechos!$L$2:$L$838,A82)</f>
        <v>4.68189760252389</v>
      </c>
      <c r="BS82" s="27" t="n">
        <f aca="false">COUNTA(BV82:ES82)</f>
        <v>0</v>
      </c>
      <c r="BT82" s="27" t="str">
        <f aca="false">IF(COUNTA(BV82:ES82)=0,"—",_xlfn.TEXTJOIN(", ",TRUE(),BV82:ES82))</f>
        <v>—</v>
      </c>
      <c r="BU82" s="27" t="s">
        <v>54</v>
      </c>
      <c r="BV82" s="27"/>
      <c r="BW82" s="27"/>
      <c r="BX82" s="27"/>
      <c r="BY82" s="27"/>
      <c r="BZ82" s="27"/>
      <c r="CA82" s="27"/>
      <c r="CB82" s="27"/>
      <c r="CC82" s="27"/>
      <c r="CD82" s="27"/>
      <c r="CE82" s="27"/>
      <c r="CF82" s="27"/>
      <c r="CG82" s="27"/>
      <c r="CH82" s="27"/>
      <c r="CI82" s="27"/>
      <c r="CJ82" s="27"/>
      <c r="CK82" s="27"/>
      <c r="CL82" s="27"/>
      <c r="CM82" s="27"/>
      <c r="CN82" s="27"/>
      <c r="CO82" s="27"/>
      <c r="CP82" s="27"/>
      <c r="CQ82" s="27"/>
      <c r="CR82" s="27"/>
      <c r="CS82" s="27"/>
      <c r="CT82" s="27"/>
      <c r="CU82" s="27"/>
      <c r="CV82" s="27"/>
      <c r="CW82" s="27"/>
      <c r="CX82" s="27"/>
      <c r="CY82" s="27"/>
      <c r="CZ82" s="27"/>
      <c r="DA82" s="27"/>
      <c r="DB82" s="27"/>
      <c r="DC82" s="27"/>
      <c r="DD82" s="27"/>
      <c r="DE82" s="27"/>
      <c r="DF82" s="27"/>
      <c r="DG82" s="27"/>
      <c r="DH82" s="27"/>
      <c r="DI82" s="27"/>
      <c r="DJ82" s="27"/>
      <c r="DK82" s="27"/>
      <c r="DL82" s="27"/>
      <c r="DM82" s="27"/>
      <c r="DN82" s="27"/>
      <c r="DO82" s="27"/>
      <c r="DP82" s="27"/>
      <c r="DQ82" s="27"/>
      <c r="DR82" s="27"/>
      <c r="DS82" s="27"/>
      <c r="DT82" s="27"/>
      <c r="DU82" s="27"/>
      <c r="DV82" s="27"/>
      <c r="DW82" s="27"/>
      <c r="DX82" s="27"/>
      <c r="DY82" s="27"/>
      <c r="DZ82" s="27"/>
      <c r="EA82" s="27"/>
      <c r="EB82" s="27"/>
      <c r="EC82" s="27"/>
      <c r="ED82" s="27"/>
      <c r="EE82" s="27"/>
      <c r="EF82" s="27"/>
      <c r="EG82" s="27"/>
      <c r="EH82" s="27"/>
      <c r="EI82" s="27"/>
      <c r="EJ82" s="27"/>
      <c r="EK82" s="27"/>
      <c r="EL82" s="27"/>
      <c r="EM82" s="27"/>
      <c r="EN82" s="27"/>
      <c r="EO82" s="27"/>
      <c r="EP82" s="27"/>
      <c r="EQ82" s="27"/>
      <c r="ER82" s="27"/>
      <c r="ES82" s="27"/>
    </row>
    <row r="83" customFormat="false" ht="15" hidden="false" customHeight="false" outlineLevel="0" collapsed="false">
      <c r="A83" s="27" t="n">
        <v>82</v>
      </c>
      <c r="B83" s="6" t="s">
        <v>23</v>
      </c>
      <c r="C83" s="27" t="s">
        <v>303</v>
      </c>
      <c r="D83" s="27" t="s">
        <v>565</v>
      </c>
      <c r="E83" s="27" t="s">
        <v>44</v>
      </c>
      <c r="F83" s="27" t="s">
        <v>223</v>
      </c>
      <c r="G83" s="27" t="s">
        <v>566</v>
      </c>
      <c r="H83" s="27" t="s">
        <v>567</v>
      </c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7"/>
      <c r="AO83" s="27"/>
      <c r="AP83" s="27"/>
      <c r="AQ83" s="27"/>
      <c r="AR83" s="27"/>
      <c r="AS83" s="27"/>
      <c r="AT83" s="27"/>
      <c r="AU83" s="27"/>
      <c r="AV83" s="27"/>
      <c r="AW83" s="27"/>
      <c r="AX83" s="27"/>
      <c r="AY83" s="27"/>
      <c r="AZ83" s="27"/>
      <c r="BA83" s="27"/>
      <c r="BB83" s="27"/>
      <c r="BC83" s="27"/>
      <c r="BD83" s="27"/>
      <c r="BE83" s="27"/>
      <c r="BF83" s="27"/>
      <c r="BG83" s="27"/>
      <c r="BH83" s="27"/>
      <c r="BI83" s="27"/>
      <c r="BJ83" s="27"/>
      <c r="BK83" s="27" t="s">
        <v>41</v>
      </c>
      <c r="BL83" s="27" t="s">
        <v>42</v>
      </c>
      <c r="BM83" s="27" t="s">
        <v>44</v>
      </c>
      <c r="BN83" s="27"/>
      <c r="BO83" s="27"/>
      <c r="BP83" s="27"/>
      <c r="BQ83" s="27" t="n">
        <f aca="false">COUNTIFS(Trechos!$L$2:$L$838,A83)</f>
        <v>2</v>
      </c>
      <c r="BR83" s="28" t="n">
        <f aca="false">SUMIFS(Trechos!$F$2:$F$838,Trechos!$L$2:$L$838,A83)</f>
        <v>107.018845368593</v>
      </c>
      <c r="BS83" s="27" t="n">
        <f aca="false">COUNTA(BV83:ES83)</f>
        <v>0</v>
      </c>
      <c r="BT83" s="27" t="str">
        <f aca="false">IF(COUNTA(BV83:ES83)=0,"—",_xlfn.TEXTJOIN(", ",TRUE(),BV83:ES83))</f>
        <v>—</v>
      </c>
      <c r="BU83" s="27" t="s">
        <v>54</v>
      </c>
      <c r="BV83" s="27"/>
      <c r="BW83" s="27"/>
      <c r="BX83" s="27"/>
      <c r="BY83" s="27"/>
      <c r="BZ83" s="27"/>
      <c r="CA83" s="27"/>
      <c r="CB83" s="27"/>
      <c r="CC83" s="27"/>
      <c r="CD83" s="27"/>
      <c r="CE83" s="27"/>
      <c r="CF83" s="27"/>
      <c r="CG83" s="27"/>
      <c r="CH83" s="27"/>
      <c r="CI83" s="27"/>
      <c r="CJ83" s="27"/>
      <c r="CK83" s="27"/>
      <c r="CL83" s="27"/>
      <c r="CM83" s="27"/>
      <c r="CN83" s="27"/>
      <c r="CO83" s="27"/>
      <c r="CP83" s="27"/>
      <c r="CQ83" s="27"/>
      <c r="CR83" s="27"/>
      <c r="CS83" s="27"/>
      <c r="CT83" s="27"/>
      <c r="CU83" s="27"/>
      <c r="CV83" s="27"/>
      <c r="CW83" s="27"/>
      <c r="CX83" s="27"/>
      <c r="CY83" s="27"/>
      <c r="CZ83" s="27"/>
      <c r="DA83" s="27"/>
      <c r="DB83" s="27"/>
      <c r="DC83" s="27"/>
      <c r="DD83" s="27"/>
      <c r="DE83" s="27"/>
      <c r="DF83" s="27"/>
      <c r="DG83" s="27"/>
      <c r="DH83" s="27"/>
      <c r="DI83" s="27"/>
      <c r="DJ83" s="27"/>
      <c r="DK83" s="27"/>
      <c r="DL83" s="27"/>
      <c r="DM83" s="27"/>
      <c r="DN83" s="27"/>
      <c r="DO83" s="27"/>
      <c r="DP83" s="27"/>
      <c r="DQ83" s="27"/>
      <c r="DR83" s="27"/>
      <c r="DS83" s="27"/>
      <c r="DT83" s="27"/>
      <c r="DU83" s="27"/>
      <c r="DV83" s="27"/>
      <c r="DW83" s="27"/>
      <c r="DX83" s="27"/>
      <c r="DY83" s="27"/>
      <c r="DZ83" s="27"/>
      <c r="EA83" s="27"/>
      <c r="EB83" s="27"/>
      <c r="EC83" s="27"/>
      <c r="ED83" s="27"/>
      <c r="EE83" s="27"/>
      <c r="EF83" s="27"/>
      <c r="EG83" s="27"/>
      <c r="EH83" s="27"/>
      <c r="EI83" s="27"/>
      <c r="EJ83" s="27"/>
      <c r="EK83" s="27"/>
      <c r="EL83" s="27"/>
      <c r="EM83" s="27"/>
      <c r="EN83" s="27"/>
      <c r="EO83" s="27"/>
      <c r="EP83" s="27"/>
      <c r="EQ83" s="27"/>
      <c r="ER83" s="27"/>
      <c r="ES83" s="27"/>
    </row>
    <row r="84" customFormat="false" ht="15" hidden="false" customHeight="false" outlineLevel="0" collapsed="false">
      <c r="A84" s="27" t="n">
        <v>83</v>
      </c>
      <c r="B84" s="6" t="s">
        <v>23</v>
      </c>
      <c r="C84" s="27" t="s">
        <v>303</v>
      </c>
      <c r="D84" s="27" t="s">
        <v>568</v>
      </c>
      <c r="E84" s="27" t="s">
        <v>44</v>
      </c>
      <c r="F84" s="27" t="s">
        <v>226</v>
      </c>
      <c r="G84" s="27" t="s">
        <v>227</v>
      </c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  <c r="AO84" s="27"/>
      <c r="AP84" s="27"/>
      <c r="AQ84" s="27"/>
      <c r="AR84" s="27"/>
      <c r="AS84" s="27"/>
      <c r="AT84" s="27"/>
      <c r="AU84" s="27"/>
      <c r="AV84" s="27"/>
      <c r="AW84" s="27"/>
      <c r="AX84" s="27"/>
      <c r="AY84" s="27"/>
      <c r="AZ84" s="27"/>
      <c r="BA84" s="27"/>
      <c r="BB84" s="27"/>
      <c r="BC84" s="27"/>
      <c r="BD84" s="27"/>
      <c r="BE84" s="27"/>
      <c r="BF84" s="27"/>
      <c r="BG84" s="27"/>
      <c r="BH84" s="27"/>
      <c r="BI84" s="27"/>
      <c r="BJ84" s="27"/>
      <c r="BK84" s="27" t="s">
        <v>41</v>
      </c>
      <c r="BL84" s="27" t="s">
        <v>42</v>
      </c>
      <c r="BM84" s="27" t="s">
        <v>44</v>
      </c>
      <c r="BN84" s="27"/>
      <c r="BO84" s="27"/>
      <c r="BP84" s="27"/>
      <c r="BQ84" s="27" t="n">
        <f aca="false">COUNTIFS(Trechos!$L$2:$L$838,A84)</f>
        <v>1</v>
      </c>
      <c r="BR84" s="28" t="n">
        <f aca="false">SUMIFS(Trechos!$F$2:$F$838,Trechos!$L$2:$L$838,A84)</f>
        <v>38.9745730641246</v>
      </c>
      <c r="BS84" s="27" t="n">
        <f aca="false">COUNTA(BV84:ES84)</f>
        <v>0</v>
      </c>
      <c r="BT84" s="27" t="str">
        <f aca="false">IF(COUNTA(BV84:ES84)=0,"—",_xlfn.TEXTJOIN(", ",TRUE(),BV84:ES84))</f>
        <v>—</v>
      </c>
      <c r="BU84" s="27" t="s">
        <v>54</v>
      </c>
      <c r="BV84" s="27"/>
      <c r="BW84" s="27"/>
      <c r="BX84" s="27"/>
      <c r="BY84" s="27"/>
      <c r="BZ84" s="27"/>
      <c r="CA84" s="27"/>
      <c r="CB84" s="27"/>
      <c r="CC84" s="27"/>
      <c r="CD84" s="27"/>
      <c r="CE84" s="27"/>
      <c r="CF84" s="27"/>
      <c r="CG84" s="27"/>
      <c r="CH84" s="27"/>
      <c r="CI84" s="27"/>
      <c r="CJ84" s="27"/>
      <c r="CK84" s="27"/>
      <c r="CL84" s="27"/>
      <c r="CM84" s="27"/>
      <c r="CN84" s="27"/>
      <c r="CO84" s="27"/>
      <c r="CP84" s="27"/>
      <c r="CQ84" s="27"/>
      <c r="CR84" s="27"/>
      <c r="CS84" s="27"/>
      <c r="CT84" s="27"/>
      <c r="CU84" s="27"/>
      <c r="CV84" s="27"/>
      <c r="CW84" s="27"/>
      <c r="CX84" s="27"/>
      <c r="CY84" s="27"/>
      <c r="CZ84" s="27"/>
      <c r="DA84" s="27"/>
      <c r="DB84" s="27"/>
      <c r="DC84" s="27"/>
      <c r="DD84" s="27"/>
      <c r="DE84" s="27"/>
      <c r="DF84" s="27"/>
      <c r="DG84" s="27"/>
      <c r="DH84" s="27"/>
      <c r="DI84" s="27"/>
      <c r="DJ84" s="27"/>
      <c r="DK84" s="27"/>
      <c r="DL84" s="27"/>
      <c r="DM84" s="27"/>
      <c r="DN84" s="27"/>
      <c r="DO84" s="27"/>
      <c r="DP84" s="27"/>
      <c r="DQ84" s="27"/>
      <c r="DR84" s="27"/>
      <c r="DS84" s="27"/>
      <c r="DT84" s="27"/>
      <c r="DU84" s="27"/>
      <c r="DV84" s="27"/>
      <c r="DW84" s="27"/>
      <c r="DX84" s="27"/>
      <c r="DY84" s="27"/>
      <c r="DZ84" s="27"/>
      <c r="EA84" s="27"/>
      <c r="EB84" s="27"/>
      <c r="EC84" s="27"/>
      <c r="ED84" s="27"/>
      <c r="EE84" s="27"/>
      <c r="EF84" s="27"/>
      <c r="EG84" s="27"/>
      <c r="EH84" s="27"/>
      <c r="EI84" s="27"/>
      <c r="EJ84" s="27"/>
      <c r="EK84" s="27"/>
      <c r="EL84" s="27"/>
      <c r="EM84" s="27"/>
      <c r="EN84" s="27"/>
      <c r="EO84" s="27"/>
      <c r="EP84" s="27"/>
      <c r="EQ84" s="27"/>
      <c r="ER84" s="27"/>
      <c r="ES84" s="27"/>
    </row>
    <row r="85" customFormat="false" ht="15" hidden="false" customHeight="false" outlineLevel="0" collapsed="false">
      <c r="A85" s="27" t="n">
        <v>84</v>
      </c>
      <c r="B85" s="7" t="s">
        <v>24</v>
      </c>
      <c r="C85" s="27" t="s">
        <v>303</v>
      </c>
      <c r="D85" s="27" t="s">
        <v>569</v>
      </c>
      <c r="E85" s="27" t="s">
        <v>229</v>
      </c>
      <c r="F85" s="27" t="s">
        <v>229</v>
      </c>
      <c r="G85" s="27" t="s">
        <v>230</v>
      </c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  <c r="AO85" s="27"/>
      <c r="AP85" s="27"/>
      <c r="AQ85" s="27"/>
      <c r="AR85" s="27"/>
      <c r="AS85" s="27"/>
      <c r="AT85" s="27"/>
      <c r="AU85" s="27"/>
      <c r="AV85" s="27"/>
      <c r="AW85" s="27"/>
      <c r="AX85" s="27"/>
      <c r="AY85" s="27"/>
      <c r="AZ85" s="27"/>
      <c r="BA85" s="27"/>
      <c r="BB85" s="27"/>
      <c r="BC85" s="27"/>
      <c r="BD85" s="27"/>
      <c r="BE85" s="27"/>
      <c r="BF85" s="27"/>
      <c r="BG85" s="27"/>
      <c r="BH85" s="27"/>
      <c r="BI85" s="27"/>
      <c r="BJ85" s="27"/>
      <c r="BK85" s="27" t="s">
        <v>41</v>
      </c>
      <c r="BL85" s="27" t="s">
        <v>42</v>
      </c>
      <c r="BM85" s="27" t="s">
        <v>44</v>
      </c>
      <c r="BN85" s="27" t="s">
        <v>229</v>
      </c>
      <c r="BO85" s="27"/>
      <c r="BP85" s="27"/>
      <c r="BQ85" s="27" t="n">
        <f aca="false">COUNTIFS(Trechos!$L$2:$L$838,A85)</f>
        <v>2</v>
      </c>
      <c r="BR85" s="28" t="n">
        <f aca="false">SUMIFS(Trechos!$F$2:$F$838,Trechos!$L$2:$L$838,A85)</f>
        <v>16.1554809754665</v>
      </c>
      <c r="BS85" s="27" t="n">
        <f aca="false">COUNTA(BV85:ES85)</f>
        <v>0</v>
      </c>
      <c r="BT85" s="27" t="str">
        <f aca="false">IF(COUNTA(BV85:ES85)=0,"—",_xlfn.TEXTJOIN(", ",TRUE(),BV85:ES85))</f>
        <v>—</v>
      </c>
      <c r="BU85" s="27" t="s">
        <v>54</v>
      </c>
      <c r="BV85" s="27"/>
      <c r="BW85" s="27"/>
      <c r="BX85" s="27"/>
      <c r="BY85" s="27"/>
      <c r="BZ85" s="27"/>
      <c r="CA85" s="27"/>
      <c r="CB85" s="27"/>
      <c r="CC85" s="27"/>
      <c r="CD85" s="27"/>
      <c r="CE85" s="27"/>
      <c r="CF85" s="27"/>
      <c r="CG85" s="27"/>
      <c r="CH85" s="27"/>
      <c r="CI85" s="27"/>
      <c r="CJ85" s="27"/>
      <c r="CK85" s="27"/>
      <c r="CL85" s="27"/>
      <c r="CM85" s="27"/>
      <c r="CN85" s="27"/>
      <c r="CO85" s="27"/>
      <c r="CP85" s="27"/>
      <c r="CQ85" s="27"/>
      <c r="CR85" s="27"/>
      <c r="CS85" s="27"/>
      <c r="CT85" s="27"/>
      <c r="CU85" s="27"/>
      <c r="CV85" s="27"/>
      <c r="CW85" s="27"/>
      <c r="CX85" s="27"/>
      <c r="CY85" s="27"/>
      <c r="CZ85" s="27"/>
      <c r="DA85" s="27"/>
      <c r="DB85" s="27"/>
      <c r="DC85" s="27"/>
      <c r="DD85" s="27"/>
      <c r="DE85" s="27"/>
      <c r="DF85" s="27"/>
      <c r="DG85" s="27"/>
      <c r="DH85" s="27"/>
      <c r="DI85" s="27"/>
      <c r="DJ85" s="27"/>
      <c r="DK85" s="27"/>
      <c r="DL85" s="27"/>
      <c r="DM85" s="27"/>
      <c r="DN85" s="27"/>
      <c r="DO85" s="27"/>
      <c r="DP85" s="27"/>
      <c r="DQ85" s="27"/>
      <c r="DR85" s="27"/>
      <c r="DS85" s="27"/>
      <c r="DT85" s="27"/>
      <c r="DU85" s="27"/>
      <c r="DV85" s="27"/>
      <c r="DW85" s="27"/>
      <c r="DX85" s="27"/>
      <c r="DY85" s="27"/>
      <c r="DZ85" s="27"/>
      <c r="EA85" s="27"/>
      <c r="EB85" s="27"/>
      <c r="EC85" s="27"/>
      <c r="ED85" s="27"/>
      <c r="EE85" s="27"/>
      <c r="EF85" s="27"/>
      <c r="EG85" s="27"/>
      <c r="EH85" s="27"/>
      <c r="EI85" s="27"/>
      <c r="EJ85" s="27"/>
      <c r="EK85" s="27"/>
      <c r="EL85" s="27"/>
      <c r="EM85" s="27"/>
      <c r="EN85" s="27"/>
      <c r="EO85" s="27"/>
      <c r="EP85" s="27"/>
      <c r="EQ85" s="27"/>
      <c r="ER85" s="27"/>
      <c r="ES85" s="27"/>
    </row>
    <row r="86" customFormat="false" ht="15" hidden="false" customHeight="false" outlineLevel="0" collapsed="false">
      <c r="A86" s="27" t="n">
        <v>85</v>
      </c>
      <c r="B86" s="7" t="s">
        <v>24</v>
      </c>
      <c r="C86" s="27" t="s">
        <v>303</v>
      </c>
      <c r="D86" s="27" t="s">
        <v>570</v>
      </c>
      <c r="E86" s="27" t="s">
        <v>232</v>
      </c>
      <c r="F86" s="27" t="s">
        <v>232</v>
      </c>
      <c r="G86" s="27" t="s">
        <v>233</v>
      </c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7"/>
      <c r="AO86" s="27"/>
      <c r="AP86" s="27"/>
      <c r="AQ86" s="27"/>
      <c r="AR86" s="27"/>
      <c r="AS86" s="27"/>
      <c r="AT86" s="27"/>
      <c r="AU86" s="27"/>
      <c r="AV86" s="27"/>
      <c r="AW86" s="27"/>
      <c r="AX86" s="27"/>
      <c r="AY86" s="27"/>
      <c r="AZ86" s="27"/>
      <c r="BA86" s="27"/>
      <c r="BB86" s="27"/>
      <c r="BC86" s="27"/>
      <c r="BD86" s="27"/>
      <c r="BE86" s="27"/>
      <c r="BF86" s="27"/>
      <c r="BG86" s="27"/>
      <c r="BH86" s="27"/>
      <c r="BI86" s="27"/>
      <c r="BJ86" s="27"/>
      <c r="BK86" s="27" t="s">
        <v>41</v>
      </c>
      <c r="BL86" s="27" t="s">
        <v>42</v>
      </c>
      <c r="BM86" s="27" t="s">
        <v>44</v>
      </c>
      <c r="BN86" s="27" t="s">
        <v>232</v>
      </c>
      <c r="BO86" s="27"/>
      <c r="BP86" s="27"/>
      <c r="BQ86" s="27" t="n">
        <f aca="false">COUNTIFS(Trechos!$L$2:$L$838,A86)</f>
        <v>1</v>
      </c>
      <c r="BR86" s="28" t="n">
        <f aca="false">SUMIFS(Trechos!$F$2:$F$838,Trechos!$L$2:$L$838,A86)</f>
        <v>1.79624857415318</v>
      </c>
      <c r="BS86" s="27" t="n">
        <f aca="false">COUNTA(BV86:ES86)</f>
        <v>0</v>
      </c>
      <c r="BT86" s="27" t="str">
        <f aca="false">IF(COUNTA(BV86:ES86)=0,"—",_xlfn.TEXTJOIN(", ",TRUE(),BV86:ES86))</f>
        <v>—</v>
      </c>
      <c r="BU86" s="27" t="s">
        <v>54</v>
      </c>
      <c r="BV86" s="27"/>
      <c r="BW86" s="27"/>
      <c r="BX86" s="27"/>
      <c r="BY86" s="27"/>
      <c r="BZ86" s="27"/>
      <c r="CA86" s="27"/>
      <c r="CB86" s="27"/>
      <c r="CC86" s="27"/>
      <c r="CD86" s="27"/>
      <c r="CE86" s="27"/>
      <c r="CF86" s="27"/>
      <c r="CG86" s="27"/>
      <c r="CH86" s="27"/>
      <c r="CI86" s="27"/>
      <c r="CJ86" s="27"/>
      <c r="CK86" s="27"/>
      <c r="CL86" s="27"/>
      <c r="CM86" s="27"/>
      <c r="CN86" s="27"/>
      <c r="CO86" s="27"/>
      <c r="CP86" s="27"/>
      <c r="CQ86" s="27"/>
      <c r="CR86" s="27"/>
      <c r="CS86" s="27"/>
      <c r="CT86" s="27"/>
      <c r="CU86" s="27"/>
      <c r="CV86" s="27"/>
      <c r="CW86" s="27"/>
      <c r="CX86" s="27"/>
      <c r="CY86" s="27"/>
      <c r="CZ86" s="27"/>
      <c r="DA86" s="27"/>
      <c r="DB86" s="27"/>
      <c r="DC86" s="27"/>
      <c r="DD86" s="27"/>
      <c r="DE86" s="27"/>
      <c r="DF86" s="27"/>
      <c r="DG86" s="27"/>
      <c r="DH86" s="27"/>
      <c r="DI86" s="27"/>
      <c r="DJ86" s="27"/>
      <c r="DK86" s="27"/>
      <c r="DL86" s="27"/>
      <c r="DM86" s="27"/>
      <c r="DN86" s="27"/>
      <c r="DO86" s="27"/>
      <c r="DP86" s="27"/>
      <c r="DQ86" s="27"/>
      <c r="DR86" s="27"/>
      <c r="DS86" s="27"/>
      <c r="DT86" s="27"/>
      <c r="DU86" s="27"/>
      <c r="DV86" s="27"/>
      <c r="DW86" s="27"/>
      <c r="DX86" s="27"/>
      <c r="DY86" s="27"/>
      <c r="DZ86" s="27"/>
      <c r="EA86" s="27"/>
      <c r="EB86" s="27"/>
      <c r="EC86" s="27"/>
      <c r="ED86" s="27"/>
      <c r="EE86" s="27"/>
      <c r="EF86" s="27"/>
      <c r="EG86" s="27"/>
      <c r="EH86" s="27"/>
      <c r="EI86" s="27"/>
      <c r="EJ86" s="27"/>
      <c r="EK86" s="27"/>
      <c r="EL86" s="27"/>
      <c r="EM86" s="27"/>
      <c r="EN86" s="27"/>
      <c r="EO86" s="27"/>
      <c r="EP86" s="27"/>
      <c r="EQ86" s="27"/>
      <c r="ER86" s="27"/>
      <c r="ES86" s="27"/>
    </row>
    <row r="87" customFormat="false" ht="15" hidden="false" customHeight="false" outlineLevel="0" collapsed="false">
      <c r="A87" s="27" t="n">
        <v>86</v>
      </c>
      <c r="B87" s="6" t="s">
        <v>23</v>
      </c>
      <c r="C87" s="27" t="s">
        <v>303</v>
      </c>
      <c r="D87" s="27" t="s">
        <v>571</v>
      </c>
      <c r="E87" s="27" t="s">
        <v>44</v>
      </c>
      <c r="F87" s="27" t="s">
        <v>235</v>
      </c>
      <c r="G87" s="27" t="s">
        <v>236</v>
      </c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  <c r="AO87" s="27"/>
      <c r="AP87" s="27"/>
      <c r="AQ87" s="27"/>
      <c r="AR87" s="27"/>
      <c r="AS87" s="27"/>
      <c r="AT87" s="27"/>
      <c r="AU87" s="27"/>
      <c r="AV87" s="27"/>
      <c r="AW87" s="27"/>
      <c r="AX87" s="27"/>
      <c r="AY87" s="27"/>
      <c r="AZ87" s="27"/>
      <c r="BA87" s="27"/>
      <c r="BB87" s="27"/>
      <c r="BC87" s="27"/>
      <c r="BD87" s="27"/>
      <c r="BE87" s="27"/>
      <c r="BF87" s="27"/>
      <c r="BG87" s="27"/>
      <c r="BH87" s="27"/>
      <c r="BI87" s="27"/>
      <c r="BJ87" s="27"/>
      <c r="BK87" s="27" t="s">
        <v>41</v>
      </c>
      <c r="BL87" s="27" t="s">
        <v>42</v>
      </c>
      <c r="BM87" s="27" t="s">
        <v>44</v>
      </c>
      <c r="BN87" s="27"/>
      <c r="BO87" s="27"/>
      <c r="BP87" s="27"/>
      <c r="BQ87" s="27" t="n">
        <f aca="false">COUNTIFS(Trechos!$L$2:$L$838,A87)</f>
        <v>4</v>
      </c>
      <c r="BR87" s="28" t="n">
        <f aca="false">SUMIFS(Trechos!$F$2:$F$838,Trechos!$L$2:$L$838,A87)</f>
        <v>442.507407058993</v>
      </c>
      <c r="BS87" s="27" t="n">
        <f aca="false">COUNTA(BV87:ES87)</f>
        <v>0</v>
      </c>
      <c r="BT87" s="27" t="str">
        <f aca="false">IF(COUNTA(BV87:ES87)=0,"—",_xlfn.TEXTJOIN(", ",TRUE(),BV87:ES87))</f>
        <v>—</v>
      </c>
      <c r="BU87" s="27" t="s">
        <v>54</v>
      </c>
      <c r="BV87" s="27"/>
      <c r="BW87" s="27"/>
      <c r="BX87" s="27"/>
      <c r="BY87" s="27"/>
      <c r="BZ87" s="27"/>
      <c r="CA87" s="27"/>
      <c r="CB87" s="27"/>
      <c r="CC87" s="27"/>
      <c r="CD87" s="27"/>
      <c r="CE87" s="27"/>
      <c r="CF87" s="27"/>
      <c r="CG87" s="27"/>
      <c r="CH87" s="27"/>
      <c r="CI87" s="27"/>
      <c r="CJ87" s="27"/>
      <c r="CK87" s="27"/>
      <c r="CL87" s="27"/>
      <c r="CM87" s="27"/>
      <c r="CN87" s="27"/>
      <c r="CO87" s="27"/>
      <c r="CP87" s="27"/>
      <c r="CQ87" s="27"/>
      <c r="CR87" s="27"/>
      <c r="CS87" s="27"/>
      <c r="CT87" s="27"/>
      <c r="CU87" s="27"/>
      <c r="CV87" s="27"/>
      <c r="CW87" s="27"/>
      <c r="CX87" s="27"/>
      <c r="CY87" s="27"/>
      <c r="CZ87" s="27"/>
      <c r="DA87" s="27"/>
      <c r="DB87" s="27"/>
      <c r="DC87" s="27"/>
      <c r="DD87" s="27"/>
      <c r="DE87" s="27"/>
      <c r="DF87" s="27"/>
      <c r="DG87" s="27"/>
      <c r="DH87" s="27"/>
      <c r="DI87" s="27"/>
      <c r="DJ87" s="27"/>
      <c r="DK87" s="27"/>
      <c r="DL87" s="27"/>
      <c r="DM87" s="27"/>
      <c r="DN87" s="27"/>
      <c r="DO87" s="27"/>
      <c r="DP87" s="27"/>
      <c r="DQ87" s="27"/>
      <c r="DR87" s="27"/>
      <c r="DS87" s="27"/>
      <c r="DT87" s="27"/>
      <c r="DU87" s="27"/>
      <c r="DV87" s="27"/>
      <c r="DW87" s="27"/>
      <c r="DX87" s="27"/>
      <c r="DY87" s="27"/>
      <c r="DZ87" s="27"/>
      <c r="EA87" s="27"/>
      <c r="EB87" s="27"/>
      <c r="EC87" s="27"/>
      <c r="ED87" s="27"/>
      <c r="EE87" s="27"/>
      <c r="EF87" s="27"/>
      <c r="EG87" s="27"/>
      <c r="EH87" s="27"/>
      <c r="EI87" s="27"/>
      <c r="EJ87" s="27"/>
      <c r="EK87" s="27"/>
      <c r="EL87" s="27"/>
      <c r="EM87" s="27"/>
      <c r="EN87" s="27"/>
      <c r="EO87" s="27"/>
      <c r="EP87" s="27"/>
      <c r="EQ87" s="27"/>
      <c r="ER87" s="27"/>
      <c r="ES87" s="27"/>
    </row>
    <row r="88" customFormat="false" ht="15" hidden="false" customHeight="false" outlineLevel="0" collapsed="false">
      <c r="A88" s="27" t="n">
        <v>87</v>
      </c>
      <c r="B88" s="7" t="s">
        <v>24</v>
      </c>
      <c r="C88" s="27" t="s">
        <v>303</v>
      </c>
      <c r="D88" s="27" t="s">
        <v>572</v>
      </c>
      <c r="E88" s="27" t="s">
        <v>238</v>
      </c>
      <c r="F88" s="27" t="s">
        <v>238</v>
      </c>
      <c r="G88" s="27" t="s">
        <v>573</v>
      </c>
      <c r="H88" s="27" t="s">
        <v>240</v>
      </c>
      <c r="I88" s="27" t="s">
        <v>242</v>
      </c>
      <c r="J88" s="27" t="s">
        <v>574</v>
      </c>
      <c r="K88" s="27" t="s">
        <v>575</v>
      </c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7"/>
      <c r="AO88" s="27"/>
      <c r="AP88" s="27"/>
      <c r="AQ88" s="27"/>
      <c r="AR88" s="27"/>
      <c r="AS88" s="27"/>
      <c r="AT88" s="27"/>
      <c r="AU88" s="27"/>
      <c r="AV88" s="27"/>
      <c r="AW88" s="27"/>
      <c r="AX88" s="27"/>
      <c r="AY88" s="27"/>
      <c r="AZ88" s="27"/>
      <c r="BA88" s="27"/>
      <c r="BB88" s="27"/>
      <c r="BC88" s="27"/>
      <c r="BD88" s="27"/>
      <c r="BE88" s="27"/>
      <c r="BF88" s="27"/>
      <c r="BG88" s="27"/>
      <c r="BH88" s="27"/>
      <c r="BI88" s="27"/>
      <c r="BJ88" s="27"/>
      <c r="BK88" s="27" t="s">
        <v>41</v>
      </c>
      <c r="BL88" s="27" t="s">
        <v>42</v>
      </c>
      <c r="BM88" s="27" t="s">
        <v>44</v>
      </c>
      <c r="BN88" s="27" t="s">
        <v>238</v>
      </c>
      <c r="BO88" s="27"/>
      <c r="BP88" s="27"/>
      <c r="BQ88" s="27" t="n">
        <f aca="false">COUNTIFS(Trechos!$L$2:$L$838,A88)</f>
        <v>13</v>
      </c>
      <c r="BR88" s="28" t="n">
        <f aca="false">SUMIFS(Trechos!$F$2:$F$838,Trechos!$L$2:$L$838,A88)</f>
        <v>873.423362786328</v>
      </c>
      <c r="BS88" s="27" t="n">
        <f aca="false">COUNTA(BV88:ES88)</f>
        <v>2</v>
      </c>
      <c r="BT88" s="27" t="str">
        <f aca="false">IF(COUNTA(BV88:ES88)=0,"—",_xlfn.TEXTJOIN(", ",TRUE(),BV88:ES88))</f>
        <v>0342284004, 0200038004</v>
      </c>
      <c r="BU88" s="27" t="s">
        <v>54</v>
      </c>
      <c r="BV88" s="27" t="s">
        <v>240</v>
      </c>
      <c r="BW88" s="27" t="s">
        <v>242</v>
      </c>
      <c r="BX88" s="27"/>
      <c r="BY88" s="27"/>
      <c r="BZ88" s="27"/>
      <c r="CA88" s="27"/>
      <c r="CB88" s="27"/>
      <c r="CC88" s="27"/>
      <c r="CD88" s="27"/>
      <c r="CE88" s="27"/>
      <c r="CF88" s="27"/>
      <c r="CG88" s="27"/>
      <c r="CH88" s="27"/>
      <c r="CI88" s="27"/>
      <c r="CJ88" s="27"/>
      <c r="CK88" s="27"/>
      <c r="CL88" s="27"/>
      <c r="CM88" s="27"/>
      <c r="CN88" s="27"/>
      <c r="CO88" s="27"/>
      <c r="CP88" s="27"/>
      <c r="CQ88" s="27"/>
      <c r="CR88" s="27"/>
      <c r="CS88" s="27"/>
      <c r="CT88" s="27"/>
      <c r="CU88" s="27"/>
      <c r="CV88" s="27"/>
      <c r="CW88" s="27"/>
      <c r="CX88" s="27"/>
      <c r="CY88" s="27"/>
      <c r="CZ88" s="27"/>
      <c r="DA88" s="27"/>
      <c r="DB88" s="27"/>
      <c r="DC88" s="27"/>
      <c r="DD88" s="27"/>
      <c r="DE88" s="27"/>
      <c r="DF88" s="27"/>
      <c r="DG88" s="27"/>
      <c r="DH88" s="27"/>
      <c r="DI88" s="27"/>
      <c r="DJ88" s="27"/>
      <c r="DK88" s="27"/>
      <c r="DL88" s="27"/>
      <c r="DM88" s="27"/>
      <c r="DN88" s="27"/>
      <c r="DO88" s="27"/>
      <c r="DP88" s="27"/>
      <c r="DQ88" s="27"/>
      <c r="DR88" s="27"/>
      <c r="DS88" s="27"/>
      <c r="DT88" s="27"/>
      <c r="DU88" s="27"/>
      <c r="DV88" s="27"/>
      <c r="DW88" s="27"/>
      <c r="DX88" s="27"/>
      <c r="DY88" s="27"/>
      <c r="DZ88" s="27"/>
      <c r="EA88" s="27"/>
      <c r="EB88" s="27"/>
      <c r="EC88" s="27"/>
      <c r="ED88" s="27"/>
      <c r="EE88" s="27"/>
      <c r="EF88" s="27"/>
      <c r="EG88" s="27"/>
      <c r="EH88" s="27"/>
      <c r="EI88" s="27"/>
      <c r="EJ88" s="27"/>
      <c r="EK88" s="27"/>
      <c r="EL88" s="27"/>
      <c r="EM88" s="27"/>
      <c r="EN88" s="27"/>
      <c r="EO88" s="27"/>
      <c r="EP88" s="27"/>
      <c r="EQ88" s="27"/>
      <c r="ER88" s="27"/>
      <c r="ES88" s="27"/>
    </row>
    <row r="89" customFormat="false" ht="15" hidden="false" customHeight="false" outlineLevel="0" collapsed="false">
      <c r="A89" s="27" t="n">
        <v>88</v>
      </c>
      <c r="B89" s="7" t="s">
        <v>24</v>
      </c>
      <c r="C89" s="27" t="s">
        <v>303</v>
      </c>
      <c r="D89" s="27" t="s">
        <v>572</v>
      </c>
      <c r="E89" s="27" t="s">
        <v>240</v>
      </c>
      <c r="F89" s="27" t="s">
        <v>240</v>
      </c>
      <c r="G89" s="27" t="s">
        <v>241</v>
      </c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7"/>
      <c r="AO89" s="27"/>
      <c r="AP89" s="27"/>
      <c r="AQ89" s="27"/>
      <c r="AR89" s="27"/>
      <c r="AS89" s="27"/>
      <c r="AT89" s="27"/>
      <c r="AU89" s="27"/>
      <c r="AV89" s="27"/>
      <c r="AW89" s="27"/>
      <c r="AX89" s="27"/>
      <c r="AY89" s="27"/>
      <c r="AZ89" s="27"/>
      <c r="BA89" s="27"/>
      <c r="BB89" s="27"/>
      <c r="BC89" s="27"/>
      <c r="BD89" s="27"/>
      <c r="BE89" s="27"/>
      <c r="BF89" s="27"/>
      <c r="BG89" s="27"/>
      <c r="BH89" s="27"/>
      <c r="BI89" s="27"/>
      <c r="BJ89" s="27"/>
      <c r="BK89" s="27" t="s">
        <v>41</v>
      </c>
      <c r="BL89" s="27" t="s">
        <v>42</v>
      </c>
      <c r="BM89" s="27" t="s">
        <v>44</v>
      </c>
      <c r="BN89" s="27" t="s">
        <v>238</v>
      </c>
      <c r="BO89" s="27" t="s">
        <v>240</v>
      </c>
      <c r="BP89" s="27"/>
      <c r="BQ89" s="27" t="n">
        <f aca="false">COUNTIFS(Trechos!$L$2:$L$838,A89)</f>
        <v>2</v>
      </c>
      <c r="BR89" s="28" t="n">
        <f aca="false">SUMIFS(Trechos!$F$2:$F$838,Trechos!$L$2:$L$838,A89)</f>
        <v>20.9178905075115</v>
      </c>
      <c r="BS89" s="27" t="n">
        <f aca="false">COUNTA(BV89:ES89)</f>
        <v>0</v>
      </c>
      <c r="BT89" s="27" t="str">
        <f aca="false">IF(COUNTA(BV89:ES89)=0,"—",_xlfn.TEXTJOIN(", ",TRUE(),BV89:ES89))</f>
        <v>—</v>
      </c>
      <c r="BU89" s="27" t="s">
        <v>54</v>
      </c>
      <c r="BV89" s="27"/>
      <c r="BW89" s="27"/>
      <c r="BX89" s="27"/>
      <c r="BY89" s="27"/>
      <c r="BZ89" s="27"/>
      <c r="CA89" s="27"/>
      <c r="CB89" s="27"/>
      <c r="CC89" s="27"/>
      <c r="CD89" s="27"/>
      <c r="CE89" s="27"/>
      <c r="CF89" s="27"/>
      <c r="CG89" s="27"/>
      <c r="CH89" s="27"/>
      <c r="CI89" s="27"/>
      <c r="CJ89" s="27"/>
      <c r="CK89" s="27"/>
      <c r="CL89" s="27"/>
      <c r="CM89" s="27"/>
      <c r="CN89" s="27"/>
      <c r="CO89" s="27"/>
      <c r="CP89" s="27"/>
      <c r="CQ89" s="27"/>
      <c r="CR89" s="27"/>
      <c r="CS89" s="27"/>
      <c r="CT89" s="27"/>
      <c r="CU89" s="27"/>
      <c r="CV89" s="27"/>
      <c r="CW89" s="27"/>
      <c r="CX89" s="27"/>
      <c r="CY89" s="27"/>
      <c r="CZ89" s="27"/>
      <c r="DA89" s="27"/>
      <c r="DB89" s="27"/>
      <c r="DC89" s="27"/>
      <c r="DD89" s="27"/>
      <c r="DE89" s="27"/>
      <c r="DF89" s="27"/>
      <c r="DG89" s="27"/>
      <c r="DH89" s="27"/>
      <c r="DI89" s="27"/>
      <c r="DJ89" s="27"/>
      <c r="DK89" s="27"/>
      <c r="DL89" s="27"/>
      <c r="DM89" s="27"/>
      <c r="DN89" s="27"/>
      <c r="DO89" s="27"/>
      <c r="DP89" s="27"/>
      <c r="DQ89" s="27"/>
      <c r="DR89" s="27"/>
      <c r="DS89" s="27"/>
      <c r="DT89" s="27"/>
      <c r="DU89" s="27"/>
      <c r="DV89" s="27"/>
      <c r="DW89" s="27"/>
      <c r="DX89" s="27"/>
      <c r="DY89" s="27"/>
      <c r="DZ89" s="27"/>
      <c r="EA89" s="27"/>
      <c r="EB89" s="27"/>
      <c r="EC89" s="27"/>
      <c r="ED89" s="27"/>
      <c r="EE89" s="27"/>
      <c r="EF89" s="27"/>
      <c r="EG89" s="27"/>
      <c r="EH89" s="27"/>
      <c r="EI89" s="27"/>
      <c r="EJ89" s="27"/>
      <c r="EK89" s="27"/>
      <c r="EL89" s="27"/>
      <c r="EM89" s="27"/>
      <c r="EN89" s="27"/>
      <c r="EO89" s="27"/>
      <c r="EP89" s="27"/>
      <c r="EQ89" s="27"/>
      <c r="ER89" s="27"/>
      <c r="ES89" s="27"/>
    </row>
    <row r="90" customFormat="false" ht="15" hidden="false" customHeight="false" outlineLevel="0" collapsed="false">
      <c r="A90" s="27" t="n">
        <v>89</v>
      </c>
      <c r="B90" s="7" t="s">
        <v>24</v>
      </c>
      <c r="C90" s="27" t="s">
        <v>303</v>
      </c>
      <c r="D90" s="27" t="s">
        <v>572</v>
      </c>
      <c r="E90" s="27" t="s">
        <v>242</v>
      </c>
      <c r="F90" s="27" t="s">
        <v>242</v>
      </c>
      <c r="G90" s="27" t="s">
        <v>243</v>
      </c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  <c r="AO90" s="27"/>
      <c r="AP90" s="27"/>
      <c r="AQ90" s="27"/>
      <c r="AR90" s="27"/>
      <c r="AS90" s="27"/>
      <c r="AT90" s="27"/>
      <c r="AU90" s="27"/>
      <c r="AV90" s="27"/>
      <c r="AW90" s="27"/>
      <c r="AX90" s="27"/>
      <c r="AY90" s="27"/>
      <c r="AZ90" s="27"/>
      <c r="BA90" s="27"/>
      <c r="BB90" s="27"/>
      <c r="BC90" s="27"/>
      <c r="BD90" s="27"/>
      <c r="BE90" s="27"/>
      <c r="BF90" s="27"/>
      <c r="BG90" s="27"/>
      <c r="BH90" s="27"/>
      <c r="BI90" s="27"/>
      <c r="BJ90" s="27"/>
      <c r="BK90" s="27" t="s">
        <v>41</v>
      </c>
      <c r="BL90" s="27" t="s">
        <v>42</v>
      </c>
      <c r="BM90" s="27" t="s">
        <v>44</v>
      </c>
      <c r="BN90" s="27" t="s">
        <v>238</v>
      </c>
      <c r="BO90" s="27" t="s">
        <v>242</v>
      </c>
      <c r="BP90" s="27"/>
      <c r="BQ90" s="27" t="n">
        <f aca="false">COUNTIFS(Trechos!$L$2:$L$838,A90)</f>
        <v>2</v>
      </c>
      <c r="BR90" s="28" t="n">
        <f aca="false">SUMIFS(Trechos!$F$2:$F$838,Trechos!$L$2:$L$838,A90)</f>
        <v>38.0739674856382</v>
      </c>
      <c r="BS90" s="27" t="n">
        <f aca="false">COUNTA(BV90:ES90)</f>
        <v>0</v>
      </c>
      <c r="BT90" s="27" t="str">
        <f aca="false">IF(COUNTA(BV90:ES90)=0,"—",_xlfn.TEXTJOIN(", ",TRUE(),BV90:ES90))</f>
        <v>—</v>
      </c>
      <c r="BU90" s="27" t="s">
        <v>54</v>
      </c>
      <c r="BV90" s="27"/>
      <c r="BW90" s="27"/>
      <c r="BX90" s="27"/>
      <c r="BY90" s="27"/>
      <c r="BZ90" s="27"/>
      <c r="CA90" s="27"/>
      <c r="CB90" s="27"/>
      <c r="CC90" s="27"/>
      <c r="CD90" s="27"/>
      <c r="CE90" s="27"/>
      <c r="CF90" s="27"/>
      <c r="CG90" s="27"/>
      <c r="CH90" s="27"/>
      <c r="CI90" s="27"/>
      <c r="CJ90" s="27"/>
      <c r="CK90" s="27"/>
      <c r="CL90" s="27"/>
      <c r="CM90" s="27"/>
      <c r="CN90" s="27"/>
      <c r="CO90" s="27"/>
      <c r="CP90" s="27"/>
      <c r="CQ90" s="27"/>
      <c r="CR90" s="27"/>
      <c r="CS90" s="27"/>
      <c r="CT90" s="27"/>
      <c r="CU90" s="27"/>
      <c r="CV90" s="27"/>
      <c r="CW90" s="27"/>
      <c r="CX90" s="27"/>
      <c r="CY90" s="27"/>
      <c r="CZ90" s="27"/>
      <c r="DA90" s="27"/>
      <c r="DB90" s="27"/>
      <c r="DC90" s="27"/>
      <c r="DD90" s="27"/>
      <c r="DE90" s="27"/>
      <c r="DF90" s="27"/>
      <c r="DG90" s="27"/>
      <c r="DH90" s="27"/>
      <c r="DI90" s="27"/>
      <c r="DJ90" s="27"/>
      <c r="DK90" s="27"/>
      <c r="DL90" s="27"/>
      <c r="DM90" s="27"/>
      <c r="DN90" s="27"/>
      <c r="DO90" s="27"/>
      <c r="DP90" s="27"/>
      <c r="DQ90" s="27"/>
      <c r="DR90" s="27"/>
      <c r="DS90" s="27"/>
      <c r="DT90" s="27"/>
      <c r="DU90" s="27"/>
      <c r="DV90" s="27"/>
      <c r="DW90" s="27"/>
      <c r="DX90" s="27"/>
      <c r="DY90" s="27"/>
      <c r="DZ90" s="27"/>
      <c r="EA90" s="27"/>
      <c r="EB90" s="27"/>
      <c r="EC90" s="27"/>
      <c r="ED90" s="27"/>
      <c r="EE90" s="27"/>
      <c r="EF90" s="27"/>
      <c r="EG90" s="27"/>
      <c r="EH90" s="27"/>
      <c r="EI90" s="27"/>
      <c r="EJ90" s="27"/>
      <c r="EK90" s="27"/>
      <c r="EL90" s="27"/>
      <c r="EM90" s="27"/>
      <c r="EN90" s="27"/>
      <c r="EO90" s="27"/>
      <c r="EP90" s="27"/>
      <c r="EQ90" s="27"/>
      <c r="ER90" s="27"/>
      <c r="ES90" s="27"/>
    </row>
    <row r="91" customFormat="false" ht="15" hidden="false" customHeight="false" outlineLevel="0" collapsed="false">
      <c r="A91" s="27" t="n">
        <v>90</v>
      </c>
      <c r="B91" s="6" t="s">
        <v>23</v>
      </c>
      <c r="C91" s="27" t="s">
        <v>303</v>
      </c>
      <c r="D91" s="27" t="s">
        <v>576</v>
      </c>
      <c r="E91" s="27" t="s">
        <v>44</v>
      </c>
      <c r="F91" s="27" t="s">
        <v>245</v>
      </c>
      <c r="G91" s="27" t="s">
        <v>246</v>
      </c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7"/>
      <c r="AO91" s="27"/>
      <c r="AP91" s="27"/>
      <c r="AQ91" s="27"/>
      <c r="AR91" s="27"/>
      <c r="AS91" s="27"/>
      <c r="AT91" s="27"/>
      <c r="AU91" s="27"/>
      <c r="AV91" s="27"/>
      <c r="AW91" s="27"/>
      <c r="AX91" s="27"/>
      <c r="AY91" s="27"/>
      <c r="AZ91" s="27"/>
      <c r="BA91" s="27"/>
      <c r="BB91" s="27"/>
      <c r="BC91" s="27"/>
      <c r="BD91" s="27"/>
      <c r="BE91" s="27"/>
      <c r="BF91" s="27"/>
      <c r="BG91" s="27"/>
      <c r="BH91" s="27"/>
      <c r="BI91" s="27"/>
      <c r="BJ91" s="27"/>
      <c r="BK91" s="27" t="s">
        <v>41</v>
      </c>
      <c r="BL91" s="27" t="s">
        <v>42</v>
      </c>
      <c r="BM91" s="27" t="s">
        <v>44</v>
      </c>
      <c r="BN91" s="27"/>
      <c r="BO91" s="27"/>
      <c r="BP91" s="27"/>
      <c r="BQ91" s="27" t="n">
        <f aca="false">COUNTIFS(Trechos!$L$2:$L$838,A91)</f>
        <v>1</v>
      </c>
      <c r="BR91" s="28" t="n">
        <f aca="false">SUMIFS(Trechos!$F$2:$F$838,Trechos!$L$2:$L$838,A91)</f>
        <v>16.1416616276471</v>
      </c>
      <c r="BS91" s="27" t="n">
        <f aca="false">COUNTA(BV91:ES91)</f>
        <v>0</v>
      </c>
      <c r="BT91" s="27" t="str">
        <f aca="false">IF(COUNTA(BV91:ES91)=0,"—",_xlfn.TEXTJOIN(", ",TRUE(),BV91:ES91))</f>
        <v>—</v>
      </c>
      <c r="BU91" s="27" t="s">
        <v>54</v>
      </c>
      <c r="BV91" s="27"/>
      <c r="BW91" s="27"/>
      <c r="BX91" s="27"/>
      <c r="BY91" s="27"/>
      <c r="BZ91" s="27"/>
      <c r="CA91" s="27"/>
      <c r="CB91" s="27"/>
      <c r="CC91" s="27"/>
      <c r="CD91" s="27"/>
      <c r="CE91" s="27"/>
      <c r="CF91" s="27"/>
      <c r="CG91" s="27"/>
      <c r="CH91" s="27"/>
      <c r="CI91" s="27"/>
      <c r="CJ91" s="27"/>
      <c r="CK91" s="27"/>
      <c r="CL91" s="27"/>
      <c r="CM91" s="27"/>
      <c r="CN91" s="27"/>
      <c r="CO91" s="27"/>
      <c r="CP91" s="27"/>
      <c r="CQ91" s="27"/>
      <c r="CR91" s="27"/>
      <c r="CS91" s="27"/>
      <c r="CT91" s="27"/>
      <c r="CU91" s="27"/>
      <c r="CV91" s="27"/>
      <c r="CW91" s="27"/>
      <c r="CX91" s="27"/>
      <c r="CY91" s="27"/>
      <c r="CZ91" s="27"/>
      <c r="DA91" s="27"/>
      <c r="DB91" s="27"/>
      <c r="DC91" s="27"/>
      <c r="DD91" s="27"/>
      <c r="DE91" s="27"/>
      <c r="DF91" s="27"/>
      <c r="DG91" s="27"/>
      <c r="DH91" s="27"/>
      <c r="DI91" s="27"/>
      <c r="DJ91" s="27"/>
      <c r="DK91" s="27"/>
      <c r="DL91" s="27"/>
      <c r="DM91" s="27"/>
      <c r="DN91" s="27"/>
      <c r="DO91" s="27"/>
      <c r="DP91" s="27"/>
      <c r="DQ91" s="27"/>
      <c r="DR91" s="27"/>
      <c r="DS91" s="27"/>
      <c r="DT91" s="27"/>
      <c r="DU91" s="27"/>
      <c r="DV91" s="27"/>
      <c r="DW91" s="27"/>
      <c r="DX91" s="27"/>
      <c r="DY91" s="27"/>
      <c r="DZ91" s="27"/>
      <c r="EA91" s="27"/>
      <c r="EB91" s="27"/>
      <c r="EC91" s="27"/>
      <c r="ED91" s="27"/>
      <c r="EE91" s="27"/>
      <c r="EF91" s="27"/>
      <c r="EG91" s="27"/>
      <c r="EH91" s="27"/>
      <c r="EI91" s="27"/>
      <c r="EJ91" s="27"/>
      <c r="EK91" s="27"/>
      <c r="EL91" s="27"/>
      <c r="EM91" s="27"/>
      <c r="EN91" s="27"/>
      <c r="EO91" s="27"/>
      <c r="EP91" s="27"/>
      <c r="EQ91" s="27"/>
      <c r="ER91" s="27"/>
      <c r="ES91" s="27"/>
    </row>
    <row r="92" customFormat="false" ht="15" hidden="false" customHeight="false" outlineLevel="0" collapsed="false">
      <c r="A92" s="27" t="n">
        <v>91</v>
      </c>
      <c r="B92" s="7" t="s">
        <v>24</v>
      </c>
      <c r="C92" s="27" t="s">
        <v>303</v>
      </c>
      <c r="D92" s="27" t="s">
        <v>577</v>
      </c>
      <c r="E92" s="27" t="s">
        <v>248</v>
      </c>
      <c r="F92" s="27" t="s">
        <v>248</v>
      </c>
      <c r="G92" s="27" t="s">
        <v>578</v>
      </c>
      <c r="H92" s="27" t="s">
        <v>579</v>
      </c>
      <c r="I92" s="27" t="s">
        <v>580</v>
      </c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  <c r="AO92" s="27"/>
      <c r="AP92" s="27"/>
      <c r="AQ92" s="27"/>
      <c r="AR92" s="27"/>
      <c r="AS92" s="27"/>
      <c r="AT92" s="27"/>
      <c r="AU92" s="27"/>
      <c r="AV92" s="27"/>
      <c r="AW92" s="27"/>
      <c r="AX92" s="27"/>
      <c r="AY92" s="27"/>
      <c r="AZ92" s="27"/>
      <c r="BA92" s="27"/>
      <c r="BB92" s="27"/>
      <c r="BC92" s="27"/>
      <c r="BD92" s="27"/>
      <c r="BE92" s="27"/>
      <c r="BF92" s="27"/>
      <c r="BG92" s="27"/>
      <c r="BH92" s="27"/>
      <c r="BI92" s="27"/>
      <c r="BJ92" s="27"/>
      <c r="BK92" s="27" t="s">
        <v>41</v>
      </c>
      <c r="BL92" s="27" t="s">
        <v>42</v>
      </c>
      <c r="BM92" s="27" t="s">
        <v>44</v>
      </c>
      <c r="BN92" s="27" t="s">
        <v>248</v>
      </c>
      <c r="BO92" s="27"/>
      <c r="BP92" s="27"/>
      <c r="BQ92" s="27" t="n">
        <f aca="false">COUNTIFS(Trechos!$L$2:$L$838,A92)</f>
        <v>7</v>
      </c>
      <c r="BR92" s="28" t="n">
        <f aca="false">SUMIFS(Trechos!$F$2:$F$838,Trechos!$L$2:$L$838,A92)</f>
        <v>587.293359276902</v>
      </c>
      <c r="BS92" s="27" t="n">
        <f aca="false">COUNTA(BV92:ES92)</f>
        <v>0</v>
      </c>
      <c r="BT92" s="27" t="str">
        <f aca="false">IF(COUNTA(BV92:ES92)=0,"—",_xlfn.TEXTJOIN(", ",TRUE(),BV92:ES92))</f>
        <v>—</v>
      </c>
      <c r="BU92" s="27" t="s">
        <v>54</v>
      </c>
      <c r="BV92" s="27"/>
      <c r="BW92" s="27"/>
      <c r="BX92" s="27"/>
      <c r="BY92" s="27"/>
      <c r="BZ92" s="27"/>
      <c r="CA92" s="27"/>
      <c r="CB92" s="27"/>
      <c r="CC92" s="27"/>
      <c r="CD92" s="27"/>
      <c r="CE92" s="27"/>
      <c r="CF92" s="27"/>
      <c r="CG92" s="27"/>
      <c r="CH92" s="27"/>
      <c r="CI92" s="27"/>
      <c r="CJ92" s="27"/>
      <c r="CK92" s="27"/>
      <c r="CL92" s="27"/>
      <c r="CM92" s="27"/>
      <c r="CN92" s="27"/>
      <c r="CO92" s="27"/>
      <c r="CP92" s="27"/>
      <c r="CQ92" s="27"/>
      <c r="CR92" s="27"/>
      <c r="CS92" s="27"/>
      <c r="CT92" s="27"/>
      <c r="CU92" s="27"/>
      <c r="CV92" s="27"/>
      <c r="CW92" s="27"/>
      <c r="CX92" s="27"/>
      <c r="CY92" s="27"/>
      <c r="CZ92" s="27"/>
      <c r="DA92" s="27"/>
      <c r="DB92" s="27"/>
      <c r="DC92" s="27"/>
      <c r="DD92" s="27"/>
      <c r="DE92" s="27"/>
      <c r="DF92" s="27"/>
      <c r="DG92" s="27"/>
      <c r="DH92" s="27"/>
      <c r="DI92" s="27"/>
      <c r="DJ92" s="27"/>
      <c r="DK92" s="27"/>
      <c r="DL92" s="27"/>
      <c r="DM92" s="27"/>
      <c r="DN92" s="27"/>
      <c r="DO92" s="27"/>
      <c r="DP92" s="27"/>
      <c r="DQ92" s="27"/>
      <c r="DR92" s="27"/>
      <c r="DS92" s="27"/>
      <c r="DT92" s="27"/>
      <c r="DU92" s="27"/>
      <c r="DV92" s="27"/>
      <c r="DW92" s="27"/>
      <c r="DX92" s="27"/>
      <c r="DY92" s="27"/>
      <c r="DZ92" s="27"/>
      <c r="EA92" s="27"/>
      <c r="EB92" s="27"/>
      <c r="EC92" s="27"/>
      <c r="ED92" s="27"/>
      <c r="EE92" s="27"/>
      <c r="EF92" s="27"/>
      <c r="EG92" s="27"/>
      <c r="EH92" s="27"/>
      <c r="EI92" s="27"/>
      <c r="EJ92" s="27"/>
      <c r="EK92" s="27"/>
      <c r="EL92" s="27"/>
      <c r="EM92" s="27"/>
      <c r="EN92" s="27"/>
      <c r="EO92" s="27"/>
      <c r="EP92" s="27"/>
      <c r="EQ92" s="27"/>
      <c r="ER92" s="27"/>
      <c r="ES92" s="27"/>
    </row>
    <row r="93" customFormat="false" ht="15" hidden="false" customHeight="false" outlineLevel="0" collapsed="false">
      <c r="A93" s="27" t="n">
        <v>92</v>
      </c>
      <c r="B93" s="7" t="s">
        <v>24</v>
      </c>
      <c r="C93" s="27" t="s">
        <v>303</v>
      </c>
      <c r="D93" s="27" t="s">
        <v>581</v>
      </c>
      <c r="E93" s="27" t="s">
        <v>251</v>
      </c>
      <c r="F93" s="27" t="s">
        <v>251</v>
      </c>
      <c r="G93" s="27" t="s">
        <v>252</v>
      </c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7"/>
      <c r="AO93" s="27"/>
      <c r="AP93" s="27"/>
      <c r="AQ93" s="27"/>
      <c r="AR93" s="27"/>
      <c r="AS93" s="27"/>
      <c r="AT93" s="27"/>
      <c r="AU93" s="27"/>
      <c r="AV93" s="27"/>
      <c r="AW93" s="27"/>
      <c r="AX93" s="27"/>
      <c r="AY93" s="27"/>
      <c r="AZ93" s="27"/>
      <c r="BA93" s="27"/>
      <c r="BB93" s="27"/>
      <c r="BC93" s="27"/>
      <c r="BD93" s="27"/>
      <c r="BE93" s="27"/>
      <c r="BF93" s="27"/>
      <c r="BG93" s="27"/>
      <c r="BH93" s="27"/>
      <c r="BI93" s="27"/>
      <c r="BJ93" s="27"/>
      <c r="BK93" s="27" t="s">
        <v>41</v>
      </c>
      <c r="BL93" s="27" t="s">
        <v>42</v>
      </c>
      <c r="BM93" s="27" t="s">
        <v>44</v>
      </c>
      <c r="BN93" s="27" t="s">
        <v>251</v>
      </c>
      <c r="BO93" s="27"/>
      <c r="BP93" s="27"/>
      <c r="BQ93" s="27" t="n">
        <f aca="false">COUNTIFS(Trechos!$L$2:$L$838,A93)</f>
        <v>2</v>
      </c>
      <c r="BR93" s="28" t="n">
        <f aca="false">SUMIFS(Trechos!$F$2:$F$838,Trechos!$L$2:$L$838,A93)</f>
        <v>23.6276870349066</v>
      </c>
      <c r="BS93" s="27" t="n">
        <f aca="false">COUNTA(BV93:ES93)</f>
        <v>0</v>
      </c>
      <c r="BT93" s="27" t="str">
        <f aca="false">IF(COUNTA(BV93:ES93)=0,"—",_xlfn.TEXTJOIN(", ",TRUE(),BV93:ES93))</f>
        <v>—</v>
      </c>
      <c r="BU93" s="27" t="s">
        <v>54</v>
      </c>
      <c r="BV93" s="27"/>
      <c r="BW93" s="27"/>
      <c r="BX93" s="27"/>
      <c r="BY93" s="27"/>
      <c r="BZ93" s="27"/>
      <c r="CA93" s="27"/>
      <c r="CB93" s="27"/>
      <c r="CC93" s="27"/>
      <c r="CD93" s="27"/>
      <c r="CE93" s="27"/>
      <c r="CF93" s="27"/>
      <c r="CG93" s="27"/>
      <c r="CH93" s="27"/>
      <c r="CI93" s="27"/>
      <c r="CJ93" s="27"/>
      <c r="CK93" s="27"/>
      <c r="CL93" s="27"/>
      <c r="CM93" s="27"/>
      <c r="CN93" s="27"/>
      <c r="CO93" s="27"/>
      <c r="CP93" s="27"/>
      <c r="CQ93" s="27"/>
      <c r="CR93" s="27"/>
      <c r="CS93" s="27"/>
      <c r="CT93" s="27"/>
      <c r="CU93" s="27"/>
      <c r="CV93" s="27"/>
      <c r="CW93" s="27"/>
      <c r="CX93" s="27"/>
      <c r="CY93" s="27"/>
      <c r="CZ93" s="27"/>
      <c r="DA93" s="27"/>
      <c r="DB93" s="27"/>
      <c r="DC93" s="27"/>
      <c r="DD93" s="27"/>
      <c r="DE93" s="27"/>
      <c r="DF93" s="27"/>
      <c r="DG93" s="27"/>
      <c r="DH93" s="27"/>
      <c r="DI93" s="27"/>
      <c r="DJ93" s="27"/>
      <c r="DK93" s="27"/>
      <c r="DL93" s="27"/>
      <c r="DM93" s="27"/>
      <c r="DN93" s="27"/>
      <c r="DO93" s="27"/>
      <c r="DP93" s="27"/>
      <c r="DQ93" s="27"/>
      <c r="DR93" s="27"/>
      <c r="DS93" s="27"/>
      <c r="DT93" s="27"/>
      <c r="DU93" s="27"/>
      <c r="DV93" s="27"/>
      <c r="DW93" s="27"/>
      <c r="DX93" s="27"/>
      <c r="DY93" s="27"/>
      <c r="DZ93" s="27"/>
      <c r="EA93" s="27"/>
      <c r="EB93" s="27"/>
      <c r="EC93" s="27"/>
      <c r="ED93" s="27"/>
      <c r="EE93" s="27"/>
      <c r="EF93" s="27"/>
      <c r="EG93" s="27"/>
      <c r="EH93" s="27"/>
      <c r="EI93" s="27"/>
      <c r="EJ93" s="27"/>
      <c r="EK93" s="27"/>
      <c r="EL93" s="27"/>
      <c r="EM93" s="27"/>
      <c r="EN93" s="27"/>
      <c r="EO93" s="27"/>
      <c r="EP93" s="27"/>
      <c r="EQ93" s="27"/>
      <c r="ER93" s="27"/>
      <c r="ES93" s="27"/>
    </row>
    <row r="94" customFormat="false" ht="15" hidden="false" customHeight="false" outlineLevel="0" collapsed="false">
      <c r="A94" s="27" t="n">
        <v>93</v>
      </c>
      <c r="B94" s="6" t="s">
        <v>23</v>
      </c>
      <c r="C94" s="27" t="s">
        <v>303</v>
      </c>
      <c r="D94" s="27" t="s">
        <v>582</v>
      </c>
      <c r="E94" s="27" t="s">
        <v>44</v>
      </c>
      <c r="F94" s="27" t="s">
        <v>254</v>
      </c>
      <c r="G94" s="27" t="s">
        <v>583</v>
      </c>
      <c r="H94" s="27" t="s">
        <v>584</v>
      </c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  <c r="AO94" s="27"/>
      <c r="AP94" s="27"/>
      <c r="AQ94" s="27"/>
      <c r="AR94" s="27"/>
      <c r="AS94" s="27"/>
      <c r="AT94" s="27"/>
      <c r="AU94" s="27"/>
      <c r="AV94" s="27"/>
      <c r="AW94" s="27"/>
      <c r="AX94" s="27"/>
      <c r="AY94" s="27"/>
      <c r="AZ94" s="27"/>
      <c r="BA94" s="27"/>
      <c r="BB94" s="27"/>
      <c r="BC94" s="27"/>
      <c r="BD94" s="27"/>
      <c r="BE94" s="27"/>
      <c r="BF94" s="27"/>
      <c r="BG94" s="27"/>
      <c r="BH94" s="27"/>
      <c r="BI94" s="27"/>
      <c r="BJ94" s="27"/>
      <c r="BK94" s="27" t="s">
        <v>41</v>
      </c>
      <c r="BL94" s="27" t="s">
        <v>42</v>
      </c>
      <c r="BM94" s="27" t="s">
        <v>44</v>
      </c>
      <c r="BN94" s="27"/>
      <c r="BO94" s="27"/>
      <c r="BP94" s="27"/>
      <c r="BQ94" s="27" t="n">
        <f aca="false">COUNTIFS(Trechos!$L$2:$L$838,A94)</f>
        <v>2</v>
      </c>
      <c r="BR94" s="28" t="n">
        <f aca="false">SUMIFS(Trechos!$F$2:$F$838,Trechos!$L$2:$L$838,A94)</f>
        <v>17.8009009726271</v>
      </c>
      <c r="BS94" s="27" t="n">
        <f aca="false">COUNTA(BV94:ES94)</f>
        <v>0</v>
      </c>
      <c r="BT94" s="27" t="str">
        <f aca="false">IF(COUNTA(BV94:ES94)=0,"—",_xlfn.TEXTJOIN(", ",TRUE(),BV94:ES94))</f>
        <v>—</v>
      </c>
      <c r="BU94" s="27" t="s">
        <v>54</v>
      </c>
      <c r="BV94" s="27"/>
      <c r="BW94" s="27"/>
      <c r="BX94" s="27"/>
      <c r="BY94" s="27"/>
      <c r="BZ94" s="27"/>
      <c r="CA94" s="27"/>
      <c r="CB94" s="27"/>
      <c r="CC94" s="27"/>
      <c r="CD94" s="27"/>
      <c r="CE94" s="27"/>
      <c r="CF94" s="27"/>
      <c r="CG94" s="27"/>
      <c r="CH94" s="27"/>
      <c r="CI94" s="27"/>
      <c r="CJ94" s="27"/>
      <c r="CK94" s="27"/>
      <c r="CL94" s="27"/>
      <c r="CM94" s="27"/>
      <c r="CN94" s="27"/>
      <c r="CO94" s="27"/>
      <c r="CP94" s="27"/>
      <c r="CQ94" s="27"/>
      <c r="CR94" s="27"/>
      <c r="CS94" s="27"/>
      <c r="CT94" s="27"/>
      <c r="CU94" s="27"/>
      <c r="CV94" s="27"/>
      <c r="CW94" s="27"/>
      <c r="CX94" s="27"/>
      <c r="CY94" s="27"/>
      <c r="CZ94" s="27"/>
      <c r="DA94" s="27"/>
      <c r="DB94" s="27"/>
      <c r="DC94" s="27"/>
      <c r="DD94" s="27"/>
      <c r="DE94" s="27"/>
      <c r="DF94" s="27"/>
      <c r="DG94" s="27"/>
      <c r="DH94" s="27"/>
      <c r="DI94" s="27"/>
      <c r="DJ94" s="27"/>
      <c r="DK94" s="27"/>
      <c r="DL94" s="27"/>
      <c r="DM94" s="27"/>
      <c r="DN94" s="27"/>
      <c r="DO94" s="27"/>
      <c r="DP94" s="27"/>
      <c r="DQ94" s="27"/>
      <c r="DR94" s="27"/>
      <c r="DS94" s="27"/>
      <c r="DT94" s="27"/>
      <c r="DU94" s="27"/>
      <c r="DV94" s="27"/>
      <c r="DW94" s="27"/>
      <c r="DX94" s="27"/>
      <c r="DY94" s="27"/>
      <c r="DZ94" s="27"/>
      <c r="EA94" s="27"/>
      <c r="EB94" s="27"/>
      <c r="EC94" s="27"/>
      <c r="ED94" s="27"/>
      <c r="EE94" s="27"/>
      <c r="EF94" s="27"/>
      <c r="EG94" s="27"/>
      <c r="EH94" s="27"/>
      <c r="EI94" s="27"/>
      <c r="EJ94" s="27"/>
      <c r="EK94" s="27"/>
      <c r="EL94" s="27"/>
      <c r="EM94" s="27"/>
      <c r="EN94" s="27"/>
      <c r="EO94" s="27"/>
      <c r="EP94" s="27"/>
      <c r="EQ94" s="27"/>
      <c r="ER94" s="27"/>
      <c r="ES94" s="27"/>
    </row>
    <row r="95" customFormat="false" ht="15" hidden="false" customHeight="false" outlineLevel="0" collapsed="false">
      <c r="A95" s="27" t="n">
        <v>94</v>
      </c>
      <c r="B95" s="6" t="s">
        <v>23</v>
      </c>
      <c r="C95" s="27" t="s">
        <v>303</v>
      </c>
      <c r="D95" s="27" t="s">
        <v>585</v>
      </c>
      <c r="E95" s="27" t="s">
        <v>44</v>
      </c>
      <c r="F95" s="27" t="s">
        <v>257</v>
      </c>
      <c r="G95" s="27" t="s">
        <v>586</v>
      </c>
      <c r="H95" s="27" t="s">
        <v>587</v>
      </c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  <c r="AO95" s="27"/>
      <c r="AP95" s="27"/>
      <c r="AQ95" s="27"/>
      <c r="AR95" s="27"/>
      <c r="AS95" s="27"/>
      <c r="AT95" s="27"/>
      <c r="AU95" s="27"/>
      <c r="AV95" s="27"/>
      <c r="AW95" s="27"/>
      <c r="AX95" s="27"/>
      <c r="AY95" s="27"/>
      <c r="AZ95" s="27"/>
      <c r="BA95" s="27"/>
      <c r="BB95" s="27"/>
      <c r="BC95" s="27"/>
      <c r="BD95" s="27"/>
      <c r="BE95" s="27"/>
      <c r="BF95" s="27"/>
      <c r="BG95" s="27"/>
      <c r="BH95" s="27"/>
      <c r="BI95" s="27"/>
      <c r="BJ95" s="27"/>
      <c r="BK95" s="27" t="s">
        <v>41</v>
      </c>
      <c r="BL95" s="27" t="s">
        <v>42</v>
      </c>
      <c r="BM95" s="27" t="s">
        <v>44</v>
      </c>
      <c r="BN95" s="27"/>
      <c r="BO95" s="27"/>
      <c r="BP95" s="27"/>
      <c r="BQ95" s="27" t="n">
        <f aca="false">COUNTIFS(Trechos!$L$2:$L$838,A95)</f>
        <v>8</v>
      </c>
      <c r="BR95" s="28" t="n">
        <f aca="false">SUMIFS(Trechos!$F$2:$F$838,Trechos!$L$2:$L$838,A95)</f>
        <v>826.683371055813</v>
      </c>
      <c r="BS95" s="27" t="n">
        <f aca="false">COUNTA(BV95:ES95)</f>
        <v>0</v>
      </c>
      <c r="BT95" s="27" t="str">
        <f aca="false">IF(COUNTA(BV95:ES95)=0,"—",_xlfn.TEXTJOIN(", ",TRUE(),BV95:ES95))</f>
        <v>—</v>
      </c>
      <c r="BU95" s="27" t="s">
        <v>54</v>
      </c>
      <c r="BV95" s="27"/>
      <c r="BW95" s="27"/>
      <c r="BX95" s="27"/>
      <c r="BY95" s="27"/>
      <c r="BZ95" s="27"/>
      <c r="CA95" s="27"/>
      <c r="CB95" s="27"/>
      <c r="CC95" s="27"/>
      <c r="CD95" s="27"/>
      <c r="CE95" s="27"/>
      <c r="CF95" s="27"/>
      <c r="CG95" s="27"/>
      <c r="CH95" s="27"/>
      <c r="CI95" s="27"/>
      <c r="CJ95" s="27"/>
      <c r="CK95" s="27"/>
      <c r="CL95" s="27"/>
      <c r="CM95" s="27"/>
      <c r="CN95" s="27"/>
      <c r="CO95" s="27"/>
      <c r="CP95" s="27"/>
      <c r="CQ95" s="27"/>
      <c r="CR95" s="27"/>
      <c r="CS95" s="27"/>
      <c r="CT95" s="27"/>
      <c r="CU95" s="27"/>
      <c r="CV95" s="27"/>
      <c r="CW95" s="27"/>
      <c r="CX95" s="27"/>
      <c r="CY95" s="27"/>
      <c r="CZ95" s="27"/>
      <c r="DA95" s="27"/>
      <c r="DB95" s="27"/>
      <c r="DC95" s="27"/>
      <c r="DD95" s="27"/>
      <c r="DE95" s="27"/>
      <c r="DF95" s="27"/>
      <c r="DG95" s="27"/>
      <c r="DH95" s="27"/>
      <c r="DI95" s="27"/>
      <c r="DJ95" s="27"/>
      <c r="DK95" s="27"/>
      <c r="DL95" s="27"/>
      <c r="DM95" s="27"/>
      <c r="DN95" s="27"/>
      <c r="DO95" s="27"/>
      <c r="DP95" s="27"/>
      <c r="DQ95" s="27"/>
      <c r="DR95" s="27"/>
      <c r="DS95" s="27"/>
      <c r="DT95" s="27"/>
      <c r="DU95" s="27"/>
      <c r="DV95" s="27"/>
      <c r="DW95" s="27"/>
      <c r="DX95" s="27"/>
      <c r="DY95" s="27"/>
      <c r="DZ95" s="27"/>
      <c r="EA95" s="27"/>
      <c r="EB95" s="27"/>
      <c r="EC95" s="27"/>
      <c r="ED95" s="27"/>
      <c r="EE95" s="27"/>
      <c r="EF95" s="27"/>
      <c r="EG95" s="27"/>
      <c r="EH95" s="27"/>
      <c r="EI95" s="27"/>
      <c r="EJ95" s="27"/>
      <c r="EK95" s="27"/>
      <c r="EL95" s="27"/>
      <c r="EM95" s="27"/>
      <c r="EN95" s="27"/>
      <c r="EO95" s="27"/>
      <c r="EP95" s="27"/>
      <c r="EQ95" s="27"/>
      <c r="ER95" s="27"/>
      <c r="ES95" s="27"/>
    </row>
    <row r="96" customFormat="false" ht="15" hidden="false" customHeight="false" outlineLevel="0" collapsed="false">
      <c r="A96" s="27" t="n">
        <v>95</v>
      </c>
      <c r="B96" s="6" t="s">
        <v>23</v>
      </c>
      <c r="C96" s="27" t="s">
        <v>303</v>
      </c>
      <c r="D96" s="27" t="s">
        <v>588</v>
      </c>
      <c r="E96" s="27" t="s">
        <v>44</v>
      </c>
      <c r="F96" s="27" t="s">
        <v>260</v>
      </c>
      <c r="G96" s="27" t="s">
        <v>589</v>
      </c>
      <c r="H96" s="27" t="s">
        <v>590</v>
      </c>
      <c r="I96" s="27" t="s">
        <v>591</v>
      </c>
      <c r="J96" s="27" t="s">
        <v>592</v>
      </c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7"/>
      <c r="AO96" s="27"/>
      <c r="AP96" s="27"/>
      <c r="AQ96" s="27"/>
      <c r="AR96" s="27"/>
      <c r="AS96" s="27"/>
      <c r="AT96" s="27"/>
      <c r="AU96" s="27"/>
      <c r="AV96" s="27"/>
      <c r="AW96" s="27"/>
      <c r="AX96" s="27"/>
      <c r="AY96" s="27"/>
      <c r="AZ96" s="27"/>
      <c r="BA96" s="27"/>
      <c r="BB96" s="27"/>
      <c r="BC96" s="27"/>
      <c r="BD96" s="27"/>
      <c r="BE96" s="27"/>
      <c r="BF96" s="27"/>
      <c r="BG96" s="27"/>
      <c r="BH96" s="27"/>
      <c r="BI96" s="27"/>
      <c r="BJ96" s="27"/>
      <c r="BK96" s="27" t="s">
        <v>41</v>
      </c>
      <c r="BL96" s="27" t="s">
        <v>42</v>
      </c>
      <c r="BM96" s="27" t="s">
        <v>44</v>
      </c>
      <c r="BN96" s="27"/>
      <c r="BO96" s="27"/>
      <c r="BP96" s="27"/>
      <c r="BQ96" s="27" t="n">
        <f aca="false">COUNTIFS(Trechos!$L$2:$L$838,A96)</f>
        <v>7</v>
      </c>
      <c r="BR96" s="28" t="n">
        <f aca="false">SUMIFS(Trechos!$F$2:$F$838,Trechos!$L$2:$L$838,A96)</f>
        <v>74.0311743068236</v>
      </c>
      <c r="BS96" s="27" t="n">
        <f aca="false">COUNTA(BV96:ES96)</f>
        <v>0</v>
      </c>
      <c r="BT96" s="27" t="str">
        <f aca="false">IF(COUNTA(BV96:ES96)=0,"—",_xlfn.TEXTJOIN(", ",TRUE(),BV96:ES96))</f>
        <v>—</v>
      </c>
      <c r="BU96" s="27" t="s">
        <v>54</v>
      </c>
      <c r="BV96" s="27"/>
      <c r="BW96" s="27"/>
      <c r="BX96" s="27"/>
      <c r="BY96" s="27"/>
      <c r="BZ96" s="27"/>
      <c r="CA96" s="27"/>
      <c r="CB96" s="27"/>
      <c r="CC96" s="27"/>
      <c r="CD96" s="27"/>
      <c r="CE96" s="27"/>
      <c r="CF96" s="27"/>
      <c r="CG96" s="27"/>
      <c r="CH96" s="27"/>
      <c r="CI96" s="27"/>
      <c r="CJ96" s="27"/>
      <c r="CK96" s="27"/>
      <c r="CL96" s="27"/>
      <c r="CM96" s="27"/>
      <c r="CN96" s="27"/>
      <c r="CO96" s="27"/>
      <c r="CP96" s="27"/>
      <c r="CQ96" s="27"/>
      <c r="CR96" s="27"/>
      <c r="CS96" s="27"/>
      <c r="CT96" s="27"/>
      <c r="CU96" s="27"/>
      <c r="CV96" s="27"/>
      <c r="CW96" s="27"/>
      <c r="CX96" s="27"/>
      <c r="CY96" s="27"/>
      <c r="CZ96" s="27"/>
      <c r="DA96" s="27"/>
      <c r="DB96" s="27"/>
      <c r="DC96" s="27"/>
      <c r="DD96" s="27"/>
      <c r="DE96" s="27"/>
      <c r="DF96" s="27"/>
      <c r="DG96" s="27"/>
      <c r="DH96" s="27"/>
      <c r="DI96" s="27"/>
      <c r="DJ96" s="27"/>
      <c r="DK96" s="27"/>
      <c r="DL96" s="27"/>
      <c r="DM96" s="27"/>
      <c r="DN96" s="27"/>
      <c r="DO96" s="27"/>
      <c r="DP96" s="27"/>
      <c r="DQ96" s="27"/>
      <c r="DR96" s="27"/>
      <c r="DS96" s="27"/>
      <c r="DT96" s="27"/>
      <c r="DU96" s="27"/>
      <c r="DV96" s="27"/>
      <c r="DW96" s="27"/>
      <c r="DX96" s="27"/>
      <c r="DY96" s="27"/>
      <c r="DZ96" s="27"/>
      <c r="EA96" s="27"/>
      <c r="EB96" s="27"/>
      <c r="EC96" s="27"/>
      <c r="ED96" s="27"/>
      <c r="EE96" s="27"/>
      <c r="EF96" s="27"/>
      <c r="EG96" s="27"/>
      <c r="EH96" s="27"/>
      <c r="EI96" s="27"/>
      <c r="EJ96" s="27"/>
      <c r="EK96" s="27"/>
      <c r="EL96" s="27"/>
      <c r="EM96" s="27"/>
      <c r="EN96" s="27"/>
      <c r="EO96" s="27"/>
      <c r="EP96" s="27"/>
      <c r="EQ96" s="27"/>
      <c r="ER96" s="27"/>
      <c r="ES96" s="27"/>
    </row>
    <row r="97" customFormat="false" ht="15" hidden="false" customHeight="false" outlineLevel="0" collapsed="false">
      <c r="A97" s="27" t="n">
        <v>96</v>
      </c>
      <c r="B97" s="6" t="s">
        <v>23</v>
      </c>
      <c r="C97" s="27" t="s">
        <v>303</v>
      </c>
      <c r="D97" s="27" t="s">
        <v>593</v>
      </c>
      <c r="E97" s="27" t="s">
        <v>44</v>
      </c>
      <c r="F97" s="27" t="s">
        <v>263</v>
      </c>
      <c r="G97" s="27" t="s">
        <v>594</v>
      </c>
      <c r="H97" s="27" t="s">
        <v>595</v>
      </c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  <c r="AO97" s="27"/>
      <c r="AP97" s="27"/>
      <c r="AQ97" s="27"/>
      <c r="AR97" s="27"/>
      <c r="AS97" s="27"/>
      <c r="AT97" s="27"/>
      <c r="AU97" s="27"/>
      <c r="AV97" s="27"/>
      <c r="AW97" s="27"/>
      <c r="AX97" s="27"/>
      <c r="AY97" s="27"/>
      <c r="AZ97" s="27"/>
      <c r="BA97" s="27"/>
      <c r="BB97" s="27"/>
      <c r="BC97" s="27"/>
      <c r="BD97" s="27"/>
      <c r="BE97" s="27"/>
      <c r="BF97" s="27"/>
      <c r="BG97" s="27"/>
      <c r="BH97" s="27"/>
      <c r="BI97" s="27"/>
      <c r="BJ97" s="27"/>
      <c r="BK97" s="27" t="s">
        <v>41</v>
      </c>
      <c r="BL97" s="27" t="s">
        <v>42</v>
      </c>
      <c r="BM97" s="27" t="s">
        <v>44</v>
      </c>
      <c r="BN97" s="27"/>
      <c r="BO97" s="27"/>
      <c r="BP97" s="27"/>
      <c r="BQ97" s="27" t="n">
        <f aca="false">COUNTIFS(Trechos!$L$2:$L$838,A97)</f>
        <v>2</v>
      </c>
      <c r="BR97" s="28" t="n">
        <f aca="false">SUMIFS(Trechos!$F$2:$F$838,Trechos!$L$2:$L$838,A97)</f>
        <v>47.5357398150188</v>
      </c>
      <c r="BS97" s="27" t="n">
        <f aca="false">COUNTA(BV97:ES97)</f>
        <v>0</v>
      </c>
      <c r="BT97" s="27" t="str">
        <f aca="false">IF(COUNTA(BV97:ES97)=0,"—",_xlfn.TEXTJOIN(", ",TRUE(),BV97:ES97))</f>
        <v>—</v>
      </c>
      <c r="BU97" s="27" t="s">
        <v>54</v>
      </c>
      <c r="BV97" s="27"/>
      <c r="BW97" s="27"/>
      <c r="BX97" s="27"/>
      <c r="BY97" s="27"/>
      <c r="BZ97" s="27"/>
      <c r="CA97" s="27"/>
      <c r="CB97" s="27"/>
      <c r="CC97" s="27"/>
      <c r="CD97" s="27"/>
      <c r="CE97" s="27"/>
      <c r="CF97" s="27"/>
      <c r="CG97" s="27"/>
      <c r="CH97" s="27"/>
      <c r="CI97" s="27"/>
      <c r="CJ97" s="27"/>
      <c r="CK97" s="27"/>
      <c r="CL97" s="27"/>
      <c r="CM97" s="27"/>
      <c r="CN97" s="27"/>
      <c r="CO97" s="27"/>
      <c r="CP97" s="27"/>
      <c r="CQ97" s="27"/>
      <c r="CR97" s="27"/>
      <c r="CS97" s="27"/>
      <c r="CT97" s="27"/>
      <c r="CU97" s="27"/>
      <c r="CV97" s="27"/>
      <c r="CW97" s="27"/>
      <c r="CX97" s="27"/>
      <c r="CY97" s="27"/>
      <c r="CZ97" s="27"/>
      <c r="DA97" s="27"/>
      <c r="DB97" s="27"/>
      <c r="DC97" s="27"/>
      <c r="DD97" s="27"/>
      <c r="DE97" s="27"/>
      <c r="DF97" s="27"/>
      <c r="DG97" s="27"/>
      <c r="DH97" s="27"/>
      <c r="DI97" s="27"/>
      <c r="DJ97" s="27"/>
      <c r="DK97" s="27"/>
      <c r="DL97" s="27"/>
      <c r="DM97" s="27"/>
      <c r="DN97" s="27"/>
      <c r="DO97" s="27"/>
      <c r="DP97" s="27"/>
      <c r="DQ97" s="27"/>
      <c r="DR97" s="27"/>
      <c r="DS97" s="27"/>
      <c r="DT97" s="27"/>
      <c r="DU97" s="27"/>
      <c r="DV97" s="27"/>
      <c r="DW97" s="27"/>
      <c r="DX97" s="27"/>
      <c r="DY97" s="27"/>
      <c r="DZ97" s="27"/>
      <c r="EA97" s="27"/>
      <c r="EB97" s="27"/>
      <c r="EC97" s="27"/>
      <c r="ED97" s="27"/>
      <c r="EE97" s="27"/>
      <c r="EF97" s="27"/>
      <c r="EG97" s="27"/>
      <c r="EH97" s="27"/>
      <c r="EI97" s="27"/>
      <c r="EJ97" s="27"/>
      <c r="EK97" s="27"/>
      <c r="EL97" s="27"/>
      <c r="EM97" s="27"/>
      <c r="EN97" s="27"/>
      <c r="EO97" s="27"/>
      <c r="EP97" s="27"/>
      <c r="EQ97" s="27"/>
      <c r="ER97" s="27"/>
      <c r="ES97" s="27"/>
    </row>
    <row r="98" customFormat="false" ht="15" hidden="false" customHeight="false" outlineLevel="0" collapsed="false">
      <c r="A98" s="27" t="n">
        <v>97</v>
      </c>
      <c r="B98" s="6" t="s">
        <v>23</v>
      </c>
      <c r="C98" s="27" t="s">
        <v>303</v>
      </c>
      <c r="D98" s="27" t="s">
        <v>596</v>
      </c>
      <c r="E98" s="27" t="s">
        <v>44</v>
      </c>
      <c r="F98" s="27" t="s">
        <v>266</v>
      </c>
      <c r="G98" s="27" t="s">
        <v>267</v>
      </c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  <c r="AO98" s="27"/>
      <c r="AP98" s="27"/>
      <c r="AQ98" s="27"/>
      <c r="AR98" s="27"/>
      <c r="AS98" s="27"/>
      <c r="AT98" s="27"/>
      <c r="AU98" s="27"/>
      <c r="AV98" s="27"/>
      <c r="AW98" s="27"/>
      <c r="AX98" s="27"/>
      <c r="AY98" s="27"/>
      <c r="AZ98" s="27"/>
      <c r="BA98" s="27"/>
      <c r="BB98" s="27"/>
      <c r="BC98" s="27"/>
      <c r="BD98" s="27"/>
      <c r="BE98" s="27"/>
      <c r="BF98" s="27"/>
      <c r="BG98" s="27"/>
      <c r="BH98" s="27"/>
      <c r="BI98" s="27"/>
      <c r="BJ98" s="27"/>
      <c r="BK98" s="27" t="s">
        <v>41</v>
      </c>
      <c r="BL98" s="27" t="s">
        <v>42</v>
      </c>
      <c r="BM98" s="27" t="s">
        <v>44</v>
      </c>
      <c r="BN98" s="27"/>
      <c r="BO98" s="27"/>
      <c r="BP98" s="27"/>
      <c r="BQ98" s="27" t="n">
        <f aca="false">COUNTIFS(Trechos!$L$2:$L$838,A98)</f>
        <v>1</v>
      </c>
      <c r="BR98" s="28" t="n">
        <f aca="false">SUMIFS(Trechos!$F$2:$F$838,Trechos!$L$2:$L$838,A98)</f>
        <v>50.7068065183594</v>
      </c>
      <c r="BS98" s="27" t="n">
        <f aca="false">COUNTA(BV98:ES98)</f>
        <v>0</v>
      </c>
      <c r="BT98" s="27" t="str">
        <f aca="false">IF(COUNTA(BV98:ES98)=0,"—",_xlfn.TEXTJOIN(", ",TRUE(),BV98:ES98))</f>
        <v>—</v>
      </c>
      <c r="BU98" s="27" t="s">
        <v>54</v>
      </c>
      <c r="BV98" s="27"/>
      <c r="BW98" s="27"/>
      <c r="BX98" s="27"/>
      <c r="BY98" s="27"/>
      <c r="BZ98" s="27"/>
      <c r="CA98" s="27"/>
      <c r="CB98" s="27"/>
      <c r="CC98" s="27"/>
      <c r="CD98" s="27"/>
      <c r="CE98" s="27"/>
      <c r="CF98" s="27"/>
      <c r="CG98" s="27"/>
      <c r="CH98" s="27"/>
      <c r="CI98" s="27"/>
      <c r="CJ98" s="27"/>
      <c r="CK98" s="27"/>
      <c r="CL98" s="27"/>
      <c r="CM98" s="27"/>
      <c r="CN98" s="27"/>
      <c r="CO98" s="27"/>
      <c r="CP98" s="27"/>
      <c r="CQ98" s="27"/>
      <c r="CR98" s="27"/>
      <c r="CS98" s="27"/>
      <c r="CT98" s="27"/>
      <c r="CU98" s="27"/>
      <c r="CV98" s="27"/>
      <c r="CW98" s="27"/>
      <c r="CX98" s="27"/>
      <c r="CY98" s="27"/>
      <c r="CZ98" s="27"/>
      <c r="DA98" s="27"/>
      <c r="DB98" s="27"/>
      <c r="DC98" s="27"/>
      <c r="DD98" s="27"/>
      <c r="DE98" s="27"/>
      <c r="DF98" s="27"/>
      <c r="DG98" s="27"/>
      <c r="DH98" s="27"/>
      <c r="DI98" s="27"/>
      <c r="DJ98" s="27"/>
      <c r="DK98" s="27"/>
      <c r="DL98" s="27"/>
      <c r="DM98" s="27"/>
      <c r="DN98" s="27"/>
      <c r="DO98" s="27"/>
      <c r="DP98" s="27"/>
      <c r="DQ98" s="27"/>
      <c r="DR98" s="27"/>
      <c r="DS98" s="27"/>
      <c r="DT98" s="27"/>
      <c r="DU98" s="27"/>
      <c r="DV98" s="27"/>
      <c r="DW98" s="27"/>
      <c r="DX98" s="27"/>
      <c r="DY98" s="27"/>
      <c r="DZ98" s="27"/>
      <c r="EA98" s="27"/>
      <c r="EB98" s="27"/>
      <c r="EC98" s="27"/>
      <c r="ED98" s="27"/>
      <c r="EE98" s="27"/>
      <c r="EF98" s="27"/>
      <c r="EG98" s="27"/>
      <c r="EH98" s="27"/>
      <c r="EI98" s="27"/>
      <c r="EJ98" s="27"/>
      <c r="EK98" s="27"/>
      <c r="EL98" s="27"/>
      <c r="EM98" s="27"/>
      <c r="EN98" s="27"/>
      <c r="EO98" s="27"/>
      <c r="EP98" s="27"/>
      <c r="EQ98" s="27"/>
      <c r="ER98" s="27"/>
      <c r="ES98" s="27"/>
    </row>
    <row r="99" customFormat="false" ht="15" hidden="false" customHeight="false" outlineLevel="0" collapsed="false">
      <c r="A99" s="27" t="n">
        <v>98</v>
      </c>
      <c r="B99" s="6" t="s">
        <v>23</v>
      </c>
      <c r="C99" s="27" t="s">
        <v>303</v>
      </c>
      <c r="D99" s="27" t="s">
        <v>597</v>
      </c>
      <c r="E99" s="27" t="s">
        <v>44</v>
      </c>
      <c r="F99" s="27" t="s">
        <v>269</v>
      </c>
      <c r="G99" s="27" t="s">
        <v>270</v>
      </c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  <c r="AO99" s="27"/>
      <c r="AP99" s="27"/>
      <c r="AQ99" s="27"/>
      <c r="AR99" s="27"/>
      <c r="AS99" s="27"/>
      <c r="AT99" s="27"/>
      <c r="AU99" s="27"/>
      <c r="AV99" s="27"/>
      <c r="AW99" s="27"/>
      <c r="AX99" s="27"/>
      <c r="AY99" s="27"/>
      <c r="AZ99" s="27"/>
      <c r="BA99" s="27"/>
      <c r="BB99" s="27"/>
      <c r="BC99" s="27"/>
      <c r="BD99" s="27"/>
      <c r="BE99" s="27"/>
      <c r="BF99" s="27"/>
      <c r="BG99" s="27"/>
      <c r="BH99" s="27"/>
      <c r="BI99" s="27"/>
      <c r="BJ99" s="27"/>
      <c r="BK99" s="27" t="s">
        <v>41</v>
      </c>
      <c r="BL99" s="27" t="s">
        <v>42</v>
      </c>
      <c r="BM99" s="27" t="s">
        <v>44</v>
      </c>
      <c r="BN99" s="27"/>
      <c r="BO99" s="27"/>
      <c r="BP99" s="27"/>
      <c r="BQ99" s="27" t="n">
        <f aca="false">COUNTIFS(Trechos!$L$2:$L$838,A99)</f>
        <v>1</v>
      </c>
      <c r="BR99" s="28" t="n">
        <f aca="false">SUMIFS(Trechos!$F$2:$F$838,Trechos!$L$2:$L$838,A99)</f>
        <v>25.6869755767706</v>
      </c>
      <c r="BS99" s="27" t="n">
        <f aca="false">COUNTA(BV99:ES99)</f>
        <v>0</v>
      </c>
      <c r="BT99" s="27" t="str">
        <f aca="false">IF(COUNTA(BV99:ES99)=0,"—",_xlfn.TEXTJOIN(", ",TRUE(),BV99:ES99))</f>
        <v>—</v>
      </c>
      <c r="BU99" s="27" t="s">
        <v>54</v>
      </c>
      <c r="BV99" s="27"/>
      <c r="BW99" s="27"/>
      <c r="BX99" s="27"/>
      <c r="BY99" s="27"/>
      <c r="BZ99" s="27"/>
      <c r="CA99" s="27"/>
      <c r="CB99" s="27"/>
      <c r="CC99" s="27"/>
      <c r="CD99" s="27"/>
      <c r="CE99" s="27"/>
      <c r="CF99" s="27"/>
      <c r="CG99" s="27"/>
      <c r="CH99" s="27"/>
      <c r="CI99" s="27"/>
      <c r="CJ99" s="27"/>
      <c r="CK99" s="27"/>
      <c r="CL99" s="27"/>
      <c r="CM99" s="27"/>
      <c r="CN99" s="27"/>
      <c r="CO99" s="27"/>
      <c r="CP99" s="27"/>
      <c r="CQ99" s="27"/>
      <c r="CR99" s="27"/>
      <c r="CS99" s="27"/>
      <c r="CT99" s="27"/>
      <c r="CU99" s="27"/>
      <c r="CV99" s="27"/>
      <c r="CW99" s="27"/>
      <c r="CX99" s="27"/>
      <c r="CY99" s="27"/>
      <c r="CZ99" s="27"/>
      <c r="DA99" s="27"/>
      <c r="DB99" s="27"/>
      <c r="DC99" s="27"/>
      <c r="DD99" s="27"/>
      <c r="DE99" s="27"/>
      <c r="DF99" s="27"/>
      <c r="DG99" s="27"/>
      <c r="DH99" s="27"/>
      <c r="DI99" s="27"/>
      <c r="DJ99" s="27"/>
      <c r="DK99" s="27"/>
      <c r="DL99" s="27"/>
      <c r="DM99" s="27"/>
      <c r="DN99" s="27"/>
      <c r="DO99" s="27"/>
      <c r="DP99" s="27"/>
      <c r="DQ99" s="27"/>
      <c r="DR99" s="27"/>
      <c r="DS99" s="27"/>
      <c r="DT99" s="27"/>
      <c r="DU99" s="27"/>
      <c r="DV99" s="27"/>
      <c r="DW99" s="27"/>
      <c r="DX99" s="27"/>
      <c r="DY99" s="27"/>
      <c r="DZ99" s="27"/>
      <c r="EA99" s="27"/>
      <c r="EB99" s="27"/>
      <c r="EC99" s="27"/>
      <c r="ED99" s="27"/>
      <c r="EE99" s="27"/>
      <c r="EF99" s="27"/>
      <c r="EG99" s="27"/>
      <c r="EH99" s="27"/>
      <c r="EI99" s="27"/>
      <c r="EJ99" s="27"/>
      <c r="EK99" s="27"/>
      <c r="EL99" s="27"/>
      <c r="EM99" s="27"/>
      <c r="EN99" s="27"/>
      <c r="EO99" s="27"/>
      <c r="EP99" s="27"/>
      <c r="EQ99" s="27"/>
      <c r="ER99" s="27"/>
      <c r="ES99" s="27"/>
    </row>
    <row r="100" customFormat="false" ht="15" hidden="false" customHeight="false" outlineLevel="0" collapsed="false">
      <c r="A100" s="27" t="n">
        <v>99</v>
      </c>
      <c r="B100" s="7" t="s">
        <v>24</v>
      </c>
      <c r="C100" s="27" t="s">
        <v>303</v>
      </c>
      <c r="D100" s="27" t="s">
        <v>598</v>
      </c>
      <c r="E100" s="27" t="s">
        <v>272</v>
      </c>
      <c r="F100" s="27" t="s">
        <v>272</v>
      </c>
      <c r="G100" s="27" t="s">
        <v>273</v>
      </c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  <c r="AO100" s="27"/>
      <c r="AP100" s="27"/>
      <c r="AQ100" s="27"/>
      <c r="AR100" s="27"/>
      <c r="AS100" s="27"/>
      <c r="AT100" s="27"/>
      <c r="AU100" s="27"/>
      <c r="AV100" s="27"/>
      <c r="AW100" s="27"/>
      <c r="AX100" s="27"/>
      <c r="AY100" s="27"/>
      <c r="AZ100" s="27"/>
      <c r="BA100" s="27"/>
      <c r="BB100" s="27"/>
      <c r="BC100" s="27"/>
      <c r="BD100" s="27"/>
      <c r="BE100" s="27"/>
      <c r="BF100" s="27"/>
      <c r="BG100" s="27"/>
      <c r="BH100" s="27"/>
      <c r="BI100" s="27"/>
      <c r="BJ100" s="27"/>
      <c r="BK100" s="27" t="s">
        <v>41</v>
      </c>
      <c r="BL100" s="27" t="s">
        <v>42</v>
      </c>
      <c r="BM100" s="27" t="s">
        <v>44</v>
      </c>
      <c r="BN100" s="27" t="s">
        <v>272</v>
      </c>
      <c r="BO100" s="27"/>
      <c r="BP100" s="27"/>
      <c r="BQ100" s="27" t="n">
        <f aca="false">COUNTIFS(Trechos!$L$2:$L$838,A100)</f>
        <v>1</v>
      </c>
      <c r="BR100" s="28" t="n">
        <f aca="false">SUMIFS(Trechos!$F$2:$F$838,Trechos!$L$2:$L$838,A100)</f>
        <v>4.52288804706825</v>
      </c>
      <c r="BS100" s="27" t="n">
        <f aca="false">COUNTA(BV100:ES100)</f>
        <v>0</v>
      </c>
      <c r="BT100" s="27" t="str">
        <f aca="false">IF(COUNTA(BV100:ES100)=0,"—",_xlfn.TEXTJOIN(", ",TRUE(),BV100:ES100))</f>
        <v>—</v>
      </c>
      <c r="BU100" s="27" t="s">
        <v>54</v>
      </c>
      <c r="BV100" s="27"/>
      <c r="BW100" s="27"/>
      <c r="BX100" s="27"/>
      <c r="BY100" s="27"/>
      <c r="BZ100" s="27"/>
      <c r="CA100" s="27"/>
      <c r="CB100" s="27"/>
      <c r="CC100" s="27"/>
      <c r="CD100" s="27"/>
      <c r="CE100" s="27"/>
      <c r="CF100" s="27"/>
      <c r="CG100" s="27"/>
      <c r="CH100" s="27"/>
      <c r="CI100" s="27"/>
      <c r="CJ100" s="27"/>
      <c r="CK100" s="27"/>
      <c r="CL100" s="27"/>
      <c r="CM100" s="27"/>
      <c r="CN100" s="27"/>
      <c r="CO100" s="27"/>
      <c r="CP100" s="27"/>
      <c r="CQ100" s="27"/>
      <c r="CR100" s="27"/>
      <c r="CS100" s="27"/>
      <c r="CT100" s="27"/>
      <c r="CU100" s="27"/>
      <c r="CV100" s="27"/>
      <c r="CW100" s="27"/>
      <c r="CX100" s="27"/>
      <c r="CY100" s="27"/>
      <c r="CZ100" s="27"/>
      <c r="DA100" s="27"/>
      <c r="DB100" s="27"/>
      <c r="DC100" s="27"/>
      <c r="DD100" s="27"/>
      <c r="DE100" s="27"/>
      <c r="DF100" s="27"/>
      <c r="DG100" s="27"/>
      <c r="DH100" s="27"/>
      <c r="DI100" s="27"/>
      <c r="DJ100" s="27"/>
      <c r="DK100" s="27"/>
      <c r="DL100" s="27"/>
      <c r="DM100" s="27"/>
      <c r="DN100" s="27"/>
      <c r="DO100" s="27"/>
      <c r="DP100" s="27"/>
      <c r="DQ100" s="27"/>
      <c r="DR100" s="27"/>
      <c r="DS100" s="27"/>
      <c r="DT100" s="27"/>
      <c r="DU100" s="27"/>
      <c r="DV100" s="27"/>
      <c r="DW100" s="27"/>
      <c r="DX100" s="27"/>
      <c r="DY100" s="27"/>
      <c r="DZ100" s="27"/>
      <c r="EA100" s="27"/>
      <c r="EB100" s="27"/>
      <c r="EC100" s="27"/>
      <c r="ED100" s="27"/>
      <c r="EE100" s="27"/>
      <c r="EF100" s="27"/>
      <c r="EG100" s="27"/>
      <c r="EH100" s="27"/>
      <c r="EI100" s="27"/>
      <c r="EJ100" s="27"/>
      <c r="EK100" s="27"/>
      <c r="EL100" s="27"/>
      <c r="EM100" s="27"/>
      <c r="EN100" s="27"/>
      <c r="EO100" s="27"/>
      <c r="EP100" s="27"/>
      <c r="EQ100" s="27"/>
      <c r="ER100" s="27"/>
      <c r="ES100" s="27"/>
    </row>
    <row r="101" customFormat="false" ht="15" hidden="false" customHeight="false" outlineLevel="0" collapsed="false">
      <c r="A101" s="27" t="n">
        <v>100</v>
      </c>
      <c r="B101" s="6" t="s">
        <v>23</v>
      </c>
      <c r="C101" s="27" t="s">
        <v>303</v>
      </c>
      <c r="D101" s="27" t="s">
        <v>599</v>
      </c>
      <c r="E101" s="27" t="s">
        <v>44</v>
      </c>
      <c r="F101" s="27" t="s">
        <v>275</v>
      </c>
      <c r="G101" s="27" t="s">
        <v>276</v>
      </c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27"/>
      <c r="AT101" s="27"/>
      <c r="AU101" s="27"/>
      <c r="AV101" s="27"/>
      <c r="AW101" s="27"/>
      <c r="AX101" s="27"/>
      <c r="AY101" s="27"/>
      <c r="AZ101" s="27"/>
      <c r="BA101" s="27"/>
      <c r="BB101" s="27"/>
      <c r="BC101" s="27"/>
      <c r="BD101" s="27"/>
      <c r="BE101" s="27"/>
      <c r="BF101" s="27"/>
      <c r="BG101" s="27"/>
      <c r="BH101" s="27"/>
      <c r="BI101" s="27"/>
      <c r="BJ101" s="27"/>
      <c r="BK101" s="27" t="s">
        <v>41</v>
      </c>
      <c r="BL101" s="27" t="s">
        <v>42</v>
      </c>
      <c r="BM101" s="27" t="s">
        <v>44</v>
      </c>
      <c r="BN101" s="27"/>
      <c r="BO101" s="27"/>
      <c r="BP101" s="27"/>
      <c r="BQ101" s="27" t="n">
        <f aca="false">COUNTIFS(Trechos!$L$2:$L$838,A101)</f>
        <v>1</v>
      </c>
      <c r="BR101" s="28" t="n">
        <f aca="false">SUMIFS(Trechos!$F$2:$F$838,Trechos!$L$2:$L$838,A101)</f>
        <v>23.8288725439928</v>
      </c>
      <c r="BS101" s="27" t="n">
        <f aca="false">COUNTA(BV101:ES101)</f>
        <v>0</v>
      </c>
      <c r="BT101" s="27" t="str">
        <f aca="false">IF(COUNTA(BV101:ES101)=0,"—",_xlfn.TEXTJOIN(", ",TRUE(),BV101:ES101))</f>
        <v>—</v>
      </c>
      <c r="BU101" s="27" t="s">
        <v>54</v>
      </c>
      <c r="BV101" s="27"/>
      <c r="BW101" s="27"/>
      <c r="BX101" s="27"/>
      <c r="BY101" s="27"/>
      <c r="BZ101" s="27"/>
      <c r="CA101" s="27"/>
      <c r="CB101" s="27"/>
      <c r="CC101" s="27"/>
      <c r="CD101" s="27"/>
      <c r="CE101" s="27"/>
      <c r="CF101" s="27"/>
      <c r="CG101" s="27"/>
      <c r="CH101" s="27"/>
      <c r="CI101" s="27"/>
      <c r="CJ101" s="27"/>
      <c r="CK101" s="27"/>
      <c r="CL101" s="27"/>
      <c r="CM101" s="27"/>
      <c r="CN101" s="27"/>
      <c r="CO101" s="27"/>
      <c r="CP101" s="27"/>
      <c r="CQ101" s="27"/>
      <c r="CR101" s="27"/>
      <c r="CS101" s="27"/>
      <c r="CT101" s="27"/>
      <c r="CU101" s="27"/>
      <c r="CV101" s="27"/>
      <c r="CW101" s="27"/>
      <c r="CX101" s="27"/>
      <c r="CY101" s="27"/>
      <c r="CZ101" s="27"/>
      <c r="DA101" s="27"/>
      <c r="DB101" s="27"/>
      <c r="DC101" s="27"/>
      <c r="DD101" s="27"/>
      <c r="DE101" s="27"/>
      <c r="DF101" s="27"/>
      <c r="DG101" s="27"/>
      <c r="DH101" s="27"/>
      <c r="DI101" s="27"/>
      <c r="DJ101" s="27"/>
      <c r="DK101" s="27"/>
      <c r="DL101" s="27"/>
      <c r="DM101" s="27"/>
      <c r="DN101" s="27"/>
      <c r="DO101" s="27"/>
      <c r="DP101" s="27"/>
      <c r="DQ101" s="27"/>
      <c r="DR101" s="27"/>
      <c r="DS101" s="27"/>
      <c r="DT101" s="27"/>
      <c r="DU101" s="27"/>
      <c r="DV101" s="27"/>
      <c r="DW101" s="27"/>
      <c r="DX101" s="27"/>
      <c r="DY101" s="27"/>
      <c r="DZ101" s="27"/>
      <c r="EA101" s="27"/>
      <c r="EB101" s="27"/>
      <c r="EC101" s="27"/>
      <c r="ED101" s="27"/>
      <c r="EE101" s="27"/>
      <c r="EF101" s="27"/>
      <c r="EG101" s="27"/>
      <c r="EH101" s="27"/>
      <c r="EI101" s="27"/>
      <c r="EJ101" s="27"/>
      <c r="EK101" s="27"/>
      <c r="EL101" s="27"/>
      <c r="EM101" s="27"/>
      <c r="EN101" s="27"/>
      <c r="EO101" s="27"/>
      <c r="EP101" s="27"/>
      <c r="EQ101" s="27"/>
      <c r="ER101" s="27"/>
      <c r="ES101" s="27"/>
    </row>
    <row r="102" customFormat="false" ht="15" hidden="false" customHeight="false" outlineLevel="0" collapsed="false">
      <c r="A102" s="27" t="n">
        <v>101</v>
      </c>
      <c r="B102" s="7" t="s">
        <v>24</v>
      </c>
      <c r="C102" s="27" t="s">
        <v>303</v>
      </c>
      <c r="D102" s="27" t="s">
        <v>600</v>
      </c>
      <c r="E102" s="27" t="s">
        <v>278</v>
      </c>
      <c r="F102" s="27" t="s">
        <v>278</v>
      </c>
      <c r="G102" s="27" t="s">
        <v>279</v>
      </c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  <c r="AO102" s="27"/>
      <c r="AP102" s="27"/>
      <c r="AQ102" s="27"/>
      <c r="AR102" s="27"/>
      <c r="AS102" s="27"/>
      <c r="AT102" s="27"/>
      <c r="AU102" s="27"/>
      <c r="AV102" s="27"/>
      <c r="AW102" s="27"/>
      <c r="AX102" s="27"/>
      <c r="AY102" s="27"/>
      <c r="AZ102" s="27"/>
      <c r="BA102" s="27"/>
      <c r="BB102" s="27"/>
      <c r="BC102" s="27"/>
      <c r="BD102" s="27"/>
      <c r="BE102" s="27"/>
      <c r="BF102" s="27"/>
      <c r="BG102" s="27"/>
      <c r="BH102" s="27"/>
      <c r="BI102" s="27"/>
      <c r="BJ102" s="27"/>
      <c r="BK102" s="27" t="s">
        <v>41</v>
      </c>
      <c r="BL102" s="27" t="s">
        <v>42</v>
      </c>
      <c r="BM102" s="27" t="s">
        <v>44</v>
      </c>
      <c r="BN102" s="27" t="s">
        <v>278</v>
      </c>
      <c r="BO102" s="27"/>
      <c r="BP102" s="27"/>
      <c r="BQ102" s="27" t="n">
        <f aca="false">COUNTIFS(Trechos!$L$2:$L$838,A102)</f>
        <v>1</v>
      </c>
      <c r="BR102" s="28" t="n">
        <f aca="false">SUMIFS(Trechos!$F$2:$F$838,Trechos!$L$2:$L$838,A102)</f>
        <v>12.4253093027431</v>
      </c>
      <c r="BS102" s="27" t="n">
        <f aca="false">COUNTA(BV102:ES102)</f>
        <v>0</v>
      </c>
      <c r="BT102" s="27" t="str">
        <f aca="false">IF(COUNTA(BV102:ES102)=0,"—",_xlfn.TEXTJOIN(", ",TRUE(),BV102:ES102))</f>
        <v>—</v>
      </c>
      <c r="BU102" s="27" t="s">
        <v>54</v>
      </c>
      <c r="BV102" s="27"/>
      <c r="BW102" s="27"/>
      <c r="BX102" s="27"/>
      <c r="BY102" s="27"/>
      <c r="BZ102" s="27"/>
      <c r="CA102" s="27"/>
      <c r="CB102" s="27"/>
      <c r="CC102" s="27"/>
      <c r="CD102" s="27"/>
      <c r="CE102" s="27"/>
      <c r="CF102" s="27"/>
      <c r="CG102" s="27"/>
      <c r="CH102" s="27"/>
      <c r="CI102" s="27"/>
      <c r="CJ102" s="27"/>
      <c r="CK102" s="27"/>
      <c r="CL102" s="27"/>
      <c r="CM102" s="27"/>
      <c r="CN102" s="27"/>
      <c r="CO102" s="27"/>
      <c r="CP102" s="27"/>
      <c r="CQ102" s="27"/>
      <c r="CR102" s="27"/>
      <c r="CS102" s="27"/>
      <c r="CT102" s="27"/>
      <c r="CU102" s="27"/>
      <c r="CV102" s="27"/>
      <c r="CW102" s="27"/>
      <c r="CX102" s="27"/>
      <c r="CY102" s="27"/>
      <c r="CZ102" s="27"/>
      <c r="DA102" s="27"/>
      <c r="DB102" s="27"/>
      <c r="DC102" s="27"/>
      <c r="DD102" s="27"/>
      <c r="DE102" s="27"/>
      <c r="DF102" s="27"/>
      <c r="DG102" s="27"/>
      <c r="DH102" s="27"/>
      <c r="DI102" s="27"/>
      <c r="DJ102" s="27"/>
      <c r="DK102" s="27"/>
      <c r="DL102" s="27"/>
      <c r="DM102" s="27"/>
      <c r="DN102" s="27"/>
      <c r="DO102" s="27"/>
      <c r="DP102" s="27"/>
      <c r="DQ102" s="27"/>
      <c r="DR102" s="27"/>
      <c r="DS102" s="27"/>
      <c r="DT102" s="27"/>
      <c r="DU102" s="27"/>
      <c r="DV102" s="27"/>
      <c r="DW102" s="27"/>
      <c r="DX102" s="27"/>
      <c r="DY102" s="27"/>
      <c r="DZ102" s="27"/>
      <c r="EA102" s="27"/>
      <c r="EB102" s="27"/>
      <c r="EC102" s="27"/>
      <c r="ED102" s="27"/>
      <c r="EE102" s="27"/>
      <c r="EF102" s="27"/>
      <c r="EG102" s="27"/>
      <c r="EH102" s="27"/>
      <c r="EI102" s="27"/>
      <c r="EJ102" s="27"/>
      <c r="EK102" s="27"/>
      <c r="EL102" s="27"/>
      <c r="EM102" s="27"/>
      <c r="EN102" s="27"/>
      <c r="EO102" s="27"/>
      <c r="EP102" s="27"/>
      <c r="EQ102" s="27"/>
      <c r="ER102" s="27"/>
      <c r="ES102" s="27"/>
    </row>
    <row r="103" customFormat="false" ht="15" hidden="false" customHeight="false" outlineLevel="0" collapsed="false">
      <c r="A103" s="27" t="n">
        <v>102</v>
      </c>
      <c r="B103" s="6" t="s">
        <v>23</v>
      </c>
      <c r="C103" s="27" t="s">
        <v>303</v>
      </c>
      <c r="D103" s="27" t="s">
        <v>601</v>
      </c>
      <c r="E103" s="27" t="s">
        <v>44</v>
      </c>
      <c r="F103" s="27" t="s">
        <v>281</v>
      </c>
      <c r="G103" s="27" t="s">
        <v>282</v>
      </c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  <c r="AQ103" s="27"/>
      <c r="AR103" s="27"/>
      <c r="AS103" s="27"/>
      <c r="AT103" s="27"/>
      <c r="AU103" s="27"/>
      <c r="AV103" s="27"/>
      <c r="AW103" s="27"/>
      <c r="AX103" s="27"/>
      <c r="AY103" s="27"/>
      <c r="AZ103" s="27"/>
      <c r="BA103" s="27"/>
      <c r="BB103" s="27"/>
      <c r="BC103" s="27"/>
      <c r="BD103" s="27"/>
      <c r="BE103" s="27"/>
      <c r="BF103" s="27"/>
      <c r="BG103" s="27"/>
      <c r="BH103" s="27"/>
      <c r="BI103" s="27"/>
      <c r="BJ103" s="27"/>
      <c r="BK103" s="27" t="s">
        <v>41</v>
      </c>
      <c r="BL103" s="27" t="s">
        <v>42</v>
      </c>
      <c r="BM103" s="27" t="s">
        <v>44</v>
      </c>
      <c r="BN103" s="27"/>
      <c r="BO103" s="27"/>
      <c r="BP103" s="27"/>
      <c r="BQ103" s="27" t="n">
        <f aca="false">COUNTIFS(Trechos!$L$2:$L$838,A103)</f>
        <v>1</v>
      </c>
      <c r="BR103" s="28" t="n">
        <f aca="false">SUMIFS(Trechos!$F$2:$F$838,Trechos!$L$2:$L$838,A103)</f>
        <v>2.55748331285779</v>
      </c>
      <c r="BS103" s="27" t="n">
        <f aca="false">COUNTA(BV103:ES103)</f>
        <v>0</v>
      </c>
      <c r="BT103" s="27" t="str">
        <f aca="false">IF(COUNTA(BV103:ES103)=0,"—",_xlfn.TEXTJOIN(", ",TRUE(),BV103:ES103))</f>
        <v>—</v>
      </c>
      <c r="BU103" s="27" t="s">
        <v>54</v>
      </c>
      <c r="BV103" s="27"/>
      <c r="BW103" s="27"/>
      <c r="BX103" s="27"/>
      <c r="BY103" s="27"/>
      <c r="BZ103" s="27"/>
      <c r="CA103" s="27"/>
      <c r="CB103" s="27"/>
      <c r="CC103" s="27"/>
      <c r="CD103" s="27"/>
      <c r="CE103" s="27"/>
      <c r="CF103" s="27"/>
      <c r="CG103" s="27"/>
      <c r="CH103" s="27"/>
      <c r="CI103" s="27"/>
      <c r="CJ103" s="27"/>
      <c r="CK103" s="27"/>
      <c r="CL103" s="27"/>
      <c r="CM103" s="27"/>
      <c r="CN103" s="27"/>
      <c r="CO103" s="27"/>
      <c r="CP103" s="27"/>
      <c r="CQ103" s="27"/>
      <c r="CR103" s="27"/>
      <c r="CS103" s="27"/>
      <c r="CT103" s="27"/>
      <c r="CU103" s="27"/>
      <c r="CV103" s="27"/>
      <c r="CW103" s="27"/>
      <c r="CX103" s="27"/>
      <c r="CY103" s="27"/>
      <c r="CZ103" s="27"/>
      <c r="DA103" s="27"/>
      <c r="DB103" s="27"/>
      <c r="DC103" s="27"/>
      <c r="DD103" s="27"/>
      <c r="DE103" s="27"/>
      <c r="DF103" s="27"/>
      <c r="DG103" s="27"/>
      <c r="DH103" s="27"/>
      <c r="DI103" s="27"/>
      <c r="DJ103" s="27"/>
      <c r="DK103" s="27"/>
      <c r="DL103" s="27"/>
      <c r="DM103" s="27"/>
      <c r="DN103" s="27"/>
      <c r="DO103" s="27"/>
      <c r="DP103" s="27"/>
      <c r="DQ103" s="27"/>
      <c r="DR103" s="27"/>
      <c r="DS103" s="27"/>
      <c r="DT103" s="27"/>
      <c r="DU103" s="27"/>
      <c r="DV103" s="27"/>
      <c r="DW103" s="27"/>
      <c r="DX103" s="27"/>
      <c r="DY103" s="27"/>
      <c r="DZ103" s="27"/>
      <c r="EA103" s="27"/>
      <c r="EB103" s="27"/>
      <c r="EC103" s="27"/>
      <c r="ED103" s="27"/>
      <c r="EE103" s="27"/>
      <c r="EF103" s="27"/>
      <c r="EG103" s="27"/>
      <c r="EH103" s="27"/>
      <c r="EI103" s="27"/>
      <c r="EJ103" s="27"/>
      <c r="EK103" s="27"/>
      <c r="EL103" s="27"/>
      <c r="EM103" s="27"/>
      <c r="EN103" s="27"/>
      <c r="EO103" s="27"/>
      <c r="EP103" s="27"/>
      <c r="EQ103" s="27"/>
      <c r="ER103" s="27"/>
      <c r="ES103" s="27"/>
    </row>
    <row r="104" customFormat="false" ht="15" hidden="false" customHeight="false" outlineLevel="0" collapsed="false">
      <c r="A104" s="27" t="n">
        <v>103</v>
      </c>
      <c r="B104" s="7" t="s">
        <v>24</v>
      </c>
      <c r="C104" s="27" t="s">
        <v>303</v>
      </c>
      <c r="D104" s="27" t="s">
        <v>602</v>
      </c>
      <c r="E104" s="27" t="s">
        <v>284</v>
      </c>
      <c r="F104" s="27" t="s">
        <v>284</v>
      </c>
      <c r="G104" s="27" t="s">
        <v>603</v>
      </c>
      <c r="H104" s="27" t="s">
        <v>604</v>
      </c>
      <c r="I104" s="27" t="s">
        <v>286</v>
      </c>
      <c r="J104" s="27" t="s">
        <v>290</v>
      </c>
      <c r="K104" s="27" t="s">
        <v>605</v>
      </c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7"/>
      <c r="AO104" s="27"/>
      <c r="AP104" s="27"/>
      <c r="AQ104" s="27"/>
      <c r="AR104" s="27"/>
      <c r="AS104" s="27"/>
      <c r="AT104" s="27"/>
      <c r="AU104" s="27"/>
      <c r="AV104" s="27"/>
      <c r="AW104" s="27"/>
      <c r="AX104" s="27"/>
      <c r="AY104" s="27"/>
      <c r="AZ104" s="27"/>
      <c r="BA104" s="27"/>
      <c r="BB104" s="27"/>
      <c r="BC104" s="27"/>
      <c r="BD104" s="27"/>
      <c r="BE104" s="27"/>
      <c r="BF104" s="27"/>
      <c r="BG104" s="27"/>
      <c r="BH104" s="27"/>
      <c r="BI104" s="27"/>
      <c r="BJ104" s="27"/>
      <c r="BK104" s="27" t="s">
        <v>41</v>
      </c>
      <c r="BL104" s="27" t="s">
        <v>42</v>
      </c>
      <c r="BM104" s="27" t="s">
        <v>44</v>
      </c>
      <c r="BN104" s="27" t="s">
        <v>284</v>
      </c>
      <c r="BO104" s="27"/>
      <c r="BP104" s="27"/>
      <c r="BQ104" s="27" t="n">
        <f aca="false">COUNTIFS(Trechos!$L$2:$L$838,A104)</f>
        <v>12</v>
      </c>
      <c r="BR104" s="28" t="n">
        <f aca="false">SUMIFS(Trechos!$F$2:$F$838,Trechos!$L$2:$L$838,A104)</f>
        <v>420.023085943675</v>
      </c>
      <c r="BS104" s="27" t="n">
        <f aca="false">COUNTA(BV104:ES104)</f>
        <v>3</v>
      </c>
      <c r="BT104" s="27" t="str">
        <f aca="false">IF(COUNTA(BV104:ES104)=0,"—",_xlfn.TEXTJOIN(", ",TRUE(),BV104:ES104))</f>
        <v>0347400004, 0358161004, 0342738004</v>
      </c>
      <c r="BU104" s="27" t="s">
        <v>54</v>
      </c>
      <c r="BV104" s="27" t="s">
        <v>286</v>
      </c>
      <c r="BW104" s="27" t="s">
        <v>288</v>
      </c>
      <c r="BX104" s="27" t="s">
        <v>290</v>
      </c>
      <c r="BY104" s="27"/>
      <c r="BZ104" s="27"/>
      <c r="CA104" s="27"/>
      <c r="CB104" s="27"/>
      <c r="CC104" s="27"/>
      <c r="CD104" s="27"/>
      <c r="CE104" s="27"/>
      <c r="CF104" s="27"/>
      <c r="CG104" s="27"/>
      <c r="CH104" s="27"/>
      <c r="CI104" s="27"/>
      <c r="CJ104" s="27"/>
      <c r="CK104" s="27"/>
      <c r="CL104" s="27"/>
      <c r="CM104" s="27"/>
      <c r="CN104" s="27"/>
      <c r="CO104" s="27"/>
      <c r="CP104" s="27"/>
      <c r="CQ104" s="27"/>
      <c r="CR104" s="27"/>
      <c r="CS104" s="27"/>
      <c r="CT104" s="27"/>
      <c r="CU104" s="27"/>
      <c r="CV104" s="27"/>
      <c r="CW104" s="27"/>
      <c r="CX104" s="27"/>
      <c r="CY104" s="27"/>
      <c r="CZ104" s="27"/>
      <c r="DA104" s="27"/>
      <c r="DB104" s="27"/>
      <c r="DC104" s="27"/>
      <c r="DD104" s="27"/>
      <c r="DE104" s="27"/>
      <c r="DF104" s="27"/>
      <c r="DG104" s="27"/>
      <c r="DH104" s="27"/>
      <c r="DI104" s="27"/>
      <c r="DJ104" s="27"/>
      <c r="DK104" s="27"/>
      <c r="DL104" s="27"/>
      <c r="DM104" s="27"/>
      <c r="DN104" s="27"/>
      <c r="DO104" s="27"/>
      <c r="DP104" s="27"/>
      <c r="DQ104" s="27"/>
      <c r="DR104" s="27"/>
      <c r="DS104" s="27"/>
      <c r="DT104" s="27"/>
      <c r="DU104" s="27"/>
      <c r="DV104" s="27"/>
      <c r="DW104" s="27"/>
      <c r="DX104" s="27"/>
      <c r="DY104" s="27"/>
      <c r="DZ104" s="27"/>
      <c r="EA104" s="27"/>
      <c r="EB104" s="27"/>
      <c r="EC104" s="27"/>
      <c r="ED104" s="27"/>
      <c r="EE104" s="27"/>
      <c r="EF104" s="27"/>
      <c r="EG104" s="27"/>
      <c r="EH104" s="27"/>
      <c r="EI104" s="27"/>
      <c r="EJ104" s="27"/>
      <c r="EK104" s="27"/>
      <c r="EL104" s="27"/>
      <c r="EM104" s="27"/>
      <c r="EN104" s="27"/>
      <c r="EO104" s="27"/>
      <c r="EP104" s="27"/>
      <c r="EQ104" s="27"/>
      <c r="ER104" s="27"/>
      <c r="ES104" s="27"/>
    </row>
    <row r="105" customFormat="false" ht="15" hidden="false" customHeight="false" outlineLevel="0" collapsed="false">
      <c r="A105" s="27" t="n">
        <v>104</v>
      </c>
      <c r="B105" s="7" t="s">
        <v>24</v>
      </c>
      <c r="C105" s="27" t="s">
        <v>303</v>
      </c>
      <c r="D105" s="27" t="s">
        <v>602</v>
      </c>
      <c r="E105" s="27" t="s">
        <v>286</v>
      </c>
      <c r="F105" s="27" t="s">
        <v>286</v>
      </c>
      <c r="G105" s="27" t="s">
        <v>606</v>
      </c>
      <c r="H105" s="27" t="s">
        <v>288</v>
      </c>
      <c r="I105" s="27" t="s">
        <v>607</v>
      </c>
      <c r="J105" s="27" t="s">
        <v>608</v>
      </c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  <c r="AO105" s="27"/>
      <c r="AP105" s="27"/>
      <c r="AQ105" s="27"/>
      <c r="AR105" s="27"/>
      <c r="AS105" s="27"/>
      <c r="AT105" s="27"/>
      <c r="AU105" s="27"/>
      <c r="AV105" s="27"/>
      <c r="AW105" s="27"/>
      <c r="AX105" s="27"/>
      <c r="AY105" s="27"/>
      <c r="AZ105" s="27"/>
      <c r="BA105" s="27"/>
      <c r="BB105" s="27"/>
      <c r="BC105" s="27"/>
      <c r="BD105" s="27"/>
      <c r="BE105" s="27"/>
      <c r="BF105" s="27"/>
      <c r="BG105" s="27"/>
      <c r="BH105" s="27"/>
      <c r="BI105" s="27"/>
      <c r="BJ105" s="27"/>
      <c r="BK105" s="27" t="s">
        <v>41</v>
      </c>
      <c r="BL105" s="27" t="s">
        <v>42</v>
      </c>
      <c r="BM105" s="27" t="s">
        <v>44</v>
      </c>
      <c r="BN105" s="27" t="s">
        <v>284</v>
      </c>
      <c r="BO105" s="27" t="s">
        <v>286</v>
      </c>
      <c r="BP105" s="27"/>
      <c r="BQ105" s="27" t="n">
        <f aca="false">COUNTIFS(Trechos!$L$2:$L$838,A105)</f>
        <v>7</v>
      </c>
      <c r="BR105" s="28" t="n">
        <f aca="false">SUMIFS(Trechos!$F$2:$F$838,Trechos!$L$2:$L$838,A105)</f>
        <v>488.86159978891</v>
      </c>
      <c r="BS105" s="27" t="n">
        <f aca="false">COUNTA(BV105:ES105)</f>
        <v>1</v>
      </c>
      <c r="BT105" s="27" t="str">
        <f aca="false">IF(COUNTA(BV105:ES105)=0,"—",_xlfn.TEXTJOIN(", ",TRUE(),BV105:ES105))</f>
        <v>0358161004</v>
      </c>
      <c r="BU105" s="27" t="s">
        <v>54</v>
      </c>
      <c r="BV105" s="27" t="s">
        <v>288</v>
      </c>
      <c r="BW105" s="27"/>
      <c r="BX105" s="27"/>
      <c r="BY105" s="27"/>
      <c r="BZ105" s="27"/>
      <c r="CA105" s="27"/>
      <c r="CB105" s="27"/>
      <c r="CC105" s="27"/>
      <c r="CD105" s="27"/>
      <c r="CE105" s="27"/>
      <c r="CF105" s="27"/>
      <c r="CG105" s="27"/>
      <c r="CH105" s="27"/>
      <c r="CI105" s="27"/>
      <c r="CJ105" s="27"/>
      <c r="CK105" s="27"/>
      <c r="CL105" s="27"/>
      <c r="CM105" s="27"/>
      <c r="CN105" s="27"/>
      <c r="CO105" s="27"/>
      <c r="CP105" s="27"/>
      <c r="CQ105" s="27"/>
      <c r="CR105" s="27"/>
      <c r="CS105" s="27"/>
      <c r="CT105" s="27"/>
      <c r="CU105" s="27"/>
      <c r="CV105" s="27"/>
      <c r="CW105" s="27"/>
      <c r="CX105" s="27"/>
      <c r="CY105" s="27"/>
      <c r="CZ105" s="27"/>
      <c r="DA105" s="27"/>
      <c r="DB105" s="27"/>
      <c r="DC105" s="27"/>
      <c r="DD105" s="27"/>
      <c r="DE105" s="27"/>
      <c r="DF105" s="27"/>
      <c r="DG105" s="27"/>
      <c r="DH105" s="27"/>
      <c r="DI105" s="27"/>
      <c r="DJ105" s="27"/>
      <c r="DK105" s="27"/>
      <c r="DL105" s="27"/>
      <c r="DM105" s="27"/>
      <c r="DN105" s="27"/>
      <c r="DO105" s="27"/>
      <c r="DP105" s="27"/>
      <c r="DQ105" s="27"/>
      <c r="DR105" s="27"/>
      <c r="DS105" s="27"/>
      <c r="DT105" s="27"/>
      <c r="DU105" s="27"/>
      <c r="DV105" s="27"/>
      <c r="DW105" s="27"/>
      <c r="DX105" s="27"/>
      <c r="DY105" s="27"/>
      <c r="DZ105" s="27"/>
      <c r="EA105" s="27"/>
      <c r="EB105" s="27"/>
      <c r="EC105" s="27"/>
      <c r="ED105" s="27"/>
      <c r="EE105" s="27"/>
      <c r="EF105" s="27"/>
      <c r="EG105" s="27"/>
      <c r="EH105" s="27"/>
      <c r="EI105" s="27"/>
      <c r="EJ105" s="27"/>
      <c r="EK105" s="27"/>
      <c r="EL105" s="27"/>
      <c r="EM105" s="27"/>
      <c r="EN105" s="27"/>
      <c r="EO105" s="27"/>
      <c r="EP105" s="27"/>
      <c r="EQ105" s="27"/>
      <c r="ER105" s="27"/>
      <c r="ES105" s="27"/>
    </row>
    <row r="106" customFormat="false" ht="15" hidden="false" customHeight="false" outlineLevel="0" collapsed="false">
      <c r="A106" s="27" t="n">
        <v>105</v>
      </c>
      <c r="B106" s="7" t="s">
        <v>24</v>
      </c>
      <c r="C106" s="27" t="s">
        <v>303</v>
      </c>
      <c r="D106" s="27" t="s">
        <v>602</v>
      </c>
      <c r="E106" s="27" t="s">
        <v>288</v>
      </c>
      <c r="F106" s="27" t="s">
        <v>288</v>
      </c>
      <c r="G106" s="27" t="s">
        <v>289</v>
      </c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7"/>
      <c r="AO106" s="27"/>
      <c r="AP106" s="27"/>
      <c r="AQ106" s="27"/>
      <c r="AR106" s="27"/>
      <c r="AS106" s="27"/>
      <c r="AT106" s="27"/>
      <c r="AU106" s="27"/>
      <c r="AV106" s="27"/>
      <c r="AW106" s="27"/>
      <c r="AX106" s="27"/>
      <c r="AY106" s="27"/>
      <c r="AZ106" s="27"/>
      <c r="BA106" s="27"/>
      <c r="BB106" s="27"/>
      <c r="BC106" s="27"/>
      <c r="BD106" s="27"/>
      <c r="BE106" s="27"/>
      <c r="BF106" s="27"/>
      <c r="BG106" s="27"/>
      <c r="BH106" s="27"/>
      <c r="BI106" s="27"/>
      <c r="BJ106" s="27"/>
      <c r="BK106" s="27" t="s">
        <v>41</v>
      </c>
      <c r="BL106" s="27" t="s">
        <v>42</v>
      </c>
      <c r="BM106" s="27" t="s">
        <v>44</v>
      </c>
      <c r="BN106" s="27" t="s">
        <v>284</v>
      </c>
      <c r="BO106" s="27" t="s">
        <v>286</v>
      </c>
      <c r="BP106" s="27" t="s">
        <v>288</v>
      </c>
      <c r="BQ106" s="27" t="n">
        <f aca="false">COUNTIFS(Trechos!$L$2:$L$838,A106)</f>
        <v>1</v>
      </c>
      <c r="BR106" s="28" t="n">
        <f aca="false">SUMIFS(Trechos!$F$2:$F$838,Trechos!$L$2:$L$838,A106)</f>
        <v>18.075189589398</v>
      </c>
      <c r="BS106" s="27" t="n">
        <f aca="false">COUNTA(BV106:ES106)</f>
        <v>0</v>
      </c>
      <c r="BT106" s="27" t="str">
        <f aca="false">IF(COUNTA(BV106:ES106)=0,"—",_xlfn.TEXTJOIN(", ",TRUE(),BV106:ES106))</f>
        <v>—</v>
      </c>
      <c r="BU106" s="27" t="s">
        <v>54</v>
      </c>
      <c r="BV106" s="27"/>
      <c r="BW106" s="27"/>
      <c r="BX106" s="27"/>
      <c r="BY106" s="27"/>
      <c r="BZ106" s="27"/>
      <c r="CA106" s="27"/>
      <c r="CB106" s="27"/>
      <c r="CC106" s="27"/>
      <c r="CD106" s="27"/>
      <c r="CE106" s="27"/>
      <c r="CF106" s="27"/>
      <c r="CG106" s="27"/>
      <c r="CH106" s="27"/>
      <c r="CI106" s="27"/>
      <c r="CJ106" s="27"/>
      <c r="CK106" s="27"/>
      <c r="CL106" s="27"/>
      <c r="CM106" s="27"/>
      <c r="CN106" s="27"/>
      <c r="CO106" s="27"/>
      <c r="CP106" s="27"/>
      <c r="CQ106" s="27"/>
      <c r="CR106" s="27"/>
      <c r="CS106" s="27"/>
      <c r="CT106" s="27"/>
      <c r="CU106" s="27"/>
      <c r="CV106" s="27"/>
      <c r="CW106" s="27"/>
      <c r="CX106" s="27"/>
      <c r="CY106" s="27"/>
      <c r="CZ106" s="27"/>
      <c r="DA106" s="27"/>
      <c r="DB106" s="27"/>
      <c r="DC106" s="27"/>
      <c r="DD106" s="27"/>
      <c r="DE106" s="27"/>
      <c r="DF106" s="27"/>
      <c r="DG106" s="27"/>
      <c r="DH106" s="27"/>
      <c r="DI106" s="27"/>
      <c r="DJ106" s="27"/>
      <c r="DK106" s="27"/>
      <c r="DL106" s="27"/>
      <c r="DM106" s="27"/>
      <c r="DN106" s="27"/>
      <c r="DO106" s="27"/>
      <c r="DP106" s="27"/>
      <c r="DQ106" s="27"/>
      <c r="DR106" s="27"/>
      <c r="DS106" s="27"/>
      <c r="DT106" s="27"/>
      <c r="DU106" s="27"/>
      <c r="DV106" s="27"/>
      <c r="DW106" s="27"/>
      <c r="DX106" s="27"/>
      <c r="DY106" s="27"/>
      <c r="DZ106" s="27"/>
      <c r="EA106" s="27"/>
      <c r="EB106" s="27"/>
      <c r="EC106" s="27"/>
      <c r="ED106" s="27"/>
      <c r="EE106" s="27"/>
      <c r="EF106" s="27"/>
      <c r="EG106" s="27"/>
      <c r="EH106" s="27"/>
      <c r="EI106" s="27"/>
      <c r="EJ106" s="27"/>
      <c r="EK106" s="27"/>
      <c r="EL106" s="27"/>
      <c r="EM106" s="27"/>
      <c r="EN106" s="27"/>
      <c r="EO106" s="27"/>
      <c r="EP106" s="27"/>
      <c r="EQ106" s="27"/>
      <c r="ER106" s="27"/>
      <c r="ES106" s="27"/>
    </row>
    <row r="107" customFormat="false" ht="15" hidden="false" customHeight="false" outlineLevel="0" collapsed="false">
      <c r="A107" s="27" t="n">
        <v>106</v>
      </c>
      <c r="B107" s="7" t="s">
        <v>24</v>
      </c>
      <c r="C107" s="27" t="s">
        <v>303</v>
      </c>
      <c r="D107" s="27" t="s">
        <v>602</v>
      </c>
      <c r="E107" s="27" t="s">
        <v>290</v>
      </c>
      <c r="F107" s="27" t="s">
        <v>290</v>
      </c>
      <c r="G107" s="27" t="s">
        <v>291</v>
      </c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  <c r="AO107" s="27"/>
      <c r="AP107" s="27"/>
      <c r="AQ107" s="27"/>
      <c r="AR107" s="27"/>
      <c r="AS107" s="27"/>
      <c r="AT107" s="27"/>
      <c r="AU107" s="27"/>
      <c r="AV107" s="27"/>
      <c r="AW107" s="27"/>
      <c r="AX107" s="27"/>
      <c r="AY107" s="27"/>
      <c r="AZ107" s="27"/>
      <c r="BA107" s="27"/>
      <c r="BB107" s="27"/>
      <c r="BC107" s="27"/>
      <c r="BD107" s="27"/>
      <c r="BE107" s="27"/>
      <c r="BF107" s="27"/>
      <c r="BG107" s="27"/>
      <c r="BH107" s="27"/>
      <c r="BI107" s="27"/>
      <c r="BJ107" s="27"/>
      <c r="BK107" s="27" t="s">
        <v>41</v>
      </c>
      <c r="BL107" s="27" t="s">
        <v>42</v>
      </c>
      <c r="BM107" s="27" t="s">
        <v>44</v>
      </c>
      <c r="BN107" s="27" t="s">
        <v>284</v>
      </c>
      <c r="BO107" s="27" t="s">
        <v>290</v>
      </c>
      <c r="BP107" s="27"/>
      <c r="BQ107" s="27" t="n">
        <f aca="false">COUNTIFS(Trechos!$L$2:$L$838,A107)</f>
        <v>1</v>
      </c>
      <c r="BR107" s="28" t="n">
        <f aca="false">SUMIFS(Trechos!$F$2:$F$838,Trechos!$L$2:$L$838,A107)</f>
        <v>17.9814824451083</v>
      </c>
      <c r="BS107" s="27" t="n">
        <f aca="false">COUNTA(BV107:ES107)</f>
        <v>0</v>
      </c>
      <c r="BT107" s="27" t="str">
        <f aca="false">IF(COUNTA(BV107:ES107)=0,"—",_xlfn.TEXTJOIN(", ",TRUE(),BV107:ES107))</f>
        <v>—</v>
      </c>
      <c r="BU107" s="27" t="s">
        <v>54</v>
      </c>
      <c r="BV107" s="27"/>
      <c r="BW107" s="27"/>
      <c r="BX107" s="27"/>
      <c r="BY107" s="27"/>
      <c r="BZ107" s="27"/>
      <c r="CA107" s="27"/>
      <c r="CB107" s="27"/>
      <c r="CC107" s="27"/>
      <c r="CD107" s="27"/>
      <c r="CE107" s="27"/>
      <c r="CF107" s="27"/>
      <c r="CG107" s="27"/>
      <c r="CH107" s="27"/>
      <c r="CI107" s="27"/>
      <c r="CJ107" s="27"/>
      <c r="CK107" s="27"/>
      <c r="CL107" s="27"/>
      <c r="CM107" s="27"/>
      <c r="CN107" s="27"/>
      <c r="CO107" s="27"/>
      <c r="CP107" s="27"/>
      <c r="CQ107" s="27"/>
      <c r="CR107" s="27"/>
      <c r="CS107" s="27"/>
      <c r="CT107" s="27"/>
      <c r="CU107" s="27"/>
      <c r="CV107" s="27"/>
      <c r="CW107" s="27"/>
      <c r="CX107" s="27"/>
      <c r="CY107" s="27"/>
      <c r="CZ107" s="27"/>
      <c r="DA107" s="27"/>
      <c r="DB107" s="27"/>
      <c r="DC107" s="27"/>
      <c r="DD107" s="27"/>
      <c r="DE107" s="27"/>
      <c r="DF107" s="27"/>
      <c r="DG107" s="27"/>
      <c r="DH107" s="27"/>
      <c r="DI107" s="27"/>
      <c r="DJ107" s="27"/>
      <c r="DK107" s="27"/>
      <c r="DL107" s="27"/>
      <c r="DM107" s="27"/>
      <c r="DN107" s="27"/>
      <c r="DO107" s="27"/>
      <c r="DP107" s="27"/>
      <c r="DQ107" s="27"/>
      <c r="DR107" s="27"/>
      <c r="DS107" s="27"/>
      <c r="DT107" s="27"/>
      <c r="DU107" s="27"/>
      <c r="DV107" s="27"/>
      <c r="DW107" s="27"/>
      <c r="DX107" s="27"/>
      <c r="DY107" s="27"/>
      <c r="DZ107" s="27"/>
      <c r="EA107" s="27"/>
      <c r="EB107" s="27"/>
      <c r="EC107" s="27"/>
      <c r="ED107" s="27"/>
      <c r="EE107" s="27"/>
      <c r="EF107" s="27"/>
      <c r="EG107" s="27"/>
      <c r="EH107" s="27"/>
      <c r="EI107" s="27"/>
      <c r="EJ107" s="27"/>
      <c r="EK107" s="27"/>
      <c r="EL107" s="27"/>
      <c r="EM107" s="27"/>
      <c r="EN107" s="27"/>
      <c r="EO107" s="27"/>
      <c r="EP107" s="27"/>
      <c r="EQ107" s="27"/>
      <c r="ER107" s="27"/>
      <c r="ES107" s="27"/>
    </row>
    <row r="108" customFormat="false" ht="15" hidden="false" customHeight="false" outlineLevel="0" collapsed="false">
      <c r="A108" s="27" t="n">
        <v>107</v>
      </c>
      <c r="B108" s="7" t="s">
        <v>24</v>
      </c>
      <c r="C108" s="27" t="s">
        <v>303</v>
      </c>
      <c r="D108" s="27" t="s">
        <v>609</v>
      </c>
      <c r="E108" s="27" t="s">
        <v>293</v>
      </c>
      <c r="F108" s="27" t="s">
        <v>293</v>
      </c>
      <c r="G108" s="27" t="s">
        <v>610</v>
      </c>
      <c r="H108" s="27" t="s">
        <v>611</v>
      </c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7"/>
      <c r="AO108" s="27"/>
      <c r="AP108" s="27"/>
      <c r="AQ108" s="27"/>
      <c r="AR108" s="27"/>
      <c r="AS108" s="27"/>
      <c r="AT108" s="27"/>
      <c r="AU108" s="27"/>
      <c r="AV108" s="27"/>
      <c r="AW108" s="27"/>
      <c r="AX108" s="27"/>
      <c r="AY108" s="27"/>
      <c r="AZ108" s="27"/>
      <c r="BA108" s="27"/>
      <c r="BB108" s="27"/>
      <c r="BC108" s="27"/>
      <c r="BD108" s="27"/>
      <c r="BE108" s="27"/>
      <c r="BF108" s="27"/>
      <c r="BG108" s="27"/>
      <c r="BH108" s="27"/>
      <c r="BI108" s="27"/>
      <c r="BJ108" s="27"/>
      <c r="BK108" s="27" t="s">
        <v>41</v>
      </c>
      <c r="BL108" s="27" t="s">
        <v>42</v>
      </c>
      <c r="BM108" s="27" t="s">
        <v>44</v>
      </c>
      <c r="BN108" s="27" t="s">
        <v>293</v>
      </c>
      <c r="BO108" s="27"/>
      <c r="BP108" s="27"/>
      <c r="BQ108" s="27" t="n">
        <f aca="false">COUNTIFS(Trechos!$L$2:$L$838,A108)</f>
        <v>2</v>
      </c>
      <c r="BR108" s="28" t="n">
        <f aca="false">SUMIFS(Trechos!$F$2:$F$838,Trechos!$L$2:$L$838,A108)</f>
        <v>19.6213081451709</v>
      </c>
      <c r="BS108" s="27" t="n">
        <f aca="false">COUNTA(BV108:ES108)</f>
        <v>0</v>
      </c>
      <c r="BT108" s="27" t="str">
        <f aca="false">IF(COUNTA(BV108:ES108)=0,"—",_xlfn.TEXTJOIN(", ",TRUE(),BV108:ES108))</f>
        <v>—</v>
      </c>
      <c r="BU108" s="27" t="s">
        <v>54</v>
      </c>
      <c r="BV108" s="27"/>
      <c r="BW108" s="27"/>
      <c r="BX108" s="27"/>
      <c r="BY108" s="27"/>
      <c r="BZ108" s="27"/>
      <c r="CA108" s="27"/>
      <c r="CB108" s="27"/>
      <c r="CC108" s="27"/>
      <c r="CD108" s="27"/>
      <c r="CE108" s="27"/>
      <c r="CF108" s="27"/>
      <c r="CG108" s="27"/>
      <c r="CH108" s="27"/>
      <c r="CI108" s="27"/>
      <c r="CJ108" s="27"/>
      <c r="CK108" s="27"/>
      <c r="CL108" s="27"/>
      <c r="CM108" s="27"/>
      <c r="CN108" s="27"/>
      <c r="CO108" s="27"/>
      <c r="CP108" s="27"/>
      <c r="CQ108" s="27"/>
      <c r="CR108" s="27"/>
      <c r="CS108" s="27"/>
      <c r="CT108" s="27"/>
      <c r="CU108" s="27"/>
      <c r="CV108" s="27"/>
      <c r="CW108" s="27"/>
      <c r="CX108" s="27"/>
      <c r="CY108" s="27"/>
      <c r="CZ108" s="27"/>
      <c r="DA108" s="27"/>
      <c r="DB108" s="27"/>
      <c r="DC108" s="27"/>
      <c r="DD108" s="27"/>
      <c r="DE108" s="27"/>
      <c r="DF108" s="27"/>
      <c r="DG108" s="27"/>
      <c r="DH108" s="27"/>
      <c r="DI108" s="27"/>
      <c r="DJ108" s="27"/>
      <c r="DK108" s="27"/>
      <c r="DL108" s="27"/>
      <c r="DM108" s="27"/>
      <c r="DN108" s="27"/>
      <c r="DO108" s="27"/>
      <c r="DP108" s="27"/>
      <c r="DQ108" s="27"/>
      <c r="DR108" s="27"/>
      <c r="DS108" s="27"/>
      <c r="DT108" s="27"/>
      <c r="DU108" s="27"/>
      <c r="DV108" s="27"/>
      <c r="DW108" s="27"/>
      <c r="DX108" s="27"/>
      <c r="DY108" s="27"/>
      <c r="DZ108" s="27"/>
      <c r="EA108" s="27"/>
      <c r="EB108" s="27"/>
      <c r="EC108" s="27"/>
      <c r="ED108" s="27"/>
      <c r="EE108" s="27"/>
      <c r="EF108" s="27"/>
      <c r="EG108" s="27"/>
      <c r="EH108" s="27"/>
      <c r="EI108" s="27"/>
      <c r="EJ108" s="27"/>
      <c r="EK108" s="27"/>
      <c r="EL108" s="27"/>
      <c r="EM108" s="27"/>
      <c r="EN108" s="27"/>
      <c r="EO108" s="27"/>
      <c r="EP108" s="27"/>
      <c r="EQ108" s="27"/>
      <c r="ER108" s="27"/>
      <c r="ES108" s="27"/>
    </row>
    <row r="109" customFormat="false" ht="15" hidden="false" customHeight="false" outlineLevel="0" collapsed="false">
      <c r="A109" s="4" t="s">
        <v>612</v>
      </c>
      <c r="BQ109" s="29" t="n">
        <f aca="false">SUM(BQ2:BQ108)</f>
        <v>837</v>
      </c>
      <c r="BR109" s="29" t="n">
        <f aca="false">SUM(BR2:BR108)</f>
        <v>46534.9681643711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false" summaryRight="true"/>
    <pageSetUpPr fitToPage="false"/>
  </sheetPr>
  <dimension ref="A1:N9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1" outlineLevelCol="0"/>
  <cols>
    <col collapsed="false" customWidth="true" hidden="false" outlineLevel="0" max="2" min="1" style="0" width="7"/>
    <col collapsed="false" customWidth="true" hidden="false" outlineLevel="0" max="3" min="3" style="0" width="12"/>
    <col collapsed="false" customWidth="true" hidden="false" outlineLevel="0" max="4" min="4" style="0" width="17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9" min="7" style="0" width="11"/>
    <col collapsed="false" customWidth="true" hidden="false" outlineLevel="0" max="10" min="10" style="0" width="16"/>
    <col collapsed="false" customWidth="true" hidden="false" outlineLevel="0" max="11" min="11" style="0" width="14"/>
    <col collapsed="false" customWidth="true" hidden="false" outlineLevel="0" max="12" min="12" style="0" width="24"/>
    <col collapsed="false" customWidth="true" hidden="false" outlineLevel="0" max="13" min="13" style="0" width="18"/>
    <col collapsed="false" customWidth="true" hidden="false" outlineLevel="0" max="14" min="14" style="0" width="42"/>
  </cols>
  <sheetData>
    <row r="1" customFormat="false" ht="31.5" hidden="false" customHeight="true" outlineLevel="0" collapsed="false">
      <c r="A1" s="12" t="s">
        <v>11</v>
      </c>
      <c r="B1" s="12" t="s">
        <v>1</v>
      </c>
      <c r="C1" s="12" t="s">
        <v>302</v>
      </c>
      <c r="D1" s="12" t="s">
        <v>303</v>
      </c>
      <c r="E1" s="12" t="s">
        <v>7</v>
      </c>
      <c r="F1" s="12" t="s">
        <v>613</v>
      </c>
      <c r="G1" s="12" t="s">
        <v>301</v>
      </c>
      <c r="H1" s="12" t="s">
        <v>614</v>
      </c>
      <c r="I1" s="12" t="s">
        <v>37</v>
      </c>
      <c r="J1" s="12" t="s">
        <v>615</v>
      </c>
      <c r="K1" s="12" t="s">
        <v>306</v>
      </c>
      <c r="L1" s="12" t="s">
        <v>616</v>
      </c>
      <c r="M1" s="12" t="s">
        <v>38</v>
      </c>
      <c r="N1" s="12" t="s">
        <v>617</v>
      </c>
    </row>
    <row r="2" customFormat="false" ht="15" hidden="false" customHeight="false" outlineLevel="0" collapsed="true">
      <c r="A2" s="30" t="n">
        <v>1</v>
      </c>
      <c r="B2" s="30" t="s">
        <v>22</v>
      </c>
      <c r="C2" s="30" t="s">
        <v>5</v>
      </c>
      <c r="D2" s="30" t="s">
        <v>5</v>
      </c>
      <c r="E2" s="30" t="s">
        <v>41</v>
      </c>
      <c r="F2" s="30" t="str">
        <f aca="false">COUNTIFS(Trechos!$L$2:$L$838,A2)&amp;" vãos"</f>
        <v>43 vãos</v>
      </c>
      <c r="G2" s="30"/>
      <c r="H2" s="30"/>
      <c r="I2" s="31" t="n">
        <f aca="false">SUMIFS(Trechos!$F$2:$F$838,Trechos!$L$2:$L$838,A2)</f>
        <v>1688.68604322695</v>
      </c>
      <c r="J2" s="30"/>
      <c r="K2" s="30"/>
      <c r="L2" s="30" t="s">
        <v>42</v>
      </c>
      <c r="M2" s="30" t="s">
        <v>43</v>
      </c>
      <c r="N2" s="30" t="str">
        <f aca="false">Blocos!BT2</f>
        <v>7900106004, 7927795004, 0300031004, 0345006004, 0352810004, 0300724004, 0342284004, 0200038004, 0328286004, 0314965004, 0344627004, 0334747004, 0347400004, 0358161004, 0342738004, 0203728004, 0328468004, 0329025004, 0203016004, 0300049004, 0203015004, 0300052004, 0200050004, 0200028004, 0300024004, 0349562004, 0349564004, 0355236004, 0200023004, 0204420004, 0302387004, 3302865004, 3300065004, 0320309004, 0310307004, 0303851004, 0310306004, 0303865004, 0342709004, 0303866004, 0303867004, 0302309004, 0300064004, 0320308004, 0301840004, 0303850004, 0320305004, 0346260004, 0346420004, 0355088004, 0340038004, 0201389004, 0303849004, 0310949004, 0210950004, 0301838004, 0301839004, 0245040004, 0303718004, 0202970004, 0354089004, 0354093004, 0220315004, 0346072004, 0345823004, 0200043004, 0200011004, 0357531004, 0303835004, 0356395004, 3300016004, 0301090004, 0303861004, 0304100004, 0201099004, 0301069004</v>
      </c>
    </row>
    <row r="3" customFormat="false" ht="15" hidden="true" customHeight="false" outlineLevel="1" collapsed="false">
      <c r="F3" s="27" t="s">
        <v>618</v>
      </c>
      <c r="G3" s="27" t="s">
        <v>619</v>
      </c>
      <c r="H3" s="27" t="s">
        <v>620</v>
      </c>
      <c r="I3" s="32" t="n">
        <v>41.0381224050729</v>
      </c>
      <c r="J3" s="28" t="n">
        <v>41.0381224050729</v>
      </c>
      <c r="K3" s="27"/>
    </row>
    <row r="4" customFormat="false" ht="15" hidden="true" customHeight="false" outlineLevel="1" collapsed="false">
      <c r="F4" s="27" t="s">
        <v>621</v>
      </c>
      <c r="G4" s="27" t="s">
        <v>620</v>
      </c>
      <c r="H4" s="27" t="s">
        <v>622</v>
      </c>
      <c r="I4" s="32" t="n">
        <v>1.99975074469302</v>
      </c>
      <c r="J4" s="28" t="n">
        <v>43.0378731497659</v>
      </c>
      <c r="K4" s="27" t="s">
        <v>623</v>
      </c>
    </row>
    <row r="5" customFormat="false" ht="15" hidden="true" customHeight="false" outlineLevel="1" collapsed="false">
      <c r="F5" s="27" t="s">
        <v>624</v>
      </c>
      <c r="G5" s="27" t="s">
        <v>622</v>
      </c>
      <c r="H5" s="27" t="s">
        <v>625</v>
      </c>
      <c r="I5" s="32" t="n">
        <v>17.1469303221971</v>
      </c>
      <c r="J5" s="28" t="n">
        <v>60.1848034719631</v>
      </c>
      <c r="K5" s="27"/>
    </row>
    <row r="6" customFormat="false" ht="15" hidden="true" customHeight="false" outlineLevel="1" collapsed="false">
      <c r="F6" s="27" t="s">
        <v>626</v>
      </c>
      <c r="G6" s="27" t="s">
        <v>625</v>
      </c>
      <c r="H6" s="27" t="s">
        <v>627</v>
      </c>
      <c r="I6" s="32" t="n">
        <v>2.92455122246055</v>
      </c>
      <c r="J6" s="28" t="n">
        <v>63.1093546944236</v>
      </c>
      <c r="K6" s="27"/>
    </row>
    <row r="7" customFormat="false" ht="15" hidden="true" customHeight="false" outlineLevel="1" collapsed="false">
      <c r="F7" s="27" t="s">
        <v>628</v>
      </c>
      <c r="G7" s="27" t="s">
        <v>627</v>
      </c>
      <c r="H7" s="27" t="s">
        <v>629</v>
      </c>
      <c r="I7" s="32" t="n">
        <v>36.0458093978032</v>
      </c>
      <c r="J7" s="28" t="n">
        <v>99.1551640922268</v>
      </c>
      <c r="K7" s="27"/>
    </row>
    <row r="8" customFormat="false" ht="15" hidden="true" customHeight="false" outlineLevel="1" collapsed="false">
      <c r="F8" s="27" t="s">
        <v>630</v>
      </c>
      <c r="G8" s="27" t="s">
        <v>629</v>
      </c>
      <c r="H8" s="27" t="s">
        <v>631</v>
      </c>
      <c r="I8" s="32" t="n">
        <v>3.42510001848546</v>
      </c>
      <c r="J8" s="28" t="n">
        <v>102.580264110712</v>
      </c>
      <c r="K8" s="27"/>
    </row>
    <row r="9" customFormat="false" ht="15" hidden="true" customHeight="false" outlineLevel="1" collapsed="false">
      <c r="F9" s="27" t="s">
        <v>632</v>
      </c>
      <c r="G9" s="27" t="s">
        <v>631</v>
      </c>
      <c r="H9" s="27" t="s">
        <v>633</v>
      </c>
      <c r="I9" s="32" t="n">
        <v>20.0848279035018</v>
      </c>
      <c r="J9" s="28" t="n">
        <v>122.665092014214</v>
      </c>
      <c r="K9" s="27"/>
    </row>
    <row r="10" customFormat="false" ht="15" hidden="true" customHeight="false" outlineLevel="1" collapsed="false">
      <c r="F10" s="27" t="s">
        <v>634</v>
      </c>
      <c r="G10" s="27" t="s">
        <v>633</v>
      </c>
      <c r="H10" s="27" t="s">
        <v>635</v>
      </c>
      <c r="I10" s="32" t="n">
        <v>3.09892791240852</v>
      </c>
      <c r="J10" s="28" t="n">
        <v>125.764019926623</v>
      </c>
      <c r="K10" s="27"/>
    </row>
    <row r="11" customFormat="false" ht="15" hidden="true" customHeight="false" outlineLevel="1" collapsed="false">
      <c r="F11" s="27" t="s">
        <v>636</v>
      </c>
      <c r="G11" s="27" t="s">
        <v>635</v>
      </c>
      <c r="H11" s="27" t="s">
        <v>637</v>
      </c>
      <c r="I11" s="32" t="n">
        <v>50.7051959078943</v>
      </c>
      <c r="J11" s="28" t="n">
        <v>176.469215834517</v>
      </c>
      <c r="K11" s="27"/>
    </row>
    <row r="12" customFormat="false" ht="15" hidden="true" customHeight="false" outlineLevel="1" collapsed="false">
      <c r="F12" s="27" t="s">
        <v>638</v>
      </c>
      <c r="G12" s="27" t="s">
        <v>637</v>
      </c>
      <c r="H12" s="27" t="s">
        <v>639</v>
      </c>
      <c r="I12" s="32" t="n">
        <v>3.44880759773909</v>
      </c>
      <c r="J12" s="28" t="n">
        <v>179.918023432256</v>
      </c>
      <c r="K12" s="27"/>
    </row>
    <row r="13" customFormat="false" ht="15" hidden="true" customHeight="false" outlineLevel="1" collapsed="false">
      <c r="F13" s="27" t="s">
        <v>640</v>
      </c>
      <c r="G13" s="27" t="s">
        <v>639</v>
      </c>
      <c r="H13" s="27" t="s">
        <v>641</v>
      </c>
      <c r="I13" s="32" t="n">
        <v>16.0924372583707</v>
      </c>
      <c r="J13" s="28" t="n">
        <v>196.010460690627</v>
      </c>
      <c r="K13" s="27"/>
    </row>
    <row r="14" customFormat="false" ht="15" hidden="true" customHeight="false" outlineLevel="1" collapsed="false">
      <c r="F14" s="27" t="s">
        <v>642</v>
      </c>
      <c r="G14" s="27" t="s">
        <v>641</v>
      </c>
      <c r="H14" s="27" t="s">
        <v>643</v>
      </c>
      <c r="I14" s="32" t="n">
        <v>3.72373390107315</v>
      </c>
      <c r="J14" s="28" t="n">
        <v>199.7341945917</v>
      </c>
      <c r="K14" s="27"/>
    </row>
    <row r="15" customFormat="false" ht="15" hidden="true" customHeight="false" outlineLevel="1" collapsed="false">
      <c r="F15" s="27" t="s">
        <v>644</v>
      </c>
      <c r="G15" s="27" t="s">
        <v>643</v>
      </c>
      <c r="H15" s="27" t="s">
        <v>645</v>
      </c>
      <c r="I15" s="32" t="n">
        <v>97.1293336725192</v>
      </c>
      <c r="J15" s="28" t="n">
        <v>296.863528264219</v>
      </c>
      <c r="K15" s="27"/>
    </row>
    <row r="16" customFormat="false" ht="15" hidden="true" customHeight="false" outlineLevel="1" collapsed="false">
      <c r="F16" s="27" t="s">
        <v>646</v>
      </c>
      <c r="G16" s="27" t="s">
        <v>645</v>
      </c>
      <c r="H16" s="27" t="s">
        <v>647</v>
      </c>
      <c r="I16" s="32" t="n">
        <v>12.306964033521</v>
      </c>
      <c r="J16" s="28" t="n">
        <v>309.17049229774</v>
      </c>
      <c r="K16" s="27"/>
    </row>
    <row r="17" customFormat="false" ht="15" hidden="true" customHeight="false" outlineLevel="1" collapsed="false">
      <c r="F17" s="27" t="s">
        <v>648</v>
      </c>
      <c r="G17" s="27" t="s">
        <v>647</v>
      </c>
      <c r="H17" s="27" t="s">
        <v>649</v>
      </c>
      <c r="I17" s="32" t="n">
        <v>1.13793540734345</v>
      </c>
      <c r="J17" s="28" t="n">
        <v>310.308427705084</v>
      </c>
      <c r="K17" s="27" t="s">
        <v>650</v>
      </c>
    </row>
    <row r="18" customFormat="false" ht="15" hidden="true" customHeight="false" outlineLevel="1" collapsed="false">
      <c r="F18" s="27" t="s">
        <v>651</v>
      </c>
      <c r="G18" s="27" t="s">
        <v>649</v>
      </c>
      <c r="H18" s="27" t="s">
        <v>652</v>
      </c>
      <c r="I18" s="32" t="n">
        <v>6.86872947688364</v>
      </c>
      <c r="J18" s="28" t="n">
        <v>317.177157181967</v>
      </c>
      <c r="K18" s="27"/>
    </row>
    <row r="19" customFormat="false" ht="15" hidden="true" customHeight="false" outlineLevel="1" collapsed="false">
      <c r="F19" s="27" t="s">
        <v>653</v>
      </c>
      <c r="G19" s="27" t="s">
        <v>652</v>
      </c>
      <c r="H19" s="27" t="s">
        <v>654</v>
      </c>
      <c r="I19" s="32" t="n">
        <v>27.8843632846819</v>
      </c>
      <c r="J19" s="28" t="n">
        <v>345.061520466649</v>
      </c>
      <c r="K19" s="27"/>
    </row>
    <row r="20" customFormat="false" ht="15" hidden="true" customHeight="false" outlineLevel="1" collapsed="false">
      <c r="F20" s="27" t="s">
        <v>655</v>
      </c>
      <c r="G20" s="27" t="s">
        <v>654</v>
      </c>
      <c r="H20" s="27" t="s">
        <v>656</v>
      </c>
      <c r="I20" s="32" t="n">
        <v>3.59611207381204</v>
      </c>
      <c r="J20" s="28" t="n">
        <v>348.657632540461</v>
      </c>
      <c r="K20" s="27"/>
    </row>
    <row r="21" customFormat="false" ht="15" hidden="true" customHeight="false" outlineLevel="1" collapsed="false">
      <c r="F21" s="27" t="s">
        <v>657</v>
      </c>
      <c r="G21" s="27" t="s">
        <v>656</v>
      </c>
      <c r="H21" s="27" t="s">
        <v>658</v>
      </c>
      <c r="I21" s="32" t="n">
        <v>12.9494216216507</v>
      </c>
      <c r="J21" s="28" t="n">
        <v>361.607054162112</v>
      </c>
      <c r="K21" s="27"/>
    </row>
    <row r="22" customFormat="false" ht="15" hidden="true" customHeight="false" outlineLevel="1" collapsed="false">
      <c r="F22" s="27" t="s">
        <v>659</v>
      </c>
      <c r="G22" s="27" t="s">
        <v>658</v>
      </c>
      <c r="H22" s="27" t="s">
        <v>660</v>
      </c>
      <c r="I22" s="32" t="n">
        <v>3.77375108087405</v>
      </c>
      <c r="J22" s="28" t="n">
        <v>365.380805242986</v>
      </c>
      <c r="K22" s="27"/>
    </row>
    <row r="23" customFormat="false" ht="15" hidden="true" customHeight="false" outlineLevel="1" collapsed="false">
      <c r="F23" s="27" t="s">
        <v>661</v>
      </c>
      <c r="G23" s="27" t="s">
        <v>660</v>
      </c>
      <c r="H23" s="27" t="s">
        <v>662</v>
      </c>
      <c r="I23" s="32" t="n">
        <v>13.986460923947</v>
      </c>
      <c r="J23" s="28" t="n">
        <v>379.367266166933</v>
      </c>
      <c r="K23" s="27"/>
    </row>
    <row r="24" customFormat="false" ht="15" hidden="true" customHeight="false" outlineLevel="1" collapsed="false">
      <c r="F24" s="27" t="s">
        <v>663</v>
      </c>
      <c r="G24" s="27" t="s">
        <v>662</v>
      </c>
      <c r="H24" s="27" t="s">
        <v>664</v>
      </c>
      <c r="I24" s="32" t="n">
        <v>3.61147743792708</v>
      </c>
      <c r="J24" s="28" t="n">
        <v>382.97874360486</v>
      </c>
      <c r="K24" s="27"/>
    </row>
    <row r="25" customFormat="false" ht="15" hidden="true" customHeight="false" outlineLevel="1" collapsed="false">
      <c r="F25" s="27" t="s">
        <v>665</v>
      </c>
      <c r="G25" s="27" t="s">
        <v>664</v>
      </c>
      <c r="H25" s="27" t="s">
        <v>666</v>
      </c>
      <c r="I25" s="32" t="n">
        <v>20.0166086391435</v>
      </c>
      <c r="J25" s="28" t="n">
        <v>402.995352244003</v>
      </c>
      <c r="K25" s="27"/>
    </row>
    <row r="26" customFormat="false" ht="15" hidden="true" customHeight="false" outlineLevel="1" collapsed="false">
      <c r="F26" s="27" t="s">
        <v>667</v>
      </c>
      <c r="G26" s="27" t="s">
        <v>666</v>
      </c>
      <c r="H26" s="27" t="s">
        <v>668</v>
      </c>
      <c r="I26" s="32" t="n">
        <v>3.58892619184597</v>
      </c>
      <c r="J26" s="28" t="n">
        <v>406.584278435849</v>
      </c>
      <c r="K26" s="27"/>
    </row>
    <row r="27" customFormat="false" ht="15" hidden="true" customHeight="false" outlineLevel="1" collapsed="false">
      <c r="F27" s="27" t="s">
        <v>669</v>
      </c>
      <c r="G27" s="27" t="s">
        <v>668</v>
      </c>
      <c r="H27" s="27" t="s">
        <v>670</v>
      </c>
      <c r="I27" s="32" t="n">
        <v>44.8335816135897</v>
      </c>
      <c r="J27" s="28" t="n">
        <v>451.417860049439</v>
      </c>
      <c r="K27" s="27"/>
    </row>
    <row r="28" customFormat="false" ht="15" hidden="true" customHeight="false" outlineLevel="1" collapsed="false">
      <c r="F28" s="27" t="s">
        <v>671</v>
      </c>
      <c r="G28" s="27" t="s">
        <v>670</v>
      </c>
      <c r="H28" s="27" t="s">
        <v>672</v>
      </c>
      <c r="I28" s="32" t="n">
        <v>239.44686633918</v>
      </c>
      <c r="J28" s="28" t="n">
        <v>690.864726388619</v>
      </c>
      <c r="K28" s="27"/>
    </row>
    <row r="29" customFormat="false" ht="15" hidden="true" customHeight="false" outlineLevel="1" collapsed="false">
      <c r="F29" s="27" t="s">
        <v>673</v>
      </c>
      <c r="G29" s="27" t="s">
        <v>672</v>
      </c>
      <c r="H29" s="27" t="s">
        <v>674</v>
      </c>
      <c r="I29" s="32" t="n">
        <v>45.2924374477819</v>
      </c>
      <c r="J29" s="28" t="n">
        <v>736.157163836401</v>
      </c>
      <c r="K29" s="27"/>
    </row>
    <row r="30" customFormat="false" ht="15" hidden="true" customHeight="false" outlineLevel="1" collapsed="false">
      <c r="F30" s="27" t="s">
        <v>675</v>
      </c>
      <c r="G30" s="27" t="s">
        <v>674</v>
      </c>
      <c r="H30" s="27" t="s">
        <v>676</v>
      </c>
      <c r="I30" s="32" t="n">
        <v>3.42788007282376</v>
      </c>
      <c r="J30" s="28" t="n">
        <v>739.585043909224</v>
      </c>
      <c r="K30" s="27" t="s">
        <v>677</v>
      </c>
    </row>
    <row r="31" customFormat="false" ht="15" hidden="true" customHeight="false" outlineLevel="1" collapsed="false">
      <c r="F31" s="27" t="s">
        <v>678</v>
      </c>
      <c r="G31" s="27" t="s">
        <v>676</v>
      </c>
      <c r="H31" s="27" t="s">
        <v>679</v>
      </c>
      <c r="I31" s="32" t="n">
        <v>136.455022045927</v>
      </c>
      <c r="J31" s="28" t="n">
        <v>876.040065955152</v>
      </c>
      <c r="K31" s="27"/>
    </row>
    <row r="32" customFormat="false" ht="15" hidden="true" customHeight="false" outlineLevel="1" collapsed="false">
      <c r="F32" s="27" t="s">
        <v>680</v>
      </c>
      <c r="G32" s="27" t="s">
        <v>679</v>
      </c>
      <c r="H32" s="27" t="s">
        <v>681</v>
      </c>
      <c r="I32" s="32" t="n">
        <v>138.402059590168</v>
      </c>
      <c r="J32" s="28" t="n">
        <v>1014.44212554532</v>
      </c>
      <c r="K32" s="27"/>
    </row>
    <row r="33" customFormat="false" ht="15" hidden="true" customHeight="false" outlineLevel="1" collapsed="false">
      <c r="F33" s="27" t="s">
        <v>682</v>
      </c>
      <c r="G33" s="27" t="s">
        <v>681</v>
      </c>
      <c r="H33" s="27" t="s">
        <v>683</v>
      </c>
      <c r="I33" s="32" t="n">
        <v>3.72372371327325</v>
      </c>
      <c r="J33" s="28" t="n">
        <v>1018.16584925859</v>
      </c>
      <c r="K33" s="27"/>
    </row>
    <row r="34" customFormat="false" ht="15" hidden="true" customHeight="false" outlineLevel="1" collapsed="false">
      <c r="F34" s="27" t="s">
        <v>684</v>
      </c>
      <c r="G34" s="27" t="s">
        <v>683</v>
      </c>
      <c r="H34" s="27" t="s">
        <v>685</v>
      </c>
      <c r="I34" s="32" t="n">
        <v>118.02833544109</v>
      </c>
      <c r="J34" s="28" t="n">
        <v>1136.19418469968</v>
      </c>
      <c r="K34" s="27"/>
    </row>
    <row r="35" customFormat="false" ht="15" hidden="true" customHeight="false" outlineLevel="1" collapsed="false">
      <c r="F35" s="27" t="s">
        <v>686</v>
      </c>
      <c r="G35" s="27" t="s">
        <v>685</v>
      </c>
      <c r="H35" s="27" t="s">
        <v>687</v>
      </c>
      <c r="I35" s="32" t="n">
        <v>99.3999997208714</v>
      </c>
      <c r="J35" s="28" t="n">
        <v>1235.59418442055</v>
      </c>
      <c r="K35" s="27"/>
    </row>
    <row r="36" customFormat="false" ht="15" hidden="true" customHeight="false" outlineLevel="1" collapsed="false">
      <c r="F36" s="27" t="s">
        <v>688</v>
      </c>
      <c r="G36" s="27" t="s">
        <v>687</v>
      </c>
      <c r="H36" s="27" t="s">
        <v>689</v>
      </c>
      <c r="I36" s="32" t="n">
        <v>294.725561746487</v>
      </c>
      <c r="J36" s="28" t="n">
        <v>1530.31974616704</v>
      </c>
      <c r="K36" s="27"/>
    </row>
    <row r="37" customFormat="false" ht="15" hidden="true" customHeight="false" outlineLevel="1" collapsed="false">
      <c r="F37" s="27" t="s">
        <v>690</v>
      </c>
      <c r="G37" s="27" t="s">
        <v>689</v>
      </c>
      <c r="H37" s="27" t="s">
        <v>691</v>
      </c>
      <c r="I37" s="32" t="n">
        <v>27.8083441136049</v>
      </c>
      <c r="J37" s="28" t="n">
        <v>1558.12809028065</v>
      </c>
      <c r="K37" s="27"/>
    </row>
    <row r="38" customFormat="false" ht="15" hidden="true" customHeight="false" outlineLevel="1" collapsed="false">
      <c r="F38" s="27" t="s">
        <v>692</v>
      </c>
      <c r="G38" s="27" t="s">
        <v>691</v>
      </c>
      <c r="H38" s="27" t="s">
        <v>693</v>
      </c>
      <c r="I38" s="32" t="n">
        <v>5.11569508786359</v>
      </c>
      <c r="J38" s="28" t="n">
        <v>1563.24378536851</v>
      </c>
      <c r="K38" s="27" t="s">
        <v>694</v>
      </c>
    </row>
    <row r="39" customFormat="false" ht="15" hidden="true" customHeight="false" outlineLevel="1" collapsed="false">
      <c r="F39" s="27" t="s">
        <v>695</v>
      </c>
      <c r="G39" s="27" t="s">
        <v>693</v>
      </c>
      <c r="H39" s="27" t="s">
        <v>696</v>
      </c>
      <c r="I39" s="32" t="n">
        <v>45.6289978927793</v>
      </c>
      <c r="J39" s="28" t="n">
        <v>1608.87278326129</v>
      </c>
      <c r="K39" s="27"/>
    </row>
    <row r="40" customFormat="false" ht="15" hidden="true" customHeight="false" outlineLevel="1" collapsed="false">
      <c r="F40" s="27" t="s">
        <v>697</v>
      </c>
      <c r="G40" s="27" t="s">
        <v>696</v>
      </c>
      <c r="H40" s="27" t="s">
        <v>698</v>
      </c>
      <c r="I40" s="32" t="n">
        <v>3.32720038263637</v>
      </c>
      <c r="J40" s="28" t="n">
        <v>1612.19998364393</v>
      </c>
      <c r="K40" s="27"/>
    </row>
    <row r="41" customFormat="false" ht="15" hidden="true" customHeight="false" outlineLevel="1" collapsed="false">
      <c r="F41" s="27" t="s">
        <v>699</v>
      </c>
      <c r="G41" s="27" t="s">
        <v>698</v>
      </c>
      <c r="H41" s="27" t="s">
        <v>700</v>
      </c>
      <c r="I41" s="32" t="n">
        <v>3.9812053653703</v>
      </c>
      <c r="J41" s="28" t="n">
        <v>1616.1811890093</v>
      </c>
      <c r="K41" s="27"/>
    </row>
    <row r="42" customFormat="false" ht="15" hidden="true" customHeight="false" outlineLevel="1" collapsed="false">
      <c r="F42" s="27" t="s">
        <v>701</v>
      </c>
      <c r="G42" s="27" t="s">
        <v>700</v>
      </c>
      <c r="H42" s="27" t="s">
        <v>702</v>
      </c>
      <c r="I42" s="32" t="n">
        <v>69.2195391764969</v>
      </c>
      <c r="J42" s="28" t="n">
        <v>1685.40072818579</v>
      </c>
      <c r="K42" s="27"/>
    </row>
    <row r="43" customFormat="false" ht="15" hidden="true" customHeight="false" outlineLevel="1" collapsed="false">
      <c r="F43" s="27" t="s">
        <v>703</v>
      </c>
      <c r="G43" s="27" t="s">
        <v>702</v>
      </c>
      <c r="H43" s="27" t="s">
        <v>704</v>
      </c>
      <c r="I43" s="32" t="n">
        <v>0.222389853107463</v>
      </c>
      <c r="J43" s="28" t="n">
        <v>1685.6231180389</v>
      </c>
      <c r="K43" s="27"/>
    </row>
    <row r="44" customFormat="false" ht="15" hidden="true" customHeight="false" outlineLevel="1" collapsed="false">
      <c r="F44" s="27" t="s">
        <v>705</v>
      </c>
      <c r="G44" s="27" t="s">
        <v>704</v>
      </c>
      <c r="H44" s="27" t="s">
        <v>706</v>
      </c>
      <c r="I44" s="32" t="n">
        <v>2.81467750644975</v>
      </c>
      <c r="J44" s="28" t="n">
        <v>1688.43779554535</v>
      </c>
      <c r="K44" s="27"/>
    </row>
    <row r="45" customFormat="false" ht="15" hidden="true" customHeight="false" outlineLevel="1" collapsed="false">
      <c r="F45" s="27" t="s">
        <v>707</v>
      </c>
      <c r="G45" s="27" t="s">
        <v>706</v>
      </c>
      <c r="H45" s="27" t="s">
        <v>708</v>
      </c>
      <c r="I45" s="32" t="n">
        <v>0.248247681595679</v>
      </c>
      <c r="J45" s="28" t="n">
        <v>1688.68604322695</v>
      </c>
      <c r="K45" s="27"/>
    </row>
    <row r="46" customFormat="false" ht="15" hidden="false" customHeight="false" outlineLevel="0" collapsed="true">
      <c r="A46" s="33" t="n">
        <v>2</v>
      </c>
      <c r="B46" s="33" t="s">
        <v>23</v>
      </c>
      <c r="C46" s="33" t="s">
        <v>5</v>
      </c>
      <c r="D46" s="33" t="s">
        <v>5</v>
      </c>
      <c r="E46" s="33" t="s">
        <v>42</v>
      </c>
      <c r="F46" s="33" t="str">
        <f aca="false">COUNTIFS(Trechos!$L$2:$L$838,A46)&amp;" vãos"</f>
        <v>29 vãos</v>
      </c>
      <c r="G46" s="33"/>
      <c r="H46" s="33"/>
      <c r="I46" s="34" t="n">
        <f aca="false">SUMIFS(Trechos!$F$2:$F$838,Trechos!$L$2:$L$838,A46)</f>
        <v>1397.31781320933</v>
      </c>
      <c r="J46" s="33"/>
      <c r="K46" s="33"/>
      <c r="L46" s="33" t="s">
        <v>44</v>
      </c>
      <c r="M46" s="33" t="s">
        <v>45</v>
      </c>
      <c r="N46" s="33" t="str">
        <f aca="false">Blocos!BT3</f>
        <v>7927795004, 0300031004, 0345006004, 0352810004, 0300724004, 0342284004, 0200038004, 0328286004, 0314965004, 0344627004, 0334747004, 0347400004, 0358161004, 0342738004, 0203728004, 0328468004, 0329025004, 0203016004, 0300049004, 0203015004, 0300052004, 0200050004, 0200028004, 0300024004, 0349562004, 0349564004, 0355236004, 0200023004, 0204420004</v>
      </c>
    </row>
    <row r="47" customFormat="false" ht="15" hidden="true" customHeight="false" outlineLevel="1" collapsed="false">
      <c r="F47" s="27" t="s">
        <v>709</v>
      </c>
      <c r="G47" s="27" t="s">
        <v>708</v>
      </c>
      <c r="H47" s="27" t="s">
        <v>710</v>
      </c>
      <c r="I47" s="32" t="n">
        <v>1.75676171973257</v>
      </c>
      <c r="J47" s="28" t="n">
        <v>1.75676171973259</v>
      </c>
      <c r="K47" s="27"/>
    </row>
    <row r="48" customFormat="false" ht="15" hidden="true" customHeight="false" outlineLevel="1" collapsed="false">
      <c r="F48" s="27" t="s">
        <v>711</v>
      </c>
      <c r="G48" s="27" t="s">
        <v>710</v>
      </c>
      <c r="H48" s="27" t="s">
        <v>712</v>
      </c>
      <c r="I48" s="32" t="n">
        <v>0.398728253710708</v>
      </c>
      <c r="J48" s="28" t="n">
        <v>2.15548997344331</v>
      </c>
      <c r="K48" s="27"/>
    </row>
    <row r="49" customFormat="false" ht="15" hidden="true" customHeight="false" outlineLevel="1" collapsed="false">
      <c r="F49" s="27" t="s">
        <v>713</v>
      </c>
      <c r="G49" s="27" t="s">
        <v>712</v>
      </c>
      <c r="H49" s="27" t="s">
        <v>714</v>
      </c>
      <c r="I49" s="32" t="n">
        <v>2.71775620509772</v>
      </c>
      <c r="J49" s="28" t="n">
        <v>4.87324617854097</v>
      </c>
      <c r="K49" s="27"/>
    </row>
    <row r="50" customFormat="false" ht="15" hidden="true" customHeight="false" outlineLevel="1" collapsed="false">
      <c r="F50" s="27" t="s">
        <v>715</v>
      </c>
      <c r="G50" s="27" t="s">
        <v>714</v>
      </c>
      <c r="H50" s="27" t="s">
        <v>716</v>
      </c>
      <c r="I50" s="32" t="n">
        <v>110.265313829523</v>
      </c>
      <c r="J50" s="28" t="n">
        <v>115.138560008064</v>
      </c>
      <c r="K50" s="27"/>
    </row>
    <row r="51" customFormat="false" ht="15" hidden="true" customHeight="false" outlineLevel="1" collapsed="false">
      <c r="F51" s="27" t="s">
        <v>717</v>
      </c>
      <c r="G51" s="27" t="s">
        <v>716</v>
      </c>
      <c r="H51" s="27" t="s">
        <v>718</v>
      </c>
      <c r="I51" s="32" t="n">
        <v>3.67602025138273</v>
      </c>
      <c r="J51" s="28" t="n">
        <v>118.814580259446</v>
      </c>
      <c r="K51" s="27"/>
    </row>
    <row r="52" customFormat="false" ht="15" hidden="true" customHeight="false" outlineLevel="1" collapsed="false">
      <c r="F52" s="27" t="s">
        <v>719</v>
      </c>
      <c r="G52" s="27" t="s">
        <v>718</v>
      </c>
      <c r="H52" s="27" t="s">
        <v>720</v>
      </c>
      <c r="I52" s="32" t="n">
        <v>76.5649232868155</v>
      </c>
      <c r="J52" s="28" t="n">
        <v>195.379503546262</v>
      </c>
      <c r="K52" s="27"/>
    </row>
    <row r="53" customFormat="false" ht="15" hidden="true" customHeight="false" outlineLevel="1" collapsed="false">
      <c r="F53" s="27" t="s">
        <v>721</v>
      </c>
      <c r="G53" s="27" t="s">
        <v>720</v>
      </c>
      <c r="H53" s="27" t="s">
        <v>722</v>
      </c>
      <c r="I53" s="32" t="n">
        <v>3.34323783435515</v>
      </c>
      <c r="J53" s="28" t="n">
        <v>198.722741380617</v>
      </c>
      <c r="K53" s="27"/>
    </row>
    <row r="54" customFormat="false" ht="15" hidden="true" customHeight="false" outlineLevel="1" collapsed="false">
      <c r="F54" s="27" t="s">
        <v>723</v>
      </c>
      <c r="G54" s="27" t="s">
        <v>722</v>
      </c>
      <c r="H54" s="27" t="s">
        <v>724</v>
      </c>
      <c r="I54" s="32" t="n">
        <v>33.673859543669</v>
      </c>
      <c r="J54" s="28" t="n">
        <v>232.396600924286</v>
      </c>
      <c r="K54" s="27"/>
    </row>
    <row r="55" customFormat="false" ht="15" hidden="true" customHeight="false" outlineLevel="1" collapsed="false">
      <c r="F55" s="27" t="s">
        <v>725</v>
      </c>
      <c r="G55" s="27" t="s">
        <v>724</v>
      </c>
      <c r="H55" s="27" t="s">
        <v>726</v>
      </c>
      <c r="I55" s="32" t="n">
        <v>3.4460525846992</v>
      </c>
      <c r="J55" s="28" t="n">
        <v>235.842653508985</v>
      </c>
      <c r="K55" s="27"/>
    </row>
    <row r="56" customFormat="false" ht="15" hidden="true" customHeight="false" outlineLevel="1" collapsed="false">
      <c r="F56" s="27" t="s">
        <v>727</v>
      </c>
      <c r="G56" s="27" t="s">
        <v>726</v>
      </c>
      <c r="H56" s="27" t="s">
        <v>728</v>
      </c>
      <c r="I56" s="32" t="n">
        <v>187.166380625504</v>
      </c>
      <c r="J56" s="28" t="n">
        <v>423.009034134489</v>
      </c>
      <c r="K56" s="27"/>
    </row>
    <row r="57" customFormat="false" ht="15" hidden="true" customHeight="false" outlineLevel="1" collapsed="false">
      <c r="F57" s="27" t="s">
        <v>729</v>
      </c>
      <c r="G57" s="27" t="s">
        <v>728</v>
      </c>
      <c r="H57" s="27" t="s">
        <v>730</v>
      </c>
      <c r="I57" s="32" t="n">
        <v>24.832785892052</v>
      </c>
      <c r="J57" s="28" t="n">
        <v>447.841820026541</v>
      </c>
      <c r="K57" s="27"/>
    </row>
    <row r="58" customFormat="false" ht="15" hidden="true" customHeight="false" outlineLevel="1" collapsed="false">
      <c r="F58" s="27" t="s">
        <v>731</v>
      </c>
      <c r="G58" s="27" t="s">
        <v>730</v>
      </c>
      <c r="H58" s="27" t="s">
        <v>732</v>
      </c>
      <c r="I58" s="32" t="n">
        <v>0.809029758830816</v>
      </c>
      <c r="J58" s="28" t="n">
        <v>448.650849785372</v>
      </c>
      <c r="K58" s="27" t="s">
        <v>733</v>
      </c>
    </row>
    <row r="59" customFormat="false" ht="15" hidden="true" customHeight="false" outlineLevel="1" collapsed="false">
      <c r="F59" s="27" t="s">
        <v>734</v>
      </c>
      <c r="G59" s="27" t="s">
        <v>732</v>
      </c>
      <c r="H59" s="27" t="s">
        <v>735</v>
      </c>
      <c r="I59" s="32" t="n">
        <v>6.11133599836971</v>
      </c>
      <c r="J59" s="28" t="n">
        <v>454.762185783741</v>
      </c>
      <c r="K59" s="27"/>
    </row>
    <row r="60" customFormat="false" ht="15" hidden="true" customHeight="false" outlineLevel="1" collapsed="false">
      <c r="F60" s="27" t="s">
        <v>736</v>
      </c>
      <c r="G60" s="27" t="s">
        <v>735</v>
      </c>
      <c r="H60" s="27" t="s">
        <v>737</v>
      </c>
      <c r="I60" s="32" t="n">
        <v>2.83076425165164</v>
      </c>
      <c r="J60" s="28" t="n">
        <v>457.592950035393</v>
      </c>
      <c r="K60" s="27" t="s">
        <v>738</v>
      </c>
    </row>
    <row r="61" customFormat="false" ht="15" hidden="true" customHeight="false" outlineLevel="1" collapsed="false">
      <c r="F61" s="27" t="s">
        <v>739</v>
      </c>
      <c r="G61" s="27" t="s">
        <v>737</v>
      </c>
      <c r="H61" s="27" t="s">
        <v>740</v>
      </c>
      <c r="I61" s="32" t="n">
        <v>216.089687447031</v>
      </c>
      <c r="J61" s="28" t="n">
        <v>673.682637482423</v>
      </c>
      <c r="K61" s="27"/>
    </row>
    <row r="62" customFormat="false" ht="15" hidden="true" customHeight="false" outlineLevel="1" collapsed="false">
      <c r="F62" s="27" t="s">
        <v>741</v>
      </c>
      <c r="G62" s="27" t="s">
        <v>740</v>
      </c>
      <c r="H62" s="27" t="s">
        <v>742</v>
      </c>
      <c r="I62" s="32" t="n">
        <v>35.3106607751939</v>
      </c>
      <c r="J62" s="28" t="n">
        <v>708.993298257617</v>
      </c>
      <c r="K62" s="27"/>
    </row>
    <row r="63" customFormat="false" ht="15" hidden="true" customHeight="false" outlineLevel="1" collapsed="false">
      <c r="F63" s="27" t="s">
        <v>743</v>
      </c>
      <c r="G63" s="27" t="s">
        <v>742</v>
      </c>
      <c r="H63" s="27" t="s">
        <v>744</v>
      </c>
      <c r="I63" s="32" t="n">
        <v>3.73346011686023</v>
      </c>
      <c r="J63" s="28" t="n">
        <v>712.726758374478</v>
      </c>
      <c r="K63" s="27"/>
    </row>
    <row r="64" customFormat="false" ht="15" hidden="true" customHeight="false" outlineLevel="1" collapsed="false">
      <c r="F64" s="27" t="s">
        <v>745</v>
      </c>
      <c r="G64" s="27" t="s">
        <v>744</v>
      </c>
      <c r="H64" s="27" t="s">
        <v>746</v>
      </c>
      <c r="I64" s="32" t="n">
        <v>54.6197235290076</v>
      </c>
      <c r="J64" s="28" t="n">
        <v>767.346481903485</v>
      </c>
      <c r="K64" s="27"/>
    </row>
    <row r="65" customFormat="false" ht="15" hidden="true" customHeight="false" outlineLevel="1" collapsed="false">
      <c r="F65" s="27" t="s">
        <v>747</v>
      </c>
      <c r="G65" s="27" t="s">
        <v>746</v>
      </c>
      <c r="H65" s="27" t="s">
        <v>748</v>
      </c>
      <c r="I65" s="32" t="n">
        <v>101.53202855838</v>
      </c>
      <c r="J65" s="28" t="n">
        <v>868.878510461865</v>
      </c>
      <c r="K65" s="27"/>
    </row>
    <row r="66" customFormat="false" ht="15" hidden="true" customHeight="false" outlineLevel="1" collapsed="false">
      <c r="F66" s="27" t="s">
        <v>749</v>
      </c>
      <c r="G66" s="27" t="s">
        <v>748</v>
      </c>
      <c r="H66" s="27" t="s">
        <v>750</v>
      </c>
      <c r="I66" s="32" t="n">
        <v>32.781685416303</v>
      </c>
      <c r="J66" s="28" t="n">
        <v>901.660195878168</v>
      </c>
      <c r="K66" s="27"/>
    </row>
    <row r="67" customFormat="false" ht="15" hidden="true" customHeight="false" outlineLevel="1" collapsed="false">
      <c r="F67" s="27" t="s">
        <v>751</v>
      </c>
      <c r="G67" s="27" t="s">
        <v>750</v>
      </c>
      <c r="H67" s="27" t="s">
        <v>752</v>
      </c>
      <c r="I67" s="32" t="n">
        <v>1.79445365587393</v>
      </c>
      <c r="J67" s="28" t="n">
        <v>903.454649534042</v>
      </c>
      <c r="K67" s="27"/>
    </row>
    <row r="68" customFormat="false" ht="15" hidden="true" customHeight="false" outlineLevel="1" collapsed="false">
      <c r="F68" s="27" t="s">
        <v>753</v>
      </c>
      <c r="G68" s="27" t="s">
        <v>752</v>
      </c>
      <c r="H68" s="27" t="s">
        <v>754</v>
      </c>
      <c r="I68" s="32" t="n">
        <v>240.949254443757</v>
      </c>
      <c r="J68" s="28" t="n">
        <v>1144.4039039778</v>
      </c>
      <c r="K68" s="27"/>
    </row>
    <row r="69" customFormat="false" ht="15" hidden="true" customHeight="false" outlineLevel="1" collapsed="false">
      <c r="F69" s="27" t="s">
        <v>755</v>
      </c>
      <c r="G69" s="27" t="s">
        <v>754</v>
      </c>
      <c r="H69" s="27" t="s">
        <v>756</v>
      </c>
      <c r="I69" s="32" t="n">
        <v>93.4618833621445</v>
      </c>
      <c r="J69" s="28" t="n">
        <v>1237.86578733994</v>
      </c>
      <c r="K69" s="27"/>
    </row>
    <row r="70" customFormat="false" ht="15" hidden="true" customHeight="false" outlineLevel="1" collapsed="false">
      <c r="F70" s="27" t="s">
        <v>757</v>
      </c>
      <c r="G70" s="27" t="s">
        <v>756</v>
      </c>
      <c r="H70" s="27" t="s">
        <v>758</v>
      </c>
      <c r="I70" s="32" t="n">
        <v>4.02526877112142</v>
      </c>
      <c r="J70" s="28" t="n">
        <v>1241.89105611106</v>
      </c>
      <c r="K70" s="27" t="s">
        <v>759</v>
      </c>
    </row>
    <row r="71" customFormat="false" ht="15" hidden="true" customHeight="false" outlineLevel="1" collapsed="false">
      <c r="F71" s="27" t="s">
        <v>760</v>
      </c>
      <c r="G71" s="27" t="s">
        <v>758</v>
      </c>
      <c r="H71" s="27" t="s">
        <v>761</v>
      </c>
      <c r="I71" s="32" t="n">
        <v>40.0410211089915</v>
      </c>
      <c r="J71" s="28" t="n">
        <v>1281.93207722006</v>
      </c>
      <c r="K71" s="27"/>
    </row>
    <row r="72" customFormat="false" ht="15" hidden="true" customHeight="false" outlineLevel="1" collapsed="false">
      <c r="F72" s="27" t="s">
        <v>762</v>
      </c>
      <c r="G72" s="27" t="s">
        <v>761</v>
      </c>
      <c r="H72" s="27" t="s">
        <v>763</v>
      </c>
      <c r="I72" s="32" t="n">
        <v>92.1568393946471</v>
      </c>
      <c r="J72" s="28" t="n">
        <v>1374.0889166147</v>
      </c>
      <c r="K72" s="27"/>
    </row>
    <row r="73" customFormat="false" ht="15" hidden="true" customHeight="false" outlineLevel="1" collapsed="false">
      <c r="F73" s="27" t="s">
        <v>764</v>
      </c>
      <c r="G73" s="27" t="s">
        <v>763</v>
      </c>
      <c r="H73" s="27" t="s">
        <v>765</v>
      </c>
      <c r="I73" s="32" t="n">
        <v>2.27578752811963</v>
      </c>
      <c r="J73" s="28" t="n">
        <v>1376.36470414282</v>
      </c>
      <c r="K73" s="27" t="s">
        <v>766</v>
      </c>
    </row>
    <row r="74" customFormat="false" ht="15" hidden="true" customHeight="false" outlineLevel="1" collapsed="false">
      <c r="F74" s="27" t="s">
        <v>767</v>
      </c>
      <c r="G74" s="27" t="s">
        <v>765</v>
      </c>
      <c r="H74" s="27" t="s">
        <v>768</v>
      </c>
      <c r="I74" s="32" t="n">
        <v>19.5683449154425</v>
      </c>
      <c r="J74" s="28" t="n">
        <v>1395.93304905827</v>
      </c>
      <c r="K74" s="27"/>
    </row>
    <row r="75" customFormat="false" ht="15" hidden="true" customHeight="false" outlineLevel="1" collapsed="false">
      <c r="F75" s="27" t="s">
        <v>769</v>
      </c>
      <c r="G75" s="27" t="s">
        <v>768</v>
      </c>
      <c r="H75" s="27" t="s">
        <v>770</v>
      </c>
      <c r="I75" s="32" t="n">
        <v>1.38476415106801</v>
      </c>
      <c r="J75" s="28" t="n">
        <v>1397.31781320933</v>
      </c>
      <c r="K75" s="27"/>
    </row>
    <row r="76" customFormat="false" ht="15" hidden="false" customHeight="false" outlineLevel="0" collapsed="true">
      <c r="A76" s="33" t="n">
        <v>3</v>
      </c>
      <c r="B76" s="33" t="s">
        <v>23</v>
      </c>
      <c r="C76" s="33" t="s">
        <v>5</v>
      </c>
      <c r="D76" s="33" t="s">
        <v>5</v>
      </c>
      <c r="E76" s="33" t="s">
        <v>44</v>
      </c>
      <c r="F76" s="33" t="str">
        <f aca="false">COUNTIFS(Trechos!$L$2:$L$838,A76)&amp;" vãos"</f>
        <v>114 vãos</v>
      </c>
      <c r="G76" s="33"/>
      <c r="H76" s="33"/>
      <c r="I76" s="34" t="n">
        <f aca="false">SUMIFS(Trechos!$F$2:$F$838,Trechos!$L$2:$L$838,A76)</f>
        <v>5582.62393119983</v>
      </c>
      <c r="J76" s="33"/>
      <c r="K76" s="33"/>
      <c r="L76" s="33" t="s">
        <v>46</v>
      </c>
      <c r="M76" s="33" t="s">
        <v>47</v>
      </c>
      <c r="N76" s="33" t="str">
        <f aca="false">Blocos!BT4</f>
        <v>0300031004, 0345006004, 0352810004, 0300724004, 0342284004, 0200038004, 0328286004, 0314965004, 0344627004, 0334747004, 0347400004, 0358161004, 0342738004, 0203728004, 0328468004, 0329025004, 0203016004, 0300049004, 0203015004</v>
      </c>
    </row>
    <row r="77" customFormat="false" ht="15" hidden="true" customHeight="false" outlineLevel="1" collapsed="false">
      <c r="F77" s="27" t="s">
        <v>771</v>
      </c>
      <c r="G77" s="27" t="s">
        <v>770</v>
      </c>
      <c r="H77" s="27" t="s">
        <v>772</v>
      </c>
      <c r="I77" s="32" t="n">
        <v>13.5885126595742</v>
      </c>
      <c r="J77" s="28" t="n">
        <v>13.588512659574</v>
      </c>
      <c r="K77" s="27"/>
    </row>
    <row r="78" customFormat="false" ht="15" hidden="true" customHeight="false" outlineLevel="1" collapsed="false">
      <c r="F78" s="27" t="s">
        <v>773</v>
      </c>
      <c r="G78" s="27" t="s">
        <v>772</v>
      </c>
      <c r="H78" s="27" t="s">
        <v>774</v>
      </c>
      <c r="I78" s="32" t="n">
        <v>195.036131618894</v>
      </c>
      <c r="J78" s="28" t="n">
        <v>208.624644278468</v>
      </c>
      <c r="K78" s="27"/>
    </row>
    <row r="79" customFormat="false" ht="15" hidden="true" customHeight="false" outlineLevel="1" collapsed="false">
      <c r="F79" s="27" t="s">
        <v>775</v>
      </c>
      <c r="G79" s="27" t="s">
        <v>774</v>
      </c>
      <c r="H79" s="27" t="s">
        <v>776</v>
      </c>
      <c r="I79" s="32" t="n">
        <v>42.6625417144517</v>
      </c>
      <c r="J79" s="28" t="n">
        <v>251.28718599292</v>
      </c>
      <c r="K79" s="27"/>
    </row>
    <row r="80" customFormat="false" ht="15" hidden="true" customHeight="false" outlineLevel="1" collapsed="false">
      <c r="F80" s="27" t="s">
        <v>777</v>
      </c>
      <c r="G80" s="27" t="s">
        <v>776</v>
      </c>
      <c r="H80" s="27" t="s">
        <v>778</v>
      </c>
      <c r="I80" s="32" t="n">
        <v>3.70096841812374</v>
      </c>
      <c r="J80" s="28" t="n">
        <v>254.988154411044</v>
      </c>
      <c r="K80" s="27"/>
    </row>
    <row r="81" customFormat="false" ht="15" hidden="true" customHeight="false" outlineLevel="1" collapsed="false">
      <c r="F81" s="27" t="s">
        <v>779</v>
      </c>
      <c r="G81" s="27" t="s">
        <v>778</v>
      </c>
      <c r="H81" s="27" t="s">
        <v>780</v>
      </c>
      <c r="I81" s="32" t="n">
        <v>76.5867317196167</v>
      </c>
      <c r="J81" s="28" t="n">
        <v>331.574886130661</v>
      </c>
      <c r="K81" s="27"/>
    </row>
    <row r="82" customFormat="false" ht="15" hidden="true" customHeight="false" outlineLevel="1" collapsed="false">
      <c r="F82" s="27" t="s">
        <v>781</v>
      </c>
      <c r="G82" s="27" t="s">
        <v>780</v>
      </c>
      <c r="H82" s="27" t="s">
        <v>782</v>
      </c>
      <c r="I82" s="32" t="n">
        <v>75.0960774457571</v>
      </c>
      <c r="J82" s="28" t="n">
        <v>406.670963576418</v>
      </c>
      <c r="K82" s="27"/>
    </row>
    <row r="83" customFormat="false" ht="15" hidden="true" customHeight="false" outlineLevel="1" collapsed="false">
      <c r="F83" s="27" t="s">
        <v>783</v>
      </c>
      <c r="G83" s="27" t="s">
        <v>782</v>
      </c>
      <c r="H83" s="27" t="s">
        <v>784</v>
      </c>
      <c r="I83" s="32" t="n">
        <v>3.74745068652364</v>
      </c>
      <c r="J83" s="28" t="n">
        <v>410.418414262942</v>
      </c>
      <c r="K83" s="27"/>
    </row>
    <row r="84" customFormat="false" ht="15" hidden="true" customHeight="false" outlineLevel="1" collapsed="false">
      <c r="F84" s="27" t="s">
        <v>785</v>
      </c>
      <c r="G84" s="27" t="s">
        <v>784</v>
      </c>
      <c r="H84" s="27" t="s">
        <v>786</v>
      </c>
      <c r="I84" s="32" t="n">
        <v>124.628606079747</v>
      </c>
      <c r="J84" s="28" t="n">
        <v>535.047020342688</v>
      </c>
      <c r="K84" s="27"/>
    </row>
    <row r="85" customFormat="false" ht="15" hidden="true" customHeight="false" outlineLevel="1" collapsed="false">
      <c r="F85" s="27" t="s">
        <v>787</v>
      </c>
      <c r="G85" s="27" t="s">
        <v>786</v>
      </c>
      <c r="H85" s="27" t="s">
        <v>788</v>
      </c>
      <c r="I85" s="32" t="n">
        <v>26.0712295156119</v>
      </c>
      <c r="J85" s="28" t="n">
        <v>561.1182498583</v>
      </c>
      <c r="K85" s="27"/>
    </row>
    <row r="86" customFormat="false" ht="15" hidden="true" customHeight="false" outlineLevel="1" collapsed="false">
      <c r="F86" s="27" t="s">
        <v>789</v>
      </c>
      <c r="G86" s="27" t="s">
        <v>788</v>
      </c>
      <c r="H86" s="27" t="s">
        <v>790</v>
      </c>
      <c r="I86" s="32" t="n">
        <v>3.55821888637034</v>
      </c>
      <c r="J86" s="28" t="n">
        <v>564.67646874467</v>
      </c>
      <c r="K86" s="27"/>
    </row>
    <row r="87" customFormat="false" ht="15" hidden="true" customHeight="false" outlineLevel="1" collapsed="false">
      <c r="F87" s="27" t="s">
        <v>791</v>
      </c>
      <c r="G87" s="27" t="s">
        <v>786</v>
      </c>
      <c r="H87" s="27" t="s">
        <v>792</v>
      </c>
      <c r="I87" s="32" t="n">
        <v>47.7922003285466</v>
      </c>
      <c r="J87" s="28" t="n">
        <v>582.839220671235</v>
      </c>
      <c r="K87" s="27"/>
    </row>
    <row r="88" customFormat="false" ht="15" hidden="true" customHeight="false" outlineLevel="1" collapsed="false">
      <c r="F88" s="27" t="s">
        <v>793</v>
      </c>
      <c r="G88" s="27" t="s">
        <v>792</v>
      </c>
      <c r="H88" s="27" t="s">
        <v>794</v>
      </c>
      <c r="I88" s="32" t="n">
        <v>20.4299019819414</v>
      </c>
      <c r="J88" s="28" t="n">
        <v>603.269122653176</v>
      </c>
      <c r="K88" s="27"/>
    </row>
    <row r="89" customFormat="false" ht="15" hidden="true" customHeight="false" outlineLevel="1" collapsed="false">
      <c r="F89" s="27" t="s">
        <v>795</v>
      </c>
      <c r="G89" s="27" t="s">
        <v>794</v>
      </c>
      <c r="H89" s="27" t="s">
        <v>796</v>
      </c>
      <c r="I89" s="32" t="n">
        <v>118.24977390814</v>
      </c>
      <c r="J89" s="28" t="n">
        <v>721.518896561317</v>
      </c>
      <c r="K89" s="27"/>
    </row>
    <row r="90" customFormat="false" ht="15" hidden="true" customHeight="false" outlineLevel="1" collapsed="false">
      <c r="F90" s="27" t="s">
        <v>797</v>
      </c>
      <c r="G90" s="27" t="s">
        <v>796</v>
      </c>
      <c r="H90" s="27" t="s">
        <v>798</v>
      </c>
      <c r="I90" s="32" t="n">
        <v>3.5631429037925</v>
      </c>
      <c r="J90" s="28" t="n">
        <v>725.082039465109</v>
      </c>
      <c r="K90" s="27" t="s">
        <v>799</v>
      </c>
    </row>
    <row r="91" customFormat="false" ht="15" hidden="true" customHeight="false" outlineLevel="1" collapsed="false">
      <c r="F91" s="27" t="s">
        <v>800</v>
      </c>
      <c r="G91" s="27" t="s">
        <v>798</v>
      </c>
      <c r="H91" s="27" t="s">
        <v>801</v>
      </c>
      <c r="I91" s="32" t="n">
        <v>261.830634599942</v>
      </c>
      <c r="J91" s="28" t="n">
        <v>986.912674065051</v>
      </c>
      <c r="K91" s="27"/>
    </row>
    <row r="92" customFormat="false" ht="15" hidden="true" customHeight="false" outlineLevel="1" collapsed="false">
      <c r="F92" s="27" t="s">
        <v>802</v>
      </c>
      <c r="G92" s="27" t="s">
        <v>801</v>
      </c>
      <c r="H92" s="27" t="s">
        <v>803</v>
      </c>
      <c r="I92" s="32" t="n">
        <v>20.5443425560821</v>
      </c>
      <c r="J92" s="28" t="n">
        <v>1007.45701662113</v>
      </c>
      <c r="K92" s="27"/>
    </row>
    <row r="93" customFormat="false" ht="15" hidden="true" customHeight="false" outlineLevel="1" collapsed="false">
      <c r="F93" s="27" t="s">
        <v>804</v>
      </c>
      <c r="G93" s="27" t="s">
        <v>803</v>
      </c>
      <c r="H93" s="27" t="s">
        <v>805</v>
      </c>
      <c r="I93" s="32" t="n">
        <v>3.66915235293423</v>
      </c>
      <c r="J93" s="28" t="n">
        <v>1011.12616897407</v>
      </c>
      <c r="K93" s="27"/>
    </row>
    <row r="94" customFormat="false" ht="15" hidden="true" customHeight="false" outlineLevel="1" collapsed="false">
      <c r="F94" s="27" t="s">
        <v>806</v>
      </c>
      <c r="G94" s="27" t="s">
        <v>801</v>
      </c>
      <c r="H94" s="27" t="s">
        <v>807</v>
      </c>
      <c r="I94" s="32" t="n">
        <v>5.0326452060201</v>
      </c>
      <c r="J94" s="28" t="n">
        <v>991.945319271071</v>
      </c>
      <c r="K94" s="27"/>
    </row>
    <row r="95" customFormat="false" ht="15" hidden="true" customHeight="false" outlineLevel="1" collapsed="false">
      <c r="F95" s="27" t="s">
        <v>808</v>
      </c>
      <c r="G95" s="27" t="s">
        <v>807</v>
      </c>
      <c r="H95" s="27" t="s">
        <v>809</v>
      </c>
      <c r="I95" s="32" t="n">
        <v>4.18605170441635</v>
      </c>
      <c r="J95" s="28" t="n">
        <v>996.131370975488</v>
      </c>
      <c r="K95" s="27" t="s">
        <v>810</v>
      </c>
    </row>
    <row r="96" customFormat="false" ht="15" hidden="true" customHeight="false" outlineLevel="1" collapsed="false">
      <c r="F96" s="27" t="s">
        <v>811</v>
      </c>
      <c r="G96" s="27" t="s">
        <v>809</v>
      </c>
      <c r="H96" s="27" t="s">
        <v>812</v>
      </c>
      <c r="I96" s="32" t="n">
        <v>112.473241809318</v>
      </c>
      <c r="J96" s="28" t="n">
        <v>1108.60461278481</v>
      </c>
      <c r="K96" s="27"/>
    </row>
    <row r="97" customFormat="false" ht="15" hidden="true" customHeight="false" outlineLevel="1" collapsed="false">
      <c r="F97" s="27" t="s">
        <v>813</v>
      </c>
      <c r="G97" s="27" t="s">
        <v>812</v>
      </c>
      <c r="H97" s="27" t="s">
        <v>814</v>
      </c>
      <c r="I97" s="32" t="n">
        <v>158.293448637502</v>
      </c>
      <c r="J97" s="28" t="n">
        <v>1266.89806142231</v>
      </c>
      <c r="K97" s="27"/>
    </row>
    <row r="98" customFormat="false" ht="15" hidden="true" customHeight="false" outlineLevel="1" collapsed="false">
      <c r="F98" s="27" t="s">
        <v>815</v>
      </c>
      <c r="G98" s="27" t="s">
        <v>814</v>
      </c>
      <c r="H98" s="27" t="s">
        <v>816</v>
      </c>
      <c r="I98" s="32" t="n">
        <v>98.1205507525147</v>
      </c>
      <c r="J98" s="28" t="n">
        <v>1365.01861217482</v>
      </c>
      <c r="K98" s="27"/>
    </row>
    <row r="99" customFormat="false" ht="15" hidden="true" customHeight="false" outlineLevel="1" collapsed="false">
      <c r="F99" s="27" t="s">
        <v>817</v>
      </c>
      <c r="G99" s="27" t="s">
        <v>816</v>
      </c>
      <c r="H99" s="27" t="s">
        <v>818</v>
      </c>
      <c r="I99" s="32" t="n">
        <v>25.4595575054037</v>
      </c>
      <c r="J99" s="28" t="n">
        <v>1390.47816968023</v>
      </c>
      <c r="K99" s="27"/>
    </row>
    <row r="100" customFormat="false" ht="15" hidden="true" customHeight="false" outlineLevel="1" collapsed="false">
      <c r="F100" s="27" t="s">
        <v>819</v>
      </c>
      <c r="G100" s="27" t="s">
        <v>818</v>
      </c>
      <c r="H100" s="27" t="s">
        <v>820</v>
      </c>
      <c r="I100" s="32" t="n">
        <v>4.26091004462515</v>
      </c>
      <c r="J100" s="28" t="n">
        <v>1394.73907972485</v>
      </c>
      <c r="K100" s="27" t="s">
        <v>821</v>
      </c>
    </row>
    <row r="101" customFormat="false" ht="15" hidden="true" customHeight="false" outlineLevel="1" collapsed="false">
      <c r="F101" s="27" t="s">
        <v>822</v>
      </c>
      <c r="G101" s="27" t="s">
        <v>820</v>
      </c>
      <c r="H101" s="27" t="s">
        <v>823</v>
      </c>
      <c r="I101" s="32" t="n">
        <v>156.712631728458</v>
      </c>
      <c r="J101" s="28" t="n">
        <v>1551.45171145331</v>
      </c>
      <c r="K101" s="27"/>
    </row>
    <row r="102" customFormat="false" ht="15" hidden="true" customHeight="false" outlineLevel="1" collapsed="false">
      <c r="F102" s="27" t="s">
        <v>824</v>
      </c>
      <c r="G102" s="27" t="s">
        <v>823</v>
      </c>
      <c r="H102" s="27" t="s">
        <v>825</v>
      </c>
      <c r="I102" s="32" t="n">
        <v>3.15999652723147</v>
      </c>
      <c r="J102" s="28" t="n">
        <v>1554.61170798054</v>
      </c>
      <c r="K102" s="27"/>
    </row>
    <row r="103" customFormat="false" ht="15" hidden="true" customHeight="false" outlineLevel="1" collapsed="false">
      <c r="F103" s="27" t="s">
        <v>826</v>
      </c>
      <c r="G103" s="27" t="s">
        <v>825</v>
      </c>
      <c r="H103" s="27" t="s">
        <v>827</v>
      </c>
      <c r="I103" s="32" t="n">
        <v>157.87906976045</v>
      </c>
      <c r="J103" s="28" t="n">
        <v>1712.49077774099</v>
      </c>
      <c r="K103" s="27"/>
    </row>
    <row r="104" customFormat="false" ht="15" hidden="true" customHeight="false" outlineLevel="1" collapsed="false">
      <c r="F104" s="27" t="s">
        <v>828</v>
      </c>
      <c r="G104" s="27" t="s">
        <v>827</v>
      </c>
      <c r="H104" s="27" t="s">
        <v>829</v>
      </c>
      <c r="I104" s="32" t="n">
        <v>225.915591207177</v>
      </c>
      <c r="J104" s="28" t="n">
        <v>1938.40636894817</v>
      </c>
      <c r="K104" s="27"/>
    </row>
    <row r="105" customFormat="false" ht="15" hidden="true" customHeight="false" outlineLevel="1" collapsed="false">
      <c r="F105" s="27" t="s">
        <v>830</v>
      </c>
      <c r="G105" s="27" t="s">
        <v>829</v>
      </c>
      <c r="H105" s="27" t="s">
        <v>831</v>
      </c>
      <c r="I105" s="32" t="n">
        <v>28.1137657107543</v>
      </c>
      <c r="J105" s="28" t="n">
        <v>1966.52013465892</v>
      </c>
      <c r="K105" s="27"/>
    </row>
    <row r="106" customFormat="false" ht="15" hidden="true" customHeight="false" outlineLevel="1" collapsed="false">
      <c r="F106" s="27" t="s">
        <v>832</v>
      </c>
      <c r="G106" s="27" t="s">
        <v>831</v>
      </c>
      <c r="H106" s="27" t="s">
        <v>833</v>
      </c>
      <c r="I106" s="32" t="n">
        <v>3.26791334179845</v>
      </c>
      <c r="J106" s="28" t="n">
        <v>1969.78804800072</v>
      </c>
      <c r="K106" s="27"/>
    </row>
    <row r="107" customFormat="false" ht="15" hidden="true" customHeight="false" outlineLevel="1" collapsed="false">
      <c r="F107" s="27" t="s">
        <v>834</v>
      </c>
      <c r="G107" s="27" t="s">
        <v>833</v>
      </c>
      <c r="H107" s="27" t="s">
        <v>835</v>
      </c>
      <c r="I107" s="32" t="n">
        <v>26.5547608519413</v>
      </c>
      <c r="J107" s="28" t="n">
        <v>1996.34280885266</v>
      </c>
      <c r="K107" s="27"/>
    </row>
    <row r="108" customFormat="false" ht="15" hidden="true" customHeight="false" outlineLevel="1" collapsed="false">
      <c r="F108" s="27" t="s">
        <v>836</v>
      </c>
      <c r="G108" s="27" t="s">
        <v>835</v>
      </c>
      <c r="H108" s="27" t="s">
        <v>837</v>
      </c>
      <c r="I108" s="32" t="n">
        <v>104.359526060331</v>
      </c>
      <c r="J108" s="28" t="n">
        <v>2100.70233491299</v>
      </c>
      <c r="K108" s="27"/>
    </row>
    <row r="109" customFormat="false" ht="15" hidden="true" customHeight="false" outlineLevel="1" collapsed="false">
      <c r="F109" s="27" t="s">
        <v>838</v>
      </c>
      <c r="G109" s="27" t="s">
        <v>837</v>
      </c>
      <c r="H109" s="27" t="s">
        <v>839</v>
      </c>
      <c r="I109" s="32" t="n">
        <v>118.604200179243</v>
      </c>
      <c r="J109" s="28" t="n">
        <v>2219.30653509224</v>
      </c>
      <c r="K109" s="27"/>
    </row>
    <row r="110" customFormat="false" ht="15" hidden="true" customHeight="false" outlineLevel="1" collapsed="false">
      <c r="F110" s="27" t="s">
        <v>840</v>
      </c>
      <c r="G110" s="27" t="s">
        <v>839</v>
      </c>
      <c r="H110" s="27" t="s">
        <v>841</v>
      </c>
      <c r="I110" s="32" t="n">
        <v>2.70526223815417</v>
      </c>
      <c r="J110" s="28" t="n">
        <v>2222.01179733039</v>
      </c>
      <c r="K110" s="27"/>
    </row>
    <row r="111" customFormat="false" ht="15" hidden="true" customHeight="false" outlineLevel="1" collapsed="false">
      <c r="F111" s="27" t="s">
        <v>842</v>
      </c>
      <c r="G111" s="27" t="s">
        <v>841</v>
      </c>
      <c r="H111" s="27" t="s">
        <v>843</v>
      </c>
      <c r="I111" s="32" t="n">
        <v>28.2436633008593</v>
      </c>
      <c r="J111" s="28" t="n">
        <v>2250.25546063125</v>
      </c>
      <c r="K111" s="27"/>
    </row>
    <row r="112" customFormat="false" ht="15" hidden="true" customHeight="false" outlineLevel="1" collapsed="false">
      <c r="F112" s="27" t="s">
        <v>844</v>
      </c>
      <c r="G112" s="27" t="s">
        <v>843</v>
      </c>
      <c r="H112" s="27" t="s">
        <v>845</v>
      </c>
      <c r="I112" s="32" t="n">
        <v>2.75782822518761</v>
      </c>
      <c r="J112" s="28" t="n">
        <v>2253.01328885644</v>
      </c>
      <c r="K112" s="27"/>
    </row>
    <row r="113" customFormat="false" ht="15" hidden="true" customHeight="false" outlineLevel="1" collapsed="false">
      <c r="F113" s="27" t="s">
        <v>846</v>
      </c>
      <c r="G113" s="27" t="s">
        <v>845</v>
      </c>
      <c r="H113" s="27" t="s">
        <v>847</v>
      </c>
      <c r="I113" s="32" t="n">
        <v>176.600603869726</v>
      </c>
      <c r="J113" s="28" t="n">
        <v>2429.61389272616</v>
      </c>
      <c r="K113" s="27"/>
    </row>
    <row r="114" customFormat="false" ht="15" hidden="true" customHeight="false" outlineLevel="1" collapsed="false">
      <c r="F114" s="27" t="s">
        <v>848</v>
      </c>
      <c r="G114" s="27" t="s">
        <v>847</v>
      </c>
      <c r="H114" s="27" t="s">
        <v>849</v>
      </c>
      <c r="I114" s="32" t="n">
        <v>2.76677828797354</v>
      </c>
      <c r="J114" s="28" t="n">
        <v>2432.38067101414</v>
      </c>
      <c r="K114" s="27" t="s">
        <v>850</v>
      </c>
    </row>
    <row r="115" customFormat="false" ht="15" hidden="true" customHeight="false" outlineLevel="1" collapsed="false">
      <c r="F115" s="27" t="s">
        <v>851</v>
      </c>
      <c r="G115" s="27" t="s">
        <v>849</v>
      </c>
      <c r="H115" s="27" t="s">
        <v>852</v>
      </c>
      <c r="I115" s="32" t="n">
        <v>26.0387328192893</v>
      </c>
      <c r="J115" s="28" t="n">
        <v>2458.41940383343</v>
      </c>
      <c r="K115" s="27"/>
    </row>
    <row r="116" customFormat="false" ht="15" hidden="true" customHeight="false" outlineLevel="1" collapsed="false">
      <c r="F116" s="27" t="s">
        <v>853</v>
      </c>
      <c r="G116" s="27" t="s">
        <v>852</v>
      </c>
      <c r="H116" s="27" t="s">
        <v>854</v>
      </c>
      <c r="I116" s="32" t="n">
        <v>40.030781577744</v>
      </c>
      <c r="J116" s="28" t="n">
        <v>2498.45018541117</v>
      </c>
      <c r="K116" s="27"/>
    </row>
    <row r="117" customFormat="false" ht="15" hidden="true" customHeight="false" outlineLevel="1" collapsed="false">
      <c r="F117" s="27" t="s">
        <v>855</v>
      </c>
      <c r="G117" s="27" t="s">
        <v>854</v>
      </c>
      <c r="H117" s="27" t="s">
        <v>856</v>
      </c>
      <c r="I117" s="32" t="n">
        <v>4.22684694558944</v>
      </c>
      <c r="J117" s="28" t="n">
        <v>2502.67703235676</v>
      </c>
      <c r="K117" s="27" t="s">
        <v>857</v>
      </c>
    </row>
    <row r="118" customFormat="false" ht="15" hidden="true" customHeight="false" outlineLevel="1" collapsed="false">
      <c r="F118" s="27" t="s">
        <v>858</v>
      </c>
      <c r="G118" s="27" t="s">
        <v>856</v>
      </c>
      <c r="H118" s="27" t="s">
        <v>859</v>
      </c>
      <c r="I118" s="32" t="n">
        <v>198.492876071995</v>
      </c>
      <c r="J118" s="28" t="n">
        <v>2701.16990842876</v>
      </c>
      <c r="K118" s="27"/>
    </row>
    <row r="119" customFormat="false" ht="15" hidden="true" customHeight="false" outlineLevel="1" collapsed="false">
      <c r="F119" s="27" t="s">
        <v>860</v>
      </c>
      <c r="G119" s="27" t="s">
        <v>859</v>
      </c>
      <c r="H119" s="27" t="s">
        <v>861</v>
      </c>
      <c r="I119" s="32" t="n">
        <v>2.49629385988838</v>
      </c>
      <c r="J119" s="28" t="n">
        <v>2703.66620228864</v>
      </c>
      <c r="K119" s="27"/>
    </row>
    <row r="120" customFormat="false" ht="15" hidden="true" customHeight="false" outlineLevel="1" collapsed="false">
      <c r="F120" s="27" t="s">
        <v>862</v>
      </c>
      <c r="G120" s="27" t="s">
        <v>861</v>
      </c>
      <c r="H120" s="27" t="s">
        <v>863</v>
      </c>
      <c r="I120" s="32" t="n">
        <v>105.417465775488</v>
      </c>
      <c r="J120" s="28" t="n">
        <v>2809.08366806413</v>
      </c>
      <c r="K120" s="27"/>
    </row>
    <row r="121" customFormat="false" ht="15" hidden="true" customHeight="false" outlineLevel="1" collapsed="false">
      <c r="F121" s="27" t="s">
        <v>864</v>
      </c>
      <c r="G121" s="27" t="s">
        <v>863</v>
      </c>
      <c r="H121" s="27" t="s">
        <v>865</v>
      </c>
      <c r="I121" s="32" t="n">
        <v>3.42806644976404</v>
      </c>
      <c r="J121" s="28" t="n">
        <v>2812.5117345139</v>
      </c>
      <c r="K121" s="27"/>
    </row>
    <row r="122" customFormat="false" ht="15" hidden="true" customHeight="false" outlineLevel="1" collapsed="false">
      <c r="F122" s="27" t="s">
        <v>866</v>
      </c>
      <c r="G122" s="27" t="s">
        <v>865</v>
      </c>
      <c r="H122" s="27" t="s">
        <v>867</v>
      </c>
      <c r="I122" s="32" t="n">
        <v>7.75982256050395</v>
      </c>
      <c r="J122" s="28" t="n">
        <v>2820.2715570744</v>
      </c>
      <c r="K122" s="27"/>
    </row>
    <row r="123" customFormat="false" ht="15" hidden="true" customHeight="false" outlineLevel="1" collapsed="false">
      <c r="F123" s="27" t="s">
        <v>868</v>
      </c>
      <c r="G123" s="27" t="s">
        <v>867</v>
      </c>
      <c r="H123" s="27" t="s">
        <v>869</v>
      </c>
      <c r="I123" s="32" t="n">
        <v>1.5443936835618</v>
      </c>
      <c r="J123" s="28" t="n">
        <v>2821.81595075796</v>
      </c>
      <c r="K123" s="27" t="s">
        <v>870</v>
      </c>
    </row>
    <row r="124" customFormat="false" ht="15" hidden="true" customHeight="false" outlineLevel="1" collapsed="false">
      <c r="F124" s="27" t="s">
        <v>871</v>
      </c>
      <c r="G124" s="27" t="s">
        <v>869</v>
      </c>
      <c r="H124" s="27" t="s">
        <v>872</v>
      </c>
      <c r="I124" s="32" t="n">
        <v>224.054465624709</v>
      </c>
      <c r="J124" s="28" t="n">
        <v>3045.87041638267</v>
      </c>
      <c r="K124" s="27"/>
    </row>
    <row r="125" customFormat="false" ht="15" hidden="true" customHeight="false" outlineLevel="1" collapsed="false">
      <c r="F125" s="27" t="s">
        <v>873</v>
      </c>
      <c r="G125" s="27" t="s">
        <v>872</v>
      </c>
      <c r="H125" s="27" t="s">
        <v>874</v>
      </c>
      <c r="I125" s="32" t="n">
        <v>4.19192586032421</v>
      </c>
      <c r="J125" s="28" t="n">
        <v>3050.062342243</v>
      </c>
      <c r="K125" s="27"/>
    </row>
    <row r="126" customFormat="false" ht="15" hidden="true" customHeight="false" outlineLevel="1" collapsed="false">
      <c r="F126" s="27" t="s">
        <v>875</v>
      </c>
      <c r="G126" s="27" t="s">
        <v>874</v>
      </c>
      <c r="H126" s="27" t="s">
        <v>876</v>
      </c>
      <c r="I126" s="32" t="n">
        <v>209.819309412587</v>
      </c>
      <c r="J126" s="28" t="n">
        <v>3259.88165165558</v>
      </c>
      <c r="K126" s="27"/>
    </row>
    <row r="127" customFormat="false" ht="15" hidden="true" customHeight="false" outlineLevel="1" collapsed="false">
      <c r="F127" s="27" t="s">
        <v>877</v>
      </c>
      <c r="G127" s="27" t="s">
        <v>876</v>
      </c>
      <c r="H127" s="27" t="s">
        <v>878</v>
      </c>
      <c r="I127" s="32" t="n">
        <v>2.88749369197931</v>
      </c>
      <c r="J127" s="28" t="n">
        <v>3262.76914534756</v>
      </c>
      <c r="K127" s="27"/>
    </row>
    <row r="128" customFormat="false" ht="15" hidden="true" customHeight="false" outlineLevel="1" collapsed="false">
      <c r="F128" s="27" t="s">
        <v>879</v>
      </c>
      <c r="G128" s="27" t="s">
        <v>878</v>
      </c>
      <c r="H128" s="27" t="s">
        <v>880</v>
      </c>
      <c r="I128" s="32" t="n">
        <v>19.4152360807563</v>
      </c>
      <c r="J128" s="28" t="n">
        <v>3282.18438142832</v>
      </c>
      <c r="K128" s="27"/>
    </row>
    <row r="129" customFormat="false" ht="15" hidden="true" customHeight="false" outlineLevel="1" collapsed="false">
      <c r="F129" s="27" t="s">
        <v>881</v>
      </c>
      <c r="G129" s="27" t="s">
        <v>880</v>
      </c>
      <c r="H129" s="27" t="s">
        <v>882</v>
      </c>
      <c r="I129" s="32" t="n">
        <v>94.4055239517979</v>
      </c>
      <c r="J129" s="28" t="n">
        <v>3376.58990538012</v>
      </c>
      <c r="K129" s="27"/>
    </row>
    <row r="130" customFormat="false" ht="15" hidden="true" customHeight="false" outlineLevel="1" collapsed="false">
      <c r="F130" s="27" t="s">
        <v>883</v>
      </c>
      <c r="G130" s="27" t="s">
        <v>882</v>
      </c>
      <c r="H130" s="27" t="s">
        <v>884</v>
      </c>
      <c r="I130" s="32" t="n">
        <v>3.44704272599497</v>
      </c>
      <c r="J130" s="28" t="n">
        <v>3380.03694810611</v>
      </c>
      <c r="K130" s="27" t="s">
        <v>885</v>
      </c>
    </row>
    <row r="131" customFormat="false" ht="15" hidden="true" customHeight="false" outlineLevel="1" collapsed="false">
      <c r="F131" s="27" t="s">
        <v>886</v>
      </c>
      <c r="G131" s="27" t="s">
        <v>884</v>
      </c>
      <c r="H131" s="27" t="s">
        <v>887</v>
      </c>
      <c r="I131" s="32" t="n">
        <v>7.23103683711749</v>
      </c>
      <c r="J131" s="28" t="n">
        <v>3387.26798494323</v>
      </c>
      <c r="K131" s="27"/>
    </row>
    <row r="132" customFormat="false" ht="15" hidden="true" customHeight="false" outlineLevel="1" collapsed="false">
      <c r="F132" s="27" t="s">
        <v>888</v>
      </c>
      <c r="G132" s="27" t="s">
        <v>887</v>
      </c>
      <c r="H132" s="27" t="s">
        <v>889</v>
      </c>
      <c r="I132" s="32" t="n">
        <v>21.7458037601423</v>
      </c>
      <c r="J132" s="28" t="n">
        <v>3409.01378870337</v>
      </c>
      <c r="K132" s="27"/>
    </row>
    <row r="133" customFormat="false" ht="15" hidden="true" customHeight="false" outlineLevel="1" collapsed="false">
      <c r="F133" s="27" t="s">
        <v>890</v>
      </c>
      <c r="G133" s="27" t="s">
        <v>889</v>
      </c>
      <c r="H133" s="27" t="s">
        <v>891</v>
      </c>
      <c r="I133" s="32" t="n">
        <v>4.08313438108551</v>
      </c>
      <c r="J133" s="28" t="n">
        <v>3413.09692308445</v>
      </c>
      <c r="K133" s="27" t="s">
        <v>892</v>
      </c>
    </row>
    <row r="134" customFormat="false" ht="15" hidden="true" customHeight="false" outlineLevel="1" collapsed="false">
      <c r="F134" s="27" t="s">
        <v>893</v>
      </c>
      <c r="G134" s="27" t="s">
        <v>891</v>
      </c>
      <c r="H134" s="27" t="s">
        <v>894</v>
      </c>
      <c r="I134" s="32" t="n">
        <v>36.7360946952651</v>
      </c>
      <c r="J134" s="28" t="n">
        <v>3449.83301777972</v>
      </c>
      <c r="K134" s="27"/>
    </row>
    <row r="135" customFormat="false" ht="15" hidden="true" customHeight="false" outlineLevel="1" collapsed="false">
      <c r="F135" s="27" t="s">
        <v>895</v>
      </c>
      <c r="G135" s="27" t="s">
        <v>894</v>
      </c>
      <c r="H135" s="27" t="s">
        <v>896</v>
      </c>
      <c r="I135" s="32" t="n">
        <v>185.667073776025</v>
      </c>
      <c r="J135" s="28" t="n">
        <v>3635.50009155574</v>
      </c>
      <c r="K135" s="27"/>
    </row>
    <row r="136" customFormat="false" ht="15" hidden="true" customHeight="false" outlineLevel="1" collapsed="false">
      <c r="F136" s="27" t="s">
        <v>897</v>
      </c>
      <c r="G136" s="27" t="s">
        <v>896</v>
      </c>
      <c r="H136" s="27" t="s">
        <v>898</v>
      </c>
      <c r="I136" s="32" t="n">
        <v>1.24123362792033</v>
      </c>
      <c r="J136" s="28" t="n">
        <v>3636.74132518367</v>
      </c>
      <c r="K136" s="27"/>
    </row>
    <row r="137" customFormat="false" ht="15" hidden="true" customHeight="false" outlineLevel="1" collapsed="false">
      <c r="F137" s="27" t="s">
        <v>899</v>
      </c>
      <c r="G137" s="27" t="s">
        <v>887</v>
      </c>
      <c r="H137" s="27" t="s">
        <v>900</v>
      </c>
      <c r="I137" s="32" t="n">
        <v>44.3512688297189</v>
      </c>
      <c r="J137" s="28" t="n">
        <v>3431.61925377295</v>
      </c>
      <c r="K137" s="27"/>
    </row>
    <row r="138" customFormat="false" ht="15" hidden="true" customHeight="false" outlineLevel="1" collapsed="false">
      <c r="F138" s="27" t="s">
        <v>901</v>
      </c>
      <c r="G138" s="27" t="s">
        <v>900</v>
      </c>
      <c r="H138" s="27" t="s">
        <v>902</v>
      </c>
      <c r="I138" s="32" t="n">
        <v>1.89031375282808</v>
      </c>
      <c r="J138" s="28" t="n">
        <v>3433.50956752577</v>
      </c>
      <c r="K138" s="27"/>
    </row>
    <row r="139" customFormat="false" ht="15" hidden="true" customHeight="false" outlineLevel="1" collapsed="false">
      <c r="F139" s="27" t="s">
        <v>903</v>
      </c>
      <c r="G139" s="27" t="s">
        <v>902</v>
      </c>
      <c r="H139" s="27" t="s">
        <v>904</v>
      </c>
      <c r="I139" s="32" t="n">
        <v>129.209258221465</v>
      </c>
      <c r="J139" s="28" t="n">
        <v>3562.71882574724</v>
      </c>
      <c r="K139" s="27"/>
    </row>
    <row r="140" customFormat="false" ht="15" hidden="true" customHeight="false" outlineLevel="1" collapsed="false">
      <c r="F140" s="27" t="s">
        <v>905</v>
      </c>
      <c r="G140" s="27" t="s">
        <v>904</v>
      </c>
      <c r="H140" s="27" t="s">
        <v>906</v>
      </c>
      <c r="I140" s="32" t="n">
        <v>0.441257370082445</v>
      </c>
      <c r="J140" s="28" t="n">
        <v>3563.16008311732</v>
      </c>
      <c r="K140" s="27"/>
    </row>
    <row r="141" customFormat="false" ht="15" hidden="true" customHeight="false" outlineLevel="1" collapsed="false">
      <c r="F141" s="27" t="s">
        <v>907</v>
      </c>
      <c r="G141" s="27" t="s">
        <v>900</v>
      </c>
      <c r="H141" s="27" t="s">
        <v>908</v>
      </c>
      <c r="I141" s="32" t="n">
        <v>35.6316133680878</v>
      </c>
      <c r="J141" s="28" t="n">
        <v>3467.25086714103</v>
      </c>
      <c r="K141" s="27"/>
    </row>
    <row r="142" customFormat="false" ht="15" hidden="true" customHeight="false" outlineLevel="1" collapsed="false">
      <c r="F142" s="27" t="s">
        <v>909</v>
      </c>
      <c r="G142" s="27" t="s">
        <v>908</v>
      </c>
      <c r="H142" s="27" t="s">
        <v>910</v>
      </c>
      <c r="I142" s="32" t="n">
        <v>3.64036382950496</v>
      </c>
      <c r="J142" s="28" t="n">
        <v>3470.89123097054</v>
      </c>
      <c r="K142" s="27"/>
    </row>
    <row r="143" customFormat="false" ht="15" hidden="true" customHeight="false" outlineLevel="1" collapsed="false">
      <c r="F143" s="27" t="s">
        <v>911</v>
      </c>
      <c r="G143" s="27" t="s">
        <v>910</v>
      </c>
      <c r="H143" s="27" t="s">
        <v>912</v>
      </c>
      <c r="I143" s="32" t="n">
        <v>232.223977505869</v>
      </c>
      <c r="J143" s="28" t="n">
        <v>3703.11520847641</v>
      </c>
      <c r="K143" s="27"/>
    </row>
    <row r="144" customFormat="false" ht="15" hidden="true" customHeight="false" outlineLevel="1" collapsed="false">
      <c r="F144" s="27" t="s">
        <v>913</v>
      </c>
      <c r="G144" s="27" t="s">
        <v>912</v>
      </c>
      <c r="H144" s="27" t="s">
        <v>914</v>
      </c>
      <c r="I144" s="32" t="n">
        <v>17.7619560275105</v>
      </c>
      <c r="J144" s="28" t="n">
        <v>3720.87716450392</v>
      </c>
      <c r="K144" s="27"/>
    </row>
    <row r="145" customFormat="false" ht="15" hidden="true" customHeight="false" outlineLevel="1" collapsed="false">
      <c r="F145" s="27" t="s">
        <v>915</v>
      </c>
      <c r="G145" s="27" t="s">
        <v>914</v>
      </c>
      <c r="H145" s="27" t="s">
        <v>916</v>
      </c>
      <c r="I145" s="32" t="n">
        <v>3.30942180953588</v>
      </c>
      <c r="J145" s="28" t="n">
        <v>3724.18658631346</v>
      </c>
      <c r="K145" s="27" t="s">
        <v>917</v>
      </c>
    </row>
    <row r="146" customFormat="false" ht="15" hidden="true" customHeight="false" outlineLevel="1" collapsed="false">
      <c r="F146" s="27" t="s">
        <v>918</v>
      </c>
      <c r="G146" s="27" t="s">
        <v>916</v>
      </c>
      <c r="H146" s="27" t="s">
        <v>919</v>
      </c>
      <c r="I146" s="32" t="n">
        <v>29.9002799337847</v>
      </c>
      <c r="J146" s="28" t="n">
        <v>3754.08686624724</v>
      </c>
      <c r="K146" s="27"/>
    </row>
    <row r="147" customFormat="false" ht="15" hidden="true" customHeight="false" outlineLevel="1" collapsed="false">
      <c r="F147" s="27" t="s">
        <v>920</v>
      </c>
      <c r="G147" s="27" t="s">
        <v>919</v>
      </c>
      <c r="H147" s="27" t="s">
        <v>921</v>
      </c>
      <c r="I147" s="32" t="n">
        <v>2.64753747704108</v>
      </c>
      <c r="J147" s="28" t="n">
        <v>3756.73440372428</v>
      </c>
      <c r="K147" s="27"/>
    </row>
    <row r="148" customFormat="false" ht="15" hidden="true" customHeight="false" outlineLevel="1" collapsed="false">
      <c r="F148" s="27" t="s">
        <v>922</v>
      </c>
      <c r="G148" s="27" t="s">
        <v>921</v>
      </c>
      <c r="H148" s="27" t="s">
        <v>923</v>
      </c>
      <c r="I148" s="32" t="n">
        <v>136.352715574481</v>
      </c>
      <c r="J148" s="28" t="n">
        <v>3893.08711929876</v>
      </c>
      <c r="K148" s="27"/>
    </row>
    <row r="149" customFormat="false" ht="15" hidden="true" customHeight="false" outlineLevel="1" collapsed="false">
      <c r="F149" s="27" t="s">
        <v>924</v>
      </c>
      <c r="G149" s="27" t="s">
        <v>923</v>
      </c>
      <c r="H149" s="27" t="s">
        <v>925</v>
      </c>
      <c r="I149" s="32" t="n">
        <v>36.9567171105517</v>
      </c>
      <c r="J149" s="28" t="n">
        <v>3930.04383640931</v>
      </c>
      <c r="K149" s="27"/>
    </row>
    <row r="150" customFormat="false" ht="15" hidden="true" customHeight="false" outlineLevel="1" collapsed="false">
      <c r="F150" s="27" t="s">
        <v>926</v>
      </c>
      <c r="G150" s="27" t="s">
        <v>925</v>
      </c>
      <c r="H150" s="27" t="s">
        <v>927</v>
      </c>
      <c r="I150" s="32" t="n">
        <v>3.64206196789956</v>
      </c>
      <c r="J150" s="28" t="n">
        <v>3933.68589837721</v>
      </c>
      <c r="K150" s="27"/>
    </row>
    <row r="151" customFormat="false" ht="15" hidden="true" customHeight="false" outlineLevel="1" collapsed="false">
      <c r="F151" s="27" t="s">
        <v>928</v>
      </c>
      <c r="G151" s="27" t="s">
        <v>927</v>
      </c>
      <c r="H151" s="27" t="s">
        <v>929</v>
      </c>
      <c r="I151" s="32" t="n">
        <v>18.1256458315073</v>
      </c>
      <c r="J151" s="28" t="n">
        <v>3951.81154420872</v>
      </c>
      <c r="K151" s="27"/>
    </row>
    <row r="152" customFormat="false" ht="15" hidden="true" customHeight="false" outlineLevel="1" collapsed="false">
      <c r="F152" s="27" t="s">
        <v>930</v>
      </c>
      <c r="G152" s="27" t="s">
        <v>929</v>
      </c>
      <c r="H152" s="27" t="s">
        <v>931</v>
      </c>
      <c r="I152" s="32" t="n">
        <v>3.09678932442022</v>
      </c>
      <c r="J152" s="28" t="n">
        <v>3954.90833353314</v>
      </c>
      <c r="K152" s="27"/>
    </row>
    <row r="153" customFormat="false" ht="15" hidden="true" customHeight="false" outlineLevel="1" collapsed="false">
      <c r="F153" s="27" t="s">
        <v>932</v>
      </c>
      <c r="G153" s="27" t="s">
        <v>931</v>
      </c>
      <c r="H153" s="27" t="s">
        <v>933</v>
      </c>
      <c r="I153" s="32" t="n">
        <v>21.1471100659061</v>
      </c>
      <c r="J153" s="28" t="n">
        <v>3976.05544359905</v>
      </c>
      <c r="K153" s="27"/>
    </row>
    <row r="154" customFormat="false" ht="15" hidden="true" customHeight="false" outlineLevel="1" collapsed="false">
      <c r="F154" s="27" t="s">
        <v>934</v>
      </c>
      <c r="G154" s="27" t="s">
        <v>933</v>
      </c>
      <c r="H154" s="27" t="s">
        <v>935</v>
      </c>
      <c r="I154" s="32" t="n">
        <v>2.73060051834348</v>
      </c>
      <c r="J154" s="28" t="n">
        <v>3978.78604411739</v>
      </c>
      <c r="K154" s="27"/>
    </row>
    <row r="155" customFormat="false" ht="15" hidden="true" customHeight="false" outlineLevel="1" collapsed="false">
      <c r="F155" s="27" t="s">
        <v>936</v>
      </c>
      <c r="G155" s="27" t="s">
        <v>935</v>
      </c>
      <c r="H155" s="27" t="s">
        <v>937</v>
      </c>
      <c r="I155" s="32" t="n">
        <v>50.4091070512238</v>
      </c>
      <c r="J155" s="28" t="n">
        <v>4029.19515116861</v>
      </c>
      <c r="K155" s="27"/>
    </row>
    <row r="156" customFormat="false" ht="15" hidden="true" customHeight="false" outlineLevel="1" collapsed="false">
      <c r="F156" s="27" t="s">
        <v>938</v>
      </c>
      <c r="G156" s="27" t="s">
        <v>937</v>
      </c>
      <c r="H156" s="27" t="s">
        <v>939</v>
      </c>
      <c r="I156" s="32" t="n">
        <v>3.00226301942638</v>
      </c>
      <c r="J156" s="28" t="n">
        <v>4032.19741418804</v>
      </c>
      <c r="K156" s="27"/>
    </row>
    <row r="157" customFormat="false" ht="15" hidden="true" customHeight="false" outlineLevel="1" collapsed="false">
      <c r="F157" s="27" t="s">
        <v>940</v>
      </c>
      <c r="G157" s="27" t="s">
        <v>939</v>
      </c>
      <c r="H157" s="27" t="s">
        <v>941</v>
      </c>
      <c r="I157" s="32" t="n">
        <v>45.2672240972665</v>
      </c>
      <c r="J157" s="28" t="n">
        <v>4077.46463828531</v>
      </c>
      <c r="K157" s="27"/>
    </row>
    <row r="158" customFormat="false" ht="15" hidden="true" customHeight="false" outlineLevel="1" collapsed="false">
      <c r="F158" s="27" t="s">
        <v>942</v>
      </c>
      <c r="G158" s="27" t="s">
        <v>941</v>
      </c>
      <c r="H158" s="27" t="s">
        <v>943</v>
      </c>
      <c r="I158" s="32" t="n">
        <v>41.3839254760633</v>
      </c>
      <c r="J158" s="28" t="n">
        <v>4118.84856376137</v>
      </c>
      <c r="K158" s="27"/>
    </row>
    <row r="159" customFormat="false" ht="15" hidden="true" customHeight="false" outlineLevel="1" collapsed="false">
      <c r="F159" s="27" t="s">
        <v>944</v>
      </c>
      <c r="G159" s="27" t="s">
        <v>943</v>
      </c>
      <c r="H159" s="27" t="s">
        <v>945</v>
      </c>
      <c r="I159" s="32" t="n">
        <v>2.89937120928953</v>
      </c>
      <c r="J159" s="28" t="n">
        <v>4121.74793497066</v>
      </c>
      <c r="K159" s="27"/>
    </row>
    <row r="160" customFormat="false" ht="15" hidden="true" customHeight="false" outlineLevel="1" collapsed="false">
      <c r="F160" s="27" t="s">
        <v>946</v>
      </c>
      <c r="G160" s="27" t="s">
        <v>945</v>
      </c>
      <c r="H160" s="27" t="s">
        <v>947</v>
      </c>
      <c r="I160" s="32" t="n">
        <v>37.3734991629923</v>
      </c>
      <c r="J160" s="28" t="n">
        <v>4159.12143413365</v>
      </c>
      <c r="K160" s="27"/>
    </row>
    <row r="161" customFormat="false" ht="15" hidden="true" customHeight="false" outlineLevel="1" collapsed="false">
      <c r="F161" s="27" t="s">
        <v>948</v>
      </c>
      <c r="G161" s="27" t="s">
        <v>947</v>
      </c>
      <c r="H161" s="27" t="s">
        <v>949</v>
      </c>
      <c r="I161" s="32" t="n">
        <v>2.20908795879198</v>
      </c>
      <c r="J161" s="28" t="n">
        <v>4161.33052209245</v>
      </c>
      <c r="K161" s="27"/>
    </row>
    <row r="162" customFormat="false" ht="15" hidden="true" customHeight="false" outlineLevel="1" collapsed="false">
      <c r="F162" s="27" t="s">
        <v>950</v>
      </c>
      <c r="G162" s="27" t="s">
        <v>949</v>
      </c>
      <c r="H162" s="27" t="s">
        <v>951</v>
      </c>
      <c r="I162" s="32" t="n">
        <v>8.61600985146201</v>
      </c>
      <c r="J162" s="28" t="n">
        <v>4169.94653194391</v>
      </c>
      <c r="K162" s="27"/>
    </row>
    <row r="163" customFormat="false" ht="15" hidden="true" customHeight="false" outlineLevel="1" collapsed="false">
      <c r="F163" s="27" t="s">
        <v>952</v>
      </c>
      <c r="G163" s="27" t="s">
        <v>951</v>
      </c>
      <c r="H163" s="27" t="s">
        <v>953</v>
      </c>
      <c r="I163" s="32" t="n">
        <v>3.1377962340279</v>
      </c>
      <c r="J163" s="28" t="n">
        <v>4173.08432817793</v>
      </c>
      <c r="K163" s="27"/>
    </row>
    <row r="164" customFormat="false" ht="15" hidden="true" customHeight="false" outlineLevel="1" collapsed="false">
      <c r="F164" s="27" t="s">
        <v>954</v>
      </c>
      <c r="G164" s="27" t="s">
        <v>953</v>
      </c>
      <c r="H164" s="27" t="s">
        <v>955</v>
      </c>
      <c r="I164" s="32" t="n">
        <v>81.1340277269476</v>
      </c>
      <c r="J164" s="28" t="n">
        <v>4254.21835590488</v>
      </c>
      <c r="K164" s="27"/>
    </row>
    <row r="165" customFormat="false" ht="15" hidden="true" customHeight="false" outlineLevel="1" collapsed="false">
      <c r="F165" s="27" t="s">
        <v>956</v>
      </c>
      <c r="G165" s="27" t="s">
        <v>955</v>
      </c>
      <c r="H165" s="27" t="s">
        <v>957</v>
      </c>
      <c r="I165" s="32" t="n">
        <v>4.15210623381101</v>
      </c>
      <c r="J165" s="28" t="n">
        <v>4258.37046213869</v>
      </c>
      <c r="K165" s="27"/>
    </row>
    <row r="166" customFormat="false" ht="15" hidden="true" customHeight="false" outlineLevel="1" collapsed="false">
      <c r="F166" s="27" t="s">
        <v>958</v>
      </c>
      <c r="G166" s="27" t="s">
        <v>921</v>
      </c>
      <c r="H166" s="27" t="s">
        <v>959</v>
      </c>
      <c r="I166" s="32" t="n">
        <v>4.7695844719844</v>
      </c>
      <c r="J166" s="28" t="n">
        <v>3761.50398819627</v>
      </c>
      <c r="K166" s="27"/>
    </row>
    <row r="167" customFormat="false" ht="15" hidden="true" customHeight="false" outlineLevel="1" collapsed="false">
      <c r="F167" s="27" t="s">
        <v>960</v>
      </c>
      <c r="G167" s="27" t="s">
        <v>959</v>
      </c>
      <c r="H167" s="27" t="s">
        <v>961</v>
      </c>
      <c r="I167" s="32" t="n">
        <v>1.88700775682905</v>
      </c>
      <c r="J167" s="28" t="n">
        <v>3763.39099595309</v>
      </c>
      <c r="K167" s="27"/>
    </row>
    <row r="168" customFormat="false" ht="15" hidden="true" customHeight="false" outlineLevel="1" collapsed="false">
      <c r="F168" s="27" t="s">
        <v>962</v>
      </c>
      <c r="G168" s="27" t="s">
        <v>961</v>
      </c>
      <c r="H168" s="27" t="s">
        <v>963</v>
      </c>
      <c r="I168" s="32" t="n">
        <v>13.232656095124</v>
      </c>
      <c r="J168" s="28" t="n">
        <v>3776.62365204822</v>
      </c>
      <c r="K168" s="27"/>
    </row>
    <row r="169" customFormat="false" ht="15" hidden="true" customHeight="false" outlineLevel="1" collapsed="false">
      <c r="F169" s="27" t="s">
        <v>964</v>
      </c>
      <c r="G169" s="27" t="s">
        <v>963</v>
      </c>
      <c r="H169" s="27" t="s">
        <v>965</v>
      </c>
      <c r="I169" s="32" t="n">
        <v>1.2231441929752</v>
      </c>
      <c r="J169" s="28" t="n">
        <v>3777.84679624119</v>
      </c>
      <c r="K169" s="27"/>
    </row>
    <row r="170" customFormat="false" ht="15" hidden="true" customHeight="false" outlineLevel="1" collapsed="false">
      <c r="F170" s="27" t="s">
        <v>966</v>
      </c>
      <c r="G170" s="27" t="s">
        <v>829</v>
      </c>
      <c r="H170" s="27" t="s">
        <v>967</v>
      </c>
      <c r="I170" s="32" t="n">
        <v>0.676227944706885</v>
      </c>
      <c r="J170" s="28" t="n">
        <v>1939.08259689288</v>
      </c>
      <c r="K170" s="27"/>
    </row>
    <row r="171" customFormat="false" ht="15" hidden="true" customHeight="false" outlineLevel="1" collapsed="false">
      <c r="F171" s="27" t="s">
        <v>968</v>
      </c>
      <c r="G171" s="27" t="s">
        <v>816</v>
      </c>
      <c r="H171" s="27" t="s">
        <v>969</v>
      </c>
      <c r="I171" s="32" t="n">
        <v>8.54830211656126</v>
      </c>
      <c r="J171" s="28" t="n">
        <v>1373.56691429138</v>
      </c>
      <c r="K171" s="27"/>
    </row>
    <row r="172" customFormat="false" ht="15" hidden="true" customHeight="false" outlineLevel="1" collapsed="false">
      <c r="F172" s="27" t="s">
        <v>970</v>
      </c>
      <c r="G172" s="27" t="s">
        <v>969</v>
      </c>
      <c r="H172" s="27" t="s">
        <v>971</v>
      </c>
      <c r="I172" s="32" t="n">
        <v>3.72531178691965</v>
      </c>
      <c r="J172" s="28" t="n">
        <v>1377.2922260783</v>
      </c>
      <c r="K172" s="27"/>
    </row>
    <row r="173" customFormat="false" ht="15" hidden="true" customHeight="false" outlineLevel="1" collapsed="false">
      <c r="F173" s="27" t="s">
        <v>972</v>
      </c>
      <c r="G173" s="27" t="s">
        <v>792</v>
      </c>
      <c r="H173" s="27" t="s">
        <v>973</v>
      </c>
      <c r="I173" s="32" t="n">
        <v>2.78861453677332</v>
      </c>
      <c r="J173" s="28" t="n">
        <v>585.627835208008</v>
      </c>
      <c r="K173" s="27"/>
    </row>
    <row r="174" customFormat="false" ht="15" hidden="true" customHeight="false" outlineLevel="1" collapsed="false">
      <c r="F174" s="27" t="s">
        <v>974</v>
      </c>
      <c r="G174" s="27" t="s">
        <v>774</v>
      </c>
      <c r="H174" s="27" t="s">
        <v>975</v>
      </c>
      <c r="I174" s="32" t="n">
        <v>187.91799027248</v>
      </c>
      <c r="J174" s="28" t="n">
        <v>396.542634550948</v>
      </c>
      <c r="K174" s="27"/>
    </row>
    <row r="175" customFormat="false" ht="15" hidden="true" customHeight="false" outlineLevel="1" collapsed="false">
      <c r="F175" s="27" t="s">
        <v>976</v>
      </c>
      <c r="G175" s="27" t="s">
        <v>975</v>
      </c>
      <c r="H175" s="27" t="s">
        <v>977</v>
      </c>
      <c r="I175" s="32" t="n">
        <v>30.2179824556604</v>
      </c>
      <c r="J175" s="28" t="n">
        <v>426.760617006608</v>
      </c>
      <c r="K175" s="27"/>
    </row>
    <row r="176" customFormat="false" ht="15" hidden="true" customHeight="false" outlineLevel="1" collapsed="false">
      <c r="F176" s="27" t="s">
        <v>978</v>
      </c>
      <c r="G176" s="27" t="s">
        <v>977</v>
      </c>
      <c r="H176" s="27" t="s">
        <v>979</v>
      </c>
      <c r="I176" s="32" t="n">
        <v>4.91689738689914</v>
      </c>
      <c r="J176" s="28" t="n">
        <v>431.677514393507</v>
      </c>
      <c r="K176" s="27" t="s">
        <v>980</v>
      </c>
    </row>
    <row r="177" customFormat="false" ht="15" hidden="true" customHeight="false" outlineLevel="1" collapsed="false">
      <c r="F177" s="27" t="s">
        <v>981</v>
      </c>
      <c r="G177" s="27" t="s">
        <v>979</v>
      </c>
      <c r="H177" s="27" t="s">
        <v>982</v>
      </c>
      <c r="I177" s="32" t="n">
        <v>237.567585371999</v>
      </c>
      <c r="J177" s="28" t="n">
        <v>669.245099765506</v>
      </c>
      <c r="K177" s="27"/>
    </row>
    <row r="178" customFormat="false" ht="15" hidden="true" customHeight="false" outlineLevel="1" collapsed="false">
      <c r="F178" s="27" t="s">
        <v>983</v>
      </c>
      <c r="G178" s="27" t="s">
        <v>982</v>
      </c>
      <c r="H178" s="27" t="s">
        <v>984</v>
      </c>
      <c r="I178" s="32" t="n">
        <v>3.67608531941469</v>
      </c>
      <c r="J178" s="28" t="n">
        <v>672.921185084921</v>
      </c>
      <c r="K178" s="27"/>
    </row>
    <row r="179" customFormat="false" ht="15" hidden="true" customHeight="false" outlineLevel="1" collapsed="false">
      <c r="F179" s="27" t="s">
        <v>985</v>
      </c>
      <c r="G179" s="27" t="s">
        <v>984</v>
      </c>
      <c r="H179" s="27" t="s">
        <v>986</v>
      </c>
      <c r="I179" s="32" t="n">
        <v>22.5903826183174</v>
      </c>
      <c r="J179" s="28" t="n">
        <v>695.511567703238</v>
      </c>
      <c r="K179" s="27"/>
    </row>
    <row r="180" customFormat="false" ht="15" hidden="true" customHeight="false" outlineLevel="1" collapsed="false">
      <c r="F180" s="27" t="s">
        <v>987</v>
      </c>
      <c r="G180" s="27" t="s">
        <v>986</v>
      </c>
      <c r="H180" s="27" t="s">
        <v>988</v>
      </c>
      <c r="I180" s="32" t="n">
        <v>39.1893381487575</v>
      </c>
      <c r="J180" s="28" t="n">
        <v>734.700905851996</v>
      </c>
      <c r="K180" s="27"/>
    </row>
    <row r="181" customFormat="false" ht="15" hidden="true" customHeight="false" outlineLevel="1" collapsed="false">
      <c r="F181" s="27" t="s">
        <v>989</v>
      </c>
      <c r="G181" s="27" t="s">
        <v>988</v>
      </c>
      <c r="H181" s="27" t="s">
        <v>990</v>
      </c>
      <c r="I181" s="32" t="n">
        <v>125.22613836922</v>
      </c>
      <c r="J181" s="28" t="n">
        <v>859.927044221215</v>
      </c>
      <c r="K181" s="27"/>
    </row>
    <row r="182" customFormat="false" ht="15" hidden="true" customHeight="false" outlineLevel="1" collapsed="false">
      <c r="F182" s="27" t="s">
        <v>991</v>
      </c>
      <c r="G182" s="27" t="s">
        <v>990</v>
      </c>
      <c r="H182" s="27" t="s">
        <v>992</v>
      </c>
      <c r="I182" s="32" t="n">
        <v>0.797435736958807</v>
      </c>
      <c r="J182" s="28" t="n">
        <v>860.724479958174</v>
      </c>
      <c r="K182" s="27"/>
    </row>
    <row r="183" customFormat="false" ht="15" hidden="true" customHeight="false" outlineLevel="1" collapsed="false">
      <c r="F183" s="27" t="s">
        <v>993</v>
      </c>
      <c r="G183" s="27" t="s">
        <v>986</v>
      </c>
      <c r="H183" s="27" t="s">
        <v>994</v>
      </c>
      <c r="I183" s="32" t="n">
        <v>39.9503095641828</v>
      </c>
      <c r="J183" s="28" t="n">
        <v>735.461877267421</v>
      </c>
      <c r="K183" s="27"/>
    </row>
    <row r="184" customFormat="false" ht="15" hidden="true" customHeight="false" outlineLevel="1" collapsed="false">
      <c r="F184" s="27" t="s">
        <v>995</v>
      </c>
      <c r="G184" s="27" t="s">
        <v>994</v>
      </c>
      <c r="H184" s="27" t="s">
        <v>996</v>
      </c>
      <c r="I184" s="32" t="n">
        <v>57.7886606955077</v>
      </c>
      <c r="J184" s="28" t="n">
        <v>793.250537962928</v>
      </c>
      <c r="K184" s="27"/>
    </row>
    <row r="185" customFormat="false" ht="15" hidden="true" customHeight="false" outlineLevel="1" collapsed="false">
      <c r="F185" s="27" t="s">
        <v>997</v>
      </c>
      <c r="G185" s="27" t="s">
        <v>996</v>
      </c>
      <c r="H185" s="27" t="s">
        <v>998</v>
      </c>
      <c r="I185" s="32" t="n">
        <v>3.65723240442055</v>
      </c>
      <c r="J185" s="28" t="n">
        <v>796.907770367349</v>
      </c>
      <c r="K185" s="27"/>
    </row>
    <row r="186" customFormat="false" ht="15" hidden="true" customHeight="false" outlineLevel="1" collapsed="false">
      <c r="F186" s="27" t="s">
        <v>999</v>
      </c>
      <c r="G186" s="27" t="s">
        <v>998</v>
      </c>
      <c r="H186" s="27" t="s">
        <v>1000</v>
      </c>
      <c r="I186" s="32" t="n">
        <v>8.25170302757163</v>
      </c>
      <c r="J186" s="28" t="n">
        <v>805.159473394921</v>
      </c>
      <c r="K186" s="27"/>
    </row>
    <row r="187" customFormat="false" ht="15" hidden="true" customHeight="false" outlineLevel="1" collapsed="false">
      <c r="F187" s="27" t="s">
        <v>1001</v>
      </c>
      <c r="G187" s="27" t="s">
        <v>1000</v>
      </c>
      <c r="H187" s="27" t="s">
        <v>1002</v>
      </c>
      <c r="I187" s="32" t="n">
        <v>38.336502499776</v>
      </c>
      <c r="J187" s="28" t="n">
        <v>843.495975894697</v>
      </c>
      <c r="K187" s="27"/>
    </row>
    <row r="188" customFormat="false" ht="15" hidden="true" customHeight="false" outlineLevel="1" collapsed="false">
      <c r="F188" s="27" t="s">
        <v>1003</v>
      </c>
      <c r="G188" s="27" t="s">
        <v>1002</v>
      </c>
      <c r="H188" s="27" t="s">
        <v>1004</v>
      </c>
      <c r="I188" s="32" t="n">
        <v>51.6837812413516</v>
      </c>
      <c r="J188" s="28" t="n">
        <v>895.179757136048</v>
      </c>
      <c r="K188" s="27"/>
    </row>
    <row r="189" customFormat="false" ht="15" hidden="true" customHeight="false" outlineLevel="1" collapsed="false">
      <c r="F189" s="27" t="s">
        <v>1005</v>
      </c>
      <c r="G189" s="27" t="s">
        <v>1004</v>
      </c>
      <c r="H189" s="27" t="s">
        <v>1006</v>
      </c>
      <c r="I189" s="32" t="n">
        <v>0.110312591084485</v>
      </c>
      <c r="J189" s="28" t="n">
        <v>895.290069727133</v>
      </c>
      <c r="K189" s="27"/>
    </row>
    <row r="190" customFormat="false" ht="15" hidden="true" customHeight="false" outlineLevel="1" collapsed="false">
      <c r="F190" s="27" t="s">
        <v>1007</v>
      </c>
      <c r="G190" s="27" t="s">
        <v>994</v>
      </c>
      <c r="H190" s="27" t="s">
        <v>1008</v>
      </c>
      <c r="I190" s="32" t="n">
        <v>0.667169559852882</v>
      </c>
      <c r="J190" s="28" t="n">
        <v>736.129046827274</v>
      </c>
      <c r="K190" s="27"/>
    </row>
    <row r="191" customFormat="false" ht="15" hidden="false" customHeight="false" outlineLevel="0" collapsed="true">
      <c r="A191" s="30" t="n">
        <v>4</v>
      </c>
      <c r="B191" s="30" t="s">
        <v>22</v>
      </c>
      <c r="C191" s="30" t="s">
        <v>303</v>
      </c>
      <c r="D191" s="30" t="s">
        <v>446</v>
      </c>
      <c r="E191" s="30" t="s">
        <v>41</v>
      </c>
      <c r="F191" s="30" t="str">
        <f aca="false">COUNTIFS(Trechos!$L$2:$L$838,A191)&amp;" vãos"</f>
        <v>73 vãos</v>
      </c>
      <c r="G191" s="30"/>
      <c r="H191" s="30"/>
      <c r="I191" s="31" t="n">
        <f aca="false">SUMIFS(Trechos!$F$2:$F$838,Trechos!$L$2:$L$838,A191)</f>
        <v>3978.33324135429</v>
      </c>
      <c r="J191" s="30"/>
      <c r="K191" s="30"/>
      <c r="L191" s="30" t="s">
        <v>50</v>
      </c>
      <c r="M191" s="30" t="s">
        <v>51</v>
      </c>
      <c r="N191" s="30" t="str">
        <f aca="false">Blocos!BT5</f>
        <v>0200011004, 0357531004, 0303835004, 0356395004, 3300016004, 0301090004, 0303861004, 0304100004, 0201099004, 0301069004</v>
      </c>
    </row>
    <row r="192" customFormat="false" ht="15" hidden="true" customHeight="false" outlineLevel="1" collapsed="false">
      <c r="F192" s="27" t="s">
        <v>1009</v>
      </c>
      <c r="G192" s="27" t="s">
        <v>645</v>
      </c>
      <c r="H192" s="27" t="s">
        <v>1010</v>
      </c>
      <c r="I192" s="32" t="n">
        <v>39.9373075068267</v>
      </c>
      <c r="J192" s="28" t="n">
        <v>336.800835771046</v>
      </c>
      <c r="K192" s="27"/>
    </row>
    <row r="193" customFormat="false" ht="15" hidden="true" customHeight="false" outlineLevel="1" collapsed="false">
      <c r="F193" s="27" t="s">
        <v>1011</v>
      </c>
      <c r="G193" s="27" t="s">
        <v>1010</v>
      </c>
      <c r="H193" s="27" t="s">
        <v>1012</v>
      </c>
      <c r="I193" s="32" t="n">
        <v>3.6114804659488</v>
      </c>
      <c r="J193" s="28" t="n">
        <v>340.412316236995</v>
      </c>
      <c r="K193" s="27" t="s">
        <v>1013</v>
      </c>
    </row>
    <row r="194" customFormat="false" ht="15" hidden="true" customHeight="false" outlineLevel="1" collapsed="false">
      <c r="F194" s="27" t="s">
        <v>1014</v>
      </c>
      <c r="G194" s="27" t="s">
        <v>1012</v>
      </c>
      <c r="H194" s="27" t="s">
        <v>1015</v>
      </c>
      <c r="I194" s="32" t="n">
        <v>49.375005307214</v>
      </c>
      <c r="J194" s="28" t="n">
        <v>389.787321544209</v>
      </c>
      <c r="K194" s="27"/>
    </row>
    <row r="195" customFormat="false" ht="15" hidden="true" customHeight="false" outlineLevel="1" collapsed="false">
      <c r="F195" s="27" t="s">
        <v>1016</v>
      </c>
      <c r="G195" s="27" t="s">
        <v>1015</v>
      </c>
      <c r="H195" s="27" t="s">
        <v>1017</v>
      </c>
      <c r="I195" s="32" t="n">
        <v>1.48947471407959</v>
      </c>
      <c r="J195" s="28" t="n">
        <v>391.276796258288</v>
      </c>
      <c r="K195" s="27"/>
    </row>
    <row r="196" customFormat="false" ht="15" hidden="true" customHeight="false" outlineLevel="1" collapsed="false">
      <c r="F196" s="27" t="s">
        <v>1018</v>
      </c>
      <c r="G196" s="27" t="s">
        <v>1017</v>
      </c>
      <c r="H196" s="27" t="s">
        <v>1019</v>
      </c>
      <c r="I196" s="32" t="n">
        <v>69.877166445664</v>
      </c>
      <c r="J196" s="28" t="n">
        <v>461.153962703952</v>
      </c>
      <c r="K196" s="27"/>
    </row>
    <row r="197" customFormat="false" ht="15" hidden="true" customHeight="false" outlineLevel="1" collapsed="false">
      <c r="F197" s="27" t="s">
        <v>1020</v>
      </c>
      <c r="G197" s="27" t="s">
        <v>1019</v>
      </c>
      <c r="H197" s="27" t="s">
        <v>1021</v>
      </c>
      <c r="I197" s="32" t="n">
        <v>3.28117291246067</v>
      </c>
      <c r="J197" s="28" t="n">
        <v>464.435135616413</v>
      </c>
      <c r="K197" s="27"/>
    </row>
    <row r="198" customFormat="false" ht="15" hidden="true" customHeight="false" outlineLevel="1" collapsed="false">
      <c r="F198" s="27" t="s">
        <v>1022</v>
      </c>
      <c r="G198" s="27" t="s">
        <v>1021</v>
      </c>
      <c r="H198" s="27" t="s">
        <v>1023</v>
      </c>
      <c r="I198" s="32" t="n">
        <v>265.27174333376</v>
      </c>
      <c r="J198" s="28" t="n">
        <v>729.706878950172</v>
      </c>
      <c r="K198" s="27"/>
    </row>
    <row r="199" customFormat="false" ht="15" hidden="true" customHeight="false" outlineLevel="1" collapsed="false">
      <c r="F199" s="27" t="s">
        <v>1024</v>
      </c>
      <c r="G199" s="27" t="s">
        <v>1023</v>
      </c>
      <c r="H199" s="27" t="s">
        <v>1025</v>
      </c>
      <c r="I199" s="32" t="n">
        <v>86.8421367558457</v>
      </c>
      <c r="J199" s="28" t="n">
        <v>816.549015706018</v>
      </c>
      <c r="K199" s="27"/>
    </row>
    <row r="200" customFormat="false" ht="15" hidden="true" customHeight="false" outlineLevel="1" collapsed="false">
      <c r="F200" s="27" t="s">
        <v>1026</v>
      </c>
      <c r="G200" s="27" t="s">
        <v>1025</v>
      </c>
      <c r="H200" s="27" t="s">
        <v>1027</v>
      </c>
      <c r="I200" s="32" t="n">
        <v>8.13972973404363</v>
      </c>
      <c r="J200" s="28" t="n">
        <v>824.688745440062</v>
      </c>
      <c r="K200" s="27" t="s">
        <v>1028</v>
      </c>
    </row>
    <row r="201" customFormat="false" ht="15" hidden="true" customHeight="false" outlineLevel="1" collapsed="false">
      <c r="F201" s="27" t="s">
        <v>1029</v>
      </c>
      <c r="G201" s="27" t="s">
        <v>1027</v>
      </c>
      <c r="H201" s="27" t="s">
        <v>1030</v>
      </c>
      <c r="I201" s="32" t="n">
        <v>129.533426695517</v>
      </c>
      <c r="J201" s="28" t="n">
        <v>954.222172135578</v>
      </c>
      <c r="K201" s="27"/>
    </row>
    <row r="202" customFormat="false" ht="15" hidden="true" customHeight="false" outlineLevel="1" collapsed="false">
      <c r="F202" s="27" t="s">
        <v>1031</v>
      </c>
      <c r="G202" s="27" t="s">
        <v>1030</v>
      </c>
      <c r="H202" s="27" t="s">
        <v>1032</v>
      </c>
      <c r="I202" s="32" t="n">
        <v>3.49135644803889</v>
      </c>
      <c r="J202" s="28" t="n">
        <v>957.713528583617</v>
      </c>
      <c r="K202" s="27"/>
    </row>
    <row r="203" customFormat="false" ht="15" hidden="true" customHeight="false" outlineLevel="1" collapsed="false">
      <c r="F203" s="27" t="s">
        <v>1033</v>
      </c>
      <c r="G203" s="27" t="s">
        <v>1032</v>
      </c>
      <c r="H203" s="27" t="s">
        <v>1034</v>
      </c>
      <c r="I203" s="32" t="n">
        <v>444.760936599612</v>
      </c>
      <c r="J203" s="28" t="n">
        <v>1402.47446518323</v>
      </c>
      <c r="K203" s="27"/>
    </row>
    <row r="204" customFormat="false" ht="15" hidden="true" customHeight="false" outlineLevel="1" collapsed="false">
      <c r="F204" s="27" t="s">
        <v>1035</v>
      </c>
      <c r="G204" s="27" t="s">
        <v>1034</v>
      </c>
      <c r="H204" s="27" t="s">
        <v>1036</v>
      </c>
      <c r="I204" s="32" t="n">
        <v>3.65576163200302</v>
      </c>
      <c r="J204" s="28" t="n">
        <v>1406.13022681523</v>
      </c>
      <c r="K204" s="27"/>
    </row>
    <row r="205" customFormat="false" ht="15" hidden="true" customHeight="false" outlineLevel="1" collapsed="false">
      <c r="F205" s="27" t="s">
        <v>1037</v>
      </c>
      <c r="G205" s="27" t="s">
        <v>1036</v>
      </c>
      <c r="H205" s="27" t="s">
        <v>1038</v>
      </c>
      <c r="I205" s="32" t="n">
        <v>429.82070690787</v>
      </c>
      <c r="J205" s="28" t="n">
        <v>1835.9509337231</v>
      </c>
      <c r="K205" s="27"/>
    </row>
    <row r="206" customFormat="false" ht="15" hidden="true" customHeight="false" outlineLevel="1" collapsed="false">
      <c r="F206" s="27" t="s">
        <v>1039</v>
      </c>
      <c r="G206" s="27" t="s">
        <v>1038</v>
      </c>
      <c r="H206" s="27" t="s">
        <v>1040</v>
      </c>
      <c r="I206" s="32" t="n">
        <v>5.09410033543197</v>
      </c>
      <c r="J206" s="28" t="n">
        <v>1841.04503405853</v>
      </c>
      <c r="K206" s="27"/>
    </row>
    <row r="207" customFormat="false" ht="15" hidden="true" customHeight="false" outlineLevel="1" collapsed="false">
      <c r="F207" s="27" t="s">
        <v>1041</v>
      </c>
      <c r="G207" s="27" t="s">
        <v>1040</v>
      </c>
      <c r="H207" s="27" t="s">
        <v>1042</v>
      </c>
      <c r="I207" s="32" t="n">
        <v>1.63887333781121</v>
      </c>
      <c r="J207" s="28" t="n">
        <v>1842.68390739635</v>
      </c>
      <c r="K207" s="27" t="s">
        <v>1043</v>
      </c>
    </row>
    <row r="208" customFormat="false" ht="15" hidden="true" customHeight="false" outlineLevel="1" collapsed="false">
      <c r="F208" s="27" t="s">
        <v>1044</v>
      </c>
      <c r="G208" s="27" t="s">
        <v>1042</v>
      </c>
      <c r="H208" s="27" t="s">
        <v>1045</v>
      </c>
      <c r="I208" s="32" t="n">
        <v>14.2193385113207</v>
      </c>
      <c r="J208" s="28" t="n">
        <v>1856.90324590767</v>
      </c>
      <c r="K208" s="27"/>
    </row>
    <row r="209" customFormat="false" ht="15" hidden="true" customHeight="false" outlineLevel="1" collapsed="false">
      <c r="F209" s="27" t="s">
        <v>1046</v>
      </c>
      <c r="G209" s="27" t="s">
        <v>1045</v>
      </c>
      <c r="H209" s="27" t="s">
        <v>1047</v>
      </c>
      <c r="I209" s="32" t="n">
        <v>130.784828788619</v>
      </c>
      <c r="J209" s="28" t="n">
        <v>1987.68807469629</v>
      </c>
      <c r="K209" s="27"/>
    </row>
    <row r="210" customFormat="false" ht="15" hidden="true" customHeight="false" outlineLevel="1" collapsed="false">
      <c r="F210" s="27" t="s">
        <v>1048</v>
      </c>
      <c r="G210" s="27" t="s">
        <v>1047</v>
      </c>
      <c r="H210" s="27" t="s">
        <v>1049</v>
      </c>
      <c r="I210" s="32" t="n">
        <v>2.34057390704863</v>
      </c>
      <c r="J210" s="28" t="n">
        <v>1990.02864860333</v>
      </c>
      <c r="K210" s="27"/>
    </row>
    <row r="211" customFormat="false" ht="15" hidden="true" customHeight="false" outlineLevel="1" collapsed="false">
      <c r="F211" s="27" t="s">
        <v>1050</v>
      </c>
      <c r="G211" s="27" t="s">
        <v>1049</v>
      </c>
      <c r="H211" s="27" t="s">
        <v>1051</v>
      </c>
      <c r="I211" s="32" t="n">
        <v>7.23980060219545</v>
      </c>
      <c r="J211" s="28" t="n">
        <v>1997.26844920553</v>
      </c>
      <c r="K211" s="27"/>
    </row>
    <row r="212" customFormat="false" ht="15" hidden="true" customHeight="false" outlineLevel="1" collapsed="false">
      <c r="F212" s="27" t="s">
        <v>1052</v>
      </c>
      <c r="G212" s="27" t="s">
        <v>1051</v>
      </c>
      <c r="H212" s="27" t="s">
        <v>1053</v>
      </c>
      <c r="I212" s="32" t="n">
        <v>0.783173006507248</v>
      </c>
      <c r="J212" s="28" t="n">
        <v>1998.05162221204</v>
      </c>
      <c r="K212" s="27"/>
    </row>
    <row r="213" customFormat="false" ht="15" hidden="true" customHeight="false" outlineLevel="1" collapsed="false">
      <c r="F213" s="27" t="s">
        <v>1054</v>
      </c>
      <c r="G213" s="27" t="s">
        <v>1045</v>
      </c>
      <c r="H213" s="27" t="s">
        <v>1055</v>
      </c>
      <c r="I213" s="32" t="n">
        <v>1.93385380887881</v>
      </c>
      <c r="J213" s="28" t="n">
        <v>1858.83709971655</v>
      </c>
      <c r="K213" s="27"/>
    </row>
    <row r="214" customFormat="false" ht="15" hidden="true" customHeight="false" outlineLevel="1" collapsed="false">
      <c r="F214" s="27" t="s">
        <v>1056</v>
      </c>
      <c r="G214" s="27" t="s">
        <v>1036</v>
      </c>
      <c r="H214" s="27" t="s">
        <v>1057</v>
      </c>
      <c r="I214" s="32" t="n">
        <v>6.11136630729821</v>
      </c>
      <c r="J214" s="28" t="n">
        <v>1412.24159312253</v>
      </c>
      <c r="K214" s="27"/>
    </row>
    <row r="215" customFormat="false" ht="15" hidden="true" customHeight="false" outlineLevel="1" collapsed="false">
      <c r="F215" s="27" t="s">
        <v>1058</v>
      </c>
      <c r="G215" s="27" t="s">
        <v>1023</v>
      </c>
      <c r="H215" s="27" t="s">
        <v>1059</v>
      </c>
      <c r="I215" s="32" t="n">
        <v>18.3703939988078</v>
      </c>
      <c r="J215" s="28" t="n">
        <v>748.07727294898</v>
      </c>
      <c r="K215" s="27"/>
    </row>
    <row r="216" customFormat="false" ht="15" hidden="true" customHeight="false" outlineLevel="1" collapsed="false">
      <c r="F216" s="27" t="s">
        <v>1060</v>
      </c>
      <c r="G216" s="27" t="s">
        <v>1059</v>
      </c>
      <c r="H216" s="27" t="s">
        <v>1061</v>
      </c>
      <c r="I216" s="32" t="n">
        <v>3.57543363649353</v>
      </c>
      <c r="J216" s="28" t="n">
        <v>751.652706585474</v>
      </c>
      <c r="K216" s="27" t="s">
        <v>1062</v>
      </c>
    </row>
    <row r="217" customFormat="false" ht="15" hidden="true" customHeight="false" outlineLevel="1" collapsed="false">
      <c r="F217" s="27" t="s">
        <v>1063</v>
      </c>
      <c r="G217" s="27" t="s">
        <v>1061</v>
      </c>
      <c r="H217" s="27" t="s">
        <v>1064</v>
      </c>
      <c r="I217" s="32" t="n">
        <v>166.848203468298</v>
      </c>
      <c r="J217" s="28" t="n">
        <v>918.500910053772</v>
      </c>
      <c r="K217" s="27"/>
    </row>
    <row r="218" customFormat="false" ht="15" hidden="true" customHeight="false" outlineLevel="1" collapsed="false">
      <c r="F218" s="27" t="s">
        <v>1065</v>
      </c>
      <c r="G218" s="27" t="s">
        <v>1064</v>
      </c>
      <c r="H218" s="27" t="s">
        <v>1066</v>
      </c>
      <c r="I218" s="32" t="n">
        <v>30.3086818908264</v>
      </c>
      <c r="J218" s="28" t="n">
        <v>948.809591944598</v>
      </c>
      <c r="K218" s="27"/>
    </row>
    <row r="219" customFormat="false" ht="15" hidden="true" customHeight="false" outlineLevel="1" collapsed="false">
      <c r="F219" s="27" t="s">
        <v>1067</v>
      </c>
      <c r="G219" s="27" t="s">
        <v>1066</v>
      </c>
      <c r="H219" s="27" t="s">
        <v>1068</v>
      </c>
      <c r="I219" s="32" t="n">
        <v>132.181764625207</v>
      </c>
      <c r="J219" s="28" t="n">
        <v>1080.99135656981</v>
      </c>
      <c r="K219" s="27"/>
    </row>
    <row r="220" customFormat="false" ht="15" hidden="true" customHeight="false" outlineLevel="1" collapsed="false">
      <c r="F220" s="27" t="s">
        <v>1069</v>
      </c>
      <c r="G220" s="27" t="s">
        <v>1068</v>
      </c>
      <c r="H220" s="27" t="s">
        <v>1070</v>
      </c>
      <c r="I220" s="32" t="n">
        <v>131.047435842845</v>
      </c>
      <c r="J220" s="28" t="n">
        <v>1212.03879241265</v>
      </c>
      <c r="K220" s="27"/>
    </row>
    <row r="221" customFormat="false" ht="15" hidden="true" customHeight="false" outlineLevel="1" collapsed="false">
      <c r="F221" s="27" t="s">
        <v>1071</v>
      </c>
      <c r="G221" s="27" t="s">
        <v>1070</v>
      </c>
      <c r="H221" s="27" t="s">
        <v>1072</v>
      </c>
      <c r="I221" s="32" t="n">
        <v>112.9648566467</v>
      </c>
      <c r="J221" s="28" t="n">
        <v>1325.00364905935</v>
      </c>
      <c r="K221" s="27"/>
    </row>
    <row r="222" customFormat="false" ht="15" hidden="true" customHeight="false" outlineLevel="1" collapsed="false">
      <c r="F222" s="27" t="s">
        <v>1073</v>
      </c>
      <c r="G222" s="27" t="s">
        <v>1072</v>
      </c>
      <c r="H222" s="27" t="s">
        <v>1074</v>
      </c>
      <c r="I222" s="32" t="n">
        <v>3.56462466055017</v>
      </c>
      <c r="J222" s="28" t="n">
        <v>1328.5682737199</v>
      </c>
      <c r="K222" s="27"/>
    </row>
    <row r="223" customFormat="false" ht="15" hidden="true" customHeight="false" outlineLevel="1" collapsed="false">
      <c r="F223" s="27" t="s">
        <v>1075</v>
      </c>
      <c r="G223" s="27" t="s">
        <v>1074</v>
      </c>
      <c r="H223" s="27" t="s">
        <v>1076</v>
      </c>
      <c r="I223" s="32" t="n">
        <v>54.920197396388</v>
      </c>
      <c r="J223" s="28" t="n">
        <v>1383.48847111629</v>
      </c>
      <c r="K223" s="27"/>
    </row>
    <row r="224" customFormat="false" ht="15" hidden="true" customHeight="false" outlineLevel="1" collapsed="false">
      <c r="F224" s="27" t="s">
        <v>1077</v>
      </c>
      <c r="G224" s="27" t="s">
        <v>1076</v>
      </c>
      <c r="H224" s="27" t="s">
        <v>1078</v>
      </c>
      <c r="I224" s="32" t="n">
        <v>3.65573866747775</v>
      </c>
      <c r="J224" s="28" t="n">
        <v>1387.14420978377</v>
      </c>
      <c r="K224" s="27"/>
    </row>
    <row r="225" customFormat="false" ht="15" hidden="true" customHeight="false" outlineLevel="1" collapsed="false">
      <c r="F225" s="27" t="s">
        <v>1079</v>
      </c>
      <c r="G225" s="27" t="s">
        <v>1068</v>
      </c>
      <c r="H225" s="27" t="s">
        <v>1080</v>
      </c>
      <c r="I225" s="32" t="n">
        <v>16.9998412713517</v>
      </c>
      <c r="J225" s="28" t="n">
        <v>1097.99119784116</v>
      </c>
      <c r="K225" s="27"/>
    </row>
    <row r="226" customFormat="false" ht="15" hidden="true" customHeight="false" outlineLevel="1" collapsed="false">
      <c r="F226" s="27" t="s">
        <v>1081</v>
      </c>
      <c r="G226" s="27" t="s">
        <v>1068</v>
      </c>
      <c r="H226" s="27" t="s">
        <v>1082</v>
      </c>
      <c r="I226" s="32" t="n">
        <v>49.525509250194</v>
      </c>
      <c r="J226" s="28" t="n">
        <v>1130.51686582</v>
      </c>
      <c r="K226" s="27"/>
    </row>
    <row r="227" customFormat="false" ht="15" hidden="true" customHeight="false" outlineLevel="1" collapsed="false">
      <c r="F227" s="27" t="s">
        <v>1083</v>
      </c>
      <c r="G227" s="27" t="s">
        <v>1082</v>
      </c>
      <c r="H227" s="27" t="s">
        <v>1084</v>
      </c>
      <c r="I227" s="32" t="n">
        <v>3.07898767162758</v>
      </c>
      <c r="J227" s="28" t="n">
        <v>1133.59585349163</v>
      </c>
      <c r="K227" s="27" t="s">
        <v>1085</v>
      </c>
    </row>
    <row r="228" customFormat="false" ht="15" hidden="true" customHeight="false" outlineLevel="1" collapsed="false">
      <c r="F228" s="27" t="s">
        <v>1086</v>
      </c>
      <c r="G228" s="27" t="s">
        <v>1084</v>
      </c>
      <c r="H228" s="27" t="s">
        <v>1087</v>
      </c>
      <c r="I228" s="32" t="n">
        <v>113.258771418034</v>
      </c>
      <c r="J228" s="28" t="n">
        <v>1246.85462490966</v>
      </c>
      <c r="K228" s="27"/>
    </row>
    <row r="229" customFormat="false" ht="15" hidden="true" customHeight="false" outlineLevel="1" collapsed="false">
      <c r="F229" s="27" t="s">
        <v>1088</v>
      </c>
      <c r="G229" s="27" t="s">
        <v>1087</v>
      </c>
      <c r="H229" s="27" t="s">
        <v>1089</v>
      </c>
      <c r="I229" s="32" t="n">
        <v>108.489184165814</v>
      </c>
      <c r="J229" s="28" t="n">
        <v>1355.34380907547</v>
      </c>
      <c r="K229" s="27"/>
    </row>
    <row r="230" customFormat="false" ht="15" hidden="true" customHeight="false" outlineLevel="1" collapsed="false">
      <c r="F230" s="27" t="s">
        <v>1090</v>
      </c>
      <c r="G230" s="27" t="s">
        <v>1089</v>
      </c>
      <c r="H230" s="27" t="s">
        <v>1091</v>
      </c>
      <c r="I230" s="32" t="n">
        <v>3.28116432304295</v>
      </c>
      <c r="J230" s="28" t="n">
        <v>1358.62497339852</v>
      </c>
      <c r="K230" s="27" t="s">
        <v>1092</v>
      </c>
    </row>
    <row r="231" customFormat="false" ht="15" hidden="true" customHeight="false" outlineLevel="1" collapsed="false">
      <c r="F231" s="27" t="s">
        <v>1093</v>
      </c>
      <c r="G231" s="27" t="s">
        <v>1091</v>
      </c>
      <c r="H231" s="27" t="s">
        <v>1094</v>
      </c>
      <c r="I231" s="32" t="n">
        <v>28.9668903465827</v>
      </c>
      <c r="J231" s="28" t="n">
        <v>1387.5918637451</v>
      </c>
      <c r="K231" s="27"/>
    </row>
    <row r="232" customFormat="false" ht="15" hidden="true" customHeight="false" outlineLevel="1" collapsed="false">
      <c r="F232" s="27" t="s">
        <v>1095</v>
      </c>
      <c r="G232" s="27" t="s">
        <v>1094</v>
      </c>
      <c r="H232" s="27" t="s">
        <v>1096</v>
      </c>
      <c r="I232" s="32" t="n">
        <v>2.93213581548948</v>
      </c>
      <c r="J232" s="28" t="n">
        <v>1390.52399956059</v>
      </c>
      <c r="K232" s="27"/>
    </row>
    <row r="233" customFormat="false" ht="15" hidden="true" customHeight="false" outlineLevel="1" collapsed="false">
      <c r="F233" s="27" t="s">
        <v>1097</v>
      </c>
      <c r="G233" s="27" t="s">
        <v>1096</v>
      </c>
      <c r="H233" s="27" t="s">
        <v>1098</v>
      </c>
      <c r="I233" s="32" t="n">
        <v>24.8275945054901</v>
      </c>
      <c r="J233" s="28" t="n">
        <v>1415.35159406608</v>
      </c>
      <c r="K233" s="27"/>
    </row>
    <row r="234" customFormat="false" ht="15" hidden="true" customHeight="false" outlineLevel="1" collapsed="false">
      <c r="F234" s="27" t="s">
        <v>1099</v>
      </c>
      <c r="G234" s="27" t="s">
        <v>1098</v>
      </c>
      <c r="H234" s="27" t="s">
        <v>1100</v>
      </c>
      <c r="I234" s="32" t="n">
        <v>42.5224483693702</v>
      </c>
      <c r="J234" s="28" t="n">
        <v>1457.87404243545</v>
      </c>
      <c r="K234" s="27"/>
    </row>
    <row r="235" customFormat="false" ht="15" hidden="true" customHeight="false" outlineLevel="1" collapsed="false">
      <c r="F235" s="27" t="s">
        <v>1101</v>
      </c>
      <c r="G235" s="27" t="s">
        <v>1100</v>
      </c>
      <c r="H235" s="27" t="s">
        <v>1102</v>
      </c>
      <c r="I235" s="32" t="n">
        <v>36.9541673251599</v>
      </c>
      <c r="J235" s="28" t="n">
        <v>1494.82820976061</v>
      </c>
      <c r="K235" s="27"/>
    </row>
    <row r="236" customFormat="false" ht="15" hidden="true" customHeight="false" outlineLevel="1" collapsed="false">
      <c r="F236" s="27" t="s">
        <v>1103</v>
      </c>
      <c r="G236" s="27" t="s">
        <v>1102</v>
      </c>
      <c r="H236" s="27" t="s">
        <v>1104</v>
      </c>
      <c r="I236" s="32" t="n">
        <v>3.23822879868005</v>
      </c>
      <c r="J236" s="28" t="n">
        <v>1498.06643855929</v>
      </c>
      <c r="K236" s="27"/>
    </row>
    <row r="237" customFormat="false" ht="15" hidden="true" customHeight="false" outlineLevel="1" collapsed="false">
      <c r="F237" s="27" t="s">
        <v>1105</v>
      </c>
      <c r="G237" s="27" t="s">
        <v>1104</v>
      </c>
      <c r="H237" s="27" t="s">
        <v>1106</v>
      </c>
      <c r="I237" s="32" t="n">
        <v>57.8326096728754</v>
      </c>
      <c r="J237" s="28" t="n">
        <v>1555.89904823217</v>
      </c>
      <c r="K237" s="27"/>
    </row>
    <row r="238" customFormat="false" ht="15" hidden="true" customHeight="false" outlineLevel="1" collapsed="false">
      <c r="F238" s="27" t="s">
        <v>1107</v>
      </c>
      <c r="G238" s="27" t="s">
        <v>1106</v>
      </c>
      <c r="H238" s="27" t="s">
        <v>1108</v>
      </c>
      <c r="I238" s="32" t="n">
        <v>20.0749315331934</v>
      </c>
      <c r="J238" s="28" t="n">
        <v>1575.97397976536</v>
      </c>
      <c r="K238" s="27"/>
    </row>
    <row r="239" customFormat="false" ht="15" hidden="true" customHeight="false" outlineLevel="1" collapsed="false">
      <c r="F239" s="27" t="s">
        <v>1109</v>
      </c>
      <c r="G239" s="27" t="s">
        <v>1108</v>
      </c>
      <c r="H239" s="27" t="s">
        <v>1110</v>
      </c>
      <c r="I239" s="32" t="n">
        <v>3.80647985813095</v>
      </c>
      <c r="J239" s="28" t="n">
        <v>1579.78045962349</v>
      </c>
      <c r="K239" s="27" t="s">
        <v>1111</v>
      </c>
    </row>
    <row r="240" customFormat="false" ht="15" hidden="true" customHeight="false" outlineLevel="1" collapsed="false">
      <c r="F240" s="27" t="s">
        <v>1112</v>
      </c>
      <c r="G240" s="27" t="s">
        <v>1110</v>
      </c>
      <c r="H240" s="27" t="s">
        <v>1113</v>
      </c>
      <c r="I240" s="32" t="n">
        <v>34.075736385367</v>
      </c>
      <c r="J240" s="28" t="n">
        <v>1613.85619600886</v>
      </c>
      <c r="K240" s="27"/>
    </row>
    <row r="241" customFormat="false" ht="15" hidden="true" customHeight="false" outlineLevel="1" collapsed="false">
      <c r="F241" s="27" t="s">
        <v>1114</v>
      </c>
      <c r="G241" s="27" t="s">
        <v>1113</v>
      </c>
      <c r="H241" s="27" t="s">
        <v>1115</v>
      </c>
      <c r="I241" s="32" t="n">
        <v>251.423592854095</v>
      </c>
      <c r="J241" s="28" t="n">
        <v>1865.27978886295</v>
      </c>
      <c r="K241" s="27"/>
    </row>
    <row r="242" customFormat="false" ht="15" hidden="true" customHeight="false" outlineLevel="1" collapsed="false">
      <c r="F242" s="27" t="s">
        <v>1116</v>
      </c>
      <c r="G242" s="27" t="s">
        <v>1115</v>
      </c>
      <c r="H242" s="27" t="s">
        <v>1117</v>
      </c>
      <c r="I242" s="32" t="n">
        <v>185.108057537156</v>
      </c>
      <c r="J242" s="28" t="n">
        <v>2050.38784640011</v>
      </c>
      <c r="K242" s="27"/>
    </row>
    <row r="243" customFormat="false" ht="15" hidden="true" customHeight="false" outlineLevel="1" collapsed="false">
      <c r="F243" s="27" t="s">
        <v>1118</v>
      </c>
      <c r="G243" s="27" t="s">
        <v>1117</v>
      </c>
      <c r="H243" s="27" t="s">
        <v>1119</v>
      </c>
      <c r="I243" s="32" t="n">
        <v>4.33786389202479</v>
      </c>
      <c r="J243" s="28" t="n">
        <v>2054.72571029213</v>
      </c>
      <c r="K243" s="27"/>
    </row>
    <row r="244" customFormat="false" ht="15" hidden="true" customHeight="false" outlineLevel="1" collapsed="false">
      <c r="F244" s="27" t="s">
        <v>1120</v>
      </c>
      <c r="G244" s="27" t="s">
        <v>1119</v>
      </c>
      <c r="H244" s="27" t="s">
        <v>1121</v>
      </c>
      <c r="I244" s="32" t="n">
        <v>29.7497869869379</v>
      </c>
      <c r="J244" s="28" t="n">
        <v>2084.47549727907</v>
      </c>
      <c r="K244" s="27"/>
    </row>
    <row r="245" customFormat="false" ht="15" hidden="true" customHeight="false" outlineLevel="1" collapsed="false">
      <c r="F245" s="27" t="s">
        <v>1122</v>
      </c>
      <c r="G245" s="27" t="s">
        <v>1121</v>
      </c>
      <c r="H245" s="27" t="s">
        <v>1123</v>
      </c>
      <c r="I245" s="32" t="n">
        <v>3.32720441436337</v>
      </c>
      <c r="J245" s="28" t="n">
        <v>2087.80270169343</v>
      </c>
      <c r="K245" s="27"/>
    </row>
    <row r="246" customFormat="false" ht="15" hidden="true" customHeight="false" outlineLevel="1" collapsed="false">
      <c r="F246" s="27" t="s">
        <v>1124</v>
      </c>
      <c r="G246" s="27" t="s">
        <v>1117</v>
      </c>
      <c r="H246" s="27" t="s">
        <v>1125</v>
      </c>
      <c r="I246" s="32" t="n">
        <v>9.30583837006032</v>
      </c>
      <c r="J246" s="28" t="n">
        <v>2059.69368477017</v>
      </c>
      <c r="K246" s="27"/>
    </row>
    <row r="247" customFormat="false" ht="15" hidden="true" customHeight="false" outlineLevel="1" collapsed="false">
      <c r="F247" s="27" t="s">
        <v>1126</v>
      </c>
      <c r="G247" s="27" t="s">
        <v>1115</v>
      </c>
      <c r="H247" s="27" t="s">
        <v>1127</v>
      </c>
      <c r="I247" s="32" t="n">
        <v>0.949128056142474</v>
      </c>
      <c r="J247" s="28" t="n">
        <v>1866.22891691909</v>
      </c>
      <c r="K247" s="27"/>
    </row>
    <row r="248" customFormat="false" ht="15" hidden="true" customHeight="false" outlineLevel="1" collapsed="false">
      <c r="F248" s="27" t="s">
        <v>1128</v>
      </c>
      <c r="G248" s="27" t="s">
        <v>1106</v>
      </c>
      <c r="H248" s="27" t="s">
        <v>1129</v>
      </c>
      <c r="I248" s="32" t="n">
        <v>13.5644457334015</v>
      </c>
      <c r="J248" s="28" t="n">
        <v>1569.46349396557</v>
      </c>
      <c r="K248" s="27"/>
    </row>
    <row r="249" customFormat="false" ht="15" hidden="true" customHeight="false" outlineLevel="1" collapsed="false">
      <c r="F249" s="27" t="s">
        <v>1130</v>
      </c>
      <c r="G249" s="27" t="s">
        <v>1106</v>
      </c>
      <c r="H249" s="27" t="s">
        <v>1131</v>
      </c>
      <c r="I249" s="32" t="n">
        <v>58.5206708337037</v>
      </c>
      <c r="J249" s="28" t="n">
        <v>1614.41971906587</v>
      </c>
      <c r="K249" s="27"/>
    </row>
    <row r="250" customFormat="false" ht="15" hidden="true" customHeight="false" outlineLevel="1" collapsed="false">
      <c r="F250" s="27" t="s">
        <v>1132</v>
      </c>
      <c r="G250" s="27" t="s">
        <v>1131</v>
      </c>
      <c r="H250" s="27" t="s">
        <v>1133</v>
      </c>
      <c r="I250" s="32" t="n">
        <v>3.21440350964108</v>
      </c>
      <c r="J250" s="28" t="n">
        <v>1617.63412257551</v>
      </c>
      <c r="K250" s="27"/>
    </row>
    <row r="251" customFormat="false" ht="15" hidden="true" customHeight="false" outlineLevel="1" collapsed="false">
      <c r="F251" s="27" t="s">
        <v>1134</v>
      </c>
      <c r="G251" s="27" t="s">
        <v>1133</v>
      </c>
      <c r="H251" s="27" t="s">
        <v>1135</v>
      </c>
      <c r="I251" s="32" t="n">
        <v>70.7486793515429</v>
      </c>
      <c r="J251" s="28" t="n">
        <v>1688.38280192705</v>
      </c>
      <c r="K251" s="27"/>
    </row>
    <row r="252" customFormat="false" ht="15" hidden="true" customHeight="false" outlineLevel="1" collapsed="false">
      <c r="F252" s="27" t="s">
        <v>1136</v>
      </c>
      <c r="G252" s="27" t="s">
        <v>1098</v>
      </c>
      <c r="H252" s="27" t="s">
        <v>1137</v>
      </c>
      <c r="I252" s="32" t="n">
        <v>7.12189441804431</v>
      </c>
      <c r="J252" s="28" t="n">
        <v>1422.47348848412</v>
      </c>
      <c r="K252" s="27"/>
    </row>
    <row r="253" customFormat="false" ht="15" hidden="true" customHeight="false" outlineLevel="1" collapsed="false">
      <c r="F253" s="27" t="s">
        <v>1138</v>
      </c>
      <c r="G253" s="27" t="s">
        <v>1137</v>
      </c>
      <c r="H253" s="27" t="s">
        <v>1139</v>
      </c>
      <c r="I253" s="32" t="n">
        <v>24.6610002882323</v>
      </c>
      <c r="J253" s="28" t="n">
        <v>1447.13448877236</v>
      </c>
      <c r="K253" s="27"/>
    </row>
    <row r="254" customFormat="false" ht="15" hidden="true" customHeight="false" outlineLevel="1" collapsed="false">
      <c r="F254" s="27" t="s">
        <v>1140</v>
      </c>
      <c r="G254" s="27" t="s">
        <v>1139</v>
      </c>
      <c r="H254" s="27" t="s">
        <v>1141</v>
      </c>
      <c r="I254" s="32" t="n">
        <v>12.9006498716003</v>
      </c>
      <c r="J254" s="28" t="n">
        <v>1460.03513864396</v>
      </c>
      <c r="K254" s="27"/>
    </row>
    <row r="255" customFormat="false" ht="15" hidden="true" customHeight="false" outlineLevel="1" collapsed="false">
      <c r="F255" s="27" t="s">
        <v>1142</v>
      </c>
      <c r="G255" s="27" t="s">
        <v>1139</v>
      </c>
      <c r="H255" s="27" t="s">
        <v>1143</v>
      </c>
      <c r="I255" s="32" t="n">
        <v>0.744743951953938</v>
      </c>
      <c r="J255" s="28" t="n">
        <v>1447.87923272431</v>
      </c>
      <c r="K255" s="27"/>
    </row>
    <row r="256" customFormat="false" ht="15" hidden="true" customHeight="false" outlineLevel="1" collapsed="false">
      <c r="F256" s="27" t="s">
        <v>1144</v>
      </c>
      <c r="G256" s="27" t="s">
        <v>1098</v>
      </c>
      <c r="H256" s="27" t="s">
        <v>1145</v>
      </c>
      <c r="I256" s="32" t="n">
        <v>28.8601352367615</v>
      </c>
      <c r="J256" s="28" t="n">
        <v>1444.21172930284</v>
      </c>
      <c r="K256" s="27"/>
    </row>
    <row r="257" customFormat="false" ht="15" hidden="true" customHeight="false" outlineLevel="1" collapsed="false">
      <c r="F257" s="27" t="s">
        <v>1146</v>
      </c>
      <c r="G257" s="27" t="s">
        <v>1066</v>
      </c>
      <c r="H257" s="27" t="s">
        <v>1147</v>
      </c>
      <c r="I257" s="32" t="n">
        <v>2.24629863469536</v>
      </c>
      <c r="J257" s="28" t="n">
        <v>951.055890579293</v>
      </c>
      <c r="K257" s="27"/>
    </row>
    <row r="258" customFormat="false" ht="15" hidden="true" customHeight="false" outlineLevel="1" collapsed="false">
      <c r="F258" s="27" t="s">
        <v>1148</v>
      </c>
      <c r="G258" s="27" t="s">
        <v>1147</v>
      </c>
      <c r="H258" s="27" t="s">
        <v>1149</v>
      </c>
      <c r="I258" s="32" t="n">
        <v>15.0460299639741</v>
      </c>
      <c r="J258" s="28" t="n">
        <v>966.101920543267</v>
      </c>
      <c r="K258" s="27"/>
    </row>
    <row r="259" customFormat="false" ht="15" hidden="true" customHeight="false" outlineLevel="1" collapsed="false">
      <c r="F259" s="27" t="s">
        <v>1150</v>
      </c>
      <c r="G259" s="27" t="s">
        <v>1149</v>
      </c>
      <c r="H259" s="27" t="s">
        <v>1151</v>
      </c>
      <c r="I259" s="32" t="n">
        <v>2.59750667023872</v>
      </c>
      <c r="J259" s="28" t="n">
        <v>968.699427213506</v>
      </c>
      <c r="K259" s="27"/>
    </row>
    <row r="260" customFormat="false" ht="15" hidden="true" customHeight="false" outlineLevel="1" collapsed="false">
      <c r="F260" s="27" t="s">
        <v>1152</v>
      </c>
      <c r="G260" s="27" t="s">
        <v>1151</v>
      </c>
      <c r="H260" s="27" t="s">
        <v>1153</v>
      </c>
      <c r="I260" s="32" t="n">
        <v>130.221952202127</v>
      </c>
      <c r="J260" s="28" t="n">
        <v>1098.92137941563</v>
      </c>
      <c r="K260" s="27"/>
    </row>
    <row r="261" customFormat="false" ht="15" hidden="true" customHeight="false" outlineLevel="1" collapsed="false">
      <c r="F261" s="27" t="s">
        <v>1154</v>
      </c>
      <c r="G261" s="27" t="s">
        <v>1153</v>
      </c>
      <c r="H261" s="27" t="s">
        <v>1155</v>
      </c>
      <c r="I261" s="32" t="n">
        <v>32.9164315468673</v>
      </c>
      <c r="J261" s="28" t="n">
        <v>1131.8378109625</v>
      </c>
      <c r="K261" s="27"/>
    </row>
    <row r="262" customFormat="false" ht="15" hidden="true" customHeight="false" outlineLevel="1" collapsed="false">
      <c r="F262" s="27" t="s">
        <v>1156</v>
      </c>
      <c r="G262" s="27" t="s">
        <v>1023</v>
      </c>
      <c r="H262" s="27" t="s">
        <v>1157</v>
      </c>
      <c r="I262" s="32" t="n">
        <v>11.9673108297483</v>
      </c>
      <c r="J262" s="28" t="n">
        <v>741.674189779921</v>
      </c>
      <c r="K262" s="27"/>
    </row>
    <row r="263" customFormat="false" ht="15" hidden="true" customHeight="false" outlineLevel="1" collapsed="false">
      <c r="F263" s="27" t="s">
        <v>1158</v>
      </c>
      <c r="G263" s="27" t="s">
        <v>1015</v>
      </c>
      <c r="H263" s="27" t="s">
        <v>1159</v>
      </c>
      <c r="I263" s="32" t="n">
        <v>21.4572515308698</v>
      </c>
      <c r="J263" s="28" t="n">
        <v>411.244573075078</v>
      </c>
      <c r="K263" s="27"/>
    </row>
    <row r="264" customFormat="false" ht="15" hidden="true" customHeight="false" outlineLevel="1" collapsed="false">
      <c r="F264" s="27" t="s">
        <v>1160</v>
      </c>
      <c r="G264" s="27" t="s">
        <v>645</v>
      </c>
      <c r="H264" s="27" t="s">
        <v>1161</v>
      </c>
      <c r="I264" s="32" t="n">
        <v>140.807039062121</v>
      </c>
      <c r="J264" s="28" t="n">
        <v>437.67056732634</v>
      </c>
      <c r="K264" s="27"/>
    </row>
    <row r="265" customFormat="false" ht="15" hidden="false" customHeight="false" outlineLevel="0" collapsed="true">
      <c r="A265" s="35" t="n">
        <v>5</v>
      </c>
      <c r="B265" s="35" t="s">
        <v>24</v>
      </c>
      <c r="C265" s="35" t="s">
        <v>303</v>
      </c>
      <c r="D265" s="35" t="s">
        <v>446</v>
      </c>
      <c r="E265" s="35" t="s">
        <v>52</v>
      </c>
      <c r="F265" s="35" t="str">
        <f aca="false">COUNTIFS(Trechos!$L$2:$L$838,A265)&amp;" vãos"</f>
        <v>2 vãos</v>
      </c>
      <c r="G265" s="35"/>
      <c r="H265" s="35"/>
      <c r="I265" s="36" t="n">
        <f aca="false">SUMIFS(Trechos!$F$2:$F$838,Trechos!$L$2:$L$838,A265)</f>
        <v>26.2552504748723</v>
      </c>
      <c r="J265" s="35"/>
      <c r="K265" s="35"/>
      <c r="L265" s="35" t="s">
        <v>53</v>
      </c>
      <c r="M265" s="35" t="s">
        <v>54</v>
      </c>
      <c r="N265" s="35" t="str">
        <f aca="false">Blocos!BT6</f>
        <v>—</v>
      </c>
    </row>
    <row r="266" customFormat="false" ht="15" hidden="true" customHeight="false" outlineLevel="1" collapsed="false">
      <c r="F266" s="27" t="s">
        <v>1162</v>
      </c>
      <c r="G266" s="27" t="s">
        <v>1053</v>
      </c>
      <c r="H266" s="27" t="s">
        <v>1163</v>
      </c>
      <c r="I266" s="32" t="n">
        <v>7.21678510133748</v>
      </c>
      <c r="J266" s="28" t="n">
        <v>7.21678510133756</v>
      </c>
      <c r="K266" s="27"/>
    </row>
    <row r="267" customFormat="false" ht="15" hidden="true" customHeight="false" outlineLevel="1" collapsed="false">
      <c r="F267" s="27" t="s">
        <v>1164</v>
      </c>
      <c r="G267" s="27" t="s">
        <v>1163</v>
      </c>
      <c r="H267" s="27" t="s">
        <v>1165</v>
      </c>
      <c r="I267" s="32" t="n">
        <v>19.0384653735348</v>
      </c>
      <c r="J267" s="28" t="n">
        <v>26.2552504748724</v>
      </c>
      <c r="K267" s="27"/>
    </row>
    <row r="268" customFormat="false" ht="15" hidden="false" customHeight="false" outlineLevel="0" collapsed="true">
      <c r="A268" s="35" t="n">
        <v>6</v>
      </c>
      <c r="B268" s="35" t="s">
        <v>24</v>
      </c>
      <c r="C268" s="35" t="s">
        <v>303</v>
      </c>
      <c r="D268" s="35" t="s">
        <v>446</v>
      </c>
      <c r="E268" s="35" t="s">
        <v>55</v>
      </c>
      <c r="F268" s="35" t="str">
        <f aca="false">COUNTIFS(Trechos!$L$2:$L$838,A268)&amp;" vãos"</f>
        <v>2 vãos</v>
      </c>
      <c r="G268" s="35"/>
      <c r="H268" s="35"/>
      <c r="I268" s="36" t="n">
        <f aca="false">SUMIFS(Trechos!$F$2:$F$838,Trechos!$L$2:$L$838,A268)</f>
        <v>86.2364614302115</v>
      </c>
      <c r="J268" s="35"/>
      <c r="K268" s="35"/>
      <c r="L268" s="35" t="s">
        <v>56</v>
      </c>
      <c r="M268" s="35" t="s">
        <v>54</v>
      </c>
      <c r="N268" s="35" t="str">
        <f aca="false">Blocos!BT7</f>
        <v>—</v>
      </c>
    </row>
    <row r="269" customFormat="false" ht="15" hidden="true" customHeight="false" outlineLevel="1" collapsed="false">
      <c r="F269" s="27" t="s">
        <v>1166</v>
      </c>
      <c r="G269" s="27" t="s">
        <v>1055</v>
      </c>
      <c r="H269" s="27" t="s">
        <v>1167</v>
      </c>
      <c r="I269" s="32" t="n">
        <v>51.3692915554897</v>
      </c>
      <c r="J269" s="28" t="n">
        <v>51.3692915554898</v>
      </c>
      <c r="K269" s="27"/>
    </row>
    <row r="270" customFormat="false" ht="15" hidden="true" customHeight="false" outlineLevel="1" collapsed="false">
      <c r="F270" s="27" t="s">
        <v>1168</v>
      </c>
      <c r="G270" s="27" t="s">
        <v>1167</v>
      </c>
      <c r="H270" s="27" t="s">
        <v>1169</v>
      </c>
      <c r="I270" s="32" t="n">
        <v>34.8671698747218</v>
      </c>
      <c r="J270" s="28" t="n">
        <v>86.2364614302117</v>
      </c>
      <c r="K270" s="27"/>
    </row>
    <row r="271" customFormat="false" ht="15" hidden="false" customHeight="false" outlineLevel="0" collapsed="true">
      <c r="A271" s="35" t="n">
        <v>7</v>
      </c>
      <c r="B271" s="35" t="s">
        <v>24</v>
      </c>
      <c r="C271" s="35" t="s">
        <v>303</v>
      </c>
      <c r="D271" s="35" t="s">
        <v>446</v>
      </c>
      <c r="E271" s="35" t="s">
        <v>57</v>
      </c>
      <c r="F271" s="35" t="str">
        <f aca="false">COUNTIFS(Trechos!$L$2:$L$838,A271)&amp;" vãos"</f>
        <v>2 vãos</v>
      </c>
      <c r="G271" s="35"/>
      <c r="H271" s="35"/>
      <c r="I271" s="36" t="n">
        <f aca="false">SUMIFS(Trechos!$F$2:$F$838,Trechos!$L$2:$L$838,A271)</f>
        <v>164.576402340383</v>
      </c>
      <c r="J271" s="35"/>
      <c r="K271" s="35"/>
      <c r="L271" s="35" t="s">
        <v>58</v>
      </c>
      <c r="M271" s="35" t="s">
        <v>54</v>
      </c>
      <c r="N271" s="35" t="str">
        <f aca="false">Blocos!BT8</f>
        <v>—</v>
      </c>
    </row>
    <row r="272" customFormat="false" ht="15" hidden="true" customHeight="false" outlineLevel="1" collapsed="false">
      <c r="F272" s="27" t="s">
        <v>1170</v>
      </c>
      <c r="G272" s="27" t="s">
        <v>1078</v>
      </c>
      <c r="H272" s="27" t="s">
        <v>1171</v>
      </c>
      <c r="I272" s="32" t="n">
        <v>132.45468034443</v>
      </c>
      <c r="J272" s="28" t="n">
        <v>132.45468034443</v>
      </c>
      <c r="K272" s="27"/>
    </row>
    <row r="273" customFormat="false" ht="15" hidden="true" customHeight="false" outlineLevel="1" collapsed="false">
      <c r="F273" s="27" t="s">
        <v>1172</v>
      </c>
      <c r="G273" s="27" t="s">
        <v>1171</v>
      </c>
      <c r="H273" s="27" t="s">
        <v>1173</v>
      </c>
      <c r="I273" s="32" t="n">
        <v>32.1217219959527</v>
      </c>
      <c r="J273" s="28" t="n">
        <v>164.576402340383</v>
      </c>
      <c r="K273" s="27"/>
    </row>
    <row r="274" customFormat="false" ht="15" hidden="false" customHeight="false" outlineLevel="0" collapsed="true">
      <c r="A274" s="35" t="n">
        <v>8</v>
      </c>
      <c r="B274" s="35" t="s">
        <v>24</v>
      </c>
      <c r="C274" s="35" t="s">
        <v>303</v>
      </c>
      <c r="D274" s="35" t="s">
        <v>446</v>
      </c>
      <c r="E274" s="35" t="s">
        <v>59</v>
      </c>
      <c r="F274" s="35" t="str">
        <f aca="false">COUNTIFS(Trechos!$L$2:$L$838,A274)&amp;" vãos"</f>
        <v>4 vãos</v>
      </c>
      <c r="G274" s="35"/>
      <c r="H274" s="35"/>
      <c r="I274" s="36" t="n">
        <f aca="false">SUMIFS(Trechos!$F$2:$F$838,Trechos!$L$2:$L$838,A274)</f>
        <v>242.112352860839</v>
      </c>
      <c r="J274" s="35"/>
      <c r="K274" s="35"/>
      <c r="L274" s="35" t="s">
        <v>60</v>
      </c>
      <c r="M274" s="35" t="s">
        <v>54</v>
      </c>
      <c r="N274" s="35" t="str">
        <f aca="false">Blocos!BT9</f>
        <v>—</v>
      </c>
    </row>
    <row r="275" customFormat="false" ht="15" hidden="true" customHeight="false" outlineLevel="1" collapsed="false">
      <c r="F275" s="27" t="s">
        <v>1174</v>
      </c>
      <c r="G275" s="27" t="s">
        <v>1123</v>
      </c>
      <c r="H275" s="27" t="s">
        <v>1175</v>
      </c>
      <c r="I275" s="32" t="n">
        <v>30.051859797363</v>
      </c>
      <c r="J275" s="28" t="n">
        <v>30.0518597973628</v>
      </c>
      <c r="K275" s="27"/>
    </row>
    <row r="276" customFormat="false" ht="15" hidden="true" customHeight="false" outlineLevel="1" collapsed="false">
      <c r="F276" s="27" t="s">
        <v>1176</v>
      </c>
      <c r="G276" s="27" t="s">
        <v>1175</v>
      </c>
      <c r="H276" s="27" t="s">
        <v>1177</v>
      </c>
      <c r="I276" s="32" t="n">
        <v>4.91660777518391</v>
      </c>
      <c r="J276" s="28" t="n">
        <v>34.9684675725466</v>
      </c>
      <c r="K276" s="27"/>
    </row>
    <row r="277" customFormat="false" ht="15" hidden="true" customHeight="false" outlineLevel="1" collapsed="false">
      <c r="F277" s="27" t="s">
        <v>1178</v>
      </c>
      <c r="G277" s="27" t="s">
        <v>1177</v>
      </c>
      <c r="H277" s="27" t="s">
        <v>1179</v>
      </c>
      <c r="I277" s="32" t="n">
        <v>170.777907070573</v>
      </c>
      <c r="J277" s="28" t="n">
        <v>205.74637464312</v>
      </c>
      <c r="K277" s="27"/>
    </row>
    <row r="278" customFormat="false" ht="15" hidden="true" customHeight="false" outlineLevel="1" collapsed="false">
      <c r="F278" s="27" t="s">
        <v>1180</v>
      </c>
      <c r="G278" s="27" t="s">
        <v>1179</v>
      </c>
      <c r="H278" s="27" t="s">
        <v>1181</v>
      </c>
      <c r="I278" s="32" t="n">
        <v>36.3659782177196</v>
      </c>
      <c r="J278" s="28" t="n">
        <v>242.112352860839</v>
      </c>
      <c r="K278" s="27"/>
    </row>
    <row r="279" customFormat="false" ht="15" hidden="false" customHeight="false" outlineLevel="0" collapsed="true">
      <c r="A279" s="35" t="n">
        <v>9</v>
      </c>
      <c r="B279" s="35" t="s">
        <v>24</v>
      </c>
      <c r="C279" s="35" t="s">
        <v>303</v>
      </c>
      <c r="D279" s="35" t="s">
        <v>446</v>
      </c>
      <c r="E279" s="35" t="s">
        <v>61</v>
      </c>
      <c r="F279" s="35" t="str">
        <f aca="false">COUNTIFS(Trechos!$L$2:$L$838,A279)&amp;" vãos"</f>
        <v>6 vãos</v>
      </c>
      <c r="G279" s="35"/>
      <c r="H279" s="35"/>
      <c r="I279" s="36" t="n">
        <f aca="false">SUMIFS(Trechos!$F$2:$F$838,Trechos!$L$2:$L$838,A279)</f>
        <v>419.614498891667</v>
      </c>
      <c r="J279" s="35"/>
      <c r="K279" s="35"/>
      <c r="L279" s="35" t="s">
        <v>62</v>
      </c>
      <c r="M279" s="35" t="s">
        <v>54</v>
      </c>
      <c r="N279" s="35" t="str">
        <f aca="false">Blocos!BT10</f>
        <v>0301090004, 0303861004, 0304100004</v>
      </c>
    </row>
    <row r="280" customFormat="false" ht="15" hidden="true" customHeight="false" outlineLevel="1" collapsed="false">
      <c r="F280" s="27" t="s">
        <v>1182</v>
      </c>
      <c r="G280" s="27" t="s">
        <v>1125</v>
      </c>
      <c r="H280" s="27" t="s">
        <v>1183</v>
      </c>
      <c r="I280" s="32" t="n">
        <v>83.184925537787</v>
      </c>
      <c r="J280" s="28" t="n">
        <v>83.184925537787</v>
      </c>
      <c r="K280" s="27"/>
    </row>
    <row r="281" customFormat="false" ht="15" hidden="true" customHeight="false" outlineLevel="1" collapsed="false">
      <c r="F281" s="27" t="s">
        <v>1184</v>
      </c>
      <c r="G281" s="27" t="s">
        <v>1183</v>
      </c>
      <c r="H281" s="27" t="s">
        <v>1185</v>
      </c>
      <c r="I281" s="32" t="n">
        <v>3.57897891901085</v>
      </c>
      <c r="J281" s="28" t="n">
        <v>86.7639044567977</v>
      </c>
      <c r="K281" s="27"/>
    </row>
    <row r="282" customFormat="false" ht="15" hidden="true" customHeight="false" outlineLevel="1" collapsed="false">
      <c r="F282" s="27" t="s">
        <v>1186</v>
      </c>
      <c r="G282" s="27" t="s">
        <v>1185</v>
      </c>
      <c r="H282" s="27" t="s">
        <v>1187</v>
      </c>
      <c r="I282" s="32" t="n">
        <v>21.8831620866655</v>
      </c>
      <c r="J282" s="28" t="n">
        <v>108.647066543463</v>
      </c>
      <c r="K282" s="27"/>
    </row>
    <row r="283" customFormat="false" ht="15" hidden="true" customHeight="false" outlineLevel="1" collapsed="false">
      <c r="F283" s="27" t="s">
        <v>1188</v>
      </c>
      <c r="G283" s="27" t="s">
        <v>1187</v>
      </c>
      <c r="H283" s="27" t="s">
        <v>1189</v>
      </c>
      <c r="I283" s="32" t="n">
        <v>3.68234498571059</v>
      </c>
      <c r="J283" s="28" t="n">
        <v>112.329411529174</v>
      </c>
      <c r="K283" s="27"/>
    </row>
    <row r="284" customFormat="false" ht="15" hidden="true" customHeight="false" outlineLevel="1" collapsed="false">
      <c r="F284" s="27" t="s">
        <v>1190</v>
      </c>
      <c r="G284" s="27" t="s">
        <v>1189</v>
      </c>
      <c r="H284" s="27" t="s">
        <v>1191</v>
      </c>
      <c r="I284" s="32" t="n">
        <v>298.095030913715</v>
      </c>
      <c r="J284" s="28" t="n">
        <v>410.424442442888</v>
      </c>
      <c r="K284" s="27"/>
    </row>
    <row r="285" customFormat="false" ht="15" hidden="true" customHeight="false" outlineLevel="1" collapsed="false">
      <c r="F285" s="27" t="s">
        <v>1192</v>
      </c>
      <c r="G285" s="27" t="s">
        <v>1191</v>
      </c>
      <c r="H285" s="27" t="s">
        <v>1193</v>
      </c>
      <c r="I285" s="32" t="n">
        <v>9.190056448778</v>
      </c>
      <c r="J285" s="28" t="n">
        <v>419.614498891666</v>
      </c>
      <c r="K285" s="27"/>
    </row>
    <row r="286" customFormat="false" ht="15" hidden="false" customHeight="false" outlineLevel="0" collapsed="true">
      <c r="A286" s="35" t="n">
        <v>10</v>
      </c>
      <c r="B286" s="35" t="s">
        <v>24</v>
      </c>
      <c r="C286" s="35" t="s">
        <v>303</v>
      </c>
      <c r="D286" s="35" t="s">
        <v>446</v>
      </c>
      <c r="E286" s="35" t="s">
        <v>62</v>
      </c>
      <c r="F286" s="35" t="str">
        <f aca="false">COUNTIFS(Trechos!$L$2:$L$838,A286)&amp;" vãos"</f>
        <v>7 vãos</v>
      </c>
      <c r="G286" s="35"/>
      <c r="H286" s="35"/>
      <c r="I286" s="36" t="n">
        <f aca="false">SUMIFS(Trechos!$F$2:$F$838,Trechos!$L$2:$L$838,A286)</f>
        <v>505.377204353388</v>
      </c>
      <c r="J286" s="35"/>
      <c r="K286" s="35"/>
      <c r="L286" s="35" t="s">
        <v>63</v>
      </c>
      <c r="M286" s="35" t="s">
        <v>54</v>
      </c>
      <c r="N286" s="35" t="str">
        <f aca="false">Blocos!BT11</f>
        <v>0303861004, 0304100004</v>
      </c>
    </row>
    <row r="287" customFormat="false" ht="15" hidden="true" customHeight="false" outlineLevel="1" collapsed="false">
      <c r="F287" s="27" t="s">
        <v>1194</v>
      </c>
      <c r="G287" s="27" t="s">
        <v>1193</v>
      </c>
      <c r="H287" s="27" t="s">
        <v>1195</v>
      </c>
      <c r="I287" s="32" t="n">
        <v>266.140177077461</v>
      </c>
      <c r="J287" s="28" t="n">
        <v>266.140177077461</v>
      </c>
      <c r="K287" s="27"/>
    </row>
    <row r="288" customFormat="false" ht="15" hidden="true" customHeight="false" outlineLevel="1" collapsed="false">
      <c r="F288" s="27" t="s">
        <v>1196</v>
      </c>
      <c r="G288" s="27" t="s">
        <v>1195</v>
      </c>
      <c r="H288" s="27" t="s">
        <v>1197</v>
      </c>
      <c r="I288" s="32" t="n">
        <v>1.87866227219636</v>
      </c>
      <c r="J288" s="28" t="n">
        <v>268.018839349658</v>
      </c>
      <c r="K288" s="27"/>
    </row>
    <row r="289" customFormat="false" ht="15" hidden="true" customHeight="false" outlineLevel="1" collapsed="false">
      <c r="F289" s="27" t="s">
        <v>1198</v>
      </c>
      <c r="G289" s="27" t="s">
        <v>1197</v>
      </c>
      <c r="H289" s="27" t="s">
        <v>1199</v>
      </c>
      <c r="I289" s="32" t="n">
        <v>144.942481366585</v>
      </c>
      <c r="J289" s="28" t="n">
        <v>412.961320716243</v>
      </c>
      <c r="K289" s="27"/>
    </row>
    <row r="290" customFormat="false" ht="15" hidden="true" customHeight="false" outlineLevel="1" collapsed="false">
      <c r="F290" s="27" t="s">
        <v>1200</v>
      </c>
      <c r="G290" s="27" t="s">
        <v>1199</v>
      </c>
      <c r="H290" s="27" t="s">
        <v>1201</v>
      </c>
      <c r="I290" s="32" t="n">
        <v>23.130986664252</v>
      </c>
      <c r="J290" s="28" t="n">
        <v>436.092307380495</v>
      </c>
      <c r="K290" s="27"/>
    </row>
    <row r="291" customFormat="false" ht="15" hidden="true" customHeight="false" outlineLevel="1" collapsed="false">
      <c r="F291" s="27" t="s">
        <v>1202</v>
      </c>
      <c r="G291" s="27" t="s">
        <v>1201</v>
      </c>
      <c r="H291" s="27" t="s">
        <v>1203</v>
      </c>
      <c r="I291" s="32" t="n">
        <v>15.1668599870598</v>
      </c>
      <c r="J291" s="28" t="n">
        <v>451.259167367555</v>
      </c>
      <c r="K291" s="27"/>
    </row>
    <row r="292" customFormat="false" ht="15" hidden="true" customHeight="false" outlineLevel="1" collapsed="false">
      <c r="F292" s="27" t="s">
        <v>1204</v>
      </c>
      <c r="G292" s="27" t="s">
        <v>1199</v>
      </c>
      <c r="H292" s="27" t="s">
        <v>1205</v>
      </c>
      <c r="I292" s="32" t="n">
        <v>5.93324434720822</v>
      </c>
      <c r="J292" s="28" t="n">
        <v>418.894565063451</v>
      </c>
      <c r="K292" s="27"/>
    </row>
    <row r="293" customFormat="false" ht="15" hidden="true" customHeight="false" outlineLevel="1" collapsed="false">
      <c r="F293" s="27" t="s">
        <v>1206</v>
      </c>
      <c r="G293" s="27" t="s">
        <v>1195</v>
      </c>
      <c r="H293" s="27" t="s">
        <v>1207</v>
      </c>
      <c r="I293" s="32" t="n">
        <v>48.1847926386256</v>
      </c>
      <c r="J293" s="28" t="n">
        <v>314.324969716087</v>
      </c>
      <c r="K293" s="27"/>
    </row>
    <row r="294" customFormat="false" ht="15" hidden="false" customHeight="false" outlineLevel="0" collapsed="true">
      <c r="A294" s="35" t="n">
        <v>11</v>
      </c>
      <c r="B294" s="35" t="s">
        <v>24</v>
      </c>
      <c r="C294" s="35" t="s">
        <v>303</v>
      </c>
      <c r="D294" s="35" t="s">
        <v>446</v>
      </c>
      <c r="E294" s="35" t="s">
        <v>64</v>
      </c>
      <c r="F294" s="35" t="str">
        <f aca="false">COUNTIFS(Trechos!$L$2:$L$838,A294)&amp;" vãos"</f>
        <v>1 vãos</v>
      </c>
      <c r="G294" s="35"/>
      <c r="H294" s="35"/>
      <c r="I294" s="36" t="n">
        <f aca="false">SUMIFS(Trechos!$F$2:$F$838,Trechos!$L$2:$L$838,A294)</f>
        <v>122.547958825086</v>
      </c>
      <c r="J294" s="35"/>
      <c r="K294" s="35"/>
      <c r="L294" s="35" t="s">
        <v>65</v>
      </c>
      <c r="M294" s="35" t="s">
        <v>54</v>
      </c>
      <c r="N294" s="35" t="str">
        <f aca="false">Blocos!BT12</f>
        <v>—</v>
      </c>
    </row>
    <row r="295" customFormat="false" ht="15" hidden="true" customHeight="false" outlineLevel="1" collapsed="false">
      <c r="F295" s="27" t="s">
        <v>1208</v>
      </c>
      <c r="G295" s="27" t="s">
        <v>1203</v>
      </c>
      <c r="H295" s="27" t="s">
        <v>1209</v>
      </c>
      <c r="I295" s="32" t="n">
        <v>122.547958825086</v>
      </c>
      <c r="J295" s="28" t="n">
        <v>122.547958825086</v>
      </c>
      <c r="K295" s="27"/>
    </row>
    <row r="296" customFormat="false" ht="15" hidden="false" customHeight="false" outlineLevel="0" collapsed="true">
      <c r="A296" s="35" t="n">
        <v>12</v>
      </c>
      <c r="B296" s="35" t="s">
        <v>24</v>
      </c>
      <c r="C296" s="35" t="s">
        <v>303</v>
      </c>
      <c r="D296" s="35" t="s">
        <v>446</v>
      </c>
      <c r="E296" s="35" t="s">
        <v>66</v>
      </c>
      <c r="F296" s="35" t="str">
        <f aca="false">COUNTIFS(Trechos!$L$2:$L$838,A296)&amp;" vãos"</f>
        <v>1 vãos</v>
      </c>
      <c r="G296" s="35"/>
      <c r="H296" s="35"/>
      <c r="I296" s="36" t="n">
        <f aca="false">SUMIFS(Trechos!$F$2:$F$838,Trechos!$L$2:$L$838,A296)</f>
        <v>53.3864724625481</v>
      </c>
      <c r="J296" s="35"/>
      <c r="K296" s="35"/>
      <c r="L296" s="35" t="s">
        <v>67</v>
      </c>
      <c r="M296" s="35" t="s">
        <v>54</v>
      </c>
      <c r="N296" s="35" t="str">
        <f aca="false">Blocos!BT13</f>
        <v>—</v>
      </c>
    </row>
    <row r="297" customFormat="false" ht="15" hidden="true" customHeight="false" outlineLevel="1" collapsed="false">
      <c r="F297" s="27" t="s">
        <v>1210</v>
      </c>
      <c r="G297" s="27" t="s">
        <v>1205</v>
      </c>
      <c r="H297" s="27" t="s">
        <v>1211</v>
      </c>
      <c r="I297" s="32" t="n">
        <v>53.3864724625481</v>
      </c>
      <c r="J297" s="28" t="n">
        <v>53.3864724625482</v>
      </c>
      <c r="K297" s="27"/>
    </row>
    <row r="298" customFormat="false" ht="15" hidden="false" customHeight="false" outlineLevel="0" collapsed="true">
      <c r="A298" s="35" t="n">
        <v>13</v>
      </c>
      <c r="B298" s="35" t="s">
        <v>24</v>
      </c>
      <c r="C298" s="35" t="s">
        <v>303</v>
      </c>
      <c r="D298" s="35" t="s">
        <v>446</v>
      </c>
      <c r="E298" s="35" t="s">
        <v>68</v>
      </c>
      <c r="F298" s="35" t="str">
        <f aca="false">COUNTIFS(Trechos!$L$2:$L$838,A298)&amp;" vãos"</f>
        <v>3 vãos</v>
      </c>
      <c r="G298" s="35"/>
      <c r="H298" s="35"/>
      <c r="I298" s="36" t="n">
        <f aca="false">SUMIFS(Trechos!$F$2:$F$838,Trechos!$L$2:$L$838,A298)</f>
        <v>17.6317886192389</v>
      </c>
      <c r="J298" s="35"/>
      <c r="K298" s="35"/>
      <c r="L298" s="35" t="s">
        <v>69</v>
      </c>
      <c r="M298" s="35" t="s">
        <v>54</v>
      </c>
      <c r="N298" s="35" t="str">
        <f aca="false">Blocos!BT14</f>
        <v>—</v>
      </c>
    </row>
    <row r="299" customFormat="false" ht="15" hidden="true" customHeight="false" outlineLevel="1" collapsed="false">
      <c r="F299" s="27" t="s">
        <v>1212</v>
      </c>
      <c r="G299" s="27" t="s">
        <v>1127</v>
      </c>
      <c r="H299" s="27" t="s">
        <v>1213</v>
      </c>
      <c r="I299" s="32" t="n">
        <v>7.07460017034729</v>
      </c>
      <c r="J299" s="28" t="n">
        <v>7.07460017034737</v>
      </c>
      <c r="K299" s="27"/>
    </row>
    <row r="300" customFormat="false" ht="15" hidden="true" customHeight="false" outlineLevel="1" collapsed="false">
      <c r="F300" s="27" t="s">
        <v>1214</v>
      </c>
      <c r="G300" s="27" t="s">
        <v>1213</v>
      </c>
      <c r="H300" s="27" t="s">
        <v>1215</v>
      </c>
      <c r="I300" s="32" t="n">
        <v>6.55283217788563</v>
      </c>
      <c r="J300" s="28" t="n">
        <v>13.627432348233</v>
      </c>
      <c r="K300" s="27"/>
    </row>
    <row r="301" customFormat="false" ht="15" hidden="true" customHeight="false" outlineLevel="1" collapsed="false">
      <c r="F301" s="27" t="s">
        <v>1216</v>
      </c>
      <c r="G301" s="27" t="s">
        <v>1213</v>
      </c>
      <c r="H301" s="27" t="s">
        <v>1217</v>
      </c>
      <c r="I301" s="32" t="n">
        <v>4.00435627100595</v>
      </c>
      <c r="J301" s="28" t="n">
        <v>11.0789564413533</v>
      </c>
      <c r="K301" s="27"/>
    </row>
    <row r="302" customFormat="false" ht="15" hidden="false" customHeight="false" outlineLevel="0" collapsed="true">
      <c r="A302" s="35" t="n">
        <v>14</v>
      </c>
      <c r="B302" s="35" t="s">
        <v>24</v>
      </c>
      <c r="C302" s="35" t="s">
        <v>303</v>
      </c>
      <c r="D302" s="35" t="s">
        <v>446</v>
      </c>
      <c r="E302" s="35" t="s">
        <v>70</v>
      </c>
      <c r="F302" s="35" t="str">
        <f aca="false">COUNTIFS(Trechos!$L$2:$L$838,A302)&amp;" vãos"</f>
        <v>1 vãos</v>
      </c>
      <c r="G302" s="35"/>
      <c r="H302" s="35"/>
      <c r="I302" s="36" t="n">
        <f aca="false">SUMIFS(Trechos!$F$2:$F$838,Trechos!$L$2:$L$838,A302)</f>
        <v>5.16474565625425</v>
      </c>
      <c r="J302" s="35"/>
      <c r="K302" s="35"/>
      <c r="L302" s="35" t="s">
        <v>71</v>
      </c>
      <c r="M302" s="35" t="s">
        <v>54</v>
      </c>
      <c r="N302" s="35" t="str">
        <f aca="false">Blocos!BT15</f>
        <v>—</v>
      </c>
    </row>
    <row r="303" customFormat="false" ht="15" hidden="true" customHeight="false" outlineLevel="1" collapsed="false">
      <c r="F303" s="27" t="s">
        <v>1218</v>
      </c>
      <c r="G303" s="27" t="s">
        <v>1143</v>
      </c>
      <c r="H303" s="27" t="s">
        <v>1219</v>
      </c>
      <c r="I303" s="32" t="n">
        <v>5.16474565625425</v>
      </c>
      <c r="J303" s="28" t="n">
        <v>5.16474565625435</v>
      </c>
      <c r="K303" s="27"/>
    </row>
    <row r="304" customFormat="false" ht="15" hidden="false" customHeight="false" outlineLevel="0" collapsed="true">
      <c r="A304" s="30" t="n">
        <v>15</v>
      </c>
      <c r="B304" s="30" t="s">
        <v>22</v>
      </c>
      <c r="C304" s="30" t="s">
        <v>303</v>
      </c>
      <c r="D304" s="30" t="s">
        <v>460</v>
      </c>
      <c r="E304" s="30" t="s">
        <v>41</v>
      </c>
      <c r="F304" s="30" t="str">
        <f aca="false">COUNTIFS(Trechos!$L$2:$L$838,A304)&amp;" vãos"</f>
        <v>1 vãos</v>
      </c>
      <c r="G304" s="30"/>
      <c r="H304" s="30"/>
      <c r="I304" s="31" t="n">
        <f aca="false">SUMIFS(Trechos!$F$2:$F$838,Trechos!$L$2:$L$838,A304)</f>
        <v>81.2375187442398</v>
      </c>
      <c r="J304" s="30"/>
      <c r="K304" s="30"/>
      <c r="L304" s="30" t="s">
        <v>74</v>
      </c>
      <c r="M304" s="30" t="s">
        <v>54</v>
      </c>
      <c r="N304" s="30" t="str">
        <f aca="false">Blocos!BT16</f>
        <v>—</v>
      </c>
    </row>
    <row r="305" customFormat="false" ht="15" hidden="true" customHeight="false" outlineLevel="1" collapsed="false">
      <c r="F305" s="27" t="s">
        <v>1220</v>
      </c>
      <c r="G305" s="27" t="s">
        <v>664</v>
      </c>
      <c r="H305" s="27" t="s">
        <v>1221</v>
      </c>
      <c r="I305" s="32" t="n">
        <v>81.2375187442398</v>
      </c>
      <c r="J305" s="28" t="n">
        <v>464.2162623491</v>
      </c>
      <c r="K305" s="27"/>
    </row>
    <row r="306" customFormat="false" ht="15" hidden="false" customHeight="false" outlineLevel="0" collapsed="true">
      <c r="A306" s="30" t="n">
        <v>16</v>
      </c>
      <c r="B306" s="30" t="s">
        <v>22</v>
      </c>
      <c r="C306" s="30" t="s">
        <v>303</v>
      </c>
      <c r="D306" s="30" t="s">
        <v>461</v>
      </c>
      <c r="E306" s="30" t="s">
        <v>41</v>
      </c>
      <c r="F306" s="30" t="str">
        <f aca="false">COUNTIFS(Trechos!$L$2:$L$838,A306)&amp;" vãos"</f>
        <v>173 vãos</v>
      </c>
      <c r="G306" s="30"/>
      <c r="H306" s="30"/>
      <c r="I306" s="31" t="n">
        <f aca="false">SUMIFS(Trechos!$F$2:$F$838,Trechos!$L$2:$L$838,A306)</f>
        <v>8992.98919190491</v>
      </c>
      <c r="J306" s="30"/>
      <c r="K306" s="30"/>
      <c r="L306" s="30" t="s">
        <v>77</v>
      </c>
      <c r="M306" s="30" t="s">
        <v>78</v>
      </c>
      <c r="N306" s="30" t="str">
        <f aca="false">Blocos!BT17</f>
        <v>0302387004, 3302865004, 3300065004, 0320309004, 0310307004, 0303851004, 0310306004, 0303865004, 0342709004, 0303866004, 0303867004, 0302309004, 0300064004, 0320308004, 0301840004, 0303850004, 0320305004, 0346260004, 0346420004, 0355088004, 0340038004, 0201389004, 0303849004, 0310949004, 0210950004, 0301838004, 0301839004, 0245040004, 0303718004, 0202970004, 0354089004, 0354093004, 0220315004, 0346072004, 0345823004, 0200043004</v>
      </c>
    </row>
    <row r="307" customFormat="false" ht="15" hidden="true" customHeight="false" outlineLevel="1" collapsed="false">
      <c r="F307" s="27" t="s">
        <v>1222</v>
      </c>
      <c r="G307" s="27" t="s">
        <v>689</v>
      </c>
      <c r="H307" s="27" t="s">
        <v>1223</v>
      </c>
      <c r="I307" s="32" t="n">
        <v>36.011634847933</v>
      </c>
      <c r="J307" s="28" t="n">
        <v>1566.33138101497</v>
      </c>
      <c r="K307" s="27"/>
    </row>
    <row r="308" customFormat="false" ht="15" hidden="true" customHeight="false" outlineLevel="1" collapsed="false">
      <c r="F308" s="27" t="s">
        <v>1224</v>
      </c>
      <c r="G308" s="27" t="s">
        <v>689</v>
      </c>
      <c r="H308" s="27" t="s">
        <v>1225</v>
      </c>
      <c r="I308" s="32" t="n">
        <v>113.599785100001</v>
      </c>
      <c r="J308" s="28" t="n">
        <v>1643.91953126704</v>
      </c>
      <c r="K308" s="27"/>
    </row>
    <row r="309" customFormat="false" ht="15" hidden="true" customHeight="false" outlineLevel="1" collapsed="false">
      <c r="F309" s="27" t="s">
        <v>1226</v>
      </c>
      <c r="G309" s="27" t="s">
        <v>1225</v>
      </c>
      <c r="H309" s="27" t="s">
        <v>1227</v>
      </c>
      <c r="I309" s="32" t="n">
        <v>4.12690198771456</v>
      </c>
      <c r="J309" s="28" t="n">
        <v>1648.04643325476</v>
      </c>
      <c r="K309" s="27"/>
    </row>
    <row r="310" customFormat="false" ht="15" hidden="true" customHeight="false" outlineLevel="1" collapsed="false">
      <c r="F310" s="27" t="s">
        <v>1228</v>
      </c>
      <c r="G310" s="27" t="s">
        <v>1227</v>
      </c>
      <c r="H310" s="27" t="s">
        <v>1229</v>
      </c>
      <c r="I310" s="32" t="n">
        <v>5.26587878729673</v>
      </c>
      <c r="J310" s="28" t="n">
        <v>1653.31231204205</v>
      </c>
      <c r="K310" s="27" t="s">
        <v>1230</v>
      </c>
    </row>
    <row r="311" customFormat="false" ht="15" hidden="true" customHeight="false" outlineLevel="1" collapsed="false">
      <c r="F311" s="27" t="s">
        <v>1231</v>
      </c>
      <c r="G311" s="27" t="s">
        <v>1229</v>
      </c>
      <c r="H311" s="27" t="s">
        <v>1232</v>
      </c>
      <c r="I311" s="32" t="n">
        <v>545.981472453464</v>
      </c>
      <c r="J311" s="28" t="n">
        <v>2199.29378449552</v>
      </c>
      <c r="K311" s="27"/>
    </row>
    <row r="312" customFormat="false" ht="15" hidden="true" customHeight="false" outlineLevel="1" collapsed="false">
      <c r="F312" s="27" t="s">
        <v>1233</v>
      </c>
      <c r="G312" s="27" t="s">
        <v>1232</v>
      </c>
      <c r="H312" s="27" t="s">
        <v>1234</v>
      </c>
      <c r="I312" s="32" t="n">
        <v>3.7740235372886</v>
      </c>
      <c r="J312" s="28" t="n">
        <v>2203.06780803281</v>
      </c>
      <c r="K312" s="27"/>
    </row>
    <row r="313" customFormat="false" ht="15" hidden="true" customHeight="false" outlineLevel="1" collapsed="false">
      <c r="F313" s="27" t="s">
        <v>1235</v>
      </c>
      <c r="G313" s="27" t="s">
        <v>1234</v>
      </c>
      <c r="H313" s="27" t="s">
        <v>1236</v>
      </c>
      <c r="I313" s="32" t="n">
        <v>219.005550566408</v>
      </c>
      <c r="J313" s="28" t="n">
        <v>2422.07335859921</v>
      </c>
      <c r="K313" s="27"/>
    </row>
    <row r="314" customFormat="false" ht="15" hidden="true" customHeight="false" outlineLevel="1" collapsed="false">
      <c r="F314" s="27" t="s">
        <v>1237</v>
      </c>
      <c r="G314" s="27" t="s">
        <v>1236</v>
      </c>
      <c r="H314" s="27" t="s">
        <v>1238</v>
      </c>
      <c r="I314" s="32" t="n">
        <v>6.56230652385875</v>
      </c>
      <c r="J314" s="28" t="n">
        <v>2428.63566512307</v>
      </c>
      <c r="K314" s="27" t="s">
        <v>1239</v>
      </c>
    </row>
    <row r="315" customFormat="false" ht="15" hidden="true" customHeight="false" outlineLevel="1" collapsed="false">
      <c r="F315" s="27" t="s">
        <v>1240</v>
      </c>
      <c r="G315" s="27" t="s">
        <v>1238</v>
      </c>
      <c r="H315" s="27" t="s">
        <v>1241</v>
      </c>
      <c r="I315" s="32" t="n">
        <v>59.0013004043225</v>
      </c>
      <c r="J315" s="28" t="n">
        <v>2487.6369655274</v>
      </c>
      <c r="K315" s="27"/>
    </row>
    <row r="316" customFormat="false" ht="15" hidden="true" customHeight="false" outlineLevel="1" collapsed="false">
      <c r="F316" s="27" t="s">
        <v>1242</v>
      </c>
      <c r="G316" s="27" t="s">
        <v>1241</v>
      </c>
      <c r="H316" s="27" t="s">
        <v>1243</v>
      </c>
      <c r="I316" s="32" t="n">
        <v>49.2345250345835</v>
      </c>
      <c r="J316" s="28" t="n">
        <v>2536.87149056198</v>
      </c>
      <c r="K316" s="27"/>
    </row>
    <row r="317" customFormat="false" ht="15" hidden="true" customHeight="false" outlineLevel="1" collapsed="false">
      <c r="F317" s="27" t="s">
        <v>1244</v>
      </c>
      <c r="G317" s="27" t="s">
        <v>1243</v>
      </c>
      <c r="H317" s="27" t="s">
        <v>1245</v>
      </c>
      <c r="I317" s="32" t="n">
        <v>276.600873173452</v>
      </c>
      <c r="J317" s="28" t="n">
        <v>2813.47236373543</v>
      </c>
      <c r="K317" s="27"/>
    </row>
    <row r="318" customFormat="false" ht="15" hidden="true" customHeight="false" outlineLevel="1" collapsed="false">
      <c r="F318" s="27" t="s">
        <v>1246</v>
      </c>
      <c r="G318" s="27" t="s">
        <v>1245</v>
      </c>
      <c r="H318" s="27" t="s">
        <v>1247</v>
      </c>
      <c r="I318" s="32" t="n">
        <v>3.48579188474826</v>
      </c>
      <c r="J318" s="28" t="n">
        <v>2816.95815562018</v>
      </c>
      <c r="K318" s="27" t="s">
        <v>1248</v>
      </c>
    </row>
    <row r="319" customFormat="false" ht="15" hidden="true" customHeight="false" outlineLevel="1" collapsed="false">
      <c r="F319" s="27" t="s">
        <v>1249</v>
      </c>
      <c r="G319" s="27" t="s">
        <v>1247</v>
      </c>
      <c r="H319" s="27" t="s">
        <v>1250</v>
      </c>
      <c r="I319" s="32" t="n">
        <v>29.9947128328929</v>
      </c>
      <c r="J319" s="28" t="n">
        <v>2846.95286845307</v>
      </c>
      <c r="K319" s="27"/>
    </row>
    <row r="320" customFormat="false" ht="15" hidden="true" customHeight="false" outlineLevel="1" collapsed="false">
      <c r="F320" s="27" t="s">
        <v>1251</v>
      </c>
      <c r="G320" s="27" t="s">
        <v>1250</v>
      </c>
      <c r="H320" s="27" t="s">
        <v>1252</v>
      </c>
      <c r="I320" s="32" t="n">
        <v>117.431698660931</v>
      </c>
      <c r="J320" s="28" t="n">
        <v>2964.384567114</v>
      </c>
      <c r="K320" s="27"/>
    </row>
    <row r="321" customFormat="false" ht="15" hidden="true" customHeight="false" outlineLevel="1" collapsed="false">
      <c r="F321" s="27" t="s">
        <v>1253</v>
      </c>
      <c r="G321" s="27" t="s">
        <v>1252</v>
      </c>
      <c r="H321" s="27" t="s">
        <v>1254</v>
      </c>
      <c r="I321" s="32" t="n">
        <v>17.9302733217107</v>
      </c>
      <c r="J321" s="28" t="n">
        <v>2982.31484043571</v>
      </c>
      <c r="K321" s="27"/>
    </row>
    <row r="322" customFormat="false" ht="15" hidden="true" customHeight="false" outlineLevel="1" collapsed="false">
      <c r="F322" s="27" t="s">
        <v>1255</v>
      </c>
      <c r="G322" s="27" t="s">
        <v>1254</v>
      </c>
      <c r="H322" s="27" t="s">
        <v>1256</v>
      </c>
      <c r="I322" s="32" t="n">
        <v>57.058574742739</v>
      </c>
      <c r="J322" s="28" t="n">
        <v>3039.37341517845</v>
      </c>
      <c r="K322" s="27"/>
    </row>
    <row r="323" customFormat="false" ht="15" hidden="true" customHeight="false" outlineLevel="1" collapsed="false">
      <c r="F323" s="27" t="s">
        <v>1257</v>
      </c>
      <c r="G323" s="27" t="s">
        <v>1256</v>
      </c>
      <c r="H323" s="27" t="s">
        <v>1258</v>
      </c>
      <c r="I323" s="32" t="n">
        <v>1.87865764470086</v>
      </c>
      <c r="J323" s="28" t="n">
        <v>3041.25207282315</v>
      </c>
      <c r="K323" s="27"/>
    </row>
    <row r="324" customFormat="false" ht="15" hidden="true" customHeight="false" outlineLevel="1" collapsed="false">
      <c r="F324" s="27" t="s">
        <v>1259</v>
      </c>
      <c r="G324" s="27" t="s">
        <v>1258</v>
      </c>
      <c r="H324" s="27" t="s">
        <v>1260</v>
      </c>
      <c r="I324" s="32" t="n">
        <v>123.671068724835</v>
      </c>
      <c r="J324" s="28" t="n">
        <v>3164.92314154799</v>
      </c>
      <c r="K324" s="27"/>
    </row>
    <row r="325" customFormat="false" ht="15" hidden="true" customHeight="false" outlineLevel="1" collapsed="false">
      <c r="F325" s="27" t="s">
        <v>1261</v>
      </c>
      <c r="G325" s="27" t="s">
        <v>1256</v>
      </c>
      <c r="H325" s="27" t="s">
        <v>1262</v>
      </c>
      <c r="I325" s="32" t="n">
        <v>99.8210557851453</v>
      </c>
      <c r="J325" s="28" t="n">
        <v>3139.1944709636</v>
      </c>
      <c r="K325" s="27"/>
    </row>
    <row r="326" customFormat="false" ht="15" hidden="true" customHeight="false" outlineLevel="1" collapsed="false">
      <c r="F326" s="27" t="s">
        <v>1263</v>
      </c>
      <c r="G326" s="27" t="s">
        <v>1262</v>
      </c>
      <c r="H326" s="27" t="s">
        <v>1264</v>
      </c>
      <c r="I326" s="32" t="n">
        <v>105.552332021579</v>
      </c>
      <c r="J326" s="28" t="n">
        <v>3244.74680298518</v>
      </c>
      <c r="K326" s="27"/>
    </row>
    <row r="327" customFormat="false" ht="15" hidden="true" customHeight="false" outlineLevel="1" collapsed="false">
      <c r="F327" s="27" t="s">
        <v>1265</v>
      </c>
      <c r="G327" s="27" t="s">
        <v>1264</v>
      </c>
      <c r="H327" s="27" t="s">
        <v>1266</v>
      </c>
      <c r="I327" s="32" t="n">
        <v>213.797217659793</v>
      </c>
      <c r="J327" s="28" t="n">
        <v>3458.54402064497</v>
      </c>
      <c r="K327" s="27"/>
    </row>
    <row r="328" customFormat="false" ht="15" hidden="true" customHeight="false" outlineLevel="1" collapsed="false">
      <c r="F328" s="27" t="s">
        <v>1267</v>
      </c>
      <c r="G328" s="27" t="s">
        <v>1266</v>
      </c>
      <c r="H328" s="27" t="s">
        <v>1268</v>
      </c>
      <c r="I328" s="32" t="n">
        <v>8.06497324955959</v>
      </c>
      <c r="J328" s="28" t="n">
        <v>3466.60899389453</v>
      </c>
      <c r="K328" s="27" t="s">
        <v>1269</v>
      </c>
    </row>
    <row r="329" customFormat="false" ht="15" hidden="true" customHeight="false" outlineLevel="1" collapsed="false">
      <c r="F329" s="27" t="s">
        <v>1270</v>
      </c>
      <c r="G329" s="27" t="s">
        <v>1268</v>
      </c>
      <c r="H329" s="27" t="s">
        <v>1271</v>
      </c>
      <c r="I329" s="32" t="n">
        <v>141.853533493536</v>
      </c>
      <c r="J329" s="28" t="n">
        <v>3608.46252738806</v>
      </c>
      <c r="K329" s="27"/>
    </row>
    <row r="330" customFormat="false" ht="15" hidden="true" customHeight="false" outlineLevel="1" collapsed="false">
      <c r="F330" s="27" t="s">
        <v>1272</v>
      </c>
      <c r="G330" s="27" t="s">
        <v>1271</v>
      </c>
      <c r="H330" s="27" t="s">
        <v>1273</v>
      </c>
      <c r="I330" s="32" t="n">
        <v>8.5183603823666</v>
      </c>
      <c r="J330" s="28" t="n">
        <v>3616.98088777043</v>
      </c>
      <c r="K330" s="27"/>
    </row>
    <row r="331" customFormat="false" ht="15" hidden="true" customHeight="false" outlineLevel="1" collapsed="false">
      <c r="F331" s="27" t="s">
        <v>1274</v>
      </c>
      <c r="G331" s="27" t="s">
        <v>1273</v>
      </c>
      <c r="H331" s="27" t="s">
        <v>1275</v>
      </c>
      <c r="I331" s="32" t="n">
        <v>64.8727275626297</v>
      </c>
      <c r="J331" s="28" t="n">
        <v>3681.85361533306</v>
      </c>
      <c r="K331" s="27"/>
    </row>
    <row r="332" customFormat="false" ht="15" hidden="true" customHeight="false" outlineLevel="1" collapsed="false">
      <c r="F332" s="27" t="s">
        <v>1276</v>
      </c>
      <c r="G332" s="27" t="s">
        <v>1275</v>
      </c>
      <c r="H332" s="27" t="s">
        <v>1277</v>
      </c>
      <c r="I332" s="32" t="n">
        <v>103.268305499366</v>
      </c>
      <c r="J332" s="28" t="n">
        <v>3785.12192083243</v>
      </c>
      <c r="K332" s="27"/>
    </row>
    <row r="333" customFormat="false" ht="15" hidden="true" customHeight="false" outlineLevel="1" collapsed="false">
      <c r="F333" s="27" t="s">
        <v>1278</v>
      </c>
      <c r="G333" s="27" t="s">
        <v>1277</v>
      </c>
      <c r="H333" s="27" t="s">
        <v>1279</v>
      </c>
      <c r="I333" s="32" t="n">
        <v>82.6174704507826</v>
      </c>
      <c r="J333" s="28" t="n">
        <v>3867.73939128321</v>
      </c>
      <c r="K333" s="27"/>
    </row>
    <row r="334" customFormat="false" ht="15" hidden="true" customHeight="false" outlineLevel="1" collapsed="false">
      <c r="F334" s="27" t="s">
        <v>1280</v>
      </c>
      <c r="G334" s="27" t="s">
        <v>1279</v>
      </c>
      <c r="H334" s="27" t="s">
        <v>1281</v>
      </c>
      <c r="I334" s="32" t="n">
        <v>149.575940052353</v>
      </c>
      <c r="J334" s="28" t="n">
        <v>4017.31533133556</v>
      </c>
      <c r="K334" s="27"/>
    </row>
    <row r="335" customFormat="false" ht="15" hidden="true" customHeight="false" outlineLevel="1" collapsed="false">
      <c r="F335" s="27" t="s">
        <v>1282</v>
      </c>
      <c r="G335" s="27" t="s">
        <v>1281</v>
      </c>
      <c r="H335" s="27" t="s">
        <v>1283</v>
      </c>
      <c r="I335" s="32" t="n">
        <v>3.62440727585785</v>
      </c>
      <c r="J335" s="28" t="n">
        <v>4020.93973861142</v>
      </c>
      <c r="K335" s="27"/>
    </row>
    <row r="336" customFormat="false" ht="15" hidden="true" customHeight="false" outlineLevel="1" collapsed="false">
      <c r="F336" s="27" t="s">
        <v>1284</v>
      </c>
      <c r="G336" s="27" t="s">
        <v>1283</v>
      </c>
      <c r="H336" s="27" t="s">
        <v>1285</v>
      </c>
      <c r="I336" s="32" t="n">
        <v>69.6806761770834</v>
      </c>
      <c r="J336" s="28" t="n">
        <v>4090.6204147885</v>
      </c>
      <c r="K336" s="27"/>
    </row>
    <row r="337" customFormat="false" ht="15" hidden="true" customHeight="false" outlineLevel="1" collapsed="false">
      <c r="F337" s="27" t="s">
        <v>1286</v>
      </c>
      <c r="G337" s="27" t="s">
        <v>1285</v>
      </c>
      <c r="H337" s="27" t="s">
        <v>1287</v>
      </c>
      <c r="I337" s="32" t="n">
        <v>109.203711691287</v>
      </c>
      <c r="J337" s="28" t="n">
        <v>4199.82412647979</v>
      </c>
      <c r="K337" s="27"/>
    </row>
    <row r="338" customFormat="false" ht="15" hidden="true" customHeight="false" outlineLevel="1" collapsed="false">
      <c r="F338" s="27" t="s">
        <v>1288</v>
      </c>
      <c r="G338" s="27" t="s">
        <v>1287</v>
      </c>
      <c r="H338" s="27" t="s">
        <v>1289</v>
      </c>
      <c r="I338" s="32" t="n">
        <v>3.16392942769913</v>
      </c>
      <c r="J338" s="28" t="n">
        <v>4202.98805590749</v>
      </c>
      <c r="K338" s="27" t="s">
        <v>1290</v>
      </c>
    </row>
    <row r="339" customFormat="false" ht="15" hidden="true" customHeight="false" outlineLevel="1" collapsed="false">
      <c r="F339" s="27" t="s">
        <v>1291</v>
      </c>
      <c r="G339" s="27" t="s">
        <v>1289</v>
      </c>
      <c r="H339" s="27" t="s">
        <v>1292</v>
      </c>
      <c r="I339" s="32" t="n">
        <v>26.7727634350879</v>
      </c>
      <c r="J339" s="28" t="n">
        <v>4229.76081934258</v>
      </c>
      <c r="K339" s="27"/>
    </row>
    <row r="340" customFormat="false" ht="15" hidden="true" customHeight="false" outlineLevel="1" collapsed="false">
      <c r="F340" s="27" t="s">
        <v>1293</v>
      </c>
      <c r="G340" s="27" t="s">
        <v>1292</v>
      </c>
      <c r="H340" s="27" t="s">
        <v>1294</v>
      </c>
      <c r="I340" s="32" t="n">
        <v>3.57087081166913</v>
      </c>
      <c r="J340" s="28" t="n">
        <v>4233.33169015425</v>
      </c>
      <c r="K340" s="27"/>
    </row>
    <row r="341" customFormat="false" ht="15" hidden="true" customHeight="false" outlineLevel="1" collapsed="false">
      <c r="F341" s="27" t="s">
        <v>1295</v>
      </c>
      <c r="G341" s="27" t="s">
        <v>1294</v>
      </c>
      <c r="H341" s="27" t="s">
        <v>1296</v>
      </c>
      <c r="I341" s="32" t="n">
        <v>313.040329610783</v>
      </c>
      <c r="J341" s="28" t="n">
        <v>4546.37201976503</v>
      </c>
      <c r="K341" s="27"/>
    </row>
    <row r="342" customFormat="false" ht="15" hidden="true" customHeight="false" outlineLevel="1" collapsed="false">
      <c r="F342" s="27" t="s">
        <v>1297</v>
      </c>
      <c r="G342" s="27" t="s">
        <v>1296</v>
      </c>
      <c r="H342" s="27" t="s">
        <v>1298</v>
      </c>
      <c r="I342" s="32" t="n">
        <v>3.7594455757417</v>
      </c>
      <c r="J342" s="28" t="n">
        <v>4550.13146534077</v>
      </c>
      <c r="K342" s="27"/>
    </row>
    <row r="343" customFormat="false" ht="15" hidden="true" customHeight="false" outlineLevel="1" collapsed="false">
      <c r="F343" s="27" t="s">
        <v>1299</v>
      </c>
      <c r="G343" s="27" t="s">
        <v>1298</v>
      </c>
      <c r="H343" s="27" t="s">
        <v>1300</v>
      </c>
      <c r="I343" s="32" t="n">
        <v>43.437395634453</v>
      </c>
      <c r="J343" s="28" t="n">
        <v>4593.56886097523</v>
      </c>
      <c r="K343" s="27"/>
    </row>
    <row r="344" customFormat="false" ht="15" hidden="true" customHeight="false" outlineLevel="1" collapsed="false">
      <c r="F344" s="27" t="s">
        <v>1301</v>
      </c>
      <c r="G344" s="27" t="s">
        <v>1300</v>
      </c>
      <c r="H344" s="27" t="s">
        <v>1302</v>
      </c>
      <c r="I344" s="32" t="n">
        <v>7.89918633969478</v>
      </c>
      <c r="J344" s="28" t="n">
        <v>4601.46804731492</v>
      </c>
      <c r="K344" s="27"/>
    </row>
    <row r="345" customFormat="false" ht="15" hidden="true" customHeight="false" outlineLevel="1" collapsed="false">
      <c r="F345" s="27" t="s">
        <v>1303</v>
      </c>
      <c r="G345" s="27" t="s">
        <v>1300</v>
      </c>
      <c r="H345" s="27" t="s">
        <v>1304</v>
      </c>
      <c r="I345" s="32" t="n">
        <v>32.5364142210068</v>
      </c>
      <c r="J345" s="28" t="n">
        <v>4626.10527519623</v>
      </c>
      <c r="K345" s="27"/>
    </row>
    <row r="346" customFormat="false" ht="15" hidden="true" customHeight="false" outlineLevel="1" collapsed="false">
      <c r="F346" s="27" t="s">
        <v>1305</v>
      </c>
      <c r="G346" s="27" t="s">
        <v>1304</v>
      </c>
      <c r="H346" s="27" t="s">
        <v>1306</v>
      </c>
      <c r="I346" s="32" t="n">
        <v>3.59586475881928</v>
      </c>
      <c r="J346" s="28" t="n">
        <v>4629.70113995505</v>
      </c>
      <c r="K346" s="27"/>
    </row>
    <row r="347" customFormat="false" ht="15" hidden="true" customHeight="false" outlineLevel="1" collapsed="false">
      <c r="F347" s="27" t="s">
        <v>1307</v>
      </c>
      <c r="G347" s="27" t="s">
        <v>1306</v>
      </c>
      <c r="H347" s="27" t="s">
        <v>1308</v>
      </c>
      <c r="I347" s="32" t="n">
        <v>4.50428309498303</v>
      </c>
      <c r="J347" s="28" t="n">
        <v>4634.20542305003</v>
      </c>
      <c r="K347" s="27"/>
    </row>
    <row r="348" customFormat="false" ht="15" hidden="true" customHeight="false" outlineLevel="1" collapsed="false">
      <c r="F348" s="27" t="s">
        <v>1309</v>
      </c>
      <c r="G348" s="27" t="s">
        <v>1308</v>
      </c>
      <c r="H348" s="27" t="s">
        <v>1310</v>
      </c>
      <c r="I348" s="32" t="n">
        <v>153.52181600901</v>
      </c>
      <c r="J348" s="28" t="n">
        <v>4787.72723905904</v>
      </c>
      <c r="K348" s="27"/>
    </row>
    <row r="349" customFormat="false" ht="15" hidden="true" customHeight="false" outlineLevel="1" collapsed="false">
      <c r="F349" s="27" t="s">
        <v>1311</v>
      </c>
      <c r="G349" s="27" t="s">
        <v>1310</v>
      </c>
      <c r="H349" s="27" t="s">
        <v>1312</v>
      </c>
      <c r="I349" s="32" t="n">
        <v>63.6139045310424</v>
      </c>
      <c r="J349" s="28" t="n">
        <v>4851.34114359009</v>
      </c>
      <c r="K349" s="27"/>
    </row>
    <row r="350" customFormat="false" ht="15" hidden="true" customHeight="false" outlineLevel="1" collapsed="false">
      <c r="F350" s="27" t="s">
        <v>1313</v>
      </c>
      <c r="G350" s="27" t="s">
        <v>1312</v>
      </c>
      <c r="H350" s="27" t="s">
        <v>1314</v>
      </c>
      <c r="I350" s="32" t="n">
        <v>4.50428852831815</v>
      </c>
      <c r="J350" s="28" t="n">
        <v>4855.84543211841</v>
      </c>
      <c r="K350" s="27"/>
    </row>
    <row r="351" customFormat="false" ht="15" hidden="true" customHeight="false" outlineLevel="1" collapsed="false">
      <c r="F351" s="27" t="s">
        <v>1315</v>
      </c>
      <c r="G351" s="27" t="s">
        <v>1310</v>
      </c>
      <c r="H351" s="27" t="s">
        <v>1316</v>
      </c>
      <c r="I351" s="32" t="n">
        <v>71.4844330229063</v>
      </c>
      <c r="J351" s="28" t="n">
        <v>4859.21167208195</v>
      </c>
      <c r="K351" s="27"/>
    </row>
    <row r="352" customFormat="false" ht="15" hidden="true" customHeight="false" outlineLevel="1" collapsed="false">
      <c r="F352" s="27" t="s">
        <v>1317</v>
      </c>
      <c r="G352" s="27" t="s">
        <v>1316</v>
      </c>
      <c r="H352" s="27" t="s">
        <v>1318</v>
      </c>
      <c r="I352" s="32" t="n">
        <v>7.0528197588598</v>
      </c>
      <c r="J352" s="28" t="n">
        <v>4866.26449184081</v>
      </c>
      <c r="K352" s="27"/>
    </row>
    <row r="353" customFormat="false" ht="15" hidden="true" customHeight="false" outlineLevel="1" collapsed="false">
      <c r="F353" s="27" t="s">
        <v>1319</v>
      </c>
      <c r="G353" s="27" t="s">
        <v>1316</v>
      </c>
      <c r="H353" s="27" t="s">
        <v>1320</v>
      </c>
      <c r="I353" s="32" t="n">
        <v>148.853880777693</v>
      </c>
      <c r="J353" s="28" t="n">
        <v>5008.06555285964</v>
      </c>
      <c r="K353" s="27"/>
    </row>
    <row r="354" customFormat="false" ht="15" hidden="true" customHeight="false" outlineLevel="1" collapsed="false">
      <c r="F354" s="27" t="s">
        <v>1321</v>
      </c>
      <c r="G354" s="27" t="s">
        <v>1320</v>
      </c>
      <c r="H354" s="27" t="s">
        <v>1322</v>
      </c>
      <c r="I354" s="32" t="n">
        <v>20.1200704442878</v>
      </c>
      <c r="J354" s="28" t="n">
        <v>5028.18562330393</v>
      </c>
      <c r="K354" s="27"/>
    </row>
    <row r="355" customFormat="false" ht="15" hidden="true" customHeight="false" outlineLevel="1" collapsed="false">
      <c r="F355" s="27" t="s">
        <v>1323</v>
      </c>
      <c r="G355" s="27" t="s">
        <v>1320</v>
      </c>
      <c r="H355" s="27" t="s">
        <v>1324</v>
      </c>
      <c r="I355" s="32" t="n">
        <v>0.676227503473648</v>
      </c>
      <c r="J355" s="28" t="n">
        <v>5008.74178036312</v>
      </c>
      <c r="K355" s="27"/>
    </row>
    <row r="356" customFormat="false" ht="15" hidden="true" customHeight="false" outlineLevel="1" collapsed="false">
      <c r="F356" s="27" t="s">
        <v>1325</v>
      </c>
      <c r="G356" s="27" t="s">
        <v>1316</v>
      </c>
      <c r="H356" s="27" t="s">
        <v>1326</v>
      </c>
      <c r="I356" s="32" t="n">
        <v>41.702990863573</v>
      </c>
      <c r="J356" s="28" t="n">
        <v>4900.91466294552</v>
      </c>
      <c r="K356" s="27"/>
    </row>
    <row r="357" customFormat="false" ht="15" hidden="true" customHeight="false" outlineLevel="1" collapsed="false">
      <c r="F357" s="27" t="s">
        <v>1327</v>
      </c>
      <c r="G357" s="27" t="s">
        <v>1326</v>
      </c>
      <c r="H357" s="27" t="s">
        <v>1328</v>
      </c>
      <c r="I357" s="32" t="n">
        <v>31.0794543276141</v>
      </c>
      <c r="J357" s="28" t="n">
        <v>4931.99411727314</v>
      </c>
      <c r="K357" s="27"/>
    </row>
    <row r="358" customFormat="false" ht="15" hidden="true" customHeight="false" outlineLevel="1" collapsed="false">
      <c r="F358" s="27" t="s">
        <v>1329</v>
      </c>
      <c r="G358" s="27" t="s">
        <v>1328</v>
      </c>
      <c r="H358" s="27" t="s">
        <v>1330</v>
      </c>
      <c r="I358" s="32" t="n">
        <v>32.4975494959887</v>
      </c>
      <c r="J358" s="28" t="n">
        <v>4964.49166676913</v>
      </c>
      <c r="K358" s="27"/>
    </row>
    <row r="359" customFormat="false" ht="15" hidden="true" customHeight="false" outlineLevel="1" collapsed="false">
      <c r="F359" s="27" t="s">
        <v>1331</v>
      </c>
      <c r="G359" s="27" t="s">
        <v>1328</v>
      </c>
      <c r="H359" s="27" t="s">
        <v>1332</v>
      </c>
      <c r="I359" s="32" t="n">
        <v>92.6561622320269</v>
      </c>
      <c r="J359" s="28" t="n">
        <v>5024.65027950517</v>
      </c>
      <c r="K359" s="27"/>
    </row>
    <row r="360" customFormat="false" ht="15" hidden="true" customHeight="false" outlineLevel="1" collapsed="false">
      <c r="F360" s="27" t="s">
        <v>1333</v>
      </c>
      <c r="G360" s="27" t="s">
        <v>1332</v>
      </c>
      <c r="H360" s="27" t="s">
        <v>1334</v>
      </c>
      <c r="I360" s="32" t="n">
        <v>39.4894890508915</v>
      </c>
      <c r="J360" s="28" t="n">
        <v>5064.13976855606</v>
      </c>
      <c r="K360" s="27"/>
    </row>
    <row r="361" customFormat="false" ht="15" hidden="true" customHeight="false" outlineLevel="1" collapsed="false">
      <c r="F361" s="27" t="s">
        <v>1335</v>
      </c>
      <c r="G361" s="27" t="s">
        <v>1328</v>
      </c>
      <c r="H361" s="27" t="s">
        <v>1336</v>
      </c>
      <c r="I361" s="32" t="n">
        <v>192.965730153219</v>
      </c>
      <c r="J361" s="28" t="n">
        <v>5124.95984742636</v>
      </c>
      <c r="K361" s="27"/>
    </row>
    <row r="362" customFormat="false" ht="15" hidden="true" customHeight="false" outlineLevel="1" collapsed="false">
      <c r="F362" s="27" t="s">
        <v>1337</v>
      </c>
      <c r="G362" s="27" t="s">
        <v>1336</v>
      </c>
      <c r="H362" s="27" t="s">
        <v>1338</v>
      </c>
      <c r="I362" s="32" t="n">
        <v>132.785084825545</v>
      </c>
      <c r="J362" s="28" t="n">
        <v>5257.7449322519</v>
      </c>
      <c r="K362" s="27"/>
    </row>
    <row r="363" customFormat="false" ht="15" hidden="true" customHeight="false" outlineLevel="1" collapsed="false">
      <c r="F363" s="27" t="s">
        <v>1339</v>
      </c>
      <c r="G363" s="27" t="s">
        <v>1338</v>
      </c>
      <c r="H363" s="27" t="s">
        <v>1340</v>
      </c>
      <c r="I363" s="32" t="n">
        <v>3.57346733975186</v>
      </c>
      <c r="J363" s="28" t="n">
        <v>5261.31839959165</v>
      </c>
      <c r="K363" s="27"/>
    </row>
    <row r="364" customFormat="false" ht="15" hidden="true" customHeight="false" outlineLevel="1" collapsed="false">
      <c r="F364" s="27" t="s">
        <v>1341</v>
      </c>
      <c r="G364" s="27" t="s">
        <v>1340</v>
      </c>
      <c r="H364" s="27" t="s">
        <v>1342</v>
      </c>
      <c r="I364" s="32" t="n">
        <v>36.6492292446552</v>
      </c>
      <c r="J364" s="28" t="n">
        <v>5297.96762883631</v>
      </c>
      <c r="K364" s="27"/>
    </row>
    <row r="365" customFormat="false" ht="15" hidden="true" customHeight="false" outlineLevel="1" collapsed="false">
      <c r="F365" s="27" t="s">
        <v>1343</v>
      </c>
      <c r="G365" s="27" t="s">
        <v>1342</v>
      </c>
      <c r="H365" s="27" t="s">
        <v>1344</v>
      </c>
      <c r="I365" s="32" t="n">
        <v>3.66906846994104</v>
      </c>
      <c r="J365" s="28" t="n">
        <v>5301.63669730625</v>
      </c>
      <c r="K365" s="27"/>
    </row>
    <row r="366" customFormat="false" ht="15" hidden="true" customHeight="false" outlineLevel="1" collapsed="false">
      <c r="F366" s="27" t="s">
        <v>1345</v>
      </c>
      <c r="G366" s="27" t="s">
        <v>1344</v>
      </c>
      <c r="H366" s="27" t="s">
        <v>1346</v>
      </c>
      <c r="I366" s="32" t="n">
        <v>222.887932840767</v>
      </c>
      <c r="J366" s="28" t="n">
        <v>5524.52463014702</v>
      </c>
      <c r="K366" s="27"/>
    </row>
    <row r="367" customFormat="false" ht="15" hidden="true" customHeight="false" outlineLevel="1" collapsed="false">
      <c r="F367" s="27" t="s">
        <v>1347</v>
      </c>
      <c r="G367" s="27" t="s">
        <v>1346</v>
      </c>
      <c r="H367" s="27" t="s">
        <v>1348</v>
      </c>
      <c r="I367" s="32" t="n">
        <v>37.2062803898984</v>
      </c>
      <c r="J367" s="28" t="n">
        <v>5561.73091053692</v>
      </c>
      <c r="K367" s="27"/>
    </row>
    <row r="368" customFormat="false" ht="15" hidden="true" customHeight="false" outlineLevel="1" collapsed="false">
      <c r="F368" s="27" t="s">
        <v>1349</v>
      </c>
      <c r="G368" s="27" t="s">
        <v>1348</v>
      </c>
      <c r="H368" s="27" t="s">
        <v>1350</v>
      </c>
      <c r="I368" s="32" t="n">
        <v>3.07842779500609</v>
      </c>
      <c r="J368" s="28" t="n">
        <v>5564.80933833192</v>
      </c>
      <c r="K368" s="27"/>
    </row>
    <row r="369" customFormat="false" ht="15" hidden="true" customHeight="false" outlineLevel="1" collapsed="false">
      <c r="F369" s="27" t="s">
        <v>1351</v>
      </c>
      <c r="G369" s="27" t="s">
        <v>1350</v>
      </c>
      <c r="H369" s="27" t="s">
        <v>1352</v>
      </c>
      <c r="I369" s="32" t="n">
        <v>103.465330878627</v>
      </c>
      <c r="J369" s="28" t="n">
        <v>5668.27466921055</v>
      </c>
      <c r="K369" s="27"/>
    </row>
    <row r="370" customFormat="false" ht="15" hidden="true" customHeight="false" outlineLevel="1" collapsed="false">
      <c r="F370" s="27" t="s">
        <v>1353</v>
      </c>
      <c r="G370" s="27" t="s">
        <v>1352</v>
      </c>
      <c r="H370" s="27" t="s">
        <v>1354</v>
      </c>
      <c r="I370" s="32" t="n">
        <v>26.3653597797403</v>
      </c>
      <c r="J370" s="28" t="n">
        <v>5694.64002899029</v>
      </c>
      <c r="K370" s="27"/>
    </row>
    <row r="371" customFormat="false" ht="15" hidden="true" customHeight="false" outlineLevel="1" collapsed="false">
      <c r="F371" s="27" t="s">
        <v>1355</v>
      </c>
      <c r="G371" s="27" t="s">
        <v>1354</v>
      </c>
      <c r="H371" s="27" t="s">
        <v>1356</v>
      </c>
      <c r="I371" s="32" t="n">
        <v>3.72255483012161</v>
      </c>
      <c r="J371" s="28" t="n">
        <v>5698.36258382041</v>
      </c>
      <c r="K371" s="27"/>
    </row>
    <row r="372" customFormat="false" ht="15" hidden="true" customHeight="false" outlineLevel="1" collapsed="false">
      <c r="F372" s="27" t="s">
        <v>1357</v>
      </c>
      <c r="G372" s="27" t="s">
        <v>1356</v>
      </c>
      <c r="H372" s="27" t="s">
        <v>1358</v>
      </c>
      <c r="I372" s="32" t="n">
        <v>11.7263735516233</v>
      </c>
      <c r="J372" s="28" t="n">
        <v>5710.08895737203</v>
      </c>
      <c r="K372" s="27"/>
    </row>
    <row r="373" customFormat="false" ht="15" hidden="true" customHeight="false" outlineLevel="1" collapsed="false">
      <c r="F373" s="27" t="s">
        <v>1359</v>
      </c>
      <c r="G373" s="27" t="s">
        <v>1358</v>
      </c>
      <c r="H373" s="27" t="s">
        <v>1360</v>
      </c>
      <c r="I373" s="32" t="n">
        <v>3.72530695883963</v>
      </c>
      <c r="J373" s="28" t="n">
        <v>5713.81426433087</v>
      </c>
      <c r="K373" s="27" t="s">
        <v>1361</v>
      </c>
    </row>
    <row r="374" customFormat="false" ht="15" hidden="true" customHeight="false" outlineLevel="1" collapsed="false">
      <c r="F374" s="27" t="s">
        <v>1362</v>
      </c>
      <c r="G374" s="27" t="s">
        <v>1360</v>
      </c>
      <c r="H374" s="27" t="s">
        <v>1363</v>
      </c>
      <c r="I374" s="32" t="n">
        <v>148.743585686226</v>
      </c>
      <c r="J374" s="28" t="n">
        <v>5862.5578500171</v>
      </c>
      <c r="K374" s="27"/>
    </row>
    <row r="375" customFormat="false" ht="15" hidden="true" customHeight="false" outlineLevel="1" collapsed="false">
      <c r="F375" s="27" t="s">
        <v>1364</v>
      </c>
      <c r="G375" s="27" t="s">
        <v>1363</v>
      </c>
      <c r="H375" s="27" t="s">
        <v>1365</v>
      </c>
      <c r="I375" s="32" t="n">
        <v>29.8669922453914</v>
      </c>
      <c r="J375" s="28" t="n">
        <v>5892.42484226249</v>
      </c>
      <c r="K375" s="27"/>
    </row>
    <row r="376" customFormat="false" ht="15" hidden="true" customHeight="false" outlineLevel="1" collapsed="false">
      <c r="F376" s="27" t="s">
        <v>1366</v>
      </c>
      <c r="G376" s="27" t="s">
        <v>1363</v>
      </c>
      <c r="H376" s="27" t="s">
        <v>1367</v>
      </c>
      <c r="I376" s="32" t="n">
        <v>8.86816324178084</v>
      </c>
      <c r="J376" s="28" t="n">
        <v>5871.42601325888</v>
      </c>
      <c r="K376" s="27"/>
    </row>
    <row r="377" customFormat="false" ht="15" hidden="true" customHeight="false" outlineLevel="1" collapsed="false">
      <c r="F377" s="27" t="s">
        <v>1368</v>
      </c>
      <c r="G377" s="27" t="s">
        <v>1363</v>
      </c>
      <c r="H377" s="27" t="s">
        <v>1369</v>
      </c>
      <c r="I377" s="32" t="n">
        <v>171.88437101167</v>
      </c>
      <c r="J377" s="28" t="n">
        <v>6034.44222102877</v>
      </c>
      <c r="K377" s="27"/>
    </row>
    <row r="378" customFormat="false" ht="15" hidden="true" customHeight="false" outlineLevel="1" collapsed="false">
      <c r="F378" s="27" t="s">
        <v>1370</v>
      </c>
      <c r="G378" s="27" t="s">
        <v>1369</v>
      </c>
      <c r="H378" s="27" t="s">
        <v>1371</v>
      </c>
      <c r="I378" s="32" t="n">
        <v>24.1725146934879</v>
      </c>
      <c r="J378" s="28" t="n">
        <v>6058.61473572226</v>
      </c>
      <c r="K378" s="27"/>
    </row>
    <row r="379" customFormat="false" ht="15" hidden="true" customHeight="false" outlineLevel="1" collapsed="false">
      <c r="F379" s="27" t="s">
        <v>1372</v>
      </c>
      <c r="G379" s="27" t="s">
        <v>1369</v>
      </c>
      <c r="H379" s="27" t="s">
        <v>1373</v>
      </c>
      <c r="I379" s="32" t="n">
        <v>1.41710345322297</v>
      </c>
      <c r="J379" s="28" t="n">
        <v>6035.85932448199</v>
      </c>
      <c r="K379" s="27"/>
    </row>
    <row r="380" customFormat="false" ht="15" hidden="true" customHeight="false" outlineLevel="1" collapsed="false">
      <c r="F380" s="27" t="s">
        <v>1374</v>
      </c>
      <c r="G380" s="27" t="s">
        <v>1352</v>
      </c>
      <c r="H380" s="27" t="s">
        <v>1375</v>
      </c>
      <c r="I380" s="32" t="n">
        <v>4.35899243217515</v>
      </c>
      <c r="J380" s="28" t="n">
        <v>5672.63366164272</v>
      </c>
      <c r="K380" s="27"/>
    </row>
    <row r="381" customFormat="false" ht="15" hidden="true" customHeight="false" outlineLevel="1" collapsed="false">
      <c r="F381" s="27" t="s">
        <v>1376</v>
      </c>
      <c r="G381" s="27" t="s">
        <v>1342</v>
      </c>
      <c r="H381" s="27" t="s">
        <v>1377</v>
      </c>
      <c r="I381" s="32" t="n">
        <v>1.5898537802084</v>
      </c>
      <c r="J381" s="28" t="n">
        <v>5299.55748261652</v>
      </c>
      <c r="K381" s="27"/>
    </row>
    <row r="382" customFormat="false" ht="15" hidden="true" customHeight="false" outlineLevel="1" collapsed="false">
      <c r="F382" s="27" t="s">
        <v>1378</v>
      </c>
      <c r="G382" s="27" t="s">
        <v>1377</v>
      </c>
      <c r="H382" s="27" t="s">
        <v>1379</v>
      </c>
      <c r="I382" s="32" t="n">
        <v>10.9471026772548</v>
      </c>
      <c r="J382" s="28" t="n">
        <v>5310.50458529377</v>
      </c>
      <c r="K382" s="27"/>
    </row>
    <row r="383" customFormat="false" ht="15" hidden="true" customHeight="false" outlineLevel="1" collapsed="false">
      <c r="F383" s="27" t="s">
        <v>1380</v>
      </c>
      <c r="G383" s="27" t="s">
        <v>1336</v>
      </c>
      <c r="H383" s="27" t="s">
        <v>1381</v>
      </c>
      <c r="I383" s="32" t="n">
        <v>10.3348220138006</v>
      </c>
      <c r="J383" s="28" t="n">
        <v>5135.29466944016</v>
      </c>
      <c r="K383" s="27"/>
    </row>
    <row r="384" customFormat="false" ht="15" hidden="true" customHeight="false" outlineLevel="1" collapsed="false">
      <c r="F384" s="27" t="s">
        <v>1382</v>
      </c>
      <c r="G384" s="27" t="s">
        <v>1336</v>
      </c>
      <c r="H384" s="27" t="s">
        <v>1383</v>
      </c>
      <c r="I384" s="32" t="n">
        <v>84.1474221350818</v>
      </c>
      <c r="J384" s="28" t="n">
        <v>5209.10726956144</v>
      </c>
      <c r="K384" s="27"/>
    </row>
    <row r="385" customFormat="false" ht="15" hidden="true" customHeight="false" outlineLevel="1" collapsed="false">
      <c r="F385" s="27" t="s">
        <v>1384</v>
      </c>
      <c r="G385" s="27" t="s">
        <v>1383</v>
      </c>
      <c r="H385" s="27" t="s">
        <v>1385</v>
      </c>
      <c r="I385" s="32" t="n">
        <v>74.7923740526049</v>
      </c>
      <c r="J385" s="28" t="n">
        <v>5283.89964361404</v>
      </c>
      <c r="K385" s="27"/>
    </row>
    <row r="386" customFormat="false" ht="15" hidden="true" customHeight="false" outlineLevel="1" collapsed="false">
      <c r="F386" s="27" t="s">
        <v>1386</v>
      </c>
      <c r="G386" s="27" t="s">
        <v>1310</v>
      </c>
      <c r="H386" s="27" t="s">
        <v>1387</v>
      </c>
      <c r="I386" s="32" t="n">
        <v>29.5370376387883</v>
      </c>
      <c r="J386" s="28" t="n">
        <v>4817.26427669783</v>
      </c>
      <c r="K386" s="27"/>
    </row>
    <row r="387" customFormat="false" ht="15" hidden="true" customHeight="false" outlineLevel="1" collapsed="false">
      <c r="F387" s="27" t="s">
        <v>1388</v>
      </c>
      <c r="G387" s="27" t="s">
        <v>1387</v>
      </c>
      <c r="H387" s="27" t="s">
        <v>1389</v>
      </c>
      <c r="I387" s="32" t="n">
        <v>124.724222140736</v>
      </c>
      <c r="J387" s="28" t="n">
        <v>4941.98849883857</v>
      </c>
      <c r="K387" s="27"/>
    </row>
    <row r="388" customFormat="false" ht="15" hidden="true" customHeight="false" outlineLevel="1" collapsed="false">
      <c r="F388" s="27" t="s">
        <v>1390</v>
      </c>
      <c r="G388" s="27" t="s">
        <v>1389</v>
      </c>
      <c r="H388" s="27" t="s">
        <v>1391</v>
      </c>
      <c r="I388" s="32" t="n">
        <v>12.4814206394699</v>
      </c>
      <c r="J388" s="28" t="n">
        <v>4954.46991947804</v>
      </c>
      <c r="K388" s="27"/>
    </row>
    <row r="389" customFormat="false" ht="15" hidden="true" customHeight="false" outlineLevel="1" collapsed="false">
      <c r="F389" s="27" t="s">
        <v>1392</v>
      </c>
      <c r="G389" s="27" t="s">
        <v>1389</v>
      </c>
      <c r="H389" s="27" t="s">
        <v>1393</v>
      </c>
      <c r="I389" s="32" t="n">
        <v>30.6235888790864</v>
      </c>
      <c r="J389" s="28" t="n">
        <v>4972.61208771766</v>
      </c>
      <c r="K389" s="27"/>
    </row>
    <row r="390" customFormat="false" ht="15" hidden="true" customHeight="false" outlineLevel="1" collapsed="false">
      <c r="F390" s="27" t="s">
        <v>1394</v>
      </c>
      <c r="G390" s="27" t="s">
        <v>1389</v>
      </c>
      <c r="H390" s="27" t="s">
        <v>1395</v>
      </c>
      <c r="I390" s="32" t="n">
        <v>6.45170335596767</v>
      </c>
      <c r="J390" s="28" t="n">
        <v>4948.44020219454</v>
      </c>
      <c r="K390" s="27"/>
    </row>
    <row r="391" customFormat="false" ht="15" hidden="true" customHeight="false" outlineLevel="1" collapsed="false">
      <c r="F391" s="27" t="s">
        <v>1396</v>
      </c>
      <c r="G391" s="27" t="s">
        <v>1395</v>
      </c>
      <c r="H391" s="27" t="s">
        <v>1397</v>
      </c>
      <c r="I391" s="32" t="n">
        <v>3.61472305931368</v>
      </c>
      <c r="J391" s="28" t="n">
        <v>4952.05492525385</v>
      </c>
      <c r="K391" s="27"/>
    </row>
    <row r="392" customFormat="false" ht="15" hidden="true" customHeight="false" outlineLevel="1" collapsed="false">
      <c r="F392" s="27" t="s">
        <v>1398</v>
      </c>
      <c r="G392" s="27" t="s">
        <v>1300</v>
      </c>
      <c r="H392" s="27" t="s">
        <v>1399</v>
      </c>
      <c r="I392" s="32" t="n">
        <v>112.747820448717</v>
      </c>
      <c r="J392" s="28" t="n">
        <v>4706.31668142394</v>
      </c>
      <c r="K392" s="27"/>
    </row>
    <row r="393" customFormat="false" ht="15" hidden="true" customHeight="false" outlineLevel="1" collapsed="false">
      <c r="F393" s="27" t="s">
        <v>1400</v>
      </c>
      <c r="G393" s="27" t="s">
        <v>1399</v>
      </c>
      <c r="H393" s="27" t="s">
        <v>1401</v>
      </c>
      <c r="I393" s="32" t="n">
        <v>4.89211930032568</v>
      </c>
      <c r="J393" s="28" t="n">
        <v>4711.20880072427</v>
      </c>
      <c r="K393" s="27"/>
    </row>
    <row r="394" customFormat="false" ht="15" hidden="true" customHeight="false" outlineLevel="1" collapsed="false">
      <c r="F394" s="27" t="s">
        <v>1402</v>
      </c>
      <c r="G394" s="27" t="s">
        <v>1399</v>
      </c>
      <c r="H394" s="27" t="s">
        <v>1403</v>
      </c>
      <c r="I394" s="32" t="n">
        <v>0.399940113126696</v>
      </c>
      <c r="J394" s="28" t="n">
        <v>4706.71662153707</v>
      </c>
      <c r="K394" s="27"/>
    </row>
    <row r="395" customFormat="false" ht="15" hidden="true" customHeight="false" outlineLevel="1" collapsed="false">
      <c r="F395" s="27" t="s">
        <v>1404</v>
      </c>
      <c r="G395" s="27" t="s">
        <v>1403</v>
      </c>
      <c r="H395" s="27" t="s">
        <v>1405</v>
      </c>
      <c r="I395" s="32" t="n">
        <v>3.32631623309422</v>
      </c>
      <c r="J395" s="28" t="n">
        <v>4710.04293777016</v>
      </c>
      <c r="K395" s="27"/>
    </row>
    <row r="396" customFormat="false" ht="15" hidden="true" customHeight="false" outlineLevel="1" collapsed="false">
      <c r="F396" s="27" t="s">
        <v>1406</v>
      </c>
      <c r="G396" s="27" t="s">
        <v>1285</v>
      </c>
      <c r="H396" s="27" t="s">
        <v>1407</v>
      </c>
      <c r="I396" s="32" t="n">
        <v>4.68524253795243</v>
      </c>
      <c r="J396" s="28" t="n">
        <v>4095.30565732646</v>
      </c>
      <c r="K396" s="27"/>
    </row>
    <row r="397" customFormat="false" ht="15" hidden="true" customHeight="false" outlineLevel="1" collapsed="false">
      <c r="F397" s="27" t="s">
        <v>1408</v>
      </c>
      <c r="G397" s="27" t="s">
        <v>1279</v>
      </c>
      <c r="H397" s="27" t="s">
        <v>1409</v>
      </c>
      <c r="I397" s="32" t="n">
        <v>3.77534382804571</v>
      </c>
      <c r="J397" s="28" t="n">
        <v>3871.51473511126</v>
      </c>
      <c r="K397" s="27"/>
    </row>
    <row r="398" customFormat="false" ht="15" hidden="true" customHeight="false" outlineLevel="1" collapsed="false">
      <c r="F398" s="27" t="s">
        <v>1410</v>
      </c>
      <c r="G398" s="27" t="s">
        <v>1277</v>
      </c>
      <c r="H398" s="27" t="s">
        <v>1411</v>
      </c>
      <c r="I398" s="32" t="n">
        <v>1.8286105164751</v>
      </c>
      <c r="J398" s="28" t="n">
        <v>3786.9505313489</v>
      </c>
      <c r="K398" s="27"/>
    </row>
    <row r="399" customFormat="false" ht="15" hidden="true" customHeight="false" outlineLevel="1" collapsed="false">
      <c r="F399" s="27" t="s">
        <v>1412</v>
      </c>
      <c r="G399" s="27" t="s">
        <v>1411</v>
      </c>
      <c r="H399" s="27" t="s">
        <v>1413</v>
      </c>
      <c r="I399" s="32" t="n">
        <v>30.2901554371748</v>
      </c>
      <c r="J399" s="28" t="n">
        <v>3817.24068678608</v>
      </c>
      <c r="K399" s="27"/>
    </row>
    <row r="400" customFormat="false" ht="15" hidden="true" customHeight="false" outlineLevel="1" collapsed="false">
      <c r="F400" s="27" t="s">
        <v>1414</v>
      </c>
      <c r="G400" s="27" t="s">
        <v>1413</v>
      </c>
      <c r="H400" s="27" t="s">
        <v>1415</v>
      </c>
      <c r="I400" s="32" t="n">
        <v>4.51149998479191</v>
      </c>
      <c r="J400" s="28" t="n">
        <v>3821.75218677087</v>
      </c>
      <c r="K400" s="27"/>
    </row>
    <row r="401" customFormat="false" ht="15" hidden="true" customHeight="false" outlineLevel="1" collapsed="false">
      <c r="F401" s="27" t="s">
        <v>1416</v>
      </c>
      <c r="G401" s="27" t="s">
        <v>1275</v>
      </c>
      <c r="H401" s="27" t="s">
        <v>1417</v>
      </c>
      <c r="I401" s="32" t="n">
        <v>2.37882900362886</v>
      </c>
      <c r="J401" s="28" t="n">
        <v>3684.23244433669</v>
      </c>
      <c r="K401" s="27"/>
    </row>
    <row r="402" customFormat="false" ht="15" hidden="true" customHeight="false" outlineLevel="1" collapsed="false">
      <c r="F402" s="27" t="s">
        <v>1418</v>
      </c>
      <c r="G402" s="27" t="s">
        <v>1271</v>
      </c>
      <c r="H402" s="27" t="s">
        <v>1419</v>
      </c>
      <c r="I402" s="32" t="n">
        <v>2.79950247758051</v>
      </c>
      <c r="J402" s="28" t="n">
        <v>3611.26202986565</v>
      </c>
      <c r="K402" s="27"/>
    </row>
    <row r="403" customFormat="false" ht="15" hidden="true" customHeight="false" outlineLevel="1" collapsed="false">
      <c r="F403" s="27" t="s">
        <v>1420</v>
      </c>
      <c r="G403" s="27" t="s">
        <v>1271</v>
      </c>
      <c r="H403" s="27" t="s">
        <v>1421</v>
      </c>
      <c r="I403" s="32" t="n">
        <v>0.220624665237296</v>
      </c>
      <c r="J403" s="28" t="n">
        <v>3608.6831520533</v>
      </c>
      <c r="K403" s="27"/>
    </row>
    <row r="404" customFormat="false" ht="15" hidden="true" customHeight="false" outlineLevel="1" collapsed="false">
      <c r="F404" s="27" t="s">
        <v>1422</v>
      </c>
      <c r="G404" s="27" t="s">
        <v>1262</v>
      </c>
      <c r="H404" s="27" t="s">
        <v>1423</v>
      </c>
      <c r="I404" s="32" t="n">
        <v>0.999026852060401</v>
      </c>
      <c r="J404" s="28" t="n">
        <v>3140.19349781566</v>
      </c>
      <c r="K404" s="27"/>
    </row>
    <row r="405" customFormat="false" ht="15" hidden="true" customHeight="false" outlineLevel="1" collapsed="false">
      <c r="F405" s="27" t="s">
        <v>1424</v>
      </c>
      <c r="G405" s="27" t="s">
        <v>1252</v>
      </c>
      <c r="H405" s="27" t="s">
        <v>1425</v>
      </c>
      <c r="I405" s="32" t="n">
        <v>29.2031556509603</v>
      </c>
      <c r="J405" s="28" t="n">
        <v>2993.58772276496</v>
      </c>
      <c r="K405" s="27"/>
    </row>
    <row r="406" customFormat="false" ht="15" hidden="true" customHeight="false" outlineLevel="1" collapsed="false">
      <c r="F406" s="27" t="s">
        <v>1426</v>
      </c>
      <c r="G406" s="27" t="s">
        <v>1425</v>
      </c>
      <c r="H406" s="27" t="s">
        <v>1427</v>
      </c>
      <c r="I406" s="32" t="n">
        <v>15.2492506191367</v>
      </c>
      <c r="J406" s="28" t="n">
        <v>3008.8369733841</v>
      </c>
      <c r="K406" s="27"/>
    </row>
    <row r="407" customFormat="false" ht="15" hidden="true" customHeight="false" outlineLevel="1" collapsed="false">
      <c r="F407" s="27" t="s">
        <v>1428</v>
      </c>
      <c r="G407" s="27" t="s">
        <v>1250</v>
      </c>
      <c r="H407" s="27" t="s">
        <v>1429</v>
      </c>
      <c r="I407" s="32" t="n">
        <v>1.8786290600778</v>
      </c>
      <c r="J407" s="28" t="n">
        <v>2848.83149751315</v>
      </c>
      <c r="K407" s="27"/>
    </row>
    <row r="408" customFormat="false" ht="15" hidden="true" customHeight="false" outlineLevel="1" collapsed="false">
      <c r="F408" s="27" t="s">
        <v>1430</v>
      </c>
      <c r="G408" s="27" t="s">
        <v>1429</v>
      </c>
      <c r="H408" s="27" t="s">
        <v>1431</v>
      </c>
      <c r="I408" s="32" t="n">
        <v>12.2695509755318</v>
      </c>
      <c r="J408" s="28" t="n">
        <v>2861.10104848868</v>
      </c>
      <c r="K408" s="27"/>
    </row>
    <row r="409" customFormat="false" ht="15" hidden="true" customHeight="false" outlineLevel="1" collapsed="false">
      <c r="F409" s="27" t="s">
        <v>1432</v>
      </c>
      <c r="G409" s="27" t="s">
        <v>1431</v>
      </c>
      <c r="H409" s="27" t="s">
        <v>1433</v>
      </c>
      <c r="I409" s="32" t="n">
        <v>3.07616204587242</v>
      </c>
      <c r="J409" s="28" t="n">
        <v>2864.17721053455</v>
      </c>
      <c r="K409" s="27"/>
    </row>
    <row r="410" customFormat="false" ht="15" hidden="true" customHeight="false" outlineLevel="1" collapsed="false">
      <c r="F410" s="27" t="s">
        <v>1434</v>
      </c>
      <c r="G410" s="27" t="s">
        <v>1433</v>
      </c>
      <c r="H410" s="27" t="s">
        <v>1435</v>
      </c>
      <c r="I410" s="32" t="n">
        <v>184.487847139279</v>
      </c>
      <c r="J410" s="28" t="n">
        <v>3048.66505767383</v>
      </c>
      <c r="K410" s="27"/>
    </row>
    <row r="411" customFormat="false" ht="15" hidden="true" customHeight="false" outlineLevel="1" collapsed="false">
      <c r="F411" s="27" t="s">
        <v>1436</v>
      </c>
      <c r="G411" s="27" t="s">
        <v>1435</v>
      </c>
      <c r="H411" s="27" t="s">
        <v>1437</v>
      </c>
      <c r="I411" s="32" t="n">
        <v>38.1841092502845</v>
      </c>
      <c r="J411" s="28" t="n">
        <v>3086.84916692412</v>
      </c>
      <c r="K411" s="27"/>
    </row>
    <row r="412" customFormat="false" ht="15" hidden="true" customHeight="false" outlineLevel="1" collapsed="false">
      <c r="F412" s="27" t="s">
        <v>1438</v>
      </c>
      <c r="G412" s="27" t="s">
        <v>1437</v>
      </c>
      <c r="H412" s="27" t="s">
        <v>1439</v>
      </c>
      <c r="I412" s="32" t="n">
        <v>1.90477503125037</v>
      </c>
      <c r="J412" s="28" t="n">
        <v>3088.75394195537</v>
      </c>
      <c r="K412" s="27"/>
    </row>
    <row r="413" customFormat="false" ht="15" hidden="true" customHeight="false" outlineLevel="1" collapsed="false">
      <c r="F413" s="27" t="s">
        <v>1440</v>
      </c>
      <c r="G413" s="27" t="s">
        <v>1439</v>
      </c>
      <c r="H413" s="27" t="s">
        <v>1441</v>
      </c>
      <c r="I413" s="32" t="n">
        <v>53.830169988637</v>
      </c>
      <c r="J413" s="28" t="n">
        <v>3142.58411194401</v>
      </c>
      <c r="K413" s="27"/>
    </row>
    <row r="414" customFormat="false" ht="15" hidden="true" customHeight="false" outlineLevel="1" collapsed="false">
      <c r="F414" s="27" t="s">
        <v>1442</v>
      </c>
      <c r="G414" s="27" t="s">
        <v>1441</v>
      </c>
      <c r="H414" s="27" t="s">
        <v>1443</v>
      </c>
      <c r="I414" s="32" t="n">
        <v>100.523700286425</v>
      </c>
      <c r="J414" s="28" t="n">
        <v>3243.10781223043</v>
      </c>
      <c r="K414" s="27"/>
    </row>
    <row r="415" customFormat="false" ht="15" hidden="true" customHeight="false" outlineLevel="1" collapsed="false">
      <c r="F415" s="27" t="s">
        <v>1444</v>
      </c>
      <c r="G415" s="27" t="s">
        <v>1443</v>
      </c>
      <c r="H415" s="27" t="s">
        <v>1445</v>
      </c>
      <c r="I415" s="32" t="n">
        <v>16.7860081001587</v>
      </c>
      <c r="J415" s="28" t="n">
        <v>3259.89382033059</v>
      </c>
      <c r="K415" s="27"/>
    </row>
    <row r="416" customFormat="false" ht="15" hidden="true" customHeight="false" outlineLevel="1" collapsed="false">
      <c r="F416" s="27" t="s">
        <v>1446</v>
      </c>
      <c r="G416" s="27" t="s">
        <v>1445</v>
      </c>
      <c r="H416" s="27" t="s">
        <v>1447</v>
      </c>
      <c r="I416" s="32" t="n">
        <v>123.999998568021</v>
      </c>
      <c r="J416" s="28" t="n">
        <v>3383.89381889861</v>
      </c>
      <c r="K416" s="27"/>
    </row>
    <row r="417" customFormat="false" ht="15" hidden="true" customHeight="false" outlineLevel="1" collapsed="false">
      <c r="F417" s="27" t="s">
        <v>1448</v>
      </c>
      <c r="G417" s="27" t="s">
        <v>1447</v>
      </c>
      <c r="H417" s="27" t="s">
        <v>1449</v>
      </c>
      <c r="I417" s="32" t="n">
        <v>37.3187269268512</v>
      </c>
      <c r="J417" s="28" t="n">
        <v>3421.21254582546</v>
      </c>
      <c r="K417" s="27"/>
    </row>
    <row r="418" customFormat="false" ht="15" hidden="true" customHeight="false" outlineLevel="1" collapsed="false">
      <c r="F418" s="27" t="s">
        <v>1450</v>
      </c>
      <c r="G418" s="27" t="s">
        <v>1449</v>
      </c>
      <c r="H418" s="27" t="s">
        <v>1451</v>
      </c>
      <c r="I418" s="32" t="n">
        <v>18.7922865547976</v>
      </c>
      <c r="J418" s="28" t="n">
        <v>3440.00483238026</v>
      </c>
      <c r="K418" s="27"/>
    </row>
    <row r="419" customFormat="false" ht="15" hidden="true" customHeight="false" outlineLevel="1" collapsed="false">
      <c r="F419" s="27" t="s">
        <v>1452</v>
      </c>
      <c r="G419" s="27" t="s">
        <v>1449</v>
      </c>
      <c r="H419" s="27" t="s">
        <v>1453</v>
      </c>
      <c r="I419" s="32" t="n">
        <v>178.14891969713</v>
      </c>
      <c r="J419" s="28" t="n">
        <v>3599.36146552259</v>
      </c>
      <c r="K419" s="27"/>
    </row>
    <row r="420" customFormat="false" ht="15" hidden="true" customHeight="false" outlineLevel="1" collapsed="false">
      <c r="F420" s="27" t="s">
        <v>1454</v>
      </c>
      <c r="G420" s="27" t="s">
        <v>1453</v>
      </c>
      <c r="H420" s="27" t="s">
        <v>1455</v>
      </c>
      <c r="I420" s="32" t="n">
        <v>125.082180456271</v>
      </c>
      <c r="J420" s="28" t="n">
        <v>3724.44364597886</v>
      </c>
      <c r="K420" s="27"/>
    </row>
    <row r="421" customFormat="false" ht="15" hidden="true" customHeight="false" outlineLevel="1" collapsed="false">
      <c r="F421" s="27" t="s">
        <v>1456</v>
      </c>
      <c r="G421" s="27" t="s">
        <v>1455</v>
      </c>
      <c r="H421" s="27" t="s">
        <v>1457</v>
      </c>
      <c r="I421" s="32" t="n">
        <v>3.25312640754893</v>
      </c>
      <c r="J421" s="28" t="n">
        <v>3727.69677238641</v>
      </c>
      <c r="K421" s="27"/>
    </row>
    <row r="422" customFormat="false" ht="15" hidden="true" customHeight="false" outlineLevel="1" collapsed="false">
      <c r="F422" s="27" t="s">
        <v>1458</v>
      </c>
      <c r="G422" s="27" t="s">
        <v>1457</v>
      </c>
      <c r="H422" s="27" t="s">
        <v>1459</v>
      </c>
      <c r="I422" s="32" t="n">
        <v>44.4736786796699</v>
      </c>
      <c r="J422" s="28" t="n">
        <v>3772.17045106608</v>
      </c>
      <c r="K422" s="27"/>
    </row>
    <row r="423" customFormat="false" ht="15" hidden="true" customHeight="false" outlineLevel="1" collapsed="false">
      <c r="F423" s="27" t="s">
        <v>1460</v>
      </c>
      <c r="G423" s="27" t="s">
        <v>1459</v>
      </c>
      <c r="H423" s="27" t="s">
        <v>1461</v>
      </c>
      <c r="I423" s="32" t="n">
        <v>2.2851441913539</v>
      </c>
      <c r="J423" s="28" t="n">
        <v>3774.45559525744</v>
      </c>
      <c r="K423" s="27"/>
    </row>
    <row r="424" customFormat="false" ht="15" hidden="true" customHeight="false" outlineLevel="1" collapsed="false">
      <c r="F424" s="27" t="s">
        <v>1462</v>
      </c>
      <c r="G424" s="27" t="s">
        <v>1461</v>
      </c>
      <c r="H424" s="27" t="s">
        <v>1463</v>
      </c>
      <c r="I424" s="32" t="n">
        <v>126.350069498936</v>
      </c>
      <c r="J424" s="28" t="n">
        <v>3900.80566475637</v>
      </c>
      <c r="K424" s="27"/>
    </row>
    <row r="425" customFormat="false" ht="15" hidden="true" customHeight="false" outlineLevel="1" collapsed="false">
      <c r="F425" s="27" t="s">
        <v>1464</v>
      </c>
      <c r="G425" s="27" t="s">
        <v>1463</v>
      </c>
      <c r="H425" s="27" t="s">
        <v>1465</v>
      </c>
      <c r="I425" s="32" t="n">
        <v>6.64221211535269</v>
      </c>
      <c r="J425" s="28" t="n">
        <v>3907.44787687172</v>
      </c>
      <c r="K425" s="27"/>
    </row>
    <row r="426" customFormat="false" ht="15" hidden="true" customHeight="false" outlineLevel="1" collapsed="false">
      <c r="F426" s="27" t="s">
        <v>1466</v>
      </c>
      <c r="G426" s="27" t="s">
        <v>1463</v>
      </c>
      <c r="H426" s="27" t="s">
        <v>1467</v>
      </c>
      <c r="I426" s="32" t="n">
        <v>80.9702357458447</v>
      </c>
      <c r="J426" s="28" t="n">
        <v>3981.77590050222</v>
      </c>
      <c r="K426" s="27"/>
    </row>
    <row r="427" customFormat="false" ht="15" hidden="true" customHeight="false" outlineLevel="1" collapsed="false">
      <c r="F427" s="27" t="s">
        <v>1468</v>
      </c>
      <c r="G427" s="27" t="s">
        <v>1467</v>
      </c>
      <c r="H427" s="27" t="s">
        <v>1469</v>
      </c>
      <c r="I427" s="32" t="n">
        <v>2.85758551106016</v>
      </c>
      <c r="J427" s="28" t="n">
        <v>3984.63348601328</v>
      </c>
      <c r="K427" s="27"/>
    </row>
    <row r="428" customFormat="false" ht="15" hidden="true" customHeight="false" outlineLevel="1" collapsed="false">
      <c r="F428" s="27" t="s">
        <v>1470</v>
      </c>
      <c r="G428" s="27" t="s">
        <v>1469</v>
      </c>
      <c r="H428" s="27" t="s">
        <v>1471</v>
      </c>
      <c r="I428" s="32" t="n">
        <v>8.29191937933122</v>
      </c>
      <c r="J428" s="28" t="n">
        <v>3992.92540539261</v>
      </c>
      <c r="K428" s="27"/>
    </row>
    <row r="429" customFormat="false" ht="15" hidden="true" customHeight="false" outlineLevel="1" collapsed="false">
      <c r="F429" s="27" t="s">
        <v>1472</v>
      </c>
      <c r="G429" s="27" t="s">
        <v>1471</v>
      </c>
      <c r="H429" s="27" t="s">
        <v>1473</v>
      </c>
      <c r="I429" s="32" t="n">
        <v>8.09381544159652</v>
      </c>
      <c r="J429" s="28" t="n">
        <v>4001.0192208342</v>
      </c>
      <c r="K429" s="27"/>
    </row>
    <row r="430" customFormat="false" ht="15" hidden="true" customHeight="false" outlineLevel="1" collapsed="false">
      <c r="F430" s="27" t="s">
        <v>1474</v>
      </c>
      <c r="G430" s="27" t="s">
        <v>1461</v>
      </c>
      <c r="H430" s="27" t="s">
        <v>1475</v>
      </c>
      <c r="I430" s="32" t="n">
        <v>107.412096160194</v>
      </c>
      <c r="J430" s="28" t="n">
        <v>3881.86769141763</v>
      </c>
      <c r="K430" s="27"/>
    </row>
    <row r="431" customFormat="false" ht="15" hidden="true" customHeight="false" outlineLevel="1" collapsed="false">
      <c r="F431" s="27" t="s">
        <v>1476</v>
      </c>
      <c r="G431" s="27" t="s">
        <v>1475</v>
      </c>
      <c r="H431" s="27" t="s">
        <v>1477</v>
      </c>
      <c r="I431" s="32" t="n">
        <v>44.642983423875</v>
      </c>
      <c r="J431" s="28" t="n">
        <v>3926.5106748415</v>
      </c>
      <c r="K431" s="27"/>
    </row>
    <row r="432" customFormat="false" ht="15" hidden="true" customHeight="false" outlineLevel="1" collapsed="false">
      <c r="F432" s="27" t="s">
        <v>1478</v>
      </c>
      <c r="G432" s="27" t="s">
        <v>1475</v>
      </c>
      <c r="H432" s="27" t="s">
        <v>1479</v>
      </c>
      <c r="I432" s="32" t="n">
        <v>1.93380492819145</v>
      </c>
      <c r="J432" s="28" t="n">
        <v>3883.80149634582</v>
      </c>
      <c r="K432" s="27"/>
    </row>
    <row r="433" customFormat="false" ht="15" hidden="true" customHeight="false" outlineLevel="1" collapsed="false">
      <c r="F433" s="27" t="s">
        <v>1480</v>
      </c>
      <c r="G433" s="27" t="s">
        <v>1449</v>
      </c>
      <c r="H433" s="27" t="s">
        <v>1481</v>
      </c>
      <c r="I433" s="32" t="n">
        <v>82.2661604856072</v>
      </c>
      <c r="J433" s="28" t="n">
        <v>3503.47870631107</v>
      </c>
      <c r="K433" s="27"/>
    </row>
    <row r="434" customFormat="false" ht="15" hidden="true" customHeight="false" outlineLevel="1" collapsed="false">
      <c r="F434" s="27" t="s">
        <v>1482</v>
      </c>
      <c r="G434" s="27" t="s">
        <v>1481</v>
      </c>
      <c r="H434" s="27" t="s">
        <v>1483</v>
      </c>
      <c r="I434" s="32" t="n">
        <v>47.649472272511</v>
      </c>
      <c r="J434" s="28" t="n">
        <v>3551.12817858358</v>
      </c>
      <c r="K434" s="27"/>
    </row>
    <row r="435" customFormat="false" ht="15" hidden="true" customHeight="false" outlineLevel="1" collapsed="false">
      <c r="F435" s="27" t="s">
        <v>1484</v>
      </c>
      <c r="G435" s="27" t="s">
        <v>1483</v>
      </c>
      <c r="H435" s="27" t="s">
        <v>1485</v>
      </c>
      <c r="I435" s="32" t="n">
        <v>4.30974099426959</v>
      </c>
      <c r="J435" s="28" t="n">
        <v>3555.43791957785</v>
      </c>
      <c r="K435" s="27" t="s">
        <v>1486</v>
      </c>
    </row>
    <row r="436" customFormat="false" ht="15" hidden="true" customHeight="false" outlineLevel="1" collapsed="false">
      <c r="F436" s="27" t="s">
        <v>1487</v>
      </c>
      <c r="G436" s="27" t="s">
        <v>1485</v>
      </c>
      <c r="H436" s="27" t="s">
        <v>1488</v>
      </c>
      <c r="I436" s="32" t="n">
        <v>77.9292998201833</v>
      </c>
      <c r="J436" s="28" t="n">
        <v>3633.36721939803</v>
      </c>
      <c r="K436" s="27"/>
    </row>
    <row r="437" customFormat="false" ht="15" hidden="true" customHeight="false" outlineLevel="1" collapsed="false">
      <c r="F437" s="27" t="s">
        <v>1489</v>
      </c>
      <c r="G437" s="27" t="s">
        <v>1488</v>
      </c>
      <c r="H437" s="27" t="s">
        <v>1490</v>
      </c>
      <c r="I437" s="32" t="n">
        <v>35.7405302396491</v>
      </c>
      <c r="J437" s="28" t="n">
        <v>3669.10774963768</v>
      </c>
      <c r="K437" s="27"/>
    </row>
    <row r="438" customFormat="false" ht="15" hidden="true" customHeight="false" outlineLevel="1" collapsed="false">
      <c r="F438" s="27" t="s">
        <v>1491</v>
      </c>
      <c r="G438" s="27" t="s">
        <v>1490</v>
      </c>
      <c r="H438" s="27" t="s">
        <v>1492</v>
      </c>
      <c r="I438" s="32" t="n">
        <v>23.0229873776853</v>
      </c>
      <c r="J438" s="28" t="n">
        <v>3692.13073701537</v>
      </c>
      <c r="K438" s="27"/>
    </row>
    <row r="439" customFormat="false" ht="15" hidden="true" customHeight="false" outlineLevel="1" collapsed="false">
      <c r="F439" s="27" t="s">
        <v>1493</v>
      </c>
      <c r="G439" s="27" t="s">
        <v>1490</v>
      </c>
      <c r="H439" s="27" t="s">
        <v>1494</v>
      </c>
      <c r="I439" s="32" t="n">
        <v>166.110750306774</v>
      </c>
      <c r="J439" s="28" t="n">
        <v>3835.21849994446</v>
      </c>
      <c r="K439" s="27"/>
    </row>
    <row r="440" customFormat="false" ht="15" hidden="true" customHeight="false" outlineLevel="1" collapsed="false">
      <c r="F440" s="27" t="s">
        <v>1495</v>
      </c>
      <c r="G440" s="27" t="s">
        <v>1494</v>
      </c>
      <c r="H440" s="27" t="s">
        <v>1496</v>
      </c>
      <c r="I440" s="32" t="n">
        <v>20.3813550481934</v>
      </c>
      <c r="J440" s="28" t="n">
        <v>3855.59985499265</v>
      </c>
      <c r="K440" s="27"/>
    </row>
    <row r="441" customFormat="false" ht="15" hidden="true" customHeight="false" outlineLevel="1" collapsed="false">
      <c r="F441" s="27" t="s">
        <v>1497</v>
      </c>
      <c r="G441" s="27" t="s">
        <v>1494</v>
      </c>
      <c r="H441" s="27" t="s">
        <v>1498</v>
      </c>
      <c r="I441" s="32" t="n">
        <v>11.4624070219088</v>
      </c>
      <c r="J441" s="28" t="n">
        <v>3846.68090696637</v>
      </c>
      <c r="K441" s="27"/>
    </row>
    <row r="442" customFormat="false" ht="15" hidden="true" customHeight="false" outlineLevel="1" collapsed="false">
      <c r="F442" s="27" t="s">
        <v>1499</v>
      </c>
      <c r="G442" s="27" t="s">
        <v>1498</v>
      </c>
      <c r="H442" s="27" t="s">
        <v>1500</v>
      </c>
      <c r="I442" s="32" t="n">
        <v>34.1625646534796</v>
      </c>
      <c r="J442" s="28" t="n">
        <v>3880.84347161984</v>
      </c>
      <c r="K442" s="27"/>
    </row>
    <row r="443" customFormat="false" ht="15" hidden="true" customHeight="false" outlineLevel="1" collapsed="false">
      <c r="F443" s="27" t="s">
        <v>1501</v>
      </c>
      <c r="G443" s="27" t="s">
        <v>1494</v>
      </c>
      <c r="H443" s="27" t="s">
        <v>1502</v>
      </c>
      <c r="I443" s="32" t="n">
        <v>17.6401212623621</v>
      </c>
      <c r="J443" s="28" t="n">
        <v>3852.85862120682</v>
      </c>
      <c r="K443" s="27"/>
    </row>
    <row r="444" customFormat="false" ht="15" hidden="true" customHeight="false" outlineLevel="1" collapsed="false">
      <c r="F444" s="27" t="s">
        <v>1503</v>
      </c>
      <c r="G444" s="27" t="s">
        <v>1490</v>
      </c>
      <c r="H444" s="27" t="s">
        <v>1504</v>
      </c>
      <c r="I444" s="32" t="n">
        <v>85.4231233694765</v>
      </c>
      <c r="J444" s="28" t="n">
        <v>3754.53087300716</v>
      </c>
      <c r="K444" s="27"/>
    </row>
    <row r="445" customFormat="false" ht="15" hidden="true" customHeight="false" outlineLevel="1" collapsed="false">
      <c r="F445" s="27" t="s">
        <v>1505</v>
      </c>
      <c r="G445" s="27" t="s">
        <v>1504</v>
      </c>
      <c r="H445" s="27" t="s">
        <v>1506</v>
      </c>
      <c r="I445" s="32" t="n">
        <v>85.0248604600912</v>
      </c>
      <c r="J445" s="28" t="n">
        <v>3839.55573346725</v>
      </c>
      <c r="K445" s="27"/>
    </row>
    <row r="446" customFormat="false" ht="15" hidden="true" customHeight="false" outlineLevel="1" collapsed="false">
      <c r="F446" s="27" t="s">
        <v>1507</v>
      </c>
      <c r="G446" s="27" t="s">
        <v>1506</v>
      </c>
      <c r="H446" s="27" t="s">
        <v>1508</v>
      </c>
      <c r="I446" s="32" t="n">
        <v>40.3273634992182</v>
      </c>
      <c r="J446" s="28" t="n">
        <v>3879.88309696647</v>
      </c>
      <c r="K446" s="27"/>
    </row>
    <row r="447" customFormat="false" ht="15" hidden="true" customHeight="false" outlineLevel="1" collapsed="false">
      <c r="F447" s="27" t="s">
        <v>1509</v>
      </c>
      <c r="G447" s="27" t="s">
        <v>1508</v>
      </c>
      <c r="H447" s="27" t="s">
        <v>1510</v>
      </c>
      <c r="I447" s="32" t="n">
        <v>42.3755730827159</v>
      </c>
      <c r="J447" s="28" t="n">
        <v>3922.25867004918</v>
      </c>
      <c r="K447" s="27"/>
    </row>
    <row r="448" customFormat="false" ht="15" hidden="true" customHeight="false" outlineLevel="1" collapsed="false">
      <c r="F448" s="27" t="s">
        <v>1511</v>
      </c>
      <c r="G448" s="27" t="s">
        <v>1506</v>
      </c>
      <c r="H448" s="27" t="s">
        <v>1512</v>
      </c>
      <c r="I448" s="32" t="n">
        <v>38.6838633922849</v>
      </c>
      <c r="J448" s="28" t="n">
        <v>3878.23959685953</v>
      </c>
      <c r="K448" s="27"/>
    </row>
    <row r="449" customFormat="false" ht="15" hidden="true" customHeight="false" outlineLevel="1" collapsed="false">
      <c r="F449" s="27" t="s">
        <v>1513</v>
      </c>
      <c r="G449" s="27" t="s">
        <v>1506</v>
      </c>
      <c r="H449" s="27" t="s">
        <v>1514</v>
      </c>
      <c r="I449" s="32" t="n">
        <v>89.9027974542875</v>
      </c>
      <c r="J449" s="28" t="n">
        <v>3929.45853092154</v>
      </c>
      <c r="K449" s="27"/>
    </row>
    <row r="450" customFormat="false" ht="15" hidden="true" customHeight="false" outlineLevel="1" collapsed="false">
      <c r="F450" s="27" t="s">
        <v>1515</v>
      </c>
      <c r="G450" s="27" t="s">
        <v>1514</v>
      </c>
      <c r="H450" s="27" t="s">
        <v>1516</v>
      </c>
      <c r="I450" s="32" t="n">
        <v>29.7883869632817</v>
      </c>
      <c r="J450" s="28" t="n">
        <v>3959.24691788482</v>
      </c>
      <c r="K450" s="27"/>
    </row>
    <row r="451" customFormat="false" ht="15" hidden="true" customHeight="false" outlineLevel="1" collapsed="false">
      <c r="F451" s="27" t="s">
        <v>1517</v>
      </c>
      <c r="G451" s="27" t="s">
        <v>1514</v>
      </c>
      <c r="H451" s="27" t="s">
        <v>1518</v>
      </c>
      <c r="I451" s="32" t="n">
        <v>3.29244013535154</v>
      </c>
      <c r="J451" s="28" t="n">
        <v>3932.75097105689</v>
      </c>
      <c r="K451" s="27" t="s">
        <v>1519</v>
      </c>
    </row>
    <row r="452" customFormat="false" ht="15" hidden="true" customHeight="false" outlineLevel="1" collapsed="false">
      <c r="F452" s="27" t="s">
        <v>1520</v>
      </c>
      <c r="G452" s="27" t="s">
        <v>1518</v>
      </c>
      <c r="H452" s="27" t="s">
        <v>1521</v>
      </c>
      <c r="I452" s="32" t="n">
        <v>62.2950804590093</v>
      </c>
      <c r="J452" s="28" t="n">
        <v>3995.0460515159</v>
      </c>
      <c r="K452" s="27"/>
    </row>
    <row r="453" customFormat="false" ht="15" hidden="true" customHeight="false" outlineLevel="1" collapsed="false">
      <c r="F453" s="27" t="s">
        <v>1522</v>
      </c>
      <c r="G453" s="27" t="s">
        <v>1521</v>
      </c>
      <c r="H453" s="27" t="s">
        <v>1523</v>
      </c>
      <c r="I453" s="32" t="n">
        <v>3.74747930334253</v>
      </c>
      <c r="J453" s="28" t="n">
        <v>3998.79353081924</v>
      </c>
      <c r="K453" s="27"/>
    </row>
    <row r="454" customFormat="false" ht="15" hidden="true" customHeight="false" outlineLevel="1" collapsed="false">
      <c r="F454" s="27" t="s">
        <v>1524</v>
      </c>
      <c r="G454" s="27" t="s">
        <v>1523</v>
      </c>
      <c r="H454" s="27" t="s">
        <v>1525</v>
      </c>
      <c r="I454" s="32" t="n">
        <v>12.6911348920472</v>
      </c>
      <c r="J454" s="28" t="n">
        <v>4011.48466571129</v>
      </c>
      <c r="K454" s="27"/>
    </row>
    <row r="455" customFormat="false" ht="15" hidden="true" customHeight="false" outlineLevel="1" collapsed="false">
      <c r="F455" s="27" t="s">
        <v>1526</v>
      </c>
      <c r="G455" s="27" t="s">
        <v>1525</v>
      </c>
      <c r="H455" s="27" t="s">
        <v>1527</v>
      </c>
      <c r="I455" s="32" t="n">
        <v>120.137798547367</v>
      </c>
      <c r="J455" s="28" t="n">
        <v>4131.62246425865</v>
      </c>
      <c r="K455" s="27"/>
    </row>
    <row r="456" customFormat="false" ht="15" hidden="true" customHeight="false" outlineLevel="1" collapsed="false">
      <c r="F456" s="27" t="s">
        <v>1528</v>
      </c>
      <c r="G456" s="27" t="s">
        <v>1527</v>
      </c>
      <c r="H456" s="27" t="s">
        <v>1529</v>
      </c>
      <c r="I456" s="32" t="n">
        <v>8.80933267473131</v>
      </c>
      <c r="J456" s="28" t="n">
        <v>4140.43179693338</v>
      </c>
      <c r="K456" s="27"/>
    </row>
    <row r="457" customFormat="false" ht="15" hidden="true" customHeight="false" outlineLevel="1" collapsed="false">
      <c r="F457" s="27" t="s">
        <v>1530</v>
      </c>
      <c r="G457" s="27" t="s">
        <v>1527</v>
      </c>
      <c r="H457" s="27" t="s">
        <v>1531</v>
      </c>
      <c r="I457" s="32" t="n">
        <v>19.2283292862693</v>
      </c>
      <c r="J457" s="28" t="n">
        <v>4150.85079354492</v>
      </c>
      <c r="K457" s="27"/>
    </row>
    <row r="458" customFormat="false" ht="15" hidden="true" customHeight="false" outlineLevel="1" collapsed="false">
      <c r="F458" s="27" t="s">
        <v>1532</v>
      </c>
      <c r="G458" s="27" t="s">
        <v>1527</v>
      </c>
      <c r="H458" s="27" t="s">
        <v>1533</v>
      </c>
      <c r="I458" s="32" t="n">
        <v>85.5591691222867</v>
      </c>
      <c r="J458" s="28" t="n">
        <v>4217.18163338094</v>
      </c>
      <c r="K458" s="27"/>
    </row>
    <row r="459" customFormat="false" ht="15" hidden="true" customHeight="false" outlineLevel="1" collapsed="false">
      <c r="F459" s="27" t="s">
        <v>1534</v>
      </c>
      <c r="G459" s="27" t="s">
        <v>1533</v>
      </c>
      <c r="H459" s="27" t="s">
        <v>1535</v>
      </c>
      <c r="I459" s="32" t="n">
        <v>50.3984777824347</v>
      </c>
      <c r="J459" s="28" t="n">
        <v>4267.58011116338</v>
      </c>
      <c r="K459" s="27"/>
    </row>
    <row r="460" customFormat="false" ht="15" hidden="true" customHeight="false" outlineLevel="1" collapsed="false">
      <c r="F460" s="27" t="s">
        <v>1536</v>
      </c>
      <c r="G460" s="27" t="s">
        <v>1525</v>
      </c>
      <c r="H460" s="27" t="s">
        <v>1537</v>
      </c>
      <c r="I460" s="32" t="n">
        <v>21.2006361543284</v>
      </c>
      <c r="J460" s="28" t="n">
        <v>4032.68530186562</v>
      </c>
      <c r="K460" s="27"/>
    </row>
    <row r="461" customFormat="false" ht="15" hidden="true" customHeight="false" outlineLevel="1" collapsed="false">
      <c r="F461" s="27" t="s">
        <v>1538</v>
      </c>
      <c r="G461" s="27" t="s">
        <v>1525</v>
      </c>
      <c r="H461" s="27" t="s">
        <v>1539</v>
      </c>
      <c r="I461" s="32" t="n">
        <v>72.7607259532869</v>
      </c>
      <c r="J461" s="28" t="n">
        <v>4084.24539166457</v>
      </c>
      <c r="K461" s="27"/>
    </row>
    <row r="462" customFormat="false" ht="15" hidden="true" customHeight="false" outlineLevel="1" collapsed="false">
      <c r="F462" s="27" t="s">
        <v>1540</v>
      </c>
      <c r="G462" s="27" t="s">
        <v>1539</v>
      </c>
      <c r="H462" s="27" t="s">
        <v>1541</v>
      </c>
      <c r="I462" s="32" t="n">
        <v>45.7226202211167</v>
      </c>
      <c r="J462" s="28" t="n">
        <v>4129.96801188569</v>
      </c>
      <c r="K462" s="27"/>
    </row>
    <row r="463" customFormat="false" ht="15" hidden="true" customHeight="false" outlineLevel="1" collapsed="false">
      <c r="F463" s="27" t="s">
        <v>1542</v>
      </c>
      <c r="G463" s="27" t="s">
        <v>1541</v>
      </c>
      <c r="H463" s="27" t="s">
        <v>1543</v>
      </c>
      <c r="I463" s="32" t="n">
        <v>105.188507905734</v>
      </c>
      <c r="J463" s="28" t="n">
        <v>4235.15651979142</v>
      </c>
      <c r="K463" s="27"/>
    </row>
    <row r="464" customFormat="false" ht="15" hidden="true" customHeight="false" outlineLevel="1" collapsed="false">
      <c r="F464" s="27" t="s">
        <v>1544</v>
      </c>
      <c r="G464" s="27" t="s">
        <v>1543</v>
      </c>
      <c r="H464" s="27" t="s">
        <v>1545</v>
      </c>
      <c r="I464" s="32" t="n">
        <v>25.9932056251869</v>
      </c>
      <c r="J464" s="28" t="n">
        <v>4261.14972541661</v>
      </c>
      <c r="K464" s="27"/>
    </row>
    <row r="465" customFormat="false" ht="15" hidden="true" customHeight="false" outlineLevel="1" collapsed="false">
      <c r="F465" s="27" t="s">
        <v>1546</v>
      </c>
      <c r="G465" s="27" t="s">
        <v>1543</v>
      </c>
      <c r="H465" s="27" t="s">
        <v>1547</v>
      </c>
      <c r="I465" s="32" t="n">
        <v>0.676228123583476</v>
      </c>
      <c r="J465" s="28" t="n">
        <v>4235.83274791501</v>
      </c>
      <c r="K465" s="27"/>
    </row>
    <row r="466" customFormat="false" ht="15" hidden="true" customHeight="false" outlineLevel="1" collapsed="false">
      <c r="F466" s="27" t="s">
        <v>1548</v>
      </c>
      <c r="G466" s="27" t="s">
        <v>1443</v>
      </c>
      <c r="H466" s="27" t="s">
        <v>1549</v>
      </c>
      <c r="I466" s="32" t="n">
        <v>15.7531266798728</v>
      </c>
      <c r="J466" s="28" t="n">
        <v>3258.8609389103</v>
      </c>
      <c r="K466" s="27"/>
    </row>
    <row r="467" customFormat="false" ht="15" hidden="true" customHeight="false" outlineLevel="1" collapsed="false">
      <c r="F467" s="27" t="s">
        <v>1550</v>
      </c>
      <c r="G467" s="27" t="s">
        <v>1549</v>
      </c>
      <c r="H467" s="27" t="s">
        <v>1551</v>
      </c>
      <c r="I467" s="32" t="n">
        <v>3.45060978457824</v>
      </c>
      <c r="J467" s="28" t="n">
        <v>3262.31154869488</v>
      </c>
      <c r="K467" s="27" t="s">
        <v>1552</v>
      </c>
    </row>
    <row r="468" customFormat="false" ht="15" hidden="true" customHeight="false" outlineLevel="1" collapsed="false">
      <c r="F468" s="27" t="s">
        <v>1553</v>
      </c>
      <c r="G468" s="27" t="s">
        <v>1551</v>
      </c>
      <c r="H468" s="27" t="s">
        <v>1554</v>
      </c>
      <c r="I468" s="32" t="n">
        <v>132.032083367581</v>
      </c>
      <c r="J468" s="28" t="n">
        <v>3394.34363206246</v>
      </c>
      <c r="K468" s="27"/>
    </row>
    <row r="469" customFormat="false" ht="15" hidden="true" customHeight="false" outlineLevel="1" collapsed="false">
      <c r="F469" s="27" t="s">
        <v>1555</v>
      </c>
      <c r="G469" s="27" t="s">
        <v>1554</v>
      </c>
      <c r="H469" s="27" t="s">
        <v>1556</v>
      </c>
      <c r="I469" s="32" t="n">
        <v>35.1730508100063</v>
      </c>
      <c r="J469" s="28" t="n">
        <v>3429.51668287247</v>
      </c>
      <c r="K469" s="27"/>
    </row>
    <row r="470" customFormat="false" ht="15" hidden="true" customHeight="false" outlineLevel="1" collapsed="false">
      <c r="F470" s="27" t="s">
        <v>1557</v>
      </c>
      <c r="G470" s="27" t="s">
        <v>1554</v>
      </c>
      <c r="H470" s="27" t="s">
        <v>1558</v>
      </c>
      <c r="I470" s="32" t="n">
        <v>25.0170640908781</v>
      </c>
      <c r="J470" s="28" t="n">
        <v>3419.36069615334</v>
      </c>
      <c r="K470" s="27"/>
    </row>
    <row r="471" customFormat="false" ht="15" hidden="true" customHeight="false" outlineLevel="1" collapsed="false">
      <c r="F471" s="27" t="s">
        <v>1559</v>
      </c>
      <c r="G471" s="27" t="s">
        <v>1558</v>
      </c>
      <c r="H471" s="27" t="s">
        <v>1560</v>
      </c>
      <c r="I471" s="32" t="n">
        <v>3.29242761801587</v>
      </c>
      <c r="J471" s="28" t="n">
        <v>3422.65312377136</v>
      </c>
      <c r="K471" s="27"/>
    </row>
    <row r="472" customFormat="false" ht="15" hidden="true" customHeight="false" outlineLevel="1" collapsed="false">
      <c r="F472" s="27" t="s">
        <v>1561</v>
      </c>
      <c r="G472" s="27" t="s">
        <v>1443</v>
      </c>
      <c r="H472" s="27" t="s">
        <v>1562</v>
      </c>
      <c r="I472" s="32" t="n">
        <v>26.3103529877237</v>
      </c>
      <c r="J472" s="28" t="n">
        <v>3269.41816521815</v>
      </c>
      <c r="K472" s="27"/>
    </row>
    <row r="473" customFormat="false" ht="15" hidden="true" customHeight="false" outlineLevel="1" collapsed="false">
      <c r="F473" s="27" t="s">
        <v>1563</v>
      </c>
      <c r="G473" s="27" t="s">
        <v>1437</v>
      </c>
      <c r="H473" s="27" t="s">
        <v>1564</v>
      </c>
      <c r="I473" s="32" t="n">
        <v>34.4909387857465</v>
      </c>
      <c r="J473" s="28" t="n">
        <v>3121.34010570986</v>
      </c>
      <c r="K473" s="27"/>
    </row>
    <row r="474" customFormat="false" ht="15" hidden="true" customHeight="false" outlineLevel="1" collapsed="false">
      <c r="F474" s="27" t="s">
        <v>1565</v>
      </c>
      <c r="G474" s="27" t="s">
        <v>1435</v>
      </c>
      <c r="H474" s="27" t="s">
        <v>1566</v>
      </c>
      <c r="I474" s="32" t="n">
        <v>15.2981980377333</v>
      </c>
      <c r="J474" s="28" t="n">
        <v>3063.96325571157</v>
      </c>
      <c r="K474" s="27"/>
    </row>
    <row r="475" customFormat="false" ht="15" hidden="true" customHeight="false" outlineLevel="1" collapsed="false">
      <c r="F475" s="27" t="s">
        <v>1567</v>
      </c>
      <c r="G475" s="27" t="s">
        <v>1566</v>
      </c>
      <c r="H475" s="27" t="s">
        <v>1568</v>
      </c>
      <c r="I475" s="32" t="n">
        <v>3.61925718794551</v>
      </c>
      <c r="J475" s="28" t="n">
        <v>3067.58251289951</v>
      </c>
      <c r="K475" s="27"/>
    </row>
    <row r="476" customFormat="false" ht="15" hidden="true" customHeight="false" outlineLevel="1" collapsed="false">
      <c r="F476" s="27" t="s">
        <v>1569</v>
      </c>
      <c r="G476" s="27" t="s">
        <v>1568</v>
      </c>
      <c r="H476" s="27" t="s">
        <v>1570</v>
      </c>
      <c r="I476" s="32" t="n">
        <v>9.67961766206481</v>
      </c>
      <c r="J476" s="28" t="n">
        <v>3077.26213056158</v>
      </c>
      <c r="K476" s="27"/>
    </row>
    <row r="477" customFormat="false" ht="15" hidden="true" customHeight="false" outlineLevel="1" collapsed="false">
      <c r="F477" s="27" t="s">
        <v>1571</v>
      </c>
      <c r="G477" s="27" t="s">
        <v>1435</v>
      </c>
      <c r="H477" s="27" t="s">
        <v>1572</v>
      </c>
      <c r="I477" s="32" t="n">
        <v>15.7180443990306</v>
      </c>
      <c r="J477" s="28" t="n">
        <v>3064.38310207286</v>
      </c>
      <c r="K477" s="27"/>
    </row>
    <row r="478" customFormat="false" ht="15" hidden="true" customHeight="false" outlineLevel="1" collapsed="false">
      <c r="F478" s="27" t="s">
        <v>1573</v>
      </c>
      <c r="G478" s="27" t="s">
        <v>1243</v>
      </c>
      <c r="H478" s="27" t="s">
        <v>1574</v>
      </c>
      <c r="I478" s="32" t="n">
        <v>7.00651122654419</v>
      </c>
      <c r="J478" s="28" t="n">
        <v>2543.87800178852</v>
      </c>
      <c r="K478" s="27"/>
    </row>
    <row r="479" customFormat="false" ht="15" hidden="true" customHeight="false" outlineLevel="1" collapsed="false">
      <c r="F479" s="27" t="s">
        <v>1575</v>
      </c>
      <c r="G479" s="27" t="s">
        <v>1241</v>
      </c>
      <c r="H479" s="27" t="s">
        <v>1576</v>
      </c>
      <c r="I479" s="32" t="n">
        <v>4.47276096543768</v>
      </c>
      <c r="J479" s="28" t="n">
        <v>2492.10972649283</v>
      </c>
      <c r="K479" s="27"/>
    </row>
    <row r="480" customFormat="false" ht="15" hidden="false" customHeight="false" outlineLevel="0" collapsed="true">
      <c r="A480" s="35" t="n">
        <v>17</v>
      </c>
      <c r="B480" s="35" t="s">
        <v>24</v>
      </c>
      <c r="C480" s="35" t="s">
        <v>303</v>
      </c>
      <c r="D480" s="35" t="s">
        <v>461</v>
      </c>
      <c r="E480" s="35" t="s">
        <v>79</v>
      </c>
      <c r="F480" s="35" t="str">
        <f aca="false">COUNTIFS(Trechos!$L$2:$L$838,A480)&amp;" vãos"</f>
        <v>13 vãos</v>
      </c>
      <c r="G480" s="35"/>
      <c r="H480" s="35"/>
      <c r="I480" s="36" t="n">
        <f aca="false">SUMIFS(Trechos!$F$2:$F$838,Trechos!$L$2:$L$838,A480)</f>
        <v>1089.05853291961</v>
      </c>
      <c r="J480" s="35"/>
      <c r="K480" s="35"/>
      <c r="L480" s="35" t="s">
        <v>80</v>
      </c>
      <c r="M480" s="35" t="s">
        <v>54</v>
      </c>
      <c r="N480" s="35" t="str">
        <f aca="false">Blocos!BT18</f>
        <v>3302865004, 3300065004, 0320309004, 0310307004, 0303851004, 0310306004, 0303865004, 0342709004, 0303866004, 0303867004, 0302309004, 0300064004, 0320308004, 0301840004, 0303850004, 0320305004, 0346260004</v>
      </c>
    </row>
    <row r="481" customFormat="false" ht="15" hidden="true" customHeight="false" outlineLevel="1" collapsed="false">
      <c r="F481" s="27" t="s">
        <v>1577</v>
      </c>
      <c r="G481" s="27" t="s">
        <v>1314</v>
      </c>
      <c r="H481" s="27" t="s">
        <v>1578</v>
      </c>
      <c r="I481" s="32" t="n">
        <v>103.770061530563</v>
      </c>
      <c r="J481" s="28" t="n">
        <v>103.770061530562</v>
      </c>
      <c r="K481" s="27"/>
    </row>
    <row r="482" customFormat="false" ht="15" hidden="true" customHeight="false" outlineLevel="1" collapsed="false">
      <c r="F482" s="27" t="s">
        <v>1579</v>
      </c>
      <c r="G482" s="27" t="s">
        <v>1578</v>
      </c>
      <c r="H482" s="27" t="s">
        <v>1580</v>
      </c>
      <c r="I482" s="32" t="n">
        <v>138.480663749315</v>
      </c>
      <c r="J482" s="28" t="n">
        <v>242.250725279877</v>
      </c>
      <c r="K482" s="27"/>
    </row>
    <row r="483" customFormat="false" ht="15" hidden="true" customHeight="false" outlineLevel="1" collapsed="false">
      <c r="F483" s="27" t="s">
        <v>1581</v>
      </c>
      <c r="G483" s="27" t="s">
        <v>1580</v>
      </c>
      <c r="H483" s="27" t="s">
        <v>1582</v>
      </c>
      <c r="I483" s="32" t="n">
        <v>3.93073683289801</v>
      </c>
      <c r="J483" s="28" t="n">
        <v>246.181462112775</v>
      </c>
      <c r="K483" s="27"/>
    </row>
    <row r="484" customFormat="false" ht="15" hidden="true" customHeight="false" outlineLevel="1" collapsed="false">
      <c r="F484" s="27" t="s">
        <v>1583</v>
      </c>
      <c r="G484" s="27" t="s">
        <v>1580</v>
      </c>
      <c r="H484" s="27" t="s">
        <v>1584</v>
      </c>
      <c r="I484" s="32" t="n">
        <v>223.051605580443</v>
      </c>
      <c r="J484" s="28" t="n">
        <v>465.30233086032</v>
      </c>
      <c r="K484" s="27"/>
    </row>
    <row r="485" customFormat="false" ht="15" hidden="true" customHeight="false" outlineLevel="1" collapsed="false">
      <c r="F485" s="27" t="s">
        <v>1585</v>
      </c>
      <c r="G485" s="27" t="s">
        <v>1584</v>
      </c>
      <c r="H485" s="27" t="s">
        <v>1586</v>
      </c>
      <c r="I485" s="32" t="n">
        <v>450.103076029033</v>
      </c>
      <c r="J485" s="28" t="n">
        <v>915.405406889353</v>
      </c>
      <c r="K485" s="27"/>
    </row>
    <row r="486" customFormat="false" ht="15" hidden="true" customHeight="false" outlineLevel="1" collapsed="false">
      <c r="F486" s="27" t="s">
        <v>1587</v>
      </c>
      <c r="G486" s="27" t="s">
        <v>1586</v>
      </c>
      <c r="H486" s="27" t="s">
        <v>1588</v>
      </c>
      <c r="I486" s="32" t="n">
        <v>20.4065455604285</v>
      </c>
      <c r="J486" s="28" t="n">
        <v>935.811952449782</v>
      </c>
      <c r="K486" s="27"/>
    </row>
    <row r="487" customFormat="false" ht="15" hidden="true" customHeight="false" outlineLevel="1" collapsed="false">
      <c r="F487" s="27" t="s">
        <v>1589</v>
      </c>
      <c r="G487" s="27" t="s">
        <v>1586</v>
      </c>
      <c r="H487" s="27" t="s">
        <v>1590</v>
      </c>
      <c r="I487" s="32" t="n">
        <v>4.45326523178018</v>
      </c>
      <c r="J487" s="28" t="n">
        <v>919.858672121133</v>
      </c>
      <c r="K487" s="27"/>
    </row>
    <row r="488" customFormat="false" ht="15" hidden="true" customHeight="false" outlineLevel="1" collapsed="false">
      <c r="F488" s="27" t="s">
        <v>1591</v>
      </c>
      <c r="G488" s="27" t="s">
        <v>1590</v>
      </c>
      <c r="H488" s="27" t="s">
        <v>1592</v>
      </c>
      <c r="I488" s="32" t="n">
        <v>10.0566665671299</v>
      </c>
      <c r="J488" s="28" t="n">
        <v>929.915338688263</v>
      </c>
      <c r="K488" s="27"/>
    </row>
    <row r="489" customFormat="false" ht="15" hidden="true" customHeight="false" outlineLevel="1" collapsed="false">
      <c r="F489" s="27" t="s">
        <v>1593</v>
      </c>
      <c r="G489" s="27" t="s">
        <v>1586</v>
      </c>
      <c r="H489" s="27" t="s">
        <v>1594</v>
      </c>
      <c r="I489" s="32" t="n">
        <v>70.7138093593791</v>
      </c>
      <c r="J489" s="28" t="n">
        <v>986.119216248732</v>
      </c>
      <c r="K489" s="27"/>
    </row>
    <row r="490" customFormat="false" ht="15" hidden="true" customHeight="false" outlineLevel="1" collapsed="false">
      <c r="F490" s="27" t="s">
        <v>1595</v>
      </c>
      <c r="G490" s="27" t="s">
        <v>1594</v>
      </c>
      <c r="H490" s="27" t="s">
        <v>1596</v>
      </c>
      <c r="I490" s="32" t="n">
        <v>47.3895668827574</v>
      </c>
      <c r="J490" s="28" t="n">
        <v>1033.50878313149</v>
      </c>
      <c r="K490" s="27"/>
    </row>
    <row r="491" customFormat="false" ht="15" hidden="true" customHeight="false" outlineLevel="1" collapsed="false">
      <c r="F491" s="27" t="s">
        <v>1597</v>
      </c>
      <c r="G491" s="27" t="s">
        <v>1584</v>
      </c>
      <c r="H491" s="27" t="s">
        <v>1598</v>
      </c>
      <c r="I491" s="32" t="n">
        <v>2.98045025432761</v>
      </c>
      <c r="J491" s="28" t="n">
        <v>468.282781114647</v>
      </c>
      <c r="K491" s="27"/>
    </row>
    <row r="492" customFormat="false" ht="15" hidden="true" customHeight="false" outlineLevel="1" collapsed="false">
      <c r="F492" s="27" t="s">
        <v>1599</v>
      </c>
      <c r="G492" s="27" t="s">
        <v>1580</v>
      </c>
      <c r="H492" s="27" t="s">
        <v>1600</v>
      </c>
      <c r="I492" s="32" t="n">
        <v>13.252197429845</v>
      </c>
      <c r="J492" s="28" t="n">
        <v>255.502922709722</v>
      </c>
      <c r="K492" s="27"/>
    </row>
    <row r="493" customFormat="false" ht="15" hidden="true" customHeight="false" outlineLevel="1" collapsed="false">
      <c r="F493" s="27" t="s">
        <v>1601</v>
      </c>
      <c r="G493" s="27" t="s">
        <v>1578</v>
      </c>
      <c r="H493" s="27" t="s">
        <v>1602</v>
      </c>
      <c r="I493" s="32" t="n">
        <v>0.469887911715338</v>
      </c>
      <c r="J493" s="28" t="n">
        <v>104.239949442277</v>
      </c>
      <c r="K493" s="27"/>
    </row>
    <row r="494" customFormat="false" ht="15" hidden="false" customHeight="false" outlineLevel="0" collapsed="true">
      <c r="A494" s="35" t="n">
        <v>18</v>
      </c>
      <c r="B494" s="35" t="s">
        <v>24</v>
      </c>
      <c r="C494" s="35" t="s">
        <v>303</v>
      </c>
      <c r="D494" s="35" t="s">
        <v>461</v>
      </c>
      <c r="E494" s="35" t="s">
        <v>81</v>
      </c>
      <c r="F494" s="35" t="str">
        <f aca="false">COUNTIFS(Trechos!$L$2:$L$838,A494)&amp;" vãos"</f>
        <v>12 vãos</v>
      </c>
      <c r="G494" s="35"/>
      <c r="H494" s="35"/>
      <c r="I494" s="36" t="n">
        <f aca="false">SUMIFS(Trechos!$F$2:$F$838,Trechos!$L$2:$L$838,A494)</f>
        <v>1422.78854058268</v>
      </c>
      <c r="J494" s="35"/>
      <c r="K494" s="35"/>
      <c r="L494" s="35" t="s">
        <v>82</v>
      </c>
      <c r="M494" s="35" t="s">
        <v>54</v>
      </c>
      <c r="N494" s="35" t="str">
        <f aca="false">Blocos!BT19</f>
        <v>3300065004, 0320309004, 0310307004, 0303851004, 0310306004, 0303865004, 0342709004, 0303866004, 0303867004, 0302309004, 0300064004, 0320308004, 0301840004</v>
      </c>
    </row>
    <row r="495" customFormat="false" ht="15" hidden="true" customHeight="false" outlineLevel="1" collapsed="false">
      <c r="F495" s="27" t="s">
        <v>1603</v>
      </c>
      <c r="G495" s="27" t="s">
        <v>1592</v>
      </c>
      <c r="H495" s="27" t="s">
        <v>1604</v>
      </c>
      <c r="I495" s="32" t="n">
        <v>315.994317322758</v>
      </c>
      <c r="J495" s="28" t="n">
        <v>315.994317322758</v>
      </c>
      <c r="K495" s="27"/>
    </row>
    <row r="496" customFormat="false" ht="15" hidden="true" customHeight="false" outlineLevel="1" collapsed="false">
      <c r="F496" s="27" t="s">
        <v>1605</v>
      </c>
      <c r="G496" s="27" t="s">
        <v>1604</v>
      </c>
      <c r="H496" s="27" t="s">
        <v>1606</v>
      </c>
      <c r="I496" s="32" t="n">
        <v>3.06513971936592</v>
      </c>
      <c r="J496" s="28" t="n">
        <v>319.059457042124</v>
      </c>
      <c r="K496" s="27"/>
    </row>
    <row r="497" customFormat="false" ht="15" hidden="true" customHeight="false" outlineLevel="1" collapsed="false">
      <c r="F497" s="27" t="s">
        <v>1607</v>
      </c>
      <c r="G497" s="27" t="s">
        <v>1606</v>
      </c>
      <c r="H497" s="27" t="s">
        <v>1608</v>
      </c>
      <c r="I497" s="32" t="n">
        <v>499.576321789972</v>
      </c>
      <c r="J497" s="28" t="n">
        <v>818.635778832096</v>
      </c>
      <c r="K497" s="27"/>
    </row>
    <row r="498" customFormat="false" ht="15" hidden="true" customHeight="false" outlineLevel="1" collapsed="false">
      <c r="F498" s="27" t="s">
        <v>1609</v>
      </c>
      <c r="G498" s="27" t="s">
        <v>1608</v>
      </c>
      <c r="H498" s="27" t="s">
        <v>1610</v>
      </c>
      <c r="I498" s="32" t="n">
        <v>441.233006623099</v>
      </c>
      <c r="J498" s="28" t="n">
        <v>1259.86878545519</v>
      </c>
      <c r="K498" s="27"/>
    </row>
    <row r="499" customFormat="false" ht="15" hidden="true" customHeight="false" outlineLevel="1" collapsed="false">
      <c r="F499" s="27" t="s">
        <v>1611</v>
      </c>
      <c r="G499" s="27" t="s">
        <v>1610</v>
      </c>
      <c r="H499" s="27" t="s">
        <v>1612</v>
      </c>
      <c r="I499" s="32" t="n">
        <v>100.64635137308</v>
      </c>
      <c r="J499" s="28" t="n">
        <v>1360.51513682828</v>
      </c>
      <c r="K499" s="27"/>
    </row>
    <row r="500" customFormat="false" ht="15" hidden="true" customHeight="false" outlineLevel="1" collapsed="false">
      <c r="F500" s="27" t="s">
        <v>1613</v>
      </c>
      <c r="G500" s="27" t="s">
        <v>1612</v>
      </c>
      <c r="H500" s="27" t="s">
        <v>1614</v>
      </c>
      <c r="I500" s="32" t="n">
        <v>2.52254102348848</v>
      </c>
      <c r="J500" s="28" t="n">
        <v>1363.03767785176</v>
      </c>
      <c r="K500" s="27"/>
    </row>
    <row r="501" customFormat="false" ht="15" hidden="true" customHeight="false" outlineLevel="1" collapsed="false">
      <c r="F501" s="27" t="s">
        <v>1615</v>
      </c>
      <c r="G501" s="27" t="s">
        <v>1614</v>
      </c>
      <c r="H501" s="27" t="s">
        <v>1616</v>
      </c>
      <c r="I501" s="32" t="n">
        <v>24.0521560976927</v>
      </c>
      <c r="J501" s="28" t="n">
        <v>1387.08983394946</v>
      </c>
      <c r="K501" s="27"/>
    </row>
    <row r="502" customFormat="false" ht="15" hidden="true" customHeight="false" outlineLevel="1" collapsed="false">
      <c r="F502" s="27" t="s">
        <v>1617</v>
      </c>
      <c r="G502" s="27" t="s">
        <v>1616</v>
      </c>
      <c r="H502" s="27" t="s">
        <v>1618</v>
      </c>
      <c r="I502" s="32" t="n">
        <v>13.338521920646</v>
      </c>
      <c r="J502" s="28" t="n">
        <v>1400.4283558701</v>
      </c>
      <c r="K502" s="27"/>
    </row>
    <row r="503" customFormat="false" ht="15" hidden="true" customHeight="false" outlineLevel="1" collapsed="false">
      <c r="F503" s="27" t="s">
        <v>1619</v>
      </c>
      <c r="G503" s="27" t="s">
        <v>1612</v>
      </c>
      <c r="H503" s="27" t="s">
        <v>1620</v>
      </c>
      <c r="I503" s="32" t="n">
        <v>1.69158118526993</v>
      </c>
      <c r="J503" s="28" t="n">
        <v>1362.20671801355</v>
      </c>
      <c r="K503" s="27"/>
    </row>
    <row r="504" customFormat="false" ht="15" hidden="true" customHeight="false" outlineLevel="1" collapsed="false">
      <c r="F504" s="27" t="s">
        <v>1621</v>
      </c>
      <c r="G504" s="27" t="s">
        <v>1620</v>
      </c>
      <c r="H504" s="27" t="s">
        <v>1622</v>
      </c>
      <c r="I504" s="32" t="n">
        <v>3.46444657589393</v>
      </c>
      <c r="J504" s="28" t="n">
        <v>1365.67116458944</v>
      </c>
      <c r="K504" s="27"/>
    </row>
    <row r="505" customFormat="false" ht="15" hidden="true" customHeight="false" outlineLevel="1" collapsed="false">
      <c r="F505" s="27" t="s">
        <v>1623</v>
      </c>
      <c r="G505" s="27" t="s">
        <v>1610</v>
      </c>
      <c r="H505" s="27" t="s">
        <v>1624</v>
      </c>
      <c r="I505" s="32" t="n">
        <v>6.79375718136633</v>
      </c>
      <c r="J505" s="28" t="n">
        <v>1266.66254263656</v>
      </c>
      <c r="K505" s="27"/>
    </row>
    <row r="506" customFormat="false" ht="15" hidden="true" customHeight="false" outlineLevel="1" collapsed="false">
      <c r="F506" s="27" t="s">
        <v>1625</v>
      </c>
      <c r="G506" s="27" t="s">
        <v>1608</v>
      </c>
      <c r="H506" s="27" t="s">
        <v>1626</v>
      </c>
      <c r="I506" s="32" t="n">
        <v>10.410399770049</v>
      </c>
      <c r="J506" s="28" t="n">
        <v>829.046178602145</v>
      </c>
      <c r="K506" s="27"/>
    </row>
    <row r="507" customFormat="false" ht="15" hidden="false" customHeight="false" outlineLevel="0" collapsed="true">
      <c r="A507" s="35" t="n">
        <v>19</v>
      </c>
      <c r="B507" s="35" t="s">
        <v>24</v>
      </c>
      <c r="C507" s="35" t="s">
        <v>303</v>
      </c>
      <c r="D507" s="35" t="s">
        <v>461</v>
      </c>
      <c r="E507" s="35" t="s">
        <v>83</v>
      </c>
      <c r="F507" s="35" t="str">
        <f aca="false">COUNTIFS(Trechos!$L$2:$L$838,A507)&amp;" vãos"</f>
        <v>5 vãos</v>
      </c>
      <c r="G507" s="35"/>
      <c r="H507" s="35"/>
      <c r="I507" s="36" t="n">
        <f aca="false">SUMIFS(Trechos!$F$2:$F$838,Trechos!$L$2:$L$838,A507)</f>
        <v>300.018250853091</v>
      </c>
      <c r="J507" s="35"/>
      <c r="K507" s="35"/>
      <c r="L507" s="35" t="s">
        <v>84</v>
      </c>
      <c r="M507" s="35" t="s">
        <v>54</v>
      </c>
      <c r="N507" s="35" t="str">
        <f aca="false">Blocos!BT20</f>
        <v>0320309004, 0310307004, 0303851004, 0310306004, 0303865004, 0342709004, 0303866004, 0303867004, 0302309004</v>
      </c>
    </row>
    <row r="508" customFormat="false" ht="15" hidden="true" customHeight="false" outlineLevel="1" collapsed="false">
      <c r="F508" s="27" t="s">
        <v>1627</v>
      </c>
      <c r="G508" s="27" t="s">
        <v>1618</v>
      </c>
      <c r="H508" s="27" t="s">
        <v>1628</v>
      </c>
      <c r="I508" s="32" t="n">
        <v>119.610489115734</v>
      </c>
      <c r="J508" s="28" t="n">
        <v>119.610489115734</v>
      </c>
      <c r="K508" s="27"/>
    </row>
    <row r="509" customFormat="false" ht="15" hidden="true" customHeight="false" outlineLevel="1" collapsed="false">
      <c r="F509" s="27" t="s">
        <v>1629</v>
      </c>
      <c r="G509" s="27" t="s">
        <v>1628</v>
      </c>
      <c r="H509" s="27" t="s">
        <v>1630</v>
      </c>
      <c r="I509" s="32" t="n">
        <v>1.83798678121092</v>
      </c>
      <c r="J509" s="28" t="n">
        <v>121.448475896945</v>
      </c>
      <c r="K509" s="27"/>
    </row>
    <row r="510" customFormat="false" ht="15" hidden="true" customHeight="false" outlineLevel="1" collapsed="false">
      <c r="F510" s="27" t="s">
        <v>1631</v>
      </c>
      <c r="G510" s="27" t="s">
        <v>1630</v>
      </c>
      <c r="H510" s="27" t="s">
        <v>1632</v>
      </c>
      <c r="I510" s="32" t="n">
        <v>22.8469625700488</v>
      </c>
      <c r="J510" s="28" t="n">
        <v>144.295438466994</v>
      </c>
      <c r="K510" s="27"/>
    </row>
    <row r="511" customFormat="false" ht="15" hidden="true" customHeight="false" outlineLevel="1" collapsed="false">
      <c r="F511" s="27" t="s">
        <v>1633</v>
      </c>
      <c r="G511" s="27" t="s">
        <v>1632</v>
      </c>
      <c r="H511" s="27" t="s">
        <v>1634</v>
      </c>
      <c r="I511" s="32" t="n">
        <v>14.894644796194</v>
      </c>
      <c r="J511" s="28" t="n">
        <v>159.190083263188</v>
      </c>
      <c r="K511" s="27"/>
    </row>
    <row r="512" customFormat="false" ht="15" hidden="true" customHeight="false" outlineLevel="1" collapsed="false">
      <c r="F512" s="27" t="s">
        <v>1635</v>
      </c>
      <c r="G512" s="27" t="s">
        <v>1628</v>
      </c>
      <c r="H512" s="27" t="s">
        <v>1636</v>
      </c>
      <c r="I512" s="32" t="n">
        <v>140.828167589904</v>
      </c>
      <c r="J512" s="28" t="n">
        <v>260.438656705637</v>
      </c>
      <c r="K512" s="27"/>
    </row>
    <row r="513" customFormat="false" ht="15" hidden="false" customHeight="false" outlineLevel="0" collapsed="true">
      <c r="A513" s="35" t="n">
        <v>20</v>
      </c>
      <c r="B513" s="35" t="s">
        <v>24</v>
      </c>
      <c r="C513" s="35" t="s">
        <v>303</v>
      </c>
      <c r="D513" s="35" t="s">
        <v>461</v>
      </c>
      <c r="E513" s="35" t="s">
        <v>85</v>
      </c>
      <c r="F513" s="35" t="str">
        <f aca="false">COUNTIFS(Trechos!$L$2:$L$838,A513)&amp;" vãos"</f>
        <v>31 vãos</v>
      </c>
      <c r="G513" s="35"/>
      <c r="H513" s="35"/>
      <c r="I513" s="36" t="n">
        <f aca="false">SUMIFS(Trechos!$F$2:$F$838,Trechos!$L$2:$L$838,A513)</f>
        <v>3388.76749524746</v>
      </c>
      <c r="J513" s="35"/>
      <c r="K513" s="35"/>
      <c r="L513" s="35" t="s">
        <v>86</v>
      </c>
      <c r="M513" s="35" t="s">
        <v>54</v>
      </c>
      <c r="N513" s="35" t="str">
        <f aca="false">Blocos!BT21</f>
        <v>0310307004, 0303851004, 0310306004, 0303865004, 0342709004, 0303866004, 0303867004, 0302309004</v>
      </c>
    </row>
    <row r="514" customFormat="false" ht="15" hidden="true" customHeight="false" outlineLevel="1" collapsed="false">
      <c r="F514" s="27" t="s">
        <v>1637</v>
      </c>
      <c r="G514" s="27" t="s">
        <v>1634</v>
      </c>
      <c r="H514" s="27" t="s">
        <v>1638</v>
      </c>
      <c r="I514" s="32" t="n">
        <v>416.610383924797</v>
      </c>
      <c r="J514" s="28" t="n">
        <v>416.610383924797</v>
      </c>
      <c r="K514" s="27"/>
    </row>
    <row r="515" customFormat="false" ht="15" hidden="true" customHeight="false" outlineLevel="1" collapsed="false">
      <c r="F515" s="27" t="s">
        <v>1639</v>
      </c>
      <c r="G515" s="27" t="s">
        <v>1638</v>
      </c>
      <c r="H515" s="27" t="s">
        <v>1640</v>
      </c>
      <c r="I515" s="32" t="n">
        <v>28.2078751590338</v>
      </c>
      <c r="J515" s="28" t="n">
        <v>444.818259083831</v>
      </c>
      <c r="K515" s="27"/>
    </row>
    <row r="516" customFormat="false" ht="15" hidden="true" customHeight="false" outlineLevel="1" collapsed="false">
      <c r="F516" s="27" t="s">
        <v>1641</v>
      </c>
      <c r="G516" s="27" t="s">
        <v>1640</v>
      </c>
      <c r="H516" s="27" t="s">
        <v>1642</v>
      </c>
      <c r="I516" s="32" t="n">
        <v>3.65437278533774</v>
      </c>
      <c r="J516" s="28" t="n">
        <v>448.472631869168</v>
      </c>
      <c r="K516" s="27"/>
    </row>
    <row r="517" customFormat="false" ht="15" hidden="true" customHeight="false" outlineLevel="1" collapsed="false">
      <c r="F517" s="27" t="s">
        <v>1643</v>
      </c>
      <c r="G517" s="27" t="s">
        <v>1642</v>
      </c>
      <c r="H517" s="27" t="s">
        <v>1644</v>
      </c>
      <c r="I517" s="32" t="n">
        <v>652.192762097589</v>
      </c>
      <c r="J517" s="28" t="n">
        <v>1100.66539396676</v>
      </c>
      <c r="K517" s="27"/>
    </row>
    <row r="518" customFormat="false" ht="15" hidden="true" customHeight="false" outlineLevel="1" collapsed="false">
      <c r="F518" s="27" t="s">
        <v>1645</v>
      </c>
      <c r="G518" s="27" t="s">
        <v>1644</v>
      </c>
      <c r="H518" s="27" t="s">
        <v>1646</v>
      </c>
      <c r="I518" s="32" t="n">
        <v>1.57285855279127</v>
      </c>
      <c r="J518" s="28" t="n">
        <v>1102.23825251955</v>
      </c>
      <c r="K518" s="27"/>
    </row>
    <row r="519" customFormat="false" ht="15" hidden="true" customHeight="false" outlineLevel="1" collapsed="false">
      <c r="F519" s="27" t="s">
        <v>1647</v>
      </c>
      <c r="G519" s="27" t="s">
        <v>1646</v>
      </c>
      <c r="H519" s="27" t="s">
        <v>1648</v>
      </c>
      <c r="I519" s="32" t="n">
        <v>3.90586704031708</v>
      </c>
      <c r="J519" s="28" t="n">
        <v>1106.14411955987</v>
      </c>
      <c r="K519" s="27"/>
    </row>
    <row r="520" customFormat="false" ht="15" hidden="true" customHeight="false" outlineLevel="1" collapsed="false">
      <c r="F520" s="27" t="s">
        <v>1649</v>
      </c>
      <c r="G520" s="27" t="s">
        <v>1644</v>
      </c>
      <c r="H520" s="27" t="s">
        <v>1650</v>
      </c>
      <c r="I520" s="32" t="n">
        <v>3.3432264244528</v>
      </c>
      <c r="J520" s="28" t="n">
        <v>1104.00862039121</v>
      </c>
      <c r="K520" s="27"/>
    </row>
    <row r="521" customFormat="false" ht="15" hidden="true" customHeight="false" outlineLevel="1" collapsed="false">
      <c r="F521" s="27" t="s">
        <v>1651</v>
      </c>
      <c r="G521" s="27" t="s">
        <v>1650</v>
      </c>
      <c r="H521" s="27" t="s">
        <v>1652</v>
      </c>
      <c r="I521" s="32" t="n">
        <v>20.6043448991646</v>
      </c>
      <c r="J521" s="28" t="n">
        <v>1124.61296529038</v>
      </c>
      <c r="K521" s="27"/>
    </row>
    <row r="522" customFormat="false" ht="15" hidden="true" customHeight="false" outlineLevel="1" collapsed="false">
      <c r="F522" s="27" t="s">
        <v>1653</v>
      </c>
      <c r="G522" s="27" t="s">
        <v>1652</v>
      </c>
      <c r="H522" s="27" t="s">
        <v>1654</v>
      </c>
      <c r="I522" s="32" t="n">
        <v>12.6919145748965</v>
      </c>
      <c r="J522" s="28" t="n">
        <v>1137.30487986527</v>
      </c>
      <c r="K522" s="27"/>
    </row>
    <row r="523" customFormat="false" ht="15" hidden="true" customHeight="false" outlineLevel="1" collapsed="false">
      <c r="F523" s="27" t="s">
        <v>1655</v>
      </c>
      <c r="G523" s="27" t="s">
        <v>1640</v>
      </c>
      <c r="H523" s="27" t="s">
        <v>1656</v>
      </c>
      <c r="I523" s="32" t="n">
        <v>1.54832378973002</v>
      </c>
      <c r="J523" s="28" t="n">
        <v>446.36658287356</v>
      </c>
      <c r="K523" s="27"/>
    </row>
    <row r="524" customFormat="false" ht="15" hidden="true" customHeight="false" outlineLevel="1" collapsed="false">
      <c r="F524" s="27" t="s">
        <v>1657</v>
      </c>
      <c r="G524" s="27" t="s">
        <v>1656</v>
      </c>
      <c r="H524" s="27" t="s">
        <v>1658</v>
      </c>
      <c r="I524" s="32" t="n">
        <v>16.3179249853851</v>
      </c>
      <c r="J524" s="28" t="n">
        <v>462.684507858945</v>
      </c>
      <c r="K524" s="27"/>
    </row>
    <row r="525" customFormat="false" ht="15" hidden="true" customHeight="false" outlineLevel="1" collapsed="false">
      <c r="F525" s="27" t="s">
        <v>1659</v>
      </c>
      <c r="G525" s="27" t="s">
        <v>1638</v>
      </c>
      <c r="H525" s="27" t="s">
        <v>1660</v>
      </c>
      <c r="I525" s="32" t="n">
        <v>1.87525193861004</v>
      </c>
      <c r="J525" s="28" t="n">
        <v>418.485635863407</v>
      </c>
      <c r="K525" s="27"/>
    </row>
    <row r="526" customFormat="false" ht="15" hidden="true" customHeight="false" outlineLevel="1" collapsed="false">
      <c r="F526" s="27" t="s">
        <v>1661</v>
      </c>
      <c r="G526" s="27" t="s">
        <v>1660</v>
      </c>
      <c r="H526" s="27" t="s">
        <v>1662</v>
      </c>
      <c r="I526" s="32" t="n">
        <v>103.04588553051</v>
      </c>
      <c r="J526" s="28" t="n">
        <v>521.531521393917</v>
      </c>
      <c r="K526" s="27"/>
    </row>
    <row r="527" customFormat="false" ht="15" hidden="true" customHeight="false" outlineLevel="1" collapsed="false">
      <c r="F527" s="27" t="s">
        <v>1663</v>
      </c>
      <c r="G527" s="27" t="s">
        <v>1662</v>
      </c>
      <c r="H527" s="27" t="s">
        <v>1664</v>
      </c>
      <c r="I527" s="32" t="n">
        <v>598.650322216791</v>
      </c>
      <c r="J527" s="28" t="n">
        <v>1120.18184361071</v>
      </c>
      <c r="K527" s="27"/>
    </row>
    <row r="528" customFormat="false" ht="15" hidden="true" customHeight="false" outlineLevel="1" collapsed="false">
      <c r="F528" s="27" t="s">
        <v>1665</v>
      </c>
      <c r="G528" s="27" t="s">
        <v>1664</v>
      </c>
      <c r="H528" s="27" t="s">
        <v>1666</v>
      </c>
      <c r="I528" s="32" t="n">
        <v>2.02868172867159</v>
      </c>
      <c r="J528" s="28" t="n">
        <v>1122.21052533938</v>
      </c>
      <c r="K528" s="27"/>
    </row>
    <row r="529" customFormat="false" ht="15" hidden="true" customHeight="false" outlineLevel="1" collapsed="false">
      <c r="F529" s="27" t="s">
        <v>1667</v>
      </c>
      <c r="G529" s="27" t="s">
        <v>1666</v>
      </c>
      <c r="H529" s="27" t="s">
        <v>1668</v>
      </c>
      <c r="I529" s="32" t="n">
        <v>233.189742451623</v>
      </c>
      <c r="J529" s="28" t="n">
        <v>1355.400267791</v>
      </c>
      <c r="K529" s="27"/>
    </row>
    <row r="530" customFormat="false" ht="15" hidden="true" customHeight="false" outlineLevel="1" collapsed="false">
      <c r="F530" s="27" t="s">
        <v>1669</v>
      </c>
      <c r="G530" s="27" t="s">
        <v>1668</v>
      </c>
      <c r="H530" s="27" t="s">
        <v>1670</v>
      </c>
      <c r="I530" s="32" t="n">
        <v>201.244017683956</v>
      </c>
      <c r="J530" s="28" t="n">
        <v>1556.64428547496</v>
      </c>
      <c r="K530" s="27"/>
    </row>
    <row r="531" customFormat="false" ht="15" hidden="true" customHeight="false" outlineLevel="1" collapsed="false">
      <c r="F531" s="27" t="s">
        <v>1671</v>
      </c>
      <c r="G531" s="27" t="s">
        <v>1670</v>
      </c>
      <c r="H531" s="27" t="s">
        <v>1672</v>
      </c>
      <c r="I531" s="32" t="n">
        <v>3.71065254264066</v>
      </c>
      <c r="J531" s="28" t="n">
        <v>1560.3549380176</v>
      </c>
      <c r="K531" s="27"/>
    </row>
    <row r="532" customFormat="false" ht="15" hidden="true" customHeight="false" outlineLevel="1" collapsed="false">
      <c r="F532" s="27" t="s">
        <v>1673</v>
      </c>
      <c r="G532" s="27" t="s">
        <v>1672</v>
      </c>
      <c r="H532" s="27" t="s">
        <v>1674</v>
      </c>
      <c r="I532" s="32" t="n">
        <v>373.663098948559</v>
      </c>
      <c r="J532" s="28" t="n">
        <v>1934.01803696616</v>
      </c>
      <c r="K532" s="27"/>
    </row>
    <row r="533" customFormat="false" ht="15" hidden="true" customHeight="false" outlineLevel="1" collapsed="false">
      <c r="F533" s="27" t="s">
        <v>1675</v>
      </c>
      <c r="G533" s="27" t="s">
        <v>1674</v>
      </c>
      <c r="H533" s="27" t="s">
        <v>1676</v>
      </c>
      <c r="I533" s="32" t="n">
        <v>12.6504359807866</v>
      </c>
      <c r="J533" s="28" t="n">
        <v>1946.66847294694</v>
      </c>
      <c r="K533" s="27"/>
    </row>
    <row r="534" customFormat="false" ht="15" hidden="true" customHeight="false" outlineLevel="1" collapsed="false">
      <c r="F534" s="27" t="s">
        <v>1677</v>
      </c>
      <c r="G534" s="27" t="s">
        <v>1668</v>
      </c>
      <c r="H534" s="27" t="s">
        <v>1678</v>
      </c>
      <c r="I534" s="32" t="n">
        <v>2.88738033700113</v>
      </c>
      <c r="J534" s="28" t="n">
        <v>1358.287648128</v>
      </c>
      <c r="K534" s="27"/>
    </row>
    <row r="535" customFormat="false" ht="15" hidden="true" customHeight="false" outlineLevel="1" collapsed="false">
      <c r="F535" s="27" t="s">
        <v>1679</v>
      </c>
      <c r="G535" s="27" t="s">
        <v>1664</v>
      </c>
      <c r="H535" s="27" t="s">
        <v>1680</v>
      </c>
      <c r="I535" s="32" t="n">
        <v>100.161503753377</v>
      </c>
      <c r="J535" s="28" t="n">
        <v>1220.34334736409</v>
      </c>
      <c r="K535" s="27"/>
    </row>
    <row r="536" customFormat="false" ht="15" hidden="true" customHeight="false" outlineLevel="1" collapsed="false">
      <c r="F536" s="27" t="s">
        <v>1681</v>
      </c>
      <c r="G536" s="27" t="s">
        <v>1680</v>
      </c>
      <c r="H536" s="27" t="s">
        <v>1682</v>
      </c>
      <c r="I536" s="32" t="n">
        <v>3.18968137612021</v>
      </c>
      <c r="J536" s="28" t="n">
        <v>1223.53302874021</v>
      </c>
      <c r="K536" s="27"/>
    </row>
    <row r="537" customFormat="false" ht="15" hidden="true" customHeight="false" outlineLevel="1" collapsed="false">
      <c r="F537" s="27" t="s">
        <v>1683</v>
      </c>
      <c r="G537" s="27" t="s">
        <v>1682</v>
      </c>
      <c r="H537" s="27" t="s">
        <v>1684</v>
      </c>
      <c r="I537" s="32" t="n">
        <v>117.908663759386</v>
      </c>
      <c r="J537" s="28" t="n">
        <v>1341.44169249959</v>
      </c>
      <c r="K537" s="27"/>
    </row>
    <row r="538" customFormat="false" ht="15" hidden="true" customHeight="false" outlineLevel="1" collapsed="false">
      <c r="F538" s="27" t="s">
        <v>1685</v>
      </c>
      <c r="G538" s="27" t="s">
        <v>1684</v>
      </c>
      <c r="H538" s="27" t="s">
        <v>1686</v>
      </c>
      <c r="I538" s="32" t="n">
        <v>81.2313749308868</v>
      </c>
      <c r="J538" s="28" t="n">
        <v>1422.67306743048</v>
      </c>
      <c r="K538" s="27"/>
    </row>
    <row r="539" customFormat="false" ht="15" hidden="true" customHeight="false" outlineLevel="1" collapsed="false">
      <c r="F539" s="27" t="s">
        <v>1687</v>
      </c>
      <c r="G539" s="27" t="s">
        <v>1686</v>
      </c>
      <c r="H539" s="27" t="s">
        <v>1688</v>
      </c>
      <c r="I539" s="32" t="n">
        <v>1.95878731920292</v>
      </c>
      <c r="J539" s="28" t="n">
        <v>1424.63185474968</v>
      </c>
      <c r="K539" s="27"/>
    </row>
    <row r="540" customFormat="false" ht="15" hidden="true" customHeight="false" outlineLevel="1" collapsed="false">
      <c r="F540" s="27" t="s">
        <v>1689</v>
      </c>
      <c r="G540" s="27" t="s">
        <v>1688</v>
      </c>
      <c r="H540" s="27" t="s">
        <v>1690</v>
      </c>
      <c r="I540" s="32" t="n">
        <v>224.288171597639</v>
      </c>
      <c r="J540" s="28" t="n">
        <v>1648.92002634732</v>
      </c>
      <c r="K540" s="27"/>
    </row>
    <row r="541" customFormat="false" ht="15" hidden="true" customHeight="false" outlineLevel="1" collapsed="false">
      <c r="F541" s="27" t="s">
        <v>1691</v>
      </c>
      <c r="G541" s="27" t="s">
        <v>1690</v>
      </c>
      <c r="H541" s="27" t="s">
        <v>1692</v>
      </c>
      <c r="I541" s="32" t="n">
        <v>5.64936481114176</v>
      </c>
      <c r="J541" s="28" t="n">
        <v>1654.56939115846</v>
      </c>
      <c r="K541" s="27"/>
    </row>
    <row r="542" customFormat="false" ht="15" hidden="true" customHeight="false" outlineLevel="1" collapsed="false">
      <c r="F542" s="27" t="s">
        <v>1693</v>
      </c>
      <c r="G542" s="27" t="s">
        <v>1686</v>
      </c>
      <c r="H542" s="27" t="s">
        <v>1694</v>
      </c>
      <c r="I542" s="32" t="n">
        <v>145.738316624731</v>
      </c>
      <c r="J542" s="28" t="n">
        <v>1568.41138405521</v>
      </c>
      <c r="K542" s="27"/>
    </row>
    <row r="543" customFormat="false" ht="15" hidden="true" customHeight="false" outlineLevel="1" collapsed="false">
      <c r="F543" s="27" t="s">
        <v>1695</v>
      </c>
      <c r="G543" s="27" t="s">
        <v>1694</v>
      </c>
      <c r="H543" s="27" t="s">
        <v>1696</v>
      </c>
      <c r="I543" s="32" t="n">
        <v>10.312716796396</v>
      </c>
      <c r="J543" s="28" t="n">
        <v>1578.72410085161</v>
      </c>
      <c r="K543" s="27"/>
    </row>
    <row r="544" customFormat="false" ht="15" hidden="true" customHeight="false" outlineLevel="1" collapsed="false">
      <c r="F544" s="27" t="s">
        <v>1697</v>
      </c>
      <c r="G544" s="27" t="s">
        <v>1662</v>
      </c>
      <c r="H544" s="27" t="s">
        <v>1698</v>
      </c>
      <c r="I544" s="32" t="n">
        <v>4.73359068593325</v>
      </c>
      <c r="J544" s="28" t="n">
        <v>526.26511207985</v>
      </c>
      <c r="K544" s="27"/>
    </row>
    <row r="545" customFormat="false" ht="15" hidden="false" customHeight="false" outlineLevel="0" collapsed="true">
      <c r="A545" s="35" t="n">
        <v>21</v>
      </c>
      <c r="B545" s="35" t="s">
        <v>24</v>
      </c>
      <c r="C545" s="35" t="s">
        <v>303</v>
      </c>
      <c r="D545" s="35" t="s">
        <v>461</v>
      </c>
      <c r="E545" s="35" t="s">
        <v>87</v>
      </c>
      <c r="F545" s="35" t="str">
        <f aca="false">COUNTIFS(Trechos!$L$2:$L$838,A545)&amp;" vãos"</f>
        <v>1 vãos</v>
      </c>
      <c r="G545" s="35"/>
      <c r="H545" s="35"/>
      <c r="I545" s="36" t="n">
        <f aca="false">SUMIFS(Trechos!$F$2:$F$838,Trechos!$L$2:$L$838,A545)</f>
        <v>35.9284296513527</v>
      </c>
      <c r="J545" s="35"/>
      <c r="K545" s="35"/>
      <c r="L545" s="35" t="s">
        <v>88</v>
      </c>
      <c r="M545" s="35" t="s">
        <v>54</v>
      </c>
      <c r="N545" s="35" t="str">
        <f aca="false">Blocos!BT22</f>
        <v>—</v>
      </c>
    </row>
    <row r="546" customFormat="false" ht="15" hidden="true" customHeight="false" outlineLevel="1" collapsed="false">
      <c r="F546" s="27" t="s">
        <v>1699</v>
      </c>
      <c r="G546" s="27" t="s">
        <v>1648</v>
      </c>
      <c r="H546" s="27" t="s">
        <v>1700</v>
      </c>
      <c r="I546" s="32" t="n">
        <v>35.9284296513527</v>
      </c>
      <c r="J546" s="28" t="n">
        <v>35.9284296513524</v>
      </c>
      <c r="K546" s="27"/>
    </row>
    <row r="547" customFormat="false" ht="15" hidden="false" customHeight="false" outlineLevel="0" collapsed="true">
      <c r="A547" s="35" t="n">
        <v>22</v>
      </c>
      <c r="B547" s="35" t="s">
        <v>24</v>
      </c>
      <c r="C547" s="35" t="s">
        <v>303</v>
      </c>
      <c r="D547" s="35" t="s">
        <v>461</v>
      </c>
      <c r="E547" s="35" t="s">
        <v>89</v>
      </c>
      <c r="F547" s="35" t="str">
        <f aca="false">COUNTIFS(Trechos!$L$2:$L$838,A547)&amp;" vãos"</f>
        <v>1 vãos</v>
      </c>
      <c r="G547" s="35"/>
      <c r="H547" s="35"/>
      <c r="I547" s="36" t="n">
        <f aca="false">SUMIFS(Trechos!$F$2:$F$838,Trechos!$L$2:$L$838,A547)</f>
        <v>466.717236768371</v>
      </c>
      <c r="J547" s="35"/>
      <c r="K547" s="35"/>
      <c r="L547" s="35" t="s">
        <v>90</v>
      </c>
      <c r="M547" s="35" t="s">
        <v>54</v>
      </c>
      <c r="N547" s="35" t="str">
        <f aca="false">Blocos!BT23</f>
        <v>—</v>
      </c>
    </row>
    <row r="548" customFormat="false" ht="15" hidden="true" customHeight="false" outlineLevel="1" collapsed="false">
      <c r="F548" s="27" t="s">
        <v>1701</v>
      </c>
      <c r="G548" s="27" t="s">
        <v>1654</v>
      </c>
      <c r="H548" s="27" t="s">
        <v>1702</v>
      </c>
      <c r="I548" s="32" t="n">
        <v>466.717236768371</v>
      </c>
      <c r="J548" s="28" t="n">
        <v>466.717236768371</v>
      </c>
      <c r="K548" s="27"/>
    </row>
    <row r="549" customFormat="false" ht="15" hidden="false" customHeight="false" outlineLevel="0" collapsed="true">
      <c r="A549" s="35" t="n">
        <v>23</v>
      </c>
      <c r="B549" s="35" t="s">
        <v>24</v>
      </c>
      <c r="C549" s="35" t="s">
        <v>303</v>
      </c>
      <c r="D549" s="35" t="s">
        <v>461</v>
      </c>
      <c r="E549" s="35" t="s">
        <v>91</v>
      </c>
      <c r="F549" s="35" t="str">
        <f aca="false">COUNTIFS(Trechos!$L$2:$L$838,A549)&amp;" vãos"</f>
        <v>1 vãos</v>
      </c>
      <c r="G549" s="35"/>
      <c r="H549" s="35"/>
      <c r="I549" s="36" t="n">
        <f aca="false">SUMIFS(Trechos!$F$2:$F$838,Trechos!$L$2:$L$838,A549)</f>
        <v>261.896214627817</v>
      </c>
      <c r="J549" s="35"/>
      <c r="K549" s="35"/>
      <c r="L549" s="35" t="s">
        <v>92</v>
      </c>
      <c r="M549" s="35" t="s">
        <v>54</v>
      </c>
      <c r="N549" s="35" t="str">
        <f aca="false">Blocos!BT24</f>
        <v>—</v>
      </c>
    </row>
    <row r="550" customFormat="false" ht="15" hidden="true" customHeight="false" outlineLevel="1" collapsed="false">
      <c r="F550" s="27" t="s">
        <v>1703</v>
      </c>
      <c r="G550" s="27" t="s">
        <v>1658</v>
      </c>
      <c r="H550" s="27" t="s">
        <v>1704</v>
      </c>
      <c r="I550" s="32" t="n">
        <v>261.896214627817</v>
      </c>
      <c r="J550" s="28" t="n">
        <v>261.896214627816</v>
      </c>
      <c r="K550" s="27"/>
    </row>
    <row r="551" customFormat="false" ht="15" hidden="false" customHeight="false" outlineLevel="0" collapsed="true">
      <c r="A551" s="35" t="n">
        <v>24</v>
      </c>
      <c r="B551" s="35" t="s">
        <v>24</v>
      </c>
      <c r="C551" s="35" t="s">
        <v>303</v>
      </c>
      <c r="D551" s="35" t="s">
        <v>461</v>
      </c>
      <c r="E551" s="35" t="s">
        <v>93</v>
      </c>
      <c r="F551" s="35" t="str">
        <f aca="false">COUNTIFS(Trechos!$L$2:$L$838,A551)&amp;" vãos"</f>
        <v>1 vãos</v>
      </c>
      <c r="G551" s="35"/>
      <c r="H551" s="35"/>
      <c r="I551" s="36" t="n">
        <f aca="false">SUMIFS(Trechos!$F$2:$F$838,Trechos!$L$2:$L$838,A551)</f>
        <v>114.556695977505</v>
      </c>
      <c r="J551" s="35"/>
      <c r="K551" s="35"/>
      <c r="L551" s="35" t="s">
        <v>94</v>
      </c>
      <c r="M551" s="35" t="s">
        <v>54</v>
      </c>
      <c r="N551" s="35" t="str">
        <f aca="false">Blocos!BT25</f>
        <v>—</v>
      </c>
    </row>
    <row r="552" customFormat="false" ht="15" hidden="true" customHeight="false" outlineLevel="1" collapsed="false">
      <c r="F552" s="27" t="s">
        <v>1705</v>
      </c>
      <c r="G552" s="27" t="s">
        <v>1676</v>
      </c>
      <c r="H552" s="27" t="s">
        <v>1706</v>
      </c>
      <c r="I552" s="32" t="n">
        <v>114.556695977505</v>
      </c>
      <c r="J552" s="28" t="n">
        <v>114.556695977506</v>
      </c>
      <c r="K552" s="27"/>
    </row>
    <row r="553" customFormat="false" ht="15" hidden="false" customHeight="false" outlineLevel="0" collapsed="true">
      <c r="A553" s="35" t="n">
        <v>25</v>
      </c>
      <c r="B553" s="35" t="s">
        <v>24</v>
      </c>
      <c r="C553" s="35" t="s">
        <v>303</v>
      </c>
      <c r="D553" s="35" t="s">
        <v>461</v>
      </c>
      <c r="E553" s="35" t="s">
        <v>95</v>
      </c>
      <c r="F553" s="35" t="str">
        <f aca="false">COUNTIFS(Trechos!$L$2:$L$838,A553)&amp;" vãos"</f>
        <v>3 vãos</v>
      </c>
      <c r="G553" s="35"/>
      <c r="H553" s="35"/>
      <c r="I553" s="36" t="n">
        <f aca="false">SUMIFS(Trechos!$F$2:$F$838,Trechos!$L$2:$L$838,A553)</f>
        <v>106.355731496363</v>
      </c>
      <c r="J553" s="35"/>
      <c r="K553" s="35"/>
      <c r="L553" s="35" t="s">
        <v>96</v>
      </c>
      <c r="M553" s="35" t="s">
        <v>54</v>
      </c>
      <c r="N553" s="35" t="str">
        <f aca="false">Blocos!BT26</f>
        <v>—</v>
      </c>
    </row>
    <row r="554" customFormat="false" ht="15" hidden="true" customHeight="false" outlineLevel="1" collapsed="false">
      <c r="F554" s="27" t="s">
        <v>1707</v>
      </c>
      <c r="G554" s="27" t="s">
        <v>1678</v>
      </c>
      <c r="H554" s="27" t="s">
        <v>1708</v>
      </c>
      <c r="I554" s="32" t="n">
        <v>26.2377575313957</v>
      </c>
      <c r="J554" s="28" t="n">
        <v>26.2377575313949</v>
      </c>
      <c r="K554" s="27"/>
    </row>
    <row r="555" customFormat="false" ht="15" hidden="true" customHeight="false" outlineLevel="1" collapsed="false">
      <c r="F555" s="27" t="s">
        <v>1709</v>
      </c>
      <c r="G555" s="27" t="s">
        <v>1708</v>
      </c>
      <c r="H555" s="27" t="s">
        <v>1710</v>
      </c>
      <c r="I555" s="32" t="n">
        <v>2.30486111415395</v>
      </c>
      <c r="J555" s="28" t="n">
        <v>28.5426186455497</v>
      </c>
      <c r="K555" s="27"/>
    </row>
    <row r="556" customFormat="false" ht="15" hidden="true" customHeight="false" outlineLevel="1" collapsed="false">
      <c r="F556" s="27" t="s">
        <v>1711</v>
      </c>
      <c r="G556" s="27" t="s">
        <v>1710</v>
      </c>
      <c r="H556" s="27" t="s">
        <v>1712</v>
      </c>
      <c r="I556" s="32" t="n">
        <v>77.8131128508133</v>
      </c>
      <c r="J556" s="28" t="n">
        <v>106.355731496364</v>
      </c>
      <c r="K556" s="27"/>
    </row>
    <row r="557" customFormat="false" ht="15" hidden="false" customHeight="false" outlineLevel="0" collapsed="true">
      <c r="A557" s="35" t="n">
        <v>26</v>
      </c>
      <c r="B557" s="35" t="s">
        <v>24</v>
      </c>
      <c r="C557" s="35" t="s">
        <v>303</v>
      </c>
      <c r="D557" s="35" t="s">
        <v>461</v>
      </c>
      <c r="E557" s="35" t="s">
        <v>97</v>
      </c>
      <c r="F557" s="35" t="str">
        <f aca="false">COUNTIFS(Trechos!$L$2:$L$838,A557)&amp;" vãos"</f>
        <v>1 vãos</v>
      </c>
      <c r="G557" s="35"/>
      <c r="H557" s="35"/>
      <c r="I557" s="36" t="n">
        <f aca="false">SUMIFS(Trechos!$F$2:$F$838,Trechos!$L$2:$L$838,A557)</f>
        <v>50.2992505888517</v>
      </c>
      <c r="J557" s="35"/>
      <c r="K557" s="35"/>
      <c r="L557" s="35" t="s">
        <v>98</v>
      </c>
      <c r="M557" s="35" t="s">
        <v>54</v>
      </c>
      <c r="N557" s="35" t="str">
        <f aca="false">Blocos!BT27</f>
        <v>—</v>
      </c>
    </row>
    <row r="558" customFormat="false" ht="15" hidden="true" customHeight="false" outlineLevel="1" collapsed="false">
      <c r="F558" s="27" t="s">
        <v>1713</v>
      </c>
      <c r="G558" s="27" t="s">
        <v>1692</v>
      </c>
      <c r="H558" s="27" t="s">
        <v>1714</v>
      </c>
      <c r="I558" s="32" t="n">
        <v>50.2992505888517</v>
      </c>
      <c r="J558" s="28" t="n">
        <v>50.2992505888524</v>
      </c>
      <c r="K558" s="27"/>
    </row>
    <row r="559" customFormat="false" ht="15" hidden="false" customHeight="false" outlineLevel="0" collapsed="true">
      <c r="A559" s="35" t="n">
        <v>27</v>
      </c>
      <c r="B559" s="35" t="s">
        <v>24</v>
      </c>
      <c r="C559" s="35" t="s">
        <v>303</v>
      </c>
      <c r="D559" s="35" t="s">
        <v>461</v>
      </c>
      <c r="E559" s="35" t="s">
        <v>99</v>
      </c>
      <c r="F559" s="35" t="str">
        <f aca="false">COUNTIFS(Trechos!$L$2:$L$838,A559)&amp;" vãos"</f>
        <v>1 vãos</v>
      </c>
      <c r="G559" s="35"/>
      <c r="H559" s="35"/>
      <c r="I559" s="36" t="n">
        <f aca="false">SUMIFS(Trechos!$F$2:$F$838,Trechos!$L$2:$L$838,A559)</f>
        <v>92.2586306696714</v>
      </c>
      <c r="J559" s="35"/>
      <c r="K559" s="35"/>
      <c r="L559" s="35" t="s">
        <v>100</v>
      </c>
      <c r="M559" s="35" t="s">
        <v>54</v>
      </c>
      <c r="N559" s="35" t="str">
        <f aca="false">Blocos!BT28</f>
        <v>—</v>
      </c>
    </row>
    <row r="560" customFormat="false" ht="15" hidden="true" customHeight="false" outlineLevel="1" collapsed="false">
      <c r="F560" s="27" t="s">
        <v>1715</v>
      </c>
      <c r="G560" s="27" t="s">
        <v>1696</v>
      </c>
      <c r="H560" s="27" t="s">
        <v>1716</v>
      </c>
      <c r="I560" s="32" t="n">
        <v>92.2586306696714</v>
      </c>
      <c r="J560" s="28" t="n">
        <v>92.2586306696721</v>
      </c>
      <c r="K560" s="27"/>
    </row>
    <row r="561" customFormat="false" ht="15" hidden="false" customHeight="false" outlineLevel="0" collapsed="true">
      <c r="A561" s="35" t="n">
        <v>28</v>
      </c>
      <c r="B561" s="35" t="s">
        <v>24</v>
      </c>
      <c r="C561" s="35" t="s">
        <v>303</v>
      </c>
      <c r="D561" s="35" t="s">
        <v>461</v>
      </c>
      <c r="E561" s="35" t="s">
        <v>101</v>
      </c>
      <c r="F561" s="35" t="str">
        <f aca="false">COUNTIFS(Trechos!$L$2:$L$838,A561)&amp;" vãos"</f>
        <v>1 vãos</v>
      </c>
      <c r="G561" s="35"/>
      <c r="H561" s="35"/>
      <c r="I561" s="36" t="n">
        <f aca="false">SUMIFS(Trechos!$F$2:$F$838,Trechos!$L$2:$L$838,A561)</f>
        <v>252.909183033416</v>
      </c>
      <c r="J561" s="35"/>
      <c r="K561" s="35"/>
      <c r="L561" s="35" t="s">
        <v>102</v>
      </c>
      <c r="M561" s="35" t="s">
        <v>54</v>
      </c>
      <c r="N561" s="35" t="str">
        <f aca="false">Blocos!BT29</f>
        <v>—</v>
      </c>
    </row>
    <row r="562" customFormat="false" ht="15" hidden="true" customHeight="false" outlineLevel="1" collapsed="false">
      <c r="F562" s="27" t="s">
        <v>1717</v>
      </c>
      <c r="G562" s="27" t="s">
        <v>1698</v>
      </c>
      <c r="H562" s="27" t="s">
        <v>1718</v>
      </c>
      <c r="I562" s="32" t="n">
        <v>252.909183033416</v>
      </c>
      <c r="J562" s="28" t="n">
        <v>252.909183033416</v>
      </c>
      <c r="K562" s="27"/>
    </row>
    <row r="563" customFormat="false" ht="15" hidden="false" customHeight="false" outlineLevel="0" collapsed="true">
      <c r="A563" s="35" t="n">
        <v>29</v>
      </c>
      <c r="B563" s="35" t="s">
        <v>24</v>
      </c>
      <c r="C563" s="35" t="s">
        <v>303</v>
      </c>
      <c r="D563" s="35" t="s">
        <v>461</v>
      </c>
      <c r="E563" s="35" t="s">
        <v>103</v>
      </c>
      <c r="F563" s="35" t="str">
        <f aca="false">COUNTIFS(Trechos!$L$2:$L$838,A563)&amp;" vãos"</f>
        <v>1 vãos</v>
      </c>
      <c r="G563" s="35"/>
      <c r="H563" s="35"/>
      <c r="I563" s="36" t="n">
        <f aca="false">SUMIFS(Trechos!$F$2:$F$838,Trechos!$L$2:$L$838,A563)</f>
        <v>30.8355904582397</v>
      </c>
      <c r="J563" s="35"/>
      <c r="K563" s="35"/>
      <c r="L563" s="35" t="s">
        <v>104</v>
      </c>
      <c r="M563" s="35" t="s">
        <v>54</v>
      </c>
      <c r="N563" s="35" t="str">
        <f aca="false">Blocos!BT30</f>
        <v>—</v>
      </c>
    </row>
    <row r="564" customFormat="false" ht="15" hidden="true" customHeight="false" outlineLevel="1" collapsed="false">
      <c r="F564" s="27" t="s">
        <v>1719</v>
      </c>
      <c r="G564" s="27" t="s">
        <v>1622</v>
      </c>
      <c r="H564" s="27" t="s">
        <v>1720</v>
      </c>
      <c r="I564" s="32" t="n">
        <v>30.8355904582397</v>
      </c>
      <c r="J564" s="28" t="n">
        <v>30.8355904582395</v>
      </c>
      <c r="K564" s="27"/>
    </row>
    <row r="565" customFormat="false" ht="15" hidden="false" customHeight="false" outlineLevel="0" collapsed="true">
      <c r="A565" s="35" t="n">
        <v>30</v>
      </c>
      <c r="B565" s="35" t="s">
        <v>24</v>
      </c>
      <c r="C565" s="35" t="s">
        <v>303</v>
      </c>
      <c r="D565" s="35" t="s">
        <v>461</v>
      </c>
      <c r="E565" s="35" t="s">
        <v>105</v>
      </c>
      <c r="F565" s="35" t="str">
        <f aca="false">COUNTIFS(Trechos!$L$2:$L$838,A565)&amp;" vãos"</f>
        <v>1 vãos</v>
      </c>
      <c r="G565" s="35"/>
      <c r="H565" s="35"/>
      <c r="I565" s="36" t="n">
        <f aca="false">SUMIFS(Trechos!$F$2:$F$838,Trechos!$L$2:$L$838,A565)</f>
        <v>60.4709293449866</v>
      </c>
      <c r="J565" s="35"/>
      <c r="K565" s="35"/>
      <c r="L565" s="35" t="s">
        <v>106</v>
      </c>
      <c r="M565" s="35" t="s">
        <v>54</v>
      </c>
      <c r="N565" s="35" t="str">
        <f aca="false">Blocos!BT31</f>
        <v>—</v>
      </c>
    </row>
    <row r="566" customFormat="false" ht="15" hidden="true" customHeight="false" outlineLevel="1" collapsed="false">
      <c r="F566" s="27" t="s">
        <v>1721</v>
      </c>
      <c r="G566" s="27" t="s">
        <v>1624</v>
      </c>
      <c r="H566" s="27" t="s">
        <v>1722</v>
      </c>
      <c r="I566" s="32" t="n">
        <v>60.4709293449866</v>
      </c>
      <c r="J566" s="28" t="n">
        <v>60.4709293449869</v>
      </c>
      <c r="K566" s="27"/>
    </row>
    <row r="567" customFormat="false" ht="15" hidden="false" customHeight="false" outlineLevel="0" collapsed="true">
      <c r="A567" s="35" t="n">
        <v>31</v>
      </c>
      <c r="B567" s="35" t="s">
        <v>24</v>
      </c>
      <c r="C567" s="35" t="s">
        <v>303</v>
      </c>
      <c r="D567" s="35" t="s">
        <v>461</v>
      </c>
      <c r="E567" s="35" t="s">
        <v>107</v>
      </c>
      <c r="F567" s="35" t="str">
        <f aca="false">COUNTIFS(Trechos!$L$2:$L$838,A567)&amp;" vãos"</f>
        <v>1 vãos</v>
      </c>
      <c r="G567" s="35"/>
      <c r="H567" s="35"/>
      <c r="I567" s="36" t="n">
        <f aca="false">SUMIFS(Trechos!$F$2:$F$838,Trechos!$L$2:$L$838,A567)</f>
        <v>347.967746604303</v>
      </c>
      <c r="J567" s="35"/>
      <c r="K567" s="35"/>
      <c r="L567" s="35" t="s">
        <v>108</v>
      </c>
      <c r="M567" s="35" t="s">
        <v>54</v>
      </c>
      <c r="N567" s="35" t="str">
        <f aca="false">Blocos!BT32</f>
        <v>—</v>
      </c>
    </row>
    <row r="568" customFormat="false" ht="15" hidden="true" customHeight="false" outlineLevel="1" collapsed="false">
      <c r="F568" s="27" t="s">
        <v>1723</v>
      </c>
      <c r="G568" s="27" t="s">
        <v>1626</v>
      </c>
      <c r="H568" s="27" t="s">
        <v>1724</v>
      </c>
      <c r="I568" s="32" t="n">
        <v>347.967746604303</v>
      </c>
      <c r="J568" s="28" t="n">
        <v>347.967746604302</v>
      </c>
      <c r="K568" s="27"/>
    </row>
    <row r="569" customFormat="false" ht="15" hidden="false" customHeight="false" outlineLevel="0" collapsed="true">
      <c r="A569" s="35" t="n">
        <v>32</v>
      </c>
      <c r="B569" s="35" t="s">
        <v>24</v>
      </c>
      <c r="C569" s="35" t="s">
        <v>303</v>
      </c>
      <c r="D569" s="35" t="s">
        <v>461</v>
      </c>
      <c r="E569" s="35" t="s">
        <v>109</v>
      </c>
      <c r="F569" s="35" t="str">
        <f aca="false">COUNTIFS(Trechos!$L$2:$L$838,A569)&amp;" vãos"</f>
        <v>12 vãos</v>
      </c>
      <c r="G569" s="35"/>
      <c r="H569" s="35"/>
      <c r="I569" s="36" t="n">
        <f aca="false">SUMIFS(Trechos!$F$2:$F$838,Trechos!$L$2:$L$838,A569)</f>
        <v>559.312234111401</v>
      </c>
      <c r="J569" s="35"/>
      <c r="K569" s="35"/>
      <c r="L569" s="35" t="s">
        <v>110</v>
      </c>
      <c r="M569" s="35" t="s">
        <v>54</v>
      </c>
      <c r="N569" s="35" t="str">
        <f aca="false">Blocos!BT33</f>
        <v>0320305004</v>
      </c>
    </row>
    <row r="570" customFormat="false" ht="15" hidden="true" customHeight="false" outlineLevel="1" collapsed="false">
      <c r="F570" s="27" t="s">
        <v>1725</v>
      </c>
      <c r="G570" s="27" t="s">
        <v>1598</v>
      </c>
      <c r="H570" s="27" t="s">
        <v>1726</v>
      </c>
      <c r="I570" s="32" t="n">
        <v>26.5868499866944</v>
      </c>
      <c r="J570" s="28" t="n">
        <v>26.5868499866947</v>
      </c>
      <c r="K570" s="27"/>
    </row>
    <row r="571" customFormat="false" ht="15" hidden="true" customHeight="false" outlineLevel="1" collapsed="false">
      <c r="F571" s="27" t="s">
        <v>1727</v>
      </c>
      <c r="G571" s="27" t="s">
        <v>1726</v>
      </c>
      <c r="H571" s="27" t="s">
        <v>1728</v>
      </c>
      <c r="I571" s="32" t="n">
        <v>123.220553366382</v>
      </c>
      <c r="J571" s="28" t="n">
        <v>149.807403353077</v>
      </c>
      <c r="K571" s="27"/>
    </row>
    <row r="572" customFormat="false" ht="15" hidden="true" customHeight="false" outlineLevel="1" collapsed="false">
      <c r="F572" s="27" t="s">
        <v>1729</v>
      </c>
      <c r="G572" s="27" t="s">
        <v>1728</v>
      </c>
      <c r="H572" s="27" t="s">
        <v>1730</v>
      </c>
      <c r="I572" s="32" t="n">
        <v>68.5040769042433</v>
      </c>
      <c r="J572" s="28" t="n">
        <v>218.31148025732</v>
      </c>
      <c r="K572" s="27"/>
    </row>
    <row r="573" customFormat="false" ht="15" hidden="true" customHeight="false" outlineLevel="1" collapsed="false">
      <c r="F573" s="27" t="s">
        <v>1731</v>
      </c>
      <c r="G573" s="27" t="s">
        <v>1730</v>
      </c>
      <c r="H573" s="27" t="s">
        <v>1732</v>
      </c>
      <c r="I573" s="32" t="n">
        <v>3.75713431119004</v>
      </c>
      <c r="J573" s="28" t="n">
        <v>222.06861456851</v>
      </c>
      <c r="K573" s="27"/>
    </row>
    <row r="574" customFormat="false" ht="15" hidden="true" customHeight="false" outlineLevel="1" collapsed="false">
      <c r="F574" s="27" t="s">
        <v>1733</v>
      </c>
      <c r="G574" s="27" t="s">
        <v>1732</v>
      </c>
      <c r="H574" s="27" t="s">
        <v>1734</v>
      </c>
      <c r="I574" s="32" t="n">
        <v>30.5559251209662</v>
      </c>
      <c r="J574" s="28" t="n">
        <v>252.624539689477</v>
      </c>
      <c r="K574" s="27"/>
    </row>
    <row r="575" customFormat="false" ht="15" hidden="true" customHeight="false" outlineLevel="1" collapsed="false">
      <c r="F575" s="27" t="s">
        <v>1735</v>
      </c>
      <c r="G575" s="27" t="s">
        <v>1734</v>
      </c>
      <c r="H575" s="27" t="s">
        <v>1736</v>
      </c>
      <c r="I575" s="32" t="n">
        <v>3.75054676572778</v>
      </c>
      <c r="J575" s="28" t="n">
        <v>256.375086455204</v>
      </c>
      <c r="K575" s="27"/>
    </row>
    <row r="576" customFormat="false" ht="15" hidden="true" customHeight="false" outlineLevel="1" collapsed="false">
      <c r="F576" s="27" t="s">
        <v>1737</v>
      </c>
      <c r="G576" s="27" t="s">
        <v>1726</v>
      </c>
      <c r="H576" s="27" t="s">
        <v>1738</v>
      </c>
      <c r="I576" s="32" t="n">
        <v>5.47639670458367</v>
      </c>
      <c r="J576" s="28" t="n">
        <v>32.0632466912784</v>
      </c>
      <c r="K576" s="27"/>
    </row>
    <row r="577" customFormat="false" ht="15" hidden="true" customHeight="false" outlineLevel="1" collapsed="false">
      <c r="F577" s="27" t="s">
        <v>1739</v>
      </c>
      <c r="G577" s="27" t="s">
        <v>1726</v>
      </c>
      <c r="H577" s="27" t="s">
        <v>1740</v>
      </c>
      <c r="I577" s="32" t="n">
        <v>147.165839843106</v>
      </c>
      <c r="J577" s="28" t="n">
        <v>173.752689829801</v>
      </c>
      <c r="K577" s="27"/>
    </row>
    <row r="578" customFormat="false" ht="15" hidden="true" customHeight="false" outlineLevel="1" collapsed="false">
      <c r="F578" s="27" t="s">
        <v>1741</v>
      </c>
      <c r="G578" s="27" t="s">
        <v>1740</v>
      </c>
      <c r="H578" s="27" t="s">
        <v>1742</v>
      </c>
      <c r="I578" s="32" t="n">
        <v>11.9218355989046</v>
      </c>
      <c r="J578" s="28" t="n">
        <v>185.674525428705</v>
      </c>
      <c r="K578" s="27"/>
    </row>
    <row r="579" customFormat="false" ht="15" hidden="true" customHeight="false" outlineLevel="1" collapsed="false">
      <c r="F579" s="27" t="s">
        <v>1743</v>
      </c>
      <c r="G579" s="27" t="s">
        <v>1740</v>
      </c>
      <c r="H579" s="27" t="s">
        <v>1744</v>
      </c>
      <c r="I579" s="32" t="n">
        <v>7.24868452055278</v>
      </c>
      <c r="J579" s="28" t="n">
        <v>181.001374350354</v>
      </c>
      <c r="K579" s="27"/>
    </row>
    <row r="580" customFormat="false" ht="15" hidden="true" customHeight="false" outlineLevel="1" collapsed="false">
      <c r="F580" s="27" t="s">
        <v>1745</v>
      </c>
      <c r="G580" s="27" t="s">
        <v>1740</v>
      </c>
      <c r="H580" s="27" t="s">
        <v>1746</v>
      </c>
      <c r="I580" s="32" t="n">
        <v>93.819375956426</v>
      </c>
      <c r="J580" s="28" t="n">
        <v>267.572065786227</v>
      </c>
      <c r="K580" s="27"/>
    </row>
    <row r="581" customFormat="false" ht="15" hidden="true" customHeight="false" outlineLevel="1" collapsed="false">
      <c r="F581" s="27" t="s">
        <v>1747</v>
      </c>
      <c r="G581" s="27" t="s">
        <v>1746</v>
      </c>
      <c r="H581" s="27" t="s">
        <v>1748</v>
      </c>
      <c r="I581" s="32" t="n">
        <v>37.3050150326239</v>
      </c>
      <c r="J581" s="28" t="n">
        <v>304.87708081885</v>
      </c>
      <c r="K581" s="27"/>
    </row>
    <row r="582" customFormat="false" ht="15" hidden="false" customHeight="false" outlineLevel="0" collapsed="true">
      <c r="A582" s="35" t="n">
        <v>33</v>
      </c>
      <c r="B582" s="35" t="s">
        <v>24</v>
      </c>
      <c r="C582" s="35" t="s">
        <v>303</v>
      </c>
      <c r="D582" s="35" t="s">
        <v>461</v>
      </c>
      <c r="E582" s="35" t="s">
        <v>111</v>
      </c>
      <c r="F582" s="35" t="str">
        <f aca="false">COUNTIFS(Trechos!$L$2:$L$838,A582)&amp;" vãos"</f>
        <v>10 vãos</v>
      </c>
      <c r="G582" s="35"/>
      <c r="H582" s="35"/>
      <c r="I582" s="36" t="n">
        <f aca="false">SUMIFS(Trechos!$F$2:$F$838,Trechos!$L$2:$L$838,A582)</f>
        <v>647.302896044083</v>
      </c>
      <c r="J582" s="35"/>
      <c r="K582" s="35"/>
      <c r="L582" s="35" t="s">
        <v>112</v>
      </c>
      <c r="M582" s="35" t="s">
        <v>54</v>
      </c>
      <c r="N582" s="35" t="str">
        <f aca="false">Blocos!BT34</f>
        <v>—</v>
      </c>
    </row>
    <row r="583" customFormat="false" ht="15" hidden="true" customHeight="false" outlineLevel="1" collapsed="false">
      <c r="F583" s="27" t="s">
        <v>1749</v>
      </c>
      <c r="G583" s="27" t="s">
        <v>1736</v>
      </c>
      <c r="H583" s="27" t="s">
        <v>1750</v>
      </c>
      <c r="I583" s="32" t="n">
        <v>139.766606355592</v>
      </c>
      <c r="J583" s="28" t="n">
        <v>139.766606355593</v>
      </c>
      <c r="K583" s="27"/>
    </row>
    <row r="584" customFormat="false" ht="15" hidden="true" customHeight="false" outlineLevel="1" collapsed="false">
      <c r="F584" s="27" t="s">
        <v>1751</v>
      </c>
      <c r="G584" s="27" t="s">
        <v>1750</v>
      </c>
      <c r="H584" s="27" t="s">
        <v>1752</v>
      </c>
      <c r="I584" s="32" t="n">
        <v>4.08753170589217</v>
      </c>
      <c r="J584" s="28" t="n">
        <v>143.854138061485</v>
      </c>
      <c r="K584" s="27"/>
    </row>
    <row r="585" customFormat="false" ht="15" hidden="true" customHeight="false" outlineLevel="1" collapsed="false">
      <c r="F585" s="27" t="s">
        <v>1753</v>
      </c>
      <c r="G585" s="27" t="s">
        <v>1752</v>
      </c>
      <c r="H585" s="27" t="s">
        <v>1754</v>
      </c>
      <c r="I585" s="32" t="n">
        <v>2.58493986503466</v>
      </c>
      <c r="J585" s="28" t="n">
        <v>146.43907792652</v>
      </c>
      <c r="K585" s="27"/>
    </row>
    <row r="586" customFormat="false" ht="15" hidden="true" customHeight="false" outlineLevel="1" collapsed="false">
      <c r="F586" s="27" t="s">
        <v>1755</v>
      </c>
      <c r="G586" s="27" t="s">
        <v>1754</v>
      </c>
      <c r="H586" s="27" t="s">
        <v>1756</v>
      </c>
      <c r="I586" s="32" t="n">
        <v>109.865550184637</v>
      </c>
      <c r="J586" s="28" t="n">
        <v>256.304628111157</v>
      </c>
      <c r="K586" s="27"/>
    </row>
    <row r="587" customFormat="false" ht="15" hidden="true" customHeight="false" outlineLevel="1" collapsed="false">
      <c r="F587" s="27" t="s">
        <v>1757</v>
      </c>
      <c r="G587" s="27" t="s">
        <v>1756</v>
      </c>
      <c r="H587" s="27" t="s">
        <v>1758</v>
      </c>
      <c r="I587" s="32" t="n">
        <v>2.5460400789428</v>
      </c>
      <c r="J587" s="28" t="n">
        <v>258.850668190099</v>
      </c>
      <c r="K587" s="27"/>
    </row>
    <row r="588" customFormat="false" ht="15" hidden="true" customHeight="false" outlineLevel="1" collapsed="false">
      <c r="F588" s="27" t="s">
        <v>1759</v>
      </c>
      <c r="G588" s="27" t="s">
        <v>1758</v>
      </c>
      <c r="H588" s="27" t="s">
        <v>1760</v>
      </c>
      <c r="I588" s="32" t="n">
        <v>306.427641038309</v>
      </c>
      <c r="J588" s="28" t="n">
        <v>565.278309228407</v>
      </c>
      <c r="K588" s="27"/>
    </row>
    <row r="589" customFormat="false" ht="15" hidden="true" customHeight="false" outlineLevel="1" collapsed="false">
      <c r="F589" s="27" t="s">
        <v>1761</v>
      </c>
      <c r="G589" s="27" t="s">
        <v>1750</v>
      </c>
      <c r="H589" s="27" t="s">
        <v>1762</v>
      </c>
      <c r="I589" s="32" t="n">
        <v>1.89352962106654</v>
      </c>
      <c r="J589" s="28" t="n">
        <v>141.660135976659</v>
      </c>
      <c r="K589" s="27"/>
    </row>
    <row r="590" customFormat="false" ht="15" hidden="true" customHeight="false" outlineLevel="1" collapsed="false">
      <c r="F590" s="27" t="s">
        <v>1763</v>
      </c>
      <c r="G590" s="27" t="s">
        <v>1762</v>
      </c>
      <c r="H590" s="27" t="s">
        <v>1764</v>
      </c>
      <c r="I590" s="32" t="n">
        <v>49.1446408317515</v>
      </c>
      <c r="J590" s="28" t="n">
        <v>190.804776808411</v>
      </c>
      <c r="K590" s="27"/>
    </row>
    <row r="591" customFormat="false" ht="15" hidden="true" customHeight="false" outlineLevel="1" collapsed="false">
      <c r="F591" s="27" t="s">
        <v>1765</v>
      </c>
      <c r="G591" s="27" t="s">
        <v>1764</v>
      </c>
      <c r="H591" s="27" t="s">
        <v>1766</v>
      </c>
      <c r="I591" s="32" t="n">
        <v>2.74150260460197</v>
      </c>
      <c r="J591" s="28" t="n">
        <v>193.546279413013</v>
      </c>
      <c r="K591" s="27"/>
    </row>
    <row r="592" customFormat="false" ht="15" hidden="true" customHeight="false" outlineLevel="1" collapsed="false">
      <c r="F592" s="27" t="s">
        <v>1767</v>
      </c>
      <c r="G592" s="27" t="s">
        <v>1766</v>
      </c>
      <c r="H592" s="27" t="s">
        <v>1768</v>
      </c>
      <c r="I592" s="32" t="n">
        <v>28.2449137582555</v>
      </c>
      <c r="J592" s="28" t="n">
        <v>221.791193171268</v>
      </c>
      <c r="K592" s="27"/>
    </row>
    <row r="593" customFormat="false" ht="15" hidden="false" customHeight="false" outlineLevel="0" collapsed="true">
      <c r="A593" s="35" t="n">
        <v>34</v>
      </c>
      <c r="B593" s="35" t="s">
        <v>24</v>
      </c>
      <c r="C593" s="35" t="s">
        <v>303</v>
      </c>
      <c r="D593" s="35" t="s">
        <v>461</v>
      </c>
      <c r="E593" s="35" t="s">
        <v>113</v>
      </c>
      <c r="F593" s="35" t="str">
        <f aca="false">COUNTIFS(Trechos!$L$2:$L$838,A593)&amp;" vãos"</f>
        <v>3 vãos</v>
      </c>
      <c r="G593" s="35"/>
      <c r="H593" s="35"/>
      <c r="I593" s="36" t="n">
        <f aca="false">SUMIFS(Trechos!$F$2:$F$838,Trechos!$L$2:$L$838,A593)</f>
        <v>23.5272145662876</v>
      </c>
      <c r="J593" s="35"/>
      <c r="K593" s="35"/>
      <c r="L593" s="35" t="s">
        <v>114</v>
      </c>
      <c r="M593" s="35" t="s">
        <v>54</v>
      </c>
      <c r="N593" s="35" t="str">
        <f aca="false">Blocos!BT35</f>
        <v>—</v>
      </c>
    </row>
    <row r="594" customFormat="false" ht="15" hidden="true" customHeight="false" outlineLevel="1" collapsed="false">
      <c r="F594" s="27" t="s">
        <v>1769</v>
      </c>
      <c r="G594" s="27" t="s">
        <v>1602</v>
      </c>
      <c r="H594" s="27" t="s">
        <v>1770</v>
      </c>
      <c r="I594" s="32" t="n">
        <v>4.40698922337228</v>
      </c>
      <c r="J594" s="28" t="n">
        <v>4.40698922337197</v>
      </c>
      <c r="K594" s="27"/>
    </row>
    <row r="595" customFormat="false" ht="15" hidden="true" customHeight="false" outlineLevel="1" collapsed="false">
      <c r="F595" s="27" t="s">
        <v>1771</v>
      </c>
      <c r="G595" s="27" t="s">
        <v>1770</v>
      </c>
      <c r="H595" s="27" t="s">
        <v>1772</v>
      </c>
      <c r="I595" s="32" t="n">
        <v>9.63305176597405</v>
      </c>
      <c r="J595" s="28" t="n">
        <v>14.0400409893464</v>
      </c>
      <c r="K595" s="27"/>
    </row>
    <row r="596" customFormat="false" ht="15" hidden="true" customHeight="false" outlineLevel="1" collapsed="false">
      <c r="F596" s="27" t="s">
        <v>1773</v>
      </c>
      <c r="G596" s="27" t="s">
        <v>1770</v>
      </c>
      <c r="H596" s="27" t="s">
        <v>1774</v>
      </c>
      <c r="I596" s="32" t="n">
        <v>9.48717357694129</v>
      </c>
      <c r="J596" s="28" t="n">
        <v>13.8941628003131</v>
      </c>
      <c r="K596" s="27"/>
    </row>
    <row r="597" customFormat="false" ht="15" hidden="false" customHeight="false" outlineLevel="0" collapsed="true">
      <c r="A597" s="35" t="n">
        <v>35</v>
      </c>
      <c r="B597" s="35" t="s">
        <v>24</v>
      </c>
      <c r="C597" s="35" t="s">
        <v>303</v>
      </c>
      <c r="D597" s="35" t="s">
        <v>461</v>
      </c>
      <c r="E597" s="35" t="s">
        <v>115</v>
      </c>
      <c r="F597" s="35" t="str">
        <f aca="false">COUNTIFS(Trechos!$L$2:$L$838,A597)&amp;" vãos"</f>
        <v>2 vãos</v>
      </c>
      <c r="G597" s="35"/>
      <c r="H597" s="35"/>
      <c r="I597" s="36" t="n">
        <f aca="false">SUMIFS(Trechos!$F$2:$F$838,Trechos!$L$2:$L$838,A597)</f>
        <v>14.9755209740523</v>
      </c>
      <c r="J597" s="35"/>
      <c r="K597" s="35"/>
      <c r="L597" s="35" t="s">
        <v>116</v>
      </c>
      <c r="M597" s="35" t="s">
        <v>54</v>
      </c>
      <c r="N597" s="35" t="str">
        <f aca="false">Blocos!BT36</f>
        <v>—</v>
      </c>
    </row>
    <row r="598" customFormat="false" ht="15" hidden="true" customHeight="false" outlineLevel="1" collapsed="false">
      <c r="F598" s="27" t="s">
        <v>1775</v>
      </c>
      <c r="G598" s="27" t="s">
        <v>1324</v>
      </c>
      <c r="H598" s="27" t="s">
        <v>1776</v>
      </c>
      <c r="I598" s="32" t="n">
        <v>5.88642000860117</v>
      </c>
      <c r="J598" s="28" t="n">
        <v>5.88642000860091</v>
      </c>
      <c r="K598" s="27"/>
    </row>
    <row r="599" customFormat="false" ht="15" hidden="true" customHeight="false" outlineLevel="1" collapsed="false">
      <c r="F599" s="27" t="s">
        <v>1777</v>
      </c>
      <c r="G599" s="27" t="s">
        <v>1776</v>
      </c>
      <c r="H599" s="27" t="s">
        <v>1778</v>
      </c>
      <c r="I599" s="32" t="n">
        <v>9.08910096545118</v>
      </c>
      <c r="J599" s="28" t="n">
        <v>14.9755209740524</v>
      </c>
      <c r="K599" s="27"/>
    </row>
    <row r="600" customFormat="false" ht="15" hidden="false" customHeight="false" outlineLevel="0" collapsed="true">
      <c r="A600" s="35" t="n">
        <v>36</v>
      </c>
      <c r="B600" s="35" t="s">
        <v>24</v>
      </c>
      <c r="C600" s="35" t="s">
        <v>303</v>
      </c>
      <c r="D600" s="35" t="s">
        <v>461</v>
      </c>
      <c r="E600" s="35" t="s">
        <v>117</v>
      </c>
      <c r="F600" s="35" t="str">
        <f aca="false">COUNTIFS(Trechos!$L$2:$L$838,A600)&amp;" vãos"</f>
        <v>1 vãos</v>
      </c>
      <c r="G600" s="35"/>
      <c r="H600" s="35"/>
      <c r="I600" s="36" t="n">
        <f aca="false">SUMIFS(Trechos!$F$2:$F$838,Trechos!$L$2:$L$838,A600)</f>
        <v>13.6181650270171</v>
      </c>
      <c r="J600" s="35"/>
      <c r="K600" s="35"/>
      <c r="L600" s="35" t="s">
        <v>118</v>
      </c>
      <c r="M600" s="35" t="s">
        <v>54</v>
      </c>
      <c r="N600" s="35" t="str">
        <f aca="false">Blocos!BT37</f>
        <v>—</v>
      </c>
    </row>
    <row r="601" customFormat="false" ht="15" hidden="true" customHeight="false" outlineLevel="1" collapsed="false">
      <c r="F601" s="27" t="s">
        <v>1779</v>
      </c>
      <c r="G601" s="27" t="s">
        <v>1373</v>
      </c>
      <c r="H601" s="27" t="s">
        <v>1780</v>
      </c>
      <c r="I601" s="32" t="n">
        <v>13.6181650270171</v>
      </c>
      <c r="J601" s="28" t="n">
        <v>13.6181650270173</v>
      </c>
      <c r="K601" s="27"/>
    </row>
    <row r="602" customFormat="false" ht="15" hidden="false" customHeight="false" outlineLevel="0" collapsed="true">
      <c r="A602" s="35" t="n">
        <v>37</v>
      </c>
      <c r="B602" s="35" t="s">
        <v>24</v>
      </c>
      <c r="C602" s="35" t="s">
        <v>303</v>
      </c>
      <c r="D602" s="35" t="s">
        <v>461</v>
      </c>
      <c r="E602" s="35" t="s">
        <v>119</v>
      </c>
      <c r="F602" s="35" t="str">
        <f aca="false">COUNTIFS(Trechos!$L$2:$L$838,A602)&amp;" vãos"</f>
        <v>11 vãos</v>
      </c>
      <c r="G602" s="35"/>
      <c r="H602" s="35"/>
      <c r="I602" s="36" t="n">
        <f aca="false">SUMIFS(Trechos!$F$2:$F$838,Trechos!$L$2:$L$838,A602)</f>
        <v>499.028674643975</v>
      </c>
      <c r="J602" s="35"/>
      <c r="K602" s="35"/>
      <c r="L602" s="35" t="s">
        <v>120</v>
      </c>
      <c r="M602" s="35" t="s">
        <v>54</v>
      </c>
      <c r="N602" s="35" t="str">
        <f aca="false">Blocos!BT38</f>
        <v>—</v>
      </c>
    </row>
    <row r="603" customFormat="false" ht="15" hidden="true" customHeight="false" outlineLevel="1" collapsed="false">
      <c r="F603" s="27" t="s">
        <v>1781</v>
      </c>
      <c r="G603" s="27" t="s">
        <v>1375</v>
      </c>
      <c r="H603" s="27" t="s">
        <v>1782</v>
      </c>
      <c r="I603" s="32" t="n">
        <v>38.9465952288891</v>
      </c>
      <c r="J603" s="28" t="n">
        <v>38.9465952288892</v>
      </c>
      <c r="K603" s="27"/>
    </row>
    <row r="604" customFormat="false" ht="15" hidden="true" customHeight="false" outlineLevel="1" collapsed="false">
      <c r="F604" s="27" t="s">
        <v>1783</v>
      </c>
      <c r="G604" s="27" t="s">
        <v>1782</v>
      </c>
      <c r="H604" s="27" t="s">
        <v>1784</v>
      </c>
      <c r="I604" s="32" t="n">
        <v>120.221354364754</v>
      </c>
      <c r="J604" s="28" t="n">
        <v>159.167949593643</v>
      </c>
      <c r="K604" s="27"/>
    </row>
    <row r="605" customFormat="false" ht="15" hidden="true" customHeight="false" outlineLevel="1" collapsed="false">
      <c r="F605" s="27" t="s">
        <v>1785</v>
      </c>
      <c r="G605" s="27" t="s">
        <v>1784</v>
      </c>
      <c r="H605" s="27" t="s">
        <v>1786</v>
      </c>
      <c r="I605" s="32" t="n">
        <v>13.9975173257529</v>
      </c>
      <c r="J605" s="28" t="n">
        <v>173.165466919396</v>
      </c>
      <c r="K605" s="27"/>
    </row>
    <row r="606" customFormat="false" ht="15" hidden="true" customHeight="false" outlineLevel="1" collapsed="false">
      <c r="F606" s="27" t="s">
        <v>1787</v>
      </c>
      <c r="G606" s="27" t="s">
        <v>1784</v>
      </c>
      <c r="H606" s="27" t="s">
        <v>1788</v>
      </c>
      <c r="I606" s="32" t="n">
        <v>79.9492375112228</v>
      </c>
      <c r="J606" s="28" t="n">
        <v>239.117187104866</v>
      </c>
      <c r="K606" s="27"/>
    </row>
    <row r="607" customFormat="false" ht="15" hidden="true" customHeight="false" outlineLevel="1" collapsed="false">
      <c r="F607" s="27" t="s">
        <v>1789</v>
      </c>
      <c r="G607" s="27" t="s">
        <v>1788</v>
      </c>
      <c r="H607" s="27" t="s">
        <v>1790</v>
      </c>
      <c r="I607" s="32" t="n">
        <v>31.3083331048289</v>
      </c>
      <c r="J607" s="28" t="n">
        <v>270.425520209696</v>
      </c>
      <c r="K607" s="27"/>
    </row>
    <row r="608" customFormat="false" ht="15" hidden="true" customHeight="false" outlineLevel="1" collapsed="false">
      <c r="F608" s="27" t="s">
        <v>1791</v>
      </c>
      <c r="G608" s="27" t="s">
        <v>1784</v>
      </c>
      <c r="H608" s="27" t="s">
        <v>1792</v>
      </c>
      <c r="I608" s="32" t="n">
        <v>14.9827087621032</v>
      </c>
      <c r="J608" s="28" t="n">
        <v>174.150658355747</v>
      </c>
      <c r="K608" s="27"/>
    </row>
    <row r="609" customFormat="false" ht="15" hidden="true" customHeight="false" outlineLevel="1" collapsed="false">
      <c r="F609" s="27" t="s">
        <v>1793</v>
      </c>
      <c r="G609" s="27" t="s">
        <v>1782</v>
      </c>
      <c r="H609" s="27" t="s">
        <v>1794</v>
      </c>
      <c r="I609" s="32" t="n">
        <v>3.57347025696645</v>
      </c>
      <c r="J609" s="28" t="n">
        <v>42.5200654858554</v>
      </c>
      <c r="K609" s="27"/>
    </row>
    <row r="610" customFormat="false" ht="15" hidden="true" customHeight="false" outlineLevel="1" collapsed="false">
      <c r="F610" s="27" t="s">
        <v>1795</v>
      </c>
      <c r="G610" s="27" t="s">
        <v>1794</v>
      </c>
      <c r="H610" s="27" t="s">
        <v>1796</v>
      </c>
      <c r="I610" s="32" t="n">
        <v>59.2359804569457</v>
      </c>
      <c r="J610" s="28" t="n">
        <v>101.756045942801</v>
      </c>
      <c r="K610" s="27"/>
    </row>
    <row r="611" customFormat="false" ht="15" hidden="true" customHeight="false" outlineLevel="1" collapsed="false">
      <c r="F611" s="27" t="s">
        <v>1797</v>
      </c>
      <c r="G611" s="27" t="s">
        <v>1796</v>
      </c>
      <c r="H611" s="27" t="s">
        <v>1798</v>
      </c>
      <c r="I611" s="32" t="n">
        <v>3.10840369118787</v>
      </c>
      <c r="J611" s="28" t="n">
        <v>104.864449633989</v>
      </c>
      <c r="K611" s="27"/>
    </row>
    <row r="612" customFormat="false" ht="15" hidden="true" customHeight="false" outlineLevel="1" collapsed="false">
      <c r="F612" s="27" t="s">
        <v>1799</v>
      </c>
      <c r="G612" s="27" t="s">
        <v>1798</v>
      </c>
      <c r="H612" s="27" t="s">
        <v>1800</v>
      </c>
      <c r="I612" s="32" t="n">
        <v>98.9323594440273</v>
      </c>
      <c r="J612" s="28" t="n">
        <v>203.796809078017</v>
      </c>
      <c r="K612" s="27"/>
    </row>
    <row r="613" customFormat="false" ht="15" hidden="true" customHeight="false" outlineLevel="1" collapsed="false">
      <c r="F613" s="27" t="s">
        <v>1801</v>
      </c>
      <c r="G613" s="27" t="s">
        <v>1800</v>
      </c>
      <c r="H613" s="27" t="s">
        <v>1802</v>
      </c>
      <c r="I613" s="32" t="n">
        <v>34.7727144972965</v>
      </c>
      <c r="J613" s="28" t="n">
        <v>238.569523575314</v>
      </c>
      <c r="K613" s="27"/>
    </row>
    <row r="614" customFormat="false" ht="15" hidden="false" customHeight="false" outlineLevel="0" collapsed="true">
      <c r="A614" s="35" t="n">
        <v>38</v>
      </c>
      <c r="B614" s="35" t="s">
        <v>24</v>
      </c>
      <c r="C614" s="35" t="s">
        <v>303</v>
      </c>
      <c r="D614" s="35" t="s">
        <v>461</v>
      </c>
      <c r="E614" s="35" t="s">
        <v>121</v>
      </c>
      <c r="F614" s="35" t="str">
        <f aca="false">COUNTIFS(Trechos!$L$2:$L$838,A614)&amp;" vãos"</f>
        <v>1 vãos</v>
      </c>
      <c r="G614" s="35"/>
      <c r="H614" s="35"/>
      <c r="I614" s="36" t="n">
        <f aca="false">SUMIFS(Trechos!$F$2:$F$838,Trechos!$L$2:$L$838,A614)</f>
        <v>99.536474084685</v>
      </c>
      <c r="J614" s="35"/>
      <c r="K614" s="35"/>
      <c r="L614" s="35" t="s">
        <v>122</v>
      </c>
      <c r="M614" s="35" t="s">
        <v>54</v>
      </c>
      <c r="N614" s="35" t="str">
        <f aca="false">Blocos!BT39</f>
        <v>—</v>
      </c>
    </row>
    <row r="615" customFormat="false" ht="15" hidden="true" customHeight="false" outlineLevel="1" collapsed="false">
      <c r="F615" s="27" t="s">
        <v>1803</v>
      </c>
      <c r="G615" s="27" t="s">
        <v>1379</v>
      </c>
      <c r="H615" s="27" t="s">
        <v>1804</v>
      </c>
      <c r="I615" s="32" t="n">
        <v>99.536474084685</v>
      </c>
      <c r="J615" s="28" t="n">
        <v>99.5364740846853</v>
      </c>
      <c r="K615" s="27"/>
    </row>
    <row r="616" customFormat="false" ht="15" hidden="false" customHeight="false" outlineLevel="0" collapsed="true">
      <c r="A616" s="35" t="n">
        <v>39</v>
      </c>
      <c r="B616" s="35" t="s">
        <v>24</v>
      </c>
      <c r="C616" s="35" t="s">
        <v>303</v>
      </c>
      <c r="D616" s="35" t="s">
        <v>461</v>
      </c>
      <c r="E616" s="35" t="s">
        <v>123</v>
      </c>
      <c r="F616" s="35" t="str">
        <f aca="false">COUNTIFS(Trechos!$L$2:$L$838,A616)&amp;" vãos"</f>
        <v>7 vãos</v>
      </c>
      <c r="G616" s="35"/>
      <c r="H616" s="35"/>
      <c r="I616" s="36" t="n">
        <f aca="false">SUMIFS(Trechos!$F$2:$F$838,Trechos!$L$2:$L$838,A616)</f>
        <v>438.92528121548</v>
      </c>
      <c r="J616" s="35"/>
      <c r="K616" s="35"/>
      <c r="L616" s="35" t="s">
        <v>124</v>
      </c>
      <c r="M616" s="35" t="s">
        <v>54</v>
      </c>
      <c r="N616" s="35" t="str">
        <f aca="false">Blocos!BT40</f>
        <v>—</v>
      </c>
    </row>
    <row r="617" customFormat="false" ht="15" hidden="true" customHeight="false" outlineLevel="1" collapsed="false">
      <c r="F617" s="27" t="s">
        <v>1805</v>
      </c>
      <c r="G617" s="27" t="s">
        <v>1397</v>
      </c>
      <c r="H617" s="27" t="s">
        <v>1806</v>
      </c>
      <c r="I617" s="32" t="n">
        <v>32.0944397337068</v>
      </c>
      <c r="J617" s="28" t="n">
        <v>32.0944397337071</v>
      </c>
      <c r="K617" s="27"/>
    </row>
    <row r="618" customFormat="false" ht="15" hidden="true" customHeight="false" outlineLevel="1" collapsed="false">
      <c r="F618" s="27" t="s">
        <v>1807</v>
      </c>
      <c r="G618" s="27" t="s">
        <v>1806</v>
      </c>
      <c r="H618" s="27" t="s">
        <v>1808</v>
      </c>
      <c r="I618" s="32" t="n">
        <v>1.89824230685377</v>
      </c>
      <c r="J618" s="28" t="n">
        <v>33.9926820405608</v>
      </c>
      <c r="K618" s="27"/>
    </row>
    <row r="619" customFormat="false" ht="15" hidden="true" customHeight="false" outlineLevel="1" collapsed="false">
      <c r="F619" s="27" t="s">
        <v>1809</v>
      </c>
      <c r="G619" s="27" t="s">
        <v>1808</v>
      </c>
      <c r="H619" s="27" t="s">
        <v>1810</v>
      </c>
      <c r="I619" s="32" t="n">
        <v>26.7746538574864</v>
      </c>
      <c r="J619" s="28" t="n">
        <v>60.7673358980474</v>
      </c>
      <c r="K619" s="27"/>
    </row>
    <row r="620" customFormat="false" ht="15" hidden="true" customHeight="false" outlineLevel="1" collapsed="false">
      <c r="F620" s="27" t="s">
        <v>1811</v>
      </c>
      <c r="G620" s="27" t="s">
        <v>1810</v>
      </c>
      <c r="H620" s="27" t="s">
        <v>1812</v>
      </c>
      <c r="I620" s="32" t="n">
        <v>170.584331802889</v>
      </c>
      <c r="J620" s="28" t="n">
        <v>231.351667700937</v>
      </c>
      <c r="K620" s="27"/>
    </row>
    <row r="621" customFormat="false" ht="15" hidden="true" customHeight="false" outlineLevel="1" collapsed="false">
      <c r="F621" s="27" t="s">
        <v>1813</v>
      </c>
      <c r="G621" s="27" t="s">
        <v>1812</v>
      </c>
      <c r="H621" s="27" t="s">
        <v>1814</v>
      </c>
      <c r="I621" s="32" t="n">
        <v>126.919084028774</v>
      </c>
      <c r="J621" s="28" t="n">
        <v>358.27075172971</v>
      </c>
      <c r="K621" s="27"/>
    </row>
    <row r="622" customFormat="false" ht="15" hidden="true" customHeight="false" outlineLevel="1" collapsed="false">
      <c r="F622" s="27" t="s">
        <v>1815</v>
      </c>
      <c r="G622" s="27" t="s">
        <v>1814</v>
      </c>
      <c r="H622" s="27" t="s">
        <v>1816</v>
      </c>
      <c r="I622" s="32" t="n">
        <v>38.5852951537019</v>
      </c>
      <c r="J622" s="28" t="n">
        <v>396.856046883412</v>
      </c>
      <c r="K622" s="27"/>
    </row>
    <row r="623" customFormat="false" ht="15" hidden="true" customHeight="false" outlineLevel="1" collapsed="false">
      <c r="F623" s="27" t="s">
        <v>1817</v>
      </c>
      <c r="G623" s="27" t="s">
        <v>1806</v>
      </c>
      <c r="H623" s="27" t="s">
        <v>1818</v>
      </c>
      <c r="I623" s="32" t="n">
        <v>42.0692343320687</v>
      </c>
      <c r="J623" s="28" t="n">
        <v>74.1636740657759</v>
      </c>
      <c r="K623" s="27"/>
    </row>
    <row r="624" customFormat="false" ht="15" hidden="false" customHeight="false" outlineLevel="0" collapsed="true">
      <c r="A624" s="35" t="n">
        <v>40</v>
      </c>
      <c r="B624" s="35" t="s">
        <v>24</v>
      </c>
      <c r="C624" s="35" t="s">
        <v>303</v>
      </c>
      <c r="D624" s="35" t="s">
        <v>461</v>
      </c>
      <c r="E624" s="35" t="s">
        <v>125</v>
      </c>
      <c r="F624" s="35" t="str">
        <f aca="false">COUNTIFS(Trechos!$L$2:$L$838,A624)&amp;" vãos"</f>
        <v>6 vãos</v>
      </c>
      <c r="G624" s="35"/>
      <c r="H624" s="35"/>
      <c r="I624" s="36" t="n">
        <f aca="false">SUMIFS(Trechos!$F$2:$F$838,Trechos!$L$2:$L$838,A624)</f>
        <v>411.997129045167</v>
      </c>
      <c r="J624" s="35"/>
      <c r="K624" s="35"/>
      <c r="L624" s="35" t="s">
        <v>126</v>
      </c>
      <c r="M624" s="35" t="s">
        <v>54</v>
      </c>
      <c r="N624" s="35" t="str">
        <f aca="false">Blocos!BT41</f>
        <v>0210950004</v>
      </c>
    </row>
    <row r="625" customFormat="false" ht="15" hidden="true" customHeight="false" outlineLevel="1" collapsed="false">
      <c r="F625" s="27" t="s">
        <v>1819</v>
      </c>
      <c r="G625" s="27" t="s">
        <v>1407</v>
      </c>
      <c r="H625" s="27" t="s">
        <v>1820</v>
      </c>
      <c r="I625" s="32" t="n">
        <v>42.0532637491271</v>
      </c>
      <c r="J625" s="28" t="n">
        <v>42.0532637491274</v>
      </c>
      <c r="K625" s="27"/>
    </row>
    <row r="626" customFormat="false" ht="15" hidden="true" customHeight="false" outlineLevel="1" collapsed="false">
      <c r="F626" s="27" t="s">
        <v>1821</v>
      </c>
      <c r="G626" s="27" t="s">
        <v>1820</v>
      </c>
      <c r="H626" s="27" t="s">
        <v>1822</v>
      </c>
      <c r="I626" s="32" t="n">
        <v>3.80631610945215</v>
      </c>
      <c r="J626" s="28" t="n">
        <v>45.8595798585798</v>
      </c>
      <c r="K626" s="27"/>
    </row>
    <row r="627" customFormat="false" ht="15" hidden="true" customHeight="false" outlineLevel="1" collapsed="false">
      <c r="F627" s="27" t="s">
        <v>1823</v>
      </c>
      <c r="G627" s="27" t="s">
        <v>1822</v>
      </c>
      <c r="H627" s="27" t="s">
        <v>1824</v>
      </c>
      <c r="I627" s="32" t="n">
        <v>276.246565437031</v>
      </c>
      <c r="J627" s="28" t="n">
        <v>322.106145295611</v>
      </c>
      <c r="K627" s="27"/>
    </row>
    <row r="628" customFormat="false" ht="15" hidden="true" customHeight="false" outlineLevel="1" collapsed="false">
      <c r="F628" s="27" t="s">
        <v>1825</v>
      </c>
      <c r="G628" s="27" t="s">
        <v>1824</v>
      </c>
      <c r="H628" s="27" t="s">
        <v>1826</v>
      </c>
      <c r="I628" s="32" t="n">
        <v>3.70096254234974</v>
      </c>
      <c r="J628" s="28" t="n">
        <v>325.80710783796</v>
      </c>
      <c r="K628" s="27"/>
    </row>
    <row r="629" customFormat="false" ht="15" hidden="true" customHeight="false" outlineLevel="1" collapsed="false">
      <c r="F629" s="27" t="s">
        <v>1827</v>
      </c>
      <c r="G629" s="27" t="s">
        <v>1826</v>
      </c>
      <c r="H629" s="27" t="s">
        <v>1828</v>
      </c>
      <c r="I629" s="32" t="n">
        <v>82.7819056197388</v>
      </c>
      <c r="J629" s="28" t="n">
        <v>408.589013457699</v>
      </c>
      <c r="K629" s="27"/>
    </row>
    <row r="630" customFormat="false" ht="15" hidden="true" customHeight="false" outlineLevel="1" collapsed="false">
      <c r="F630" s="27" t="s">
        <v>1829</v>
      </c>
      <c r="G630" s="27" t="s">
        <v>1828</v>
      </c>
      <c r="H630" s="27" t="s">
        <v>1830</v>
      </c>
      <c r="I630" s="32" t="n">
        <v>3.40811558746874</v>
      </c>
      <c r="J630" s="28" t="n">
        <v>411.997129045168</v>
      </c>
      <c r="K630" s="27"/>
    </row>
    <row r="631" customFormat="false" ht="15" hidden="false" customHeight="false" outlineLevel="0" collapsed="true">
      <c r="A631" s="35" t="n">
        <v>41</v>
      </c>
      <c r="B631" s="35" t="s">
        <v>24</v>
      </c>
      <c r="C631" s="35" t="s">
        <v>303</v>
      </c>
      <c r="D631" s="35" t="s">
        <v>461</v>
      </c>
      <c r="E631" s="35" t="s">
        <v>126</v>
      </c>
      <c r="F631" s="35" t="str">
        <f aca="false">COUNTIFS(Trechos!$L$2:$L$838,A631)&amp;" vãos"</f>
        <v>2 vãos</v>
      </c>
      <c r="G631" s="35"/>
      <c r="H631" s="35"/>
      <c r="I631" s="36" t="n">
        <f aca="false">SUMIFS(Trechos!$F$2:$F$838,Trechos!$L$2:$L$838,A631)</f>
        <v>59.6121722731697</v>
      </c>
      <c r="J631" s="35"/>
      <c r="K631" s="35"/>
      <c r="L631" s="35" t="s">
        <v>127</v>
      </c>
      <c r="M631" s="35" t="s">
        <v>54</v>
      </c>
      <c r="N631" s="35" t="str">
        <f aca="false">Blocos!BT42</f>
        <v>—</v>
      </c>
    </row>
    <row r="632" customFormat="false" ht="15" hidden="true" customHeight="false" outlineLevel="1" collapsed="false">
      <c r="F632" s="27" t="s">
        <v>1831</v>
      </c>
      <c r="G632" s="27" t="s">
        <v>1830</v>
      </c>
      <c r="H632" s="27" t="s">
        <v>1832</v>
      </c>
      <c r="I632" s="32" t="n">
        <v>31.0964604467504</v>
      </c>
      <c r="J632" s="28" t="n">
        <v>31.0964604467508</v>
      </c>
      <c r="K632" s="27"/>
    </row>
    <row r="633" customFormat="false" ht="15" hidden="true" customHeight="false" outlineLevel="1" collapsed="false">
      <c r="F633" s="27" t="s">
        <v>1833</v>
      </c>
      <c r="G633" s="27" t="s">
        <v>1832</v>
      </c>
      <c r="H633" s="27" t="s">
        <v>1834</v>
      </c>
      <c r="I633" s="32" t="n">
        <v>28.5157118264193</v>
      </c>
      <c r="J633" s="28" t="n">
        <v>59.6121722731705</v>
      </c>
      <c r="K633" s="27"/>
    </row>
    <row r="634" customFormat="false" ht="15" hidden="false" customHeight="false" outlineLevel="0" collapsed="true">
      <c r="A634" s="35" t="n">
        <v>42</v>
      </c>
      <c r="B634" s="35" t="s">
        <v>24</v>
      </c>
      <c r="C634" s="35" t="s">
        <v>303</v>
      </c>
      <c r="D634" s="35" t="s">
        <v>461</v>
      </c>
      <c r="E634" s="35" t="s">
        <v>128</v>
      </c>
      <c r="F634" s="35" t="str">
        <f aca="false">COUNTIFS(Trechos!$L$2:$L$838,A634)&amp;" vãos"</f>
        <v>6 vãos</v>
      </c>
      <c r="G634" s="35"/>
      <c r="H634" s="35"/>
      <c r="I634" s="36" t="n">
        <f aca="false">SUMIFS(Trechos!$F$2:$F$838,Trechos!$L$2:$L$838,A634)</f>
        <v>1387.10887729362</v>
      </c>
      <c r="J634" s="35"/>
      <c r="K634" s="35"/>
      <c r="L634" s="35" t="s">
        <v>129</v>
      </c>
      <c r="M634" s="35" t="s">
        <v>54</v>
      </c>
      <c r="N634" s="35" t="str">
        <f aca="false">Blocos!BT43</f>
        <v>0301839004</v>
      </c>
    </row>
    <row r="635" customFormat="false" ht="15" hidden="true" customHeight="false" outlineLevel="1" collapsed="false">
      <c r="F635" s="27" t="s">
        <v>1835</v>
      </c>
      <c r="G635" s="27" t="s">
        <v>1415</v>
      </c>
      <c r="H635" s="27" t="s">
        <v>1836</v>
      </c>
      <c r="I635" s="32" t="n">
        <v>574.402392137076</v>
      </c>
      <c r="J635" s="28" t="n">
        <v>574.402392137076</v>
      </c>
      <c r="K635" s="27"/>
    </row>
    <row r="636" customFormat="false" ht="15" hidden="true" customHeight="false" outlineLevel="1" collapsed="false">
      <c r="F636" s="27" t="s">
        <v>1837</v>
      </c>
      <c r="G636" s="27" t="s">
        <v>1836</v>
      </c>
      <c r="H636" s="27" t="s">
        <v>1838</v>
      </c>
      <c r="I636" s="32" t="n">
        <v>3.67079243215336</v>
      </c>
      <c r="J636" s="28" t="n">
        <v>578.073184569229</v>
      </c>
      <c r="K636" s="27"/>
    </row>
    <row r="637" customFormat="false" ht="15" hidden="true" customHeight="false" outlineLevel="1" collapsed="false">
      <c r="F637" s="27" t="s">
        <v>1839</v>
      </c>
      <c r="G637" s="27" t="s">
        <v>1838</v>
      </c>
      <c r="H637" s="27" t="s">
        <v>1840</v>
      </c>
      <c r="I637" s="32" t="n">
        <v>140.541261778963</v>
      </c>
      <c r="J637" s="28" t="n">
        <v>718.614446348192</v>
      </c>
      <c r="K637" s="27"/>
    </row>
    <row r="638" customFormat="false" ht="15" hidden="true" customHeight="false" outlineLevel="1" collapsed="false">
      <c r="F638" s="27" t="s">
        <v>1841</v>
      </c>
      <c r="G638" s="27" t="s">
        <v>1840</v>
      </c>
      <c r="H638" s="27" t="s">
        <v>1842</v>
      </c>
      <c r="I638" s="32" t="n">
        <v>3.67079571596624</v>
      </c>
      <c r="J638" s="28" t="n">
        <v>722.285242064158</v>
      </c>
      <c r="K638" s="27"/>
    </row>
    <row r="639" customFormat="false" ht="15" hidden="true" customHeight="false" outlineLevel="1" collapsed="false">
      <c r="F639" s="27" t="s">
        <v>1843</v>
      </c>
      <c r="G639" s="27" t="s">
        <v>1842</v>
      </c>
      <c r="H639" s="27" t="s">
        <v>1844</v>
      </c>
      <c r="I639" s="32" t="n">
        <v>649.830911296674</v>
      </c>
      <c r="J639" s="28" t="n">
        <v>1372.11615336083</v>
      </c>
      <c r="K639" s="27"/>
    </row>
    <row r="640" customFormat="false" ht="15" hidden="true" customHeight="false" outlineLevel="1" collapsed="false">
      <c r="F640" s="27" t="s">
        <v>1845</v>
      </c>
      <c r="G640" s="27" t="s">
        <v>1844</v>
      </c>
      <c r="H640" s="27" t="s">
        <v>1846</v>
      </c>
      <c r="I640" s="32" t="n">
        <v>14.9927239327877</v>
      </c>
      <c r="J640" s="28" t="n">
        <v>1387.10887729362</v>
      </c>
      <c r="K640" s="27"/>
    </row>
    <row r="641" customFormat="false" ht="15" hidden="false" customHeight="false" outlineLevel="0" collapsed="true">
      <c r="A641" s="35" t="n">
        <v>43</v>
      </c>
      <c r="B641" s="35" t="s">
        <v>24</v>
      </c>
      <c r="C641" s="35" t="s">
        <v>303</v>
      </c>
      <c r="D641" s="35" t="s">
        <v>461</v>
      </c>
      <c r="E641" s="35" t="s">
        <v>129</v>
      </c>
      <c r="F641" s="35" t="str">
        <f aca="false">COUNTIFS(Trechos!$L$2:$L$838,A641)&amp;" vãos"</f>
        <v>1 vãos</v>
      </c>
      <c r="G641" s="35"/>
      <c r="H641" s="35"/>
      <c r="I641" s="36" t="n">
        <f aca="false">SUMIFS(Trechos!$F$2:$F$838,Trechos!$L$2:$L$838,A641)</f>
        <v>281.305385439173</v>
      </c>
      <c r="J641" s="35"/>
      <c r="K641" s="35"/>
      <c r="L641" s="35" t="s">
        <v>130</v>
      </c>
      <c r="M641" s="35" t="s">
        <v>54</v>
      </c>
      <c r="N641" s="35" t="str">
        <f aca="false">Blocos!BT44</f>
        <v>—</v>
      </c>
    </row>
    <row r="642" customFormat="false" ht="15" hidden="true" customHeight="false" outlineLevel="1" collapsed="false">
      <c r="F642" s="27" t="s">
        <v>1847</v>
      </c>
      <c r="G642" s="27" t="s">
        <v>1846</v>
      </c>
      <c r="H642" s="27" t="s">
        <v>1848</v>
      </c>
      <c r="I642" s="32" t="n">
        <v>281.305385439173</v>
      </c>
      <c r="J642" s="28" t="n">
        <v>281.305385439173</v>
      </c>
      <c r="K642" s="27"/>
    </row>
    <row r="643" customFormat="false" ht="15" hidden="false" customHeight="false" outlineLevel="0" collapsed="true">
      <c r="A643" s="35" t="n">
        <v>44</v>
      </c>
      <c r="B643" s="35" t="s">
        <v>24</v>
      </c>
      <c r="C643" s="35" t="s">
        <v>303</v>
      </c>
      <c r="D643" s="35" t="s">
        <v>461</v>
      </c>
      <c r="E643" s="35" t="s">
        <v>131</v>
      </c>
      <c r="F643" s="35" t="str">
        <f aca="false">COUNTIFS(Trechos!$L$2:$L$838,A643)&amp;" vãos"</f>
        <v>2 vãos</v>
      </c>
      <c r="G643" s="35"/>
      <c r="H643" s="35"/>
      <c r="I643" s="36" t="n">
        <f aca="false">SUMIFS(Trechos!$F$2:$F$838,Trechos!$L$2:$L$838,A643)</f>
        <v>36.5036013188628</v>
      </c>
      <c r="J643" s="35"/>
      <c r="K643" s="35"/>
      <c r="L643" s="35" t="s">
        <v>132</v>
      </c>
      <c r="M643" s="35" t="s">
        <v>54</v>
      </c>
      <c r="N643" s="35" t="str">
        <f aca="false">Blocos!BT45</f>
        <v>—</v>
      </c>
    </row>
    <row r="644" customFormat="false" ht="15" hidden="true" customHeight="false" outlineLevel="1" collapsed="false">
      <c r="F644" s="27" t="s">
        <v>1849</v>
      </c>
      <c r="G644" s="27" t="s">
        <v>1417</v>
      </c>
      <c r="H644" s="27" t="s">
        <v>1850</v>
      </c>
      <c r="I644" s="32" t="n">
        <v>22.5536635390212</v>
      </c>
      <c r="J644" s="28" t="n">
        <v>22.5536635390213</v>
      </c>
      <c r="K644" s="27"/>
    </row>
    <row r="645" customFormat="false" ht="15" hidden="true" customHeight="false" outlineLevel="1" collapsed="false">
      <c r="F645" s="27" t="s">
        <v>1851</v>
      </c>
      <c r="G645" s="27" t="s">
        <v>1850</v>
      </c>
      <c r="H645" s="27" t="s">
        <v>1852</v>
      </c>
      <c r="I645" s="32" t="n">
        <v>13.9499377798416</v>
      </c>
      <c r="J645" s="28" t="n">
        <v>36.5036013188628</v>
      </c>
      <c r="K645" s="27"/>
    </row>
    <row r="646" customFormat="false" ht="15" hidden="false" customHeight="false" outlineLevel="0" collapsed="true">
      <c r="A646" s="35" t="n">
        <v>45</v>
      </c>
      <c r="B646" s="35" t="s">
        <v>24</v>
      </c>
      <c r="C646" s="35" t="s">
        <v>303</v>
      </c>
      <c r="D646" s="35" t="s">
        <v>461</v>
      </c>
      <c r="E646" s="35" t="s">
        <v>133</v>
      </c>
      <c r="F646" s="35" t="str">
        <f aca="false">COUNTIFS(Trechos!$L$2:$L$838,A646)&amp;" vãos"</f>
        <v>2 vãos</v>
      </c>
      <c r="G646" s="35"/>
      <c r="H646" s="35"/>
      <c r="I646" s="36" t="n">
        <f aca="false">SUMIFS(Trechos!$F$2:$F$838,Trechos!$L$2:$L$838,A646)</f>
        <v>5.21714313214573</v>
      </c>
      <c r="J646" s="35"/>
      <c r="K646" s="35"/>
      <c r="L646" s="35" t="s">
        <v>134</v>
      </c>
      <c r="M646" s="35" t="s">
        <v>54</v>
      </c>
      <c r="N646" s="35" t="str">
        <f aca="false">Blocos!BT46</f>
        <v>—</v>
      </c>
    </row>
    <row r="647" customFormat="false" ht="15" hidden="true" customHeight="false" outlineLevel="1" collapsed="false">
      <c r="F647" s="27" t="s">
        <v>1853</v>
      </c>
      <c r="G647" s="27" t="s">
        <v>1421</v>
      </c>
      <c r="H647" s="27" t="s">
        <v>1854</v>
      </c>
      <c r="I647" s="32" t="n">
        <v>2.23579785254605</v>
      </c>
      <c r="J647" s="28" t="n">
        <v>2.23579785254606</v>
      </c>
      <c r="K647" s="27"/>
    </row>
    <row r="648" customFormat="false" ht="15" hidden="true" customHeight="false" outlineLevel="1" collapsed="false">
      <c r="F648" s="27" t="s">
        <v>1855</v>
      </c>
      <c r="G648" s="27" t="s">
        <v>1854</v>
      </c>
      <c r="H648" s="27" t="s">
        <v>1856</v>
      </c>
      <c r="I648" s="32" t="n">
        <v>2.98134527959968</v>
      </c>
      <c r="J648" s="28" t="n">
        <v>5.21714313214579</v>
      </c>
      <c r="K648" s="27"/>
    </row>
    <row r="649" customFormat="false" ht="15" hidden="false" customHeight="false" outlineLevel="0" collapsed="true">
      <c r="A649" s="35" t="n">
        <v>46</v>
      </c>
      <c r="B649" s="35" t="s">
        <v>24</v>
      </c>
      <c r="C649" s="35" t="s">
        <v>303</v>
      </c>
      <c r="D649" s="35" t="s">
        <v>461</v>
      </c>
      <c r="E649" s="35" t="s">
        <v>135</v>
      </c>
      <c r="F649" s="35" t="str">
        <f aca="false">COUNTIFS(Trechos!$L$2:$L$838,A649)&amp;" vãos"</f>
        <v>2 vãos</v>
      </c>
      <c r="G649" s="35"/>
      <c r="H649" s="35"/>
      <c r="I649" s="36" t="n">
        <f aca="false">SUMIFS(Trechos!$F$2:$F$838,Trechos!$L$2:$L$838,A649)</f>
        <v>21.9975305593168</v>
      </c>
      <c r="J649" s="35"/>
      <c r="K649" s="35"/>
      <c r="L649" s="35" t="s">
        <v>136</v>
      </c>
      <c r="M649" s="35" t="s">
        <v>54</v>
      </c>
      <c r="N649" s="35" t="str">
        <f aca="false">Blocos!BT47</f>
        <v>—</v>
      </c>
    </row>
    <row r="650" customFormat="false" ht="15" hidden="true" customHeight="false" outlineLevel="1" collapsed="false">
      <c r="F650" s="27" t="s">
        <v>1857</v>
      </c>
      <c r="G650" s="27" t="s">
        <v>1423</v>
      </c>
      <c r="H650" s="27" t="s">
        <v>1858</v>
      </c>
      <c r="I650" s="32" t="n">
        <v>8.86978129728607</v>
      </c>
      <c r="J650" s="28" t="n">
        <v>8.86978129728595</v>
      </c>
      <c r="K650" s="27"/>
    </row>
    <row r="651" customFormat="false" ht="15" hidden="true" customHeight="false" outlineLevel="1" collapsed="false">
      <c r="F651" s="27" t="s">
        <v>1859</v>
      </c>
      <c r="G651" s="27" t="s">
        <v>1858</v>
      </c>
      <c r="H651" s="27" t="s">
        <v>1860</v>
      </c>
      <c r="I651" s="32" t="n">
        <v>13.1277492620308</v>
      </c>
      <c r="J651" s="28" t="n">
        <v>21.9975305593166</v>
      </c>
      <c r="K651" s="27"/>
    </row>
    <row r="652" customFormat="false" ht="15" hidden="false" customHeight="false" outlineLevel="0" collapsed="true">
      <c r="A652" s="35" t="n">
        <v>47</v>
      </c>
      <c r="B652" s="35" t="s">
        <v>24</v>
      </c>
      <c r="C652" s="35" t="s">
        <v>303</v>
      </c>
      <c r="D652" s="35" t="s">
        <v>461</v>
      </c>
      <c r="E652" s="35" t="s">
        <v>137</v>
      </c>
      <c r="F652" s="35" t="str">
        <f aca="false">COUNTIFS(Trechos!$L$2:$L$838,A652)&amp;" vãos"</f>
        <v>17 vãos</v>
      </c>
      <c r="G652" s="35"/>
      <c r="H652" s="35"/>
      <c r="I652" s="36" t="n">
        <f aca="false">SUMIFS(Trechos!$F$2:$F$838,Trechos!$L$2:$L$838,A652)</f>
        <v>934.40969699882</v>
      </c>
      <c r="J652" s="35"/>
      <c r="K652" s="35"/>
      <c r="L652" s="35" t="s">
        <v>138</v>
      </c>
      <c r="M652" s="35" t="s">
        <v>54</v>
      </c>
      <c r="N652" s="35" t="str">
        <f aca="false">Blocos!BT48</f>
        <v>0354093004</v>
      </c>
    </row>
    <row r="653" customFormat="false" ht="15" hidden="true" customHeight="false" outlineLevel="1" collapsed="false">
      <c r="F653" s="27" t="s">
        <v>1861</v>
      </c>
      <c r="G653" s="27" t="s">
        <v>1473</v>
      </c>
      <c r="H653" s="27" t="s">
        <v>1862</v>
      </c>
      <c r="I653" s="32" t="n">
        <v>72.3475733829127</v>
      </c>
      <c r="J653" s="28" t="n">
        <v>72.3475733829127</v>
      </c>
      <c r="K653" s="27"/>
    </row>
    <row r="654" customFormat="false" ht="15" hidden="true" customHeight="false" outlineLevel="1" collapsed="false">
      <c r="F654" s="27" t="s">
        <v>1863</v>
      </c>
      <c r="G654" s="27" t="s">
        <v>1862</v>
      </c>
      <c r="H654" s="27" t="s">
        <v>1864</v>
      </c>
      <c r="I654" s="32" t="n">
        <v>2.57841907563679</v>
      </c>
      <c r="J654" s="28" t="n">
        <v>74.9259924585494</v>
      </c>
      <c r="K654" s="27"/>
    </row>
    <row r="655" customFormat="false" ht="15" hidden="true" customHeight="false" outlineLevel="1" collapsed="false">
      <c r="F655" s="27" t="s">
        <v>1865</v>
      </c>
      <c r="G655" s="27" t="s">
        <v>1864</v>
      </c>
      <c r="H655" s="27" t="s">
        <v>1866</v>
      </c>
      <c r="I655" s="32" t="n">
        <v>151.19412393267</v>
      </c>
      <c r="J655" s="28" t="n">
        <v>226.120116391219</v>
      </c>
      <c r="K655" s="27"/>
    </row>
    <row r="656" customFormat="false" ht="15" hidden="true" customHeight="false" outlineLevel="1" collapsed="false">
      <c r="F656" s="27" t="s">
        <v>1867</v>
      </c>
      <c r="G656" s="27" t="s">
        <v>1866</v>
      </c>
      <c r="H656" s="27" t="s">
        <v>1868</v>
      </c>
      <c r="I656" s="32" t="n">
        <v>2.48468301833826</v>
      </c>
      <c r="J656" s="28" t="n">
        <v>228.604799409557</v>
      </c>
      <c r="K656" s="27"/>
    </row>
    <row r="657" customFormat="false" ht="15" hidden="true" customHeight="false" outlineLevel="1" collapsed="false">
      <c r="F657" s="27" t="s">
        <v>1869</v>
      </c>
      <c r="G657" s="27" t="s">
        <v>1868</v>
      </c>
      <c r="H657" s="27" t="s">
        <v>1870</v>
      </c>
      <c r="I657" s="32" t="n">
        <v>125.316337305587</v>
      </c>
      <c r="J657" s="28" t="n">
        <v>353.921136715144</v>
      </c>
      <c r="K657" s="27"/>
    </row>
    <row r="658" customFormat="false" ht="15" hidden="true" customHeight="false" outlineLevel="1" collapsed="false">
      <c r="F658" s="27" t="s">
        <v>1871</v>
      </c>
      <c r="G658" s="27" t="s">
        <v>1870</v>
      </c>
      <c r="H658" s="27" t="s">
        <v>1872</v>
      </c>
      <c r="I658" s="32" t="n">
        <v>2.79301583360027</v>
      </c>
      <c r="J658" s="28" t="n">
        <v>356.714152548745</v>
      </c>
      <c r="K658" s="27"/>
    </row>
    <row r="659" customFormat="false" ht="15" hidden="true" customHeight="false" outlineLevel="1" collapsed="false">
      <c r="F659" s="27" t="s">
        <v>1873</v>
      </c>
      <c r="G659" s="27" t="s">
        <v>1872</v>
      </c>
      <c r="H659" s="27" t="s">
        <v>1874</v>
      </c>
      <c r="I659" s="32" t="n">
        <v>23.4054929135912</v>
      </c>
      <c r="J659" s="28" t="n">
        <v>380.119645462336</v>
      </c>
      <c r="K659" s="27"/>
    </row>
    <row r="660" customFormat="false" ht="15" hidden="true" customHeight="false" outlineLevel="1" collapsed="false">
      <c r="F660" s="27" t="s">
        <v>1875</v>
      </c>
      <c r="G660" s="27" t="s">
        <v>1874</v>
      </c>
      <c r="H660" s="27" t="s">
        <v>1876</v>
      </c>
      <c r="I660" s="32" t="n">
        <v>1.53566214984026</v>
      </c>
      <c r="J660" s="28" t="n">
        <v>381.655307612176</v>
      </c>
      <c r="K660" s="27"/>
    </row>
    <row r="661" customFormat="false" ht="15" hidden="true" customHeight="false" outlineLevel="1" collapsed="false">
      <c r="F661" s="27" t="s">
        <v>1877</v>
      </c>
      <c r="G661" s="27" t="s">
        <v>1874</v>
      </c>
      <c r="H661" s="27" t="s">
        <v>1878</v>
      </c>
      <c r="I661" s="32" t="n">
        <v>25.0500654279413</v>
      </c>
      <c r="J661" s="28" t="n">
        <v>405.169710890277</v>
      </c>
      <c r="K661" s="27"/>
    </row>
    <row r="662" customFormat="false" ht="15" hidden="true" customHeight="false" outlineLevel="1" collapsed="false">
      <c r="F662" s="27" t="s">
        <v>1879</v>
      </c>
      <c r="G662" s="27" t="s">
        <v>1878</v>
      </c>
      <c r="H662" s="27" t="s">
        <v>1880</v>
      </c>
      <c r="I662" s="32" t="n">
        <v>88.600696128765</v>
      </c>
      <c r="J662" s="28" t="n">
        <v>493.770407019042</v>
      </c>
      <c r="K662" s="27"/>
    </row>
    <row r="663" customFormat="false" ht="15" hidden="true" customHeight="false" outlineLevel="1" collapsed="false">
      <c r="F663" s="27" t="s">
        <v>1881</v>
      </c>
      <c r="G663" s="27" t="s">
        <v>1880</v>
      </c>
      <c r="H663" s="27" t="s">
        <v>1882</v>
      </c>
      <c r="I663" s="32" t="n">
        <v>2.187438671515</v>
      </c>
      <c r="J663" s="28" t="n">
        <v>495.957845690557</v>
      </c>
      <c r="K663" s="27"/>
    </row>
    <row r="664" customFormat="false" ht="15" hidden="true" customHeight="false" outlineLevel="1" collapsed="false">
      <c r="F664" s="27" t="s">
        <v>1883</v>
      </c>
      <c r="G664" s="27" t="s">
        <v>1882</v>
      </c>
      <c r="H664" s="27" t="s">
        <v>1884</v>
      </c>
      <c r="I664" s="32" t="n">
        <v>177.590136516428</v>
      </c>
      <c r="J664" s="28" t="n">
        <v>673.547982206985</v>
      </c>
      <c r="K664" s="27"/>
    </row>
    <row r="665" customFormat="false" ht="15" hidden="true" customHeight="false" outlineLevel="1" collapsed="false">
      <c r="F665" s="27" t="s">
        <v>1885</v>
      </c>
      <c r="G665" s="27" t="s">
        <v>1884</v>
      </c>
      <c r="H665" s="27" t="s">
        <v>1886</v>
      </c>
      <c r="I665" s="32" t="n">
        <v>3.08242486082577</v>
      </c>
      <c r="J665" s="28" t="n">
        <v>676.630407067811</v>
      </c>
      <c r="K665" s="27"/>
    </row>
    <row r="666" customFormat="false" ht="15" hidden="true" customHeight="false" outlineLevel="1" collapsed="false">
      <c r="F666" s="27" t="s">
        <v>1887</v>
      </c>
      <c r="G666" s="27" t="s">
        <v>1886</v>
      </c>
      <c r="H666" s="27" t="s">
        <v>1888</v>
      </c>
      <c r="I666" s="32" t="n">
        <v>87.1540723151483</v>
      </c>
      <c r="J666" s="28" t="n">
        <v>763.78447938296</v>
      </c>
      <c r="K666" s="27"/>
    </row>
    <row r="667" customFormat="false" ht="15" hidden="true" customHeight="false" outlineLevel="1" collapsed="false">
      <c r="F667" s="27" t="s">
        <v>1889</v>
      </c>
      <c r="G667" s="27" t="s">
        <v>1888</v>
      </c>
      <c r="H667" s="27" t="s">
        <v>1890</v>
      </c>
      <c r="I667" s="32" t="n">
        <v>2.96482117973822</v>
      </c>
      <c r="J667" s="28" t="n">
        <v>766.749300562698</v>
      </c>
      <c r="K667" s="27"/>
    </row>
    <row r="668" customFormat="false" ht="15" hidden="true" customHeight="false" outlineLevel="1" collapsed="false">
      <c r="F668" s="27" t="s">
        <v>1891</v>
      </c>
      <c r="G668" s="27" t="s">
        <v>1890</v>
      </c>
      <c r="H668" s="27" t="s">
        <v>1892</v>
      </c>
      <c r="I668" s="32" t="n">
        <v>157.95831099971</v>
      </c>
      <c r="J668" s="28" t="n">
        <v>924.707611562407</v>
      </c>
      <c r="K668" s="27"/>
    </row>
    <row r="669" customFormat="false" ht="15" hidden="true" customHeight="false" outlineLevel="1" collapsed="false">
      <c r="F669" s="27" t="s">
        <v>1893</v>
      </c>
      <c r="G669" s="27" t="s">
        <v>1892</v>
      </c>
      <c r="H669" s="27" t="s">
        <v>1894</v>
      </c>
      <c r="I669" s="32" t="n">
        <v>8.16642328657172</v>
      </c>
      <c r="J669" s="28" t="n">
        <v>932.874034848979</v>
      </c>
      <c r="K669" s="27"/>
    </row>
    <row r="670" customFormat="false" ht="15" hidden="false" customHeight="false" outlineLevel="0" collapsed="true">
      <c r="A670" s="35" t="n">
        <v>48</v>
      </c>
      <c r="B670" s="35" t="s">
        <v>24</v>
      </c>
      <c r="C670" s="35" t="s">
        <v>303</v>
      </c>
      <c r="D670" s="35" t="s">
        <v>461</v>
      </c>
      <c r="E670" s="35" t="s">
        <v>139</v>
      </c>
      <c r="F670" s="35" t="str">
        <f aca="false">COUNTIFS(Trechos!$L$2:$L$838,A670)&amp;" vãos"</f>
        <v>1 vãos</v>
      </c>
      <c r="G670" s="35"/>
      <c r="H670" s="35"/>
      <c r="I670" s="36" t="n">
        <f aca="false">SUMIFS(Trechos!$F$2:$F$838,Trechos!$L$2:$L$838,A670)</f>
        <v>71.8171864522846</v>
      </c>
      <c r="J670" s="35"/>
      <c r="K670" s="35"/>
      <c r="L670" s="35" t="s">
        <v>140</v>
      </c>
      <c r="M670" s="35" t="s">
        <v>54</v>
      </c>
      <c r="N670" s="35" t="str">
        <f aca="false">Blocos!BT49</f>
        <v>—</v>
      </c>
    </row>
    <row r="671" customFormat="false" ht="15" hidden="true" customHeight="false" outlineLevel="1" collapsed="false">
      <c r="F671" s="27" t="s">
        <v>1895</v>
      </c>
      <c r="G671" s="27" t="s">
        <v>1894</v>
      </c>
      <c r="H671" s="27" t="s">
        <v>1896</v>
      </c>
      <c r="I671" s="32" t="n">
        <v>71.8171864522846</v>
      </c>
      <c r="J671" s="28" t="n">
        <v>71.8171864522847</v>
      </c>
      <c r="K671" s="27"/>
    </row>
    <row r="672" customFormat="false" ht="15" hidden="false" customHeight="false" outlineLevel="0" collapsed="true">
      <c r="A672" s="35" t="n">
        <v>49</v>
      </c>
      <c r="B672" s="35" t="s">
        <v>24</v>
      </c>
      <c r="C672" s="35" t="s">
        <v>303</v>
      </c>
      <c r="D672" s="35" t="s">
        <v>461</v>
      </c>
      <c r="E672" s="35" t="s">
        <v>141</v>
      </c>
      <c r="F672" s="35" t="str">
        <f aca="false">COUNTIFS(Trechos!$L$2:$L$838,A672)&amp;" vãos"</f>
        <v>1 vãos</v>
      </c>
      <c r="G672" s="35"/>
      <c r="H672" s="35"/>
      <c r="I672" s="36" t="n">
        <f aca="false">SUMIFS(Trechos!$F$2:$F$838,Trechos!$L$2:$L$838,A672)</f>
        <v>18.1883751631324</v>
      </c>
      <c r="J672" s="35"/>
      <c r="K672" s="35"/>
      <c r="L672" s="35" t="s">
        <v>142</v>
      </c>
      <c r="M672" s="35" t="s">
        <v>54</v>
      </c>
      <c r="N672" s="35" t="str">
        <f aca="false">Blocos!BT50</f>
        <v>—</v>
      </c>
    </row>
    <row r="673" customFormat="false" ht="15" hidden="true" customHeight="false" outlineLevel="1" collapsed="false">
      <c r="F673" s="27" t="s">
        <v>1897</v>
      </c>
      <c r="G673" s="27" t="s">
        <v>1479</v>
      </c>
      <c r="H673" s="27" t="s">
        <v>1898</v>
      </c>
      <c r="I673" s="32" t="n">
        <v>18.1883751631324</v>
      </c>
      <c r="J673" s="28" t="n">
        <v>18.1883751631326</v>
      </c>
      <c r="K673" s="27"/>
    </row>
    <row r="674" customFormat="false" ht="15" hidden="false" customHeight="false" outlineLevel="0" collapsed="true">
      <c r="A674" s="35" t="n">
        <v>50</v>
      </c>
      <c r="B674" s="35" t="s">
        <v>24</v>
      </c>
      <c r="C674" s="35" t="s">
        <v>303</v>
      </c>
      <c r="D674" s="35" t="s">
        <v>461</v>
      </c>
      <c r="E674" s="35" t="s">
        <v>143</v>
      </c>
      <c r="F674" s="35" t="str">
        <f aca="false">COUNTIFS(Trechos!$L$2:$L$838,A674)&amp;" vãos"</f>
        <v>2 vãos</v>
      </c>
      <c r="G674" s="35"/>
      <c r="H674" s="35"/>
      <c r="I674" s="36" t="n">
        <f aca="false">SUMIFS(Trechos!$F$2:$F$838,Trechos!$L$2:$L$838,A674)</f>
        <v>13.7394333667504</v>
      </c>
      <c r="J674" s="35"/>
      <c r="K674" s="35"/>
      <c r="L674" s="35" t="s">
        <v>144</v>
      </c>
      <c r="M674" s="35" t="s">
        <v>54</v>
      </c>
      <c r="N674" s="35" t="str">
        <f aca="false">Blocos!BT51</f>
        <v>—</v>
      </c>
    </row>
    <row r="675" customFormat="false" ht="15" hidden="true" customHeight="false" outlineLevel="1" collapsed="false">
      <c r="F675" s="27" t="s">
        <v>1899</v>
      </c>
      <c r="G675" s="27" t="s">
        <v>1547</v>
      </c>
      <c r="H675" s="27" t="s">
        <v>1900</v>
      </c>
      <c r="I675" s="32" t="n">
        <v>5.23668832860425</v>
      </c>
      <c r="J675" s="28" t="n">
        <v>5.23668832860403</v>
      </c>
      <c r="K675" s="27"/>
    </row>
    <row r="676" customFormat="false" ht="15" hidden="true" customHeight="false" outlineLevel="1" collapsed="false">
      <c r="F676" s="27" t="s">
        <v>1901</v>
      </c>
      <c r="G676" s="27" t="s">
        <v>1900</v>
      </c>
      <c r="H676" s="27" t="s">
        <v>1902</v>
      </c>
      <c r="I676" s="32" t="n">
        <v>8.50274503814611</v>
      </c>
      <c r="J676" s="28" t="n">
        <v>13.7394333667498</v>
      </c>
      <c r="K676" s="27"/>
    </row>
    <row r="677" customFormat="false" ht="15" hidden="false" customHeight="false" outlineLevel="0" collapsed="true">
      <c r="A677" s="35" t="n">
        <v>51</v>
      </c>
      <c r="B677" s="35" t="s">
        <v>24</v>
      </c>
      <c r="C677" s="35" t="s">
        <v>303</v>
      </c>
      <c r="D677" s="35" t="s">
        <v>461</v>
      </c>
      <c r="E677" s="35" t="s">
        <v>145</v>
      </c>
      <c r="F677" s="35" t="str">
        <f aca="false">COUNTIFS(Trechos!$L$2:$L$838,A677)&amp;" vãos"</f>
        <v>1 vãos</v>
      </c>
      <c r="G677" s="35"/>
      <c r="H677" s="35"/>
      <c r="I677" s="36" t="n">
        <f aca="false">SUMIFS(Trechos!$F$2:$F$838,Trechos!$L$2:$L$838,A677)</f>
        <v>29.8546668707764</v>
      </c>
      <c r="J677" s="35"/>
      <c r="K677" s="35"/>
      <c r="L677" s="35" t="s">
        <v>146</v>
      </c>
      <c r="M677" s="35" t="s">
        <v>54</v>
      </c>
      <c r="N677" s="35" t="str">
        <f aca="false">Blocos!BT52</f>
        <v>—</v>
      </c>
    </row>
    <row r="678" customFormat="false" ht="15" hidden="true" customHeight="false" outlineLevel="1" collapsed="false">
      <c r="F678" s="27" t="s">
        <v>1903</v>
      </c>
      <c r="G678" s="27" t="s">
        <v>1560</v>
      </c>
      <c r="H678" s="27" t="s">
        <v>1904</v>
      </c>
      <c r="I678" s="32" t="n">
        <v>29.8546668707764</v>
      </c>
      <c r="J678" s="28" t="n">
        <v>29.8546668707763</v>
      </c>
      <c r="K678" s="27"/>
    </row>
    <row r="679" customFormat="false" ht="15" hidden="false" customHeight="false" outlineLevel="0" collapsed="true">
      <c r="A679" s="35" t="n">
        <v>52</v>
      </c>
      <c r="B679" s="35" t="s">
        <v>24</v>
      </c>
      <c r="C679" s="35" t="s">
        <v>303</v>
      </c>
      <c r="D679" s="35" t="s">
        <v>461</v>
      </c>
      <c r="E679" s="35" t="s">
        <v>147</v>
      </c>
      <c r="F679" s="35" t="str">
        <f aca="false">COUNTIFS(Trechos!$L$2:$L$838,A679)&amp;" vãos"</f>
        <v>3 vãos</v>
      </c>
      <c r="G679" s="35"/>
      <c r="H679" s="35"/>
      <c r="I679" s="36" t="n">
        <f aca="false">SUMIFS(Trechos!$F$2:$F$838,Trechos!$L$2:$L$838,A679)</f>
        <v>83.3876796493266</v>
      </c>
      <c r="J679" s="35"/>
      <c r="K679" s="35"/>
      <c r="L679" s="35" t="s">
        <v>148</v>
      </c>
      <c r="M679" s="35" t="s">
        <v>54</v>
      </c>
      <c r="N679" s="35" t="str">
        <f aca="false">Blocos!BT53</f>
        <v>—</v>
      </c>
    </row>
    <row r="680" customFormat="false" ht="15" hidden="true" customHeight="false" outlineLevel="1" collapsed="false">
      <c r="F680" s="27" t="s">
        <v>1905</v>
      </c>
      <c r="G680" s="27" t="s">
        <v>1576</v>
      </c>
      <c r="H680" s="27" t="s">
        <v>1906</v>
      </c>
      <c r="I680" s="32" t="n">
        <v>64.4145910786107</v>
      </c>
      <c r="J680" s="28" t="n">
        <v>64.4145910786106</v>
      </c>
      <c r="K680" s="27"/>
    </row>
    <row r="681" customFormat="false" ht="15" hidden="true" customHeight="false" outlineLevel="1" collapsed="false">
      <c r="F681" s="27" t="s">
        <v>1907</v>
      </c>
      <c r="G681" s="27" t="s">
        <v>1906</v>
      </c>
      <c r="H681" s="27" t="s">
        <v>1908</v>
      </c>
      <c r="I681" s="32" t="n">
        <v>15.2493839533457</v>
      </c>
      <c r="J681" s="28" t="n">
        <v>79.6639750319564</v>
      </c>
      <c r="K681" s="27"/>
    </row>
    <row r="682" customFormat="false" ht="15" hidden="true" customHeight="false" outlineLevel="1" collapsed="false">
      <c r="F682" s="27" t="s">
        <v>1909</v>
      </c>
      <c r="G682" s="27" t="s">
        <v>1906</v>
      </c>
      <c r="H682" s="27" t="s">
        <v>1910</v>
      </c>
      <c r="I682" s="32" t="n">
        <v>3.72370461737022</v>
      </c>
      <c r="J682" s="28" t="n">
        <v>68.1382956959806</v>
      </c>
      <c r="K682" s="27"/>
    </row>
    <row r="683" customFormat="false" ht="15" hidden="false" customHeight="false" outlineLevel="0" collapsed="true">
      <c r="A683" s="30" t="n">
        <v>53</v>
      </c>
      <c r="B683" s="30" t="s">
        <v>22</v>
      </c>
      <c r="C683" s="30" t="s">
        <v>303</v>
      </c>
      <c r="D683" s="30" t="s">
        <v>524</v>
      </c>
      <c r="E683" s="30" t="s">
        <v>41</v>
      </c>
      <c r="F683" s="30" t="str">
        <f aca="false">COUNTIFS(Trechos!$L$2:$L$838,A683)&amp;" vãos"</f>
        <v>2 vãos</v>
      </c>
      <c r="G683" s="30"/>
      <c r="H683" s="30"/>
      <c r="I683" s="31" t="n">
        <f aca="false">SUMIFS(Trechos!$F$2:$F$838,Trechos!$L$2:$L$838,A683)</f>
        <v>48.0807141979609</v>
      </c>
      <c r="J683" s="30"/>
      <c r="K683" s="30"/>
      <c r="L683" s="30" t="s">
        <v>151</v>
      </c>
      <c r="M683" s="30" t="s">
        <v>54</v>
      </c>
      <c r="N683" s="30" t="str">
        <f aca="false">Blocos!BT54</f>
        <v>—</v>
      </c>
    </row>
    <row r="684" customFormat="false" ht="15" hidden="true" customHeight="false" outlineLevel="1" collapsed="false">
      <c r="F684" s="27" t="s">
        <v>1911</v>
      </c>
      <c r="G684" s="27" t="s">
        <v>696</v>
      </c>
      <c r="H684" s="27" t="s">
        <v>1912</v>
      </c>
      <c r="I684" s="32" t="n">
        <v>37.0548873445342</v>
      </c>
      <c r="J684" s="28" t="n">
        <v>1645.92767060582</v>
      </c>
      <c r="K684" s="27"/>
    </row>
    <row r="685" customFormat="false" ht="15" hidden="true" customHeight="false" outlineLevel="1" collapsed="false">
      <c r="F685" s="27" t="s">
        <v>1913</v>
      </c>
      <c r="G685" s="27" t="s">
        <v>696</v>
      </c>
      <c r="H685" s="27" t="s">
        <v>1914</v>
      </c>
      <c r="I685" s="32" t="n">
        <v>11.0258268534267</v>
      </c>
      <c r="J685" s="28" t="n">
        <v>1619.89861011472</v>
      </c>
      <c r="K685" s="27"/>
    </row>
    <row r="686" customFormat="false" ht="15" hidden="false" customHeight="false" outlineLevel="0" collapsed="true">
      <c r="A686" s="30" t="n">
        <v>54</v>
      </c>
      <c r="B686" s="30" t="s">
        <v>22</v>
      </c>
      <c r="C686" s="30" t="s">
        <v>303</v>
      </c>
      <c r="D686" s="30" t="s">
        <v>527</v>
      </c>
      <c r="E686" s="30" t="s">
        <v>41</v>
      </c>
      <c r="F686" s="30" t="str">
        <f aca="false">COUNTIFS(Trechos!$L$2:$L$838,A686)&amp;" vãos"</f>
        <v>1 vãos</v>
      </c>
      <c r="G686" s="30"/>
      <c r="H686" s="30"/>
      <c r="I686" s="31" t="n">
        <f aca="false">SUMIFS(Trechos!$F$2:$F$838,Trechos!$L$2:$L$838,A686)</f>
        <v>4.92769448934394</v>
      </c>
      <c r="J686" s="30"/>
      <c r="K686" s="30"/>
      <c r="L686" s="30" t="s">
        <v>154</v>
      </c>
      <c r="M686" s="30" t="s">
        <v>54</v>
      </c>
      <c r="N686" s="30" t="str">
        <f aca="false">Blocos!BT55</f>
        <v>—</v>
      </c>
    </row>
    <row r="687" customFormat="false" ht="15" hidden="true" customHeight="false" outlineLevel="1" collapsed="false">
      <c r="F687" s="27" t="s">
        <v>1915</v>
      </c>
      <c r="G687" s="27" t="s">
        <v>702</v>
      </c>
      <c r="H687" s="27" t="s">
        <v>1916</v>
      </c>
      <c r="I687" s="32" t="n">
        <v>4.92769448934394</v>
      </c>
      <c r="J687" s="28" t="n">
        <v>1690.32842267514</v>
      </c>
      <c r="K687" s="27"/>
    </row>
    <row r="688" customFormat="false" ht="15" hidden="false" customHeight="false" outlineLevel="0" collapsed="true">
      <c r="A688" s="33" t="n">
        <v>55</v>
      </c>
      <c r="B688" s="33" t="s">
        <v>23</v>
      </c>
      <c r="C688" s="33" t="s">
        <v>303</v>
      </c>
      <c r="D688" s="33" t="s">
        <v>528</v>
      </c>
      <c r="E688" s="33" t="s">
        <v>42</v>
      </c>
      <c r="F688" s="33" t="str">
        <f aca="false">COUNTIFS(Trechos!$L$2:$L$838,A688)&amp;" vãos"</f>
        <v>1 vãos</v>
      </c>
      <c r="G688" s="33"/>
      <c r="H688" s="33"/>
      <c r="I688" s="34" t="n">
        <f aca="false">SUMIFS(Trechos!$F$2:$F$838,Trechos!$L$2:$L$838,A688)</f>
        <v>4.85000849754405</v>
      </c>
      <c r="J688" s="33"/>
      <c r="K688" s="33"/>
      <c r="L688" s="33" t="s">
        <v>157</v>
      </c>
      <c r="M688" s="33" t="s">
        <v>54</v>
      </c>
      <c r="N688" s="33" t="str">
        <f aca="false">Blocos!BT56</f>
        <v>—</v>
      </c>
    </row>
    <row r="689" customFormat="false" ht="15" hidden="true" customHeight="false" outlineLevel="1" collapsed="false">
      <c r="F689" s="27" t="s">
        <v>1917</v>
      </c>
      <c r="G689" s="27" t="s">
        <v>714</v>
      </c>
      <c r="H689" s="27" t="s">
        <v>1918</v>
      </c>
      <c r="I689" s="32" t="n">
        <v>4.85000849754405</v>
      </c>
      <c r="J689" s="28" t="n">
        <v>9.72325467608494</v>
      </c>
      <c r="K689" s="27"/>
    </row>
    <row r="690" customFormat="false" ht="15" hidden="false" customHeight="false" outlineLevel="0" collapsed="true">
      <c r="A690" s="33" t="n">
        <v>56</v>
      </c>
      <c r="B690" s="33" t="s">
        <v>23</v>
      </c>
      <c r="C690" s="33" t="s">
        <v>303</v>
      </c>
      <c r="D690" s="33" t="s">
        <v>529</v>
      </c>
      <c r="E690" s="33" t="s">
        <v>42</v>
      </c>
      <c r="F690" s="33" t="str">
        <f aca="false">COUNTIFS(Trechos!$L$2:$L$838,A690)&amp;" vãos"</f>
        <v>1 vãos</v>
      </c>
      <c r="G690" s="33"/>
      <c r="H690" s="33"/>
      <c r="I690" s="34" t="n">
        <f aca="false">SUMIFS(Trechos!$F$2:$F$838,Trechos!$L$2:$L$838,A690)</f>
        <v>0.398726182617518</v>
      </c>
      <c r="J690" s="33"/>
      <c r="K690" s="33"/>
      <c r="L690" s="33" t="s">
        <v>160</v>
      </c>
      <c r="M690" s="33" t="s">
        <v>54</v>
      </c>
      <c r="N690" s="33" t="str">
        <f aca="false">Blocos!BT57</f>
        <v>0204420004</v>
      </c>
    </row>
    <row r="691" customFormat="false" ht="15" hidden="true" customHeight="false" outlineLevel="1" collapsed="false">
      <c r="F691" s="27" t="s">
        <v>1919</v>
      </c>
      <c r="G691" s="27" t="s">
        <v>728</v>
      </c>
      <c r="H691" s="27" t="s">
        <v>1920</v>
      </c>
      <c r="I691" s="32" t="n">
        <v>0.398726182617518</v>
      </c>
      <c r="J691" s="28" t="n">
        <v>423.407760317106</v>
      </c>
      <c r="K691" s="27"/>
    </row>
    <row r="692" customFormat="false" ht="15" hidden="false" customHeight="false" outlineLevel="0" collapsed="true">
      <c r="A692" s="35" t="n">
        <v>57</v>
      </c>
      <c r="B692" s="35" t="s">
        <v>24</v>
      </c>
      <c r="C692" s="35" t="s">
        <v>303</v>
      </c>
      <c r="D692" s="35" t="s">
        <v>529</v>
      </c>
      <c r="E692" s="35" t="s">
        <v>160</v>
      </c>
      <c r="F692" s="35" t="str">
        <f aca="false">COUNTIFS(Trechos!$L$2:$L$838,A692)&amp;" vãos"</f>
        <v>4 vãos</v>
      </c>
      <c r="G692" s="35"/>
      <c r="H692" s="35"/>
      <c r="I692" s="36" t="n">
        <f aca="false">SUMIFS(Trechos!$F$2:$F$838,Trechos!$L$2:$L$838,A692)</f>
        <v>203.968023140271</v>
      </c>
      <c r="J692" s="35"/>
      <c r="K692" s="35"/>
      <c r="L692" s="35" t="s">
        <v>161</v>
      </c>
      <c r="M692" s="35" t="s">
        <v>54</v>
      </c>
      <c r="N692" s="35" t="str">
        <f aca="false">Blocos!BT58</f>
        <v>—</v>
      </c>
    </row>
    <row r="693" customFormat="false" ht="15" hidden="true" customHeight="false" outlineLevel="1" collapsed="false">
      <c r="F693" s="27" t="s">
        <v>1921</v>
      </c>
      <c r="G693" s="27" t="s">
        <v>1920</v>
      </c>
      <c r="H693" s="27" t="s">
        <v>1922</v>
      </c>
      <c r="I693" s="32" t="n">
        <v>2.87159391080763</v>
      </c>
      <c r="J693" s="28" t="n">
        <v>2.87159391080741</v>
      </c>
      <c r="K693" s="27"/>
    </row>
    <row r="694" customFormat="false" ht="15" hidden="true" customHeight="false" outlineLevel="1" collapsed="false">
      <c r="F694" s="27" t="s">
        <v>1923</v>
      </c>
      <c r="G694" s="27" t="s">
        <v>1922</v>
      </c>
      <c r="H694" s="27" t="s">
        <v>1924</v>
      </c>
      <c r="I694" s="32" t="n">
        <v>2.18023180035852</v>
      </c>
      <c r="J694" s="28" t="n">
        <v>5.05182571116575</v>
      </c>
      <c r="K694" s="27"/>
    </row>
    <row r="695" customFormat="false" ht="15" hidden="true" customHeight="false" outlineLevel="1" collapsed="false">
      <c r="F695" s="27" t="s">
        <v>1925</v>
      </c>
      <c r="G695" s="27" t="s">
        <v>1924</v>
      </c>
      <c r="H695" s="27" t="s">
        <v>1926</v>
      </c>
      <c r="I695" s="32" t="n">
        <v>184.461074693027</v>
      </c>
      <c r="J695" s="28" t="n">
        <v>189.512900404192</v>
      </c>
      <c r="K695" s="27"/>
    </row>
    <row r="696" customFormat="false" ht="15" hidden="true" customHeight="false" outlineLevel="1" collapsed="false">
      <c r="F696" s="27" t="s">
        <v>1927</v>
      </c>
      <c r="G696" s="27" t="s">
        <v>1926</v>
      </c>
      <c r="H696" s="27" t="s">
        <v>1928</v>
      </c>
      <c r="I696" s="32" t="n">
        <v>14.4551227360784</v>
      </c>
      <c r="J696" s="28" t="n">
        <v>203.968023140271</v>
      </c>
      <c r="K696" s="27"/>
    </row>
    <row r="697" customFormat="false" ht="15" hidden="false" customHeight="false" outlineLevel="0" collapsed="true">
      <c r="A697" s="33" t="n">
        <v>58</v>
      </c>
      <c r="B697" s="33" t="s">
        <v>23</v>
      </c>
      <c r="C697" s="33" t="s">
        <v>303</v>
      </c>
      <c r="D697" s="33" t="s">
        <v>530</v>
      </c>
      <c r="E697" s="33" t="s">
        <v>42</v>
      </c>
      <c r="F697" s="33" t="str">
        <f aca="false">COUNTIFS(Trechos!$L$2:$L$838,A697)&amp;" vãos"</f>
        <v>1 vãos</v>
      </c>
      <c r="G697" s="33"/>
      <c r="H697" s="33"/>
      <c r="I697" s="34" t="n">
        <f aca="false">SUMIFS(Trechos!$F$2:$F$838,Trechos!$L$2:$L$838,A697)</f>
        <v>3.65729932426605</v>
      </c>
      <c r="J697" s="33"/>
      <c r="K697" s="33"/>
      <c r="L697" s="33" t="s">
        <v>164</v>
      </c>
      <c r="M697" s="33" t="s">
        <v>54</v>
      </c>
      <c r="N697" s="33" t="str">
        <f aca="false">Blocos!BT59</f>
        <v>0200023004</v>
      </c>
    </row>
    <row r="698" customFormat="false" ht="15" hidden="true" customHeight="false" outlineLevel="1" collapsed="false">
      <c r="F698" s="27" t="s">
        <v>1929</v>
      </c>
      <c r="G698" s="27" t="s">
        <v>740</v>
      </c>
      <c r="H698" s="27" t="s">
        <v>1930</v>
      </c>
      <c r="I698" s="32" t="n">
        <v>3.65729932426605</v>
      </c>
      <c r="J698" s="28" t="n">
        <v>677.33993680669</v>
      </c>
      <c r="K698" s="27"/>
    </row>
    <row r="699" customFormat="false" ht="15" hidden="false" customHeight="false" outlineLevel="0" collapsed="true">
      <c r="A699" s="35" t="n">
        <v>59</v>
      </c>
      <c r="B699" s="35" t="s">
        <v>24</v>
      </c>
      <c r="C699" s="35" t="s">
        <v>303</v>
      </c>
      <c r="D699" s="35" t="s">
        <v>530</v>
      </c>
      <c r="E699" s="35" t="s">
        <v>164</v>
      </c>
      <c r="F699" s="35" t="str">
        <f aca="false">COUNTIFS(Trechos!$L$2:$L$838,A699)&amp;" vãos"</f>
        <v>1 vãos</v>
      </c>
      <c r="G699" s="35"/>
      <c r="H699" s="35"/>
      <c r="I699" s="36" t="n">
        <f aca="false">SUMIFS(Trechos!$F$2:$F$838,Trechos!$L$2:$L$838,A699)</f>
        <v>32.4139609250605</v>
      </c>
      <c r="J699" s="35"/>
      <c r="K699" s="35"/>
      <c r="L699" s="35" t="s">
        <v>165</v>
      </c>
      <c r="M699" s="35" t="s">
        <v>54</v>
      </c>
      <c r="N699" s="35" t="str">
        <f aca="false">Blocos!BT60</f>
        <v>—</v>
      </c>
    </row>
    <row r="700" customFormat="false" ht="15" hidden="true" customHeight="false" outlineLevel="1" collapsed="false">
      <c r="F700" s="27" t="s">
        <v>1931</v>
      </c>
      <c r="G700" s="27" t="s">
        <v>1930</v>
      </c>
      <c r="H700" s="27" t="s">
        <v>1932</v>
      </c>
      <c r="I700" s="32" t="n">
        <v>32.4139609250605</v>
      </c>
      <c r="J700" s="28" t="n">
        <v>32.4139609250606</v>
      </c>
      <c r="K700" s="27"/>
    </row>
    <row r="701" customFormat="false" ht="15" hidden="false" customHeight="false" outlineLevel="0" collapsed="true">
      <c r="A701" s="33" t="n">
        <v>60</v>
      </c>
      <c r="B701" s="33" t="s">
        <v>23</v>
      </c>
      <c r="C701" s="33" t="s">
        <v>303</v>
      </c>
      <c r="D701" s="33" t="s">
        <v>531</v>
      </c>
      <c r="E701" s="33" t="s">
        <v>42</v>
      </c>
      <c r="F701" s="33" t="str">
        <f aca="false">COUNTIFS(Trechos!$L$2:$L$838,A701)&amp;" vãos"</f>
        <v>2 vãos</v>
      </c>
      <c r="G701" s="33"/>
      <c r="H701" s="33"/>
      <c r="I701" s="34" t="n">
        <f aca="false">SUMIFS(Trechos!$F$2:$F$838,Trechos!$L$2:$L$838,A701)</f>
        <v>17.0441008665413</v>
      </c>
      <c r="J701" s="33"/>
      <c r="K701" s="33"/>
      <c r="L701" s="33" t="s">
        <v>168</v>
      </c>
      <c r="M701" s="33" t="s">
        <v>54</v>
      </c>
      <c r="N701" s="33" t="str">
        <f aca="false">Blocos!BT61</f>
        <v>0355236004</v>
      </c>
    </row>
    <row r="702" customFormat="false" ht="15" hidden="true" customHeight="false" outlineLevel="1" collapsed="false">
      <c r="F702" s="27" t="s">
        <v>1933</v>
      </c>
      <c r="G702" s="27" t="s">
        <v>748</v>
      </c>
      <c r="H702" s="27" t="s">
        <v>1934</v>
      </c>
      <c r="I702" s="32" t="n">
        <v>16.4909396364485</v>
      </c>
      <c r="J702" s="28" t="n">
        <v>885.369450098313</v>
      </c>
      <c r="K702" s="27"/>
    </row>
    <row r="703" customFormat="false" ht="15" hidden="true" customHeight="false" outlineLevel="1" collapsed="false">
      <c r="F703" s="27" t="s">
        <v>1935</v>
      </c>
      <c r="G703" s="27" t="s">
        <v>1934</v>
      </c>
      <c r="H703" s="27" t="s">
        <v>1936</v>
      </c>
      <c r="I703" s="32" t="n">
        <v>0.553161230092843</v>
      </c>
      <c r="J703" s="28" t="n">
        <v>885.922611328406</v>
      </c>
      <c r="K703" s="27"/>
    </row>
    <row r="704" customFormat="false" ht="15" hidden="false" customHeight="false" outlineLevel="0" collapsed="true">
      <c r="A704" s="35" t="n">
        <v>61</v>
      </c>
      <c r="B704" s="35" t="s">
        <v>24</v>
      </c>
      <c r="C704" s="35" t="s">
        <v>303</v>
      </c>
      <c r="D704" s="35" t="s">
        <v>531</v>
      </c>
      <c r="E704" s="35" t="s">
        <v>168</v>
      </c>
      <c r="F704" s="35" t="str">
        <f aca="false">COUNTIFS(Trechos!$L$2:$L$838,A704)&amp;" vãos"</f>
        <v>1 vãos</v>
      </c>
      <c r="G704" s="35"/>
      <c r="H704" s="35"/>
      <c r="I704" s="36" t="n">
        <f aca="false">SUMIFS(Trechos!$F$2:$F$838,Trechos!$L$2:$L$838,A704)</f>
        <v>4.53964890126043</v>
      </c>
      <c r="J704" s="35"/>
      <c r="K704" s="35"/>
      <c r="L704" s="35" t="s">
        <v>169</v>
      </c>
      <c r="M704" s="35" t="s">
        <v>54</v>
      </c>
      <c r="N704" s="35" t="str">
        <f aca="false">Blocos!BT62</f>
        <v>—</v>
      </c>
    </row>
    <row r="705" customFormat="false" ht="15" hidden="true" customHeight="false" outlineLevel="1" collapsed="false">
      <c r="F705" s="27" t="s">
        <v>1937</v>
      </c>
      <c r="G705" s="27" t="s">
        <v>1936</v>
      </c>
      <c r="H705" s="27" t="s">
        <v>1938</v>
      </c>
      <c r="I705" s="32" t="n">
        <v>4.53964890126043</v>
      </c>
      <c r="J705" s="28" t="n">
        <v>4.53964890126053</v>
      </c>
      <c r="K705" s="27"/>
    </row>
    <row r="706" customFormat="false" ht="15" hidden="false" customHeight="false" outlineLevel="0" collapsed="true">
      <c r="A706" s="33" t="n">
        <v>62</v>
      </c>
      <c r="B706" s="33" t="s">
        <v>23</v>
      </c>
      <c r="C706" s="33" t="s">
        <v>303</v>
      </c>
      <c r="D706" s="33" t="s">
        <v>532</v>
      </c>
      <c r="E706" s="33" t="s">
        <v>42</v>
      </c>
      <c r="F706" s="33" t="str">
        <f aca="false">COUNTIFS(Trechos!$L$2:$L$838,A706)&amp;" vãos"</f>
        <v>3 vãos</v>
      </c>
      <c r="G706" s="33"/>
      <c r="H706" s="33"/>
      <c r="I706" s="34" t="n">
        <f aca="false">SUMIFS(Trechos!$F$2:$F$838,Trechos!$L$2:$L$838,A706)</f>
        <v>44.0228548137309</v>
      </c>
      <c r="J706" s="33"/>
      <c r="K706" s="33"/>
      <c r="L706" s="33" t="s">
        <v>172</v>
      </c>
      <c r="M706" s="33" t="s">
        <v>54</v>
      </c>
      <c r="N706" s="33" t="str">
        <f aca="false">Blocos!BT63</f>
        <v>0349562004, 0349564004</v>
      </c>
    </row>
    <row r="707" customFormat="false" ht="15" hidden="true" customHeight="false" outlineLevel="1" collapsed="false">
      <c r="F707" s="27" t="s">
        <v>1939</v>
      </c>
      <c r="G707" s="27" t="s">
        <v>750</v>
      </c>
      <c r="H707" s="27" t="s">
        <v>1940</v>
      </c>
      <c r="I707" s="32" t="n">
        <v>3.14005249456452</v>
      </c>
      <c r="J707" s="28" t="n">
        <v>904.800248372732</v>
      </c>
      <c r="K707" s="27"/>
    </row>
    <row r="708" customFormat="false" ht="15" hidden="true" customHeight="false" outlineLevel="1" collapsed="false">
      <c r="F708" s="27" t="s">
        <v>1941</v>
      </c>
      <c r="G708" s="27" t="s">
        <v>1940</v>
      </c>
      <c r="H708" s="27" t="s">
        <v>1942</v>
      </c>
      <c r="I708" s="32" t="n">
        <v>37.0682391458169</v>
      </c>
      <c r="J708" s="28" t="n">
        <v>941.868487518549</v>
      </c>
      <c r="K708" s="27"/>
    </row>
    <row r="709" customFormat="false" ht="15" hidden="true" customHeight="false" outlineLevel="1" collapsed="false">
      <c r="F709" s="27" t="s">
        <v>1943</v>
      </c>
      <c r="G709" s="27" t="s">
        <v>1942</v>
      </c>
      <c r="H709" s="27" t="s">
        <v>1944</v>
      </c>
      <c r="I709" s="32" t="n">
        <v>3.81456317334956</v>
      </c>
      <c r="J709" s="28" t="n">
        <v>945.683050691898</v>
      </c>
      <c r="K709" s="27"/>
    </row>
    <row r="710" customFormat="false" ht="15" hidden="false" customHeight="false" outlineLevel="0" collapsed="true">
      <c r="A710" s="35" t="n">
        <v>63</v>
      </c>
      <c r="B710" s="35" t="s">
        <v>24</v>
      </c>
      <c r="C710" s="35" t="s">
        <v>303</v>
      </c>
      <c r="D710" s="35" t="s">
        <v>532</v>
      </c>
      <c r="E710" s="35" t="s">
        <v>172</v>
      </c>
      <c r="F710" s="35" t="str">
        <f aca="false">COUNTIFS(Trechos!$L$2:$L$838,A710)&amp;" vãos"</f>
        <v>5 vãos</v>
      </c>
      <c r="G710" s="35"/>
      <c r="H710" s="35"/>
      <c r="I710" s="36" t="n">
        <f aca="false">SUMIFS(Trechos!$F$2:$F$838,Trechos!$L$2:$L$838,A710)</f>
        <v>224.089176505866</v>
      </c>
      <c r="J710" s="35"/>
      <c r="K710" s="35"/>
      <c r="L710" s="35" t="s">
        <v>173</v>
      </c>
      <c r="M710" s="35" t="s">
        <v>54</v>
      </c>
      <c r="N710" s="35" t="str">
        <f aca="false">Blocos!BT64</f>
        <v>0349564004</v>
      </c>
    </row>
    <row r="711" customFormat="false" ht="15" hidden="true" customHeight="false" outlineLevel="1" collapsed="false">
      <c r="F711" s="27" t="s">
        <v>1945</v>
      </c>
      <c r="G711" s="27" t="s">
        <v>1944</v>
      </c>
      <c r="H711" s="27" t="s">
        <v>1946</v>
      </c>
      <c r="I711" s="32" t="n">
        <v>74.3200025428903</v>
      </c>
      <c r="J711" s="28" t="n">
        <v>74.3200025428901</v>
      </c>
      <c r="K711" s="27"/>
    </row>
    <row r="712" customFormat="false" ht="15" hidden="true" customHeight="false" outlineLevel="1" collapsed="false">
      <c r="F712" s="27" t="s">
        <v>1947</v>
      </c>
      <c r="G712" s="27" t="s">
        <v>1946</v>
      </c>
      <c r="H712" s="27" t="s">
        <v>1948</v>
      </c>
      <c r="I712" s="32" t="n">
        <v>8.80145480684479</v>
      </c>
      <c r="J712" s="28" t="n">
        <v>83.121457349735</v>
      </c>
      <c r="K712" s="27"/>
    </row>
    <row r="713" customFormat="false" ht="15" hidden="true" customHeight="false" outlineLevel="1" collapsed="false">
      <c r="F713" s="27" t="s">
        <v>1949</v>
      </c>
      <c r="G713" s="27" t="s">
        <v>1948</v>
      </c>
      <c r="H713" s="27" t="s">
        <v>1950</v>
      </c>
      <c r="I713" s="32" t="n">
        <v>120.388576094172</v>
      </c>
      <c r="J713" s="28" t="n">
        <v>203.510033443907</v>
      </c>
      <c r="K713" s="27"/>
    </row>
    <row r="714" customFormat="false" ht="15" hidden="true" customHeight="false" outlineLevel="1" collapsed="false">
      <c r="F714" s="27" t="s">
        <v>1951</v>
      </c>
      <c r="G714" s="27" t="s">
        <v>1950</v>
      </c>
      <c r="H714" s="27" t="s">
        <v>1952</v>
      </c>
      <c r="I714" s="32" t="n">
        <v>20.0164736470715</v>
      </c>
      <c r="J714" s="28" t="n">
        <v>223.526507090979</v>
      </c>
      <c r="K714" s="27"/>
    </row>
    <row r="715" customFormat="false" ht="15" hidden="true" customHeight="false" outlineLevel="1" collapsed="false">
      <c r="F715" s="27" t="s">
        <v>1953</v>
      </c>
      <c r="G715" s="27" t="s">
        <v>1950</v>
      </c>
      <c r="H715" s="27" t="s">
        <v>1954</v>
      </c>
      <c r="I715" s="32" t="n">
        <v>0.562669414887063</v>
      </c>
      <c r="J715" s="28" t="n">
        <v>204.072702858794</v>
      </c>
      <c r="K715" s="27"/>
    </row>
    <row r="716" customFormat="false" ht="15" hidden="false" customHeight="false" outlineLevel="0" collapsed="true">
      <c r="A716" s="35" t="n">
        <v>64</v>
      </c>
      <c r="B716" s="35" t="s">
        <v>24</v>
      </c>
      <c r="C716" s="35" t="s">
        <v>303</v>
      </c>
      <c r="D716" s="35" t="s">
        <v>532</v>
      </c>
      <c r="E716" s="35" t="s">
        <v>174</v>
      </c>
      <c r="F716" s="35" t="str">
        <f aca="false">COUNTIFS(Trechos!$L$2:$L$838,A716)&amp;" vãos"</f>
        <v>1 vãos</v>
      </c>
      <c r="G716" s="35"/>
      <c r="H716" s="35"/>
      <c r="I716" s="36" t="n">
        <f aca="false">SUMIFS(Trechos!$F$2:$F$838,Trechos!$L$2:$L$838,A716)</f>
        <v>4.01961224744084</v>
      </c>
      <c r="J716" s="35"/>
      <c r="K716" s="35"/>
      <c r="L716" s="35" t="s">
        <v>175</v>
      </c>
      <c r="M716" s="35" t="s">
        <v>54</v>
      </c>
      <c r="N716" s="35" t="str">
        <f aca="false">Blocos!BT65</f>
        <v>—</v>
      </c>
    </row>
    <row r="717" customFormat="false" ht="15" hidden="true" customHeight="false" outlineLevel="1" collapsed="false">
      <c r="F717" s="27" t="s">
        <v>1955</v>
      </c>
      <c r="G717" s="27" t="s">
        <v>1954</v>
      </c>
      <c r="H717" s="27" t="s">
        <v>1956</v>
      </c>
      <c r="I717" s="32" t="n">
        <v>4.01961224744084</v>
      </c>
      <c r="J717" s="28" t="n">
        <v>4.01961224744082</v>
      </c>
      <c r="K717" s="27"/>
    </row>
    <row r="718" customFormat="false" ht="15" hidden="false" customHeight="false" outlineLevel="0" collapsed="true">
      <c r="A718" s="33" t="n">
        <v>65</v>
      </c>
      <c r="B718" s="33" t="s">
        <v>23</v>
      </c>
      <c r="C718" s="33" t="s">
        <v>303</v>
      </c>
      <c r="D718" s="33" t="s">
        <v>534</v>
      </c>
      <c r="E718" s="33" t="s">
        <v>42</v>
      </c>
      <c r="F718" s="33" t="str">
        <f aca="false">COUNTIFS(Trechos!$L$2:$L$838,A718)&amp;" vãos"</f>
        <v>1 vãos</v>
      </c>
      <c r="G718" s="33"/>
      <c r="H718" s="33"/>
      <c r="I718" s="34" t="n">
        <f aca="false">SUMIFS(Trechos!$F$2:$F$838,Trechos!$L$2:$L$838,A718)</f>
        <v>1.92903024916566</v>
      </c>
      <c r="J718" s="33"/>
      <c r="K718" s="33"/>
      <c r="L718" s="33" t="s">
        <v>178</v>
      </c>
      <c r="M718" s="33" t="s">
        <v>54</v>
      </c>
      <c r="N718" s="33" t="str">
        <f aca="false">Blocos!BT66</f>
        <v>0300024004</v>
      </c>
    </row>
    <row r="719" customFormat="false" ht="15" hidden="true" customHeight="false" outlineLevel="1" collapsed="false">
      <c r="F719" s="27" t="s">
        <v>1957</v>
      </c>
      <c r="G719" s="27" t="s">
        <v>754</v>
      </c>
      <c r="H719" s="27" t="s">
        <v>1958</v>
      </c>
      <c r="I719" s="32" t="n">
        <v>1.92903024916566</v>
      </c>
      <c r="J719" s="28" t="n">
        <v>1146.33293422696</v>
      </c>
      <c r="K719" s="27"/>
    </row>
    <row r="720" customFormat="false" ht="15" hidden="false" customHeight="false" outlineLevel="0" collapsed="true">
      <c r="A720" s="35" t="n">
        <v>66</v>
      </c>
      <c r="B720" s="35" t="s">
        <v>24</v>
      </c>
      <c r="C720" s="35" t="s">
        <v>303</v>
      </c>
      <c r="D720" s="35" t="s">
        <v>534</v>
      </c>
      <c r="E720" s="35" t="s">
        <v>178</v>
      </c>
      <c r="F720" s="35" t="str">
        <f aca="false">COUNTIFS(Trechos!$L$2:$L$838,A720)&amp;" vãos"</f>
        <v>11 vãos</v>
      </c>
      <c r="G720" s="35"/>
      <c r="H720" s="35"/>
      <c r="I720" s="36" t="n">
        <f aca="false">SUMIFS(Trechos!$F$2:$F$838,Trechos!$L$2:$L$838,A720)</f>
        <v>379.697822817925</v>
      </c>
      <c r="J720" s="35"/>
      <c r="K720" s="35"/>
      <c r="L720" s="35" t="s">
        <v>179</v>
      </c>
      <c r="M720" s="35" t="s">
        <v>180</v>
      </c>
      <c r="N720" s="35" t="str">
        <f aca="false">Blocos!BT67</f>
        <v>—</v>
      </c>
    </row>
    <row r="721" customFormat="false" ht="15" hidden="true" customHeight="false" outlineLevel="1" collapsed="false">
      <c r="F721" s="27" t="s">
        <v>1959</v>
      </c>
      <c r="G721" s="27" t="s">
        <v>1958</v>
      </c>
      <c r="H721" s="27" t="s">
        <v>1960</v>
      </c>
      <c r="I721" s="32" t="n">
        <v>16.7221989720519</v>
      </c>
      <c r="J721" s="28" t="n">
        <v>16.722198972052</v>
      </c>
      <c r="K721" s="27"/>
    </row>
    <row r="722" customFormat="false" ht="15" hidden="true" customHeight="false" outlineLevel="1" collapsed="false">
      <c r="F722" s="27" t="s">
        <v>1961</v>
      </c>
      <c r="G722" s="27" t="s">
        <v>1960</v>
      </c>
      <c r="H722" s="27" t="s">
        <v>1962</v>
      </c>
      <c r="I722" s="32" t="n">
        <v>93.8168697482648</v>
      </c>
      <c r="J722" s="28" t="n">
        <v>110.539068720317</v>
      </c>
      <c r="K722" s="27"/>
    </row>
    <row r="723" customFormat="false" ht="15" hidden="true" customHeight="false" outlineLevel="1" collapsed="false">
      <c r="F723" s="27" t="s">
        <v>1963</v>
      </c>
      <c r="G723" s="27" t="s">
        <v>1962</v>
      </c>
      <c r="H723" s="27" t="s">
        <v>1964</v>
      </c>
      <c r="I723" s="32" t="n">
        <v>14.1747544925036</v>
      </c>
      <c r="J723" s="28" t="n">
        <v>124.71382321282</v>
      </c>
      <c r="K723" s="27"/>
    </row>
    <row r="724" customFormat="false" ht="15" hidden="true" customHeight="false" outlineLevel="1" collapsed="false">
      <c r="F724" s="27" t="s">
        <v>1965</v>
      </c>
      <c r="G724" s="27" t="s">
        <v>1962</v>
      </c>
      <c r="H724" s="27" t="s">
        <v>1966</v>
      </c>
      <c r="I724" s="32" t="n">
        <v>13.7631518212279</v>
      </c>
      <c r="J724" s="28" t="n">
        <v>124.302220541545</v>
      </c>
      <c r="K724" s="27"/>
    </row>
    <row r="725" customFormat="false" ht="15" hidden="true" customHeight="false" outlineLevel="1" collapsed="false">
      <c r="F725" s="27" t="s">
        <v>1967</v>
      </c>
      <c r="G725" s="27" t="s">
        <v>1966</v>
      </c>
      <c r="H725" s="27" t="s">
        <v>1968</v>
      </c>
      <c r="I725" s="32" t="n">
        <v>12.9533818856683</v>
      </c>
      <c r="J725" s="28" t="n">
        <v>137.255602427213</v>
      </c>
      <c r="K725" s="27"/>
    </row>
    <row r="726" customFormat="false" ht="15" hidden="true" customHeight="false" outlineLevel="1" collapsed="false">
      <c r="F726" s="27" t="s">
        <v>1969</v>
      </c>
      <c r="G726" s="27" t="s">
        <v>1966</v>
      </c>
      <c r="H726" s="27" t="s">
        <v>1970</v>
      </c>
      <c r="I726" s="32" t="n">
        <v>21.8039703967453</v>
      </c>
      <c r="J726" s="28" t="n">
        <v>146.10619093829</v>
      </c>
      <c r="K726" s="27"/>
    </row>
    <row r="727" customFormat="false" ht="15" hidden="true" customHeight="false" outlineLevel="1" collapsed="false">
      <c r="F727" s="27" t="s">
        <v>1971</v>
      </c>
      <c r="G727" s="27" t="s">
        <v>1966</v>
      </c>
      <c r="H727" s="27" t="s">
        <v>1972</v>
      </c>
      <c r="I727" s="32" t="n">
        <v>11.6657541444087</v>
      </c>
      <c r="J727" s="28" t="n">
        <v>135.967974685953</v>
      </c>
      <c r="K727" s="27"/>
    </row>
    <row r="728" customFormat="false" ht="15" hidden="true" customHeight="false" outlineLevel="1" collapsed="false">
      <c r="F728" s="27" t="s">
        <v>1973</v>
      </c>
      <c r="G728" s="27" t="s">
        <v>1960</v>
      </c>
      <c r="H728" s="27" t="s">
        <v>1974</v>
      </c>
      <c r="I728" s="32" t="n">
        <v>5.44570731144136</v>
      </c>
      <c r="J728" s="28" t="n">
        <v>22.1679062834933</v>
      </c>
      <c r="K728" s="27" t="s">
        <v>180</v>
      </c>
    </row>
    <row r="729" customFormat="false" ht="15" hidden="true" customHeight="false" outlineLevel="1" collapsed="false">
      <c r="F729" s="27" t="s">
        <v>1975</v>
      </c>
      <c r="G729" s="27" t="s">
        <v>1974</v>
      </c>
      <c r="H729" s="27" t="s">
        <v>1976</v>
      </c>
      <c r="I729" s="32" t="n">
        <v>49.0078211887454</v>
      </c>
      <c r="J729" s="28" t="n">
        <v>71.1757274722386</v>
      </c>
      <c r="K729" s="27"/>
    </row>
    <row r="730" customFormat="false" ht="15" hidden="true" customHeight="false" outlineLevel="1" collapsed="false">
      <c r="F730" s="27" t="s">
        <v>1977</v>
      </c>
      <c r="G730" s="27" t="s">
        <v>1976</v>
      </c>
      <c r="H730" s="27" t="s">
        <v>1978</v>
      </c>
      <c r="I730" s="32" t="n">
        <v>100.217162896714</v>
      </c>
      <c r="J730" s="28" t="n">
        <v>171.392890368952</v>
      </c>
      <c r="K730" s="27"/>
    </row>
    <row r="731" customFormat="false" ht="15" hidden="true" customHeight="false" outlineLevel="1" collapsed="false">
      <c r="F731" s="27" t="s">
        <v>1979</v>
      </c>
      <c r="G731" s="27" t="s">
        <v>1978</v>
      </c>
      <c r="H731" s="27" t="s">
        <v>1980</v>
      </c>
      <c r="I731" s="32" t="n">
        <v>40.1270499601542</v>
      </c>
      <c r="J731" s="28" t="n">
        <v>211.519940329106</v>
      </c>
      <c r="K731" s="27"/>
    </row>
    <row r="732" customFormat="false" ht="15" hidden="false" customHeight="false" outlineLevel="0" collapsed="true">
      <c r="A732" s="33" t="n">
        <v>67</v>
      </c>
      <c r="B732" s="33" t="s">
        <v>23</v>
      </c>
      <c r="C732" s="33" t="s">
        <v>303</v>
      </c>
      <c r="D732" s="33" t="s">
        <v>540</v>
      </c>
      <c r="E732" s="33" t="s">
        <v>42</v>
      </c>
      <c r="F732" s="33" t="str">
        <f aca="false">COUNTIFS(Trechos!$L$2:$L$838,A732)&amp;" vãos"</f>
        <v>1 vãos</v>
      </c>
      <c r="G732" s="33"/>
      <c r="H732" s="33"/>
      <c r="I732" s="34" t="n">
        <f aca="false">SUMIFS(Trechos!$F$2:$F$838,Trechos!$L$2:$L$838,A732)</f>
        <v>1.29239739029268</v>
      </c>
      <c r="J732" s="33"/>
      <c r="K732" s="33"/>
      <c r="L732" s="33" t="s">
        <v>183</v>
      </c>
      <c r="M732" s="33" t="s">
        <v>54</v>
      </c>
      <c r="N732" s="33" t="str">
        <f aca="false">Blocos!BT68</f>
        <v>0200028004</v>
      </c>
    </row>
    <row r="733" customFormat="false" ht="15" hidden="true" customHeight="false" outlineLevel="1" collapsed="false">
      <c r="F733" s="27" t="s">
        <v>1981</v>
      </c>
      <c r="G733" s="27" t="s">
        <v>761</v>
      </c>
      <c r="H733" s="27" t="s">
        <v>1982</v>
      </c>
      <c r="I733" s="32" t="n">
        <v>1.29239739029268</v>
      </c>
      <c r="J733" s="28" t="n">
        <v>1283.22447461035</v>
      </c>
      <c r="K733" s="27"/>
    </row>
    <row r="734" customFormat="false" ht="15" hidden="false" customHeight="false" outlineLevel="0" collapsed="true">
      <c r="A734" s="35" t="n">
        <v>68</v>
      </c>
      <c r="B734" s="35" t="s">
        <v>24</v>
      </c>
      <c r="C734" s="35" t="s">
        <v>303</v>
      </c>
      <c r="D734" s="35" t="s">
        <v>540</v>
      </c>
      <c r="E734" s="35" t="s">
        <v>183</v>
      </c>
      <c r="F734" s="35" t="str">
        <f aca="false">COUNTIFS(Trechos!$L$2:$L$838,A734)&amp;" vãos"</f>
        <v>2 vãos</v>
      </c>
      <c r="G734" s="35"/>
      <c r="H734" s="35"/>
      <c r="I734" s="36" t="n">
        <f aca="false">SUMIFS(Trechos!$F$2:$F$838,Trechos!$L$2:$L$838,A734)</f>
        <v>29.7290914186443</v>
      </c>
      <c r="J734" s="35"/>
      <c r="K734" s="35"/>
      <c r="L734" s="35" t="s">
        <v>184</v>
      </c>
      <c r="M734" s="35" t="s">
        <v>54</v>
      </c>
      <c r="N734" s="35" t="str">
        <f aca="false">Blocos!BT69</f>
        <v>—</v>
      </c>
    </row>
    <row r="735" customFormat="false" ht="15" hidden="true" customHeight="false" outlineLevel="1" collapsed="false">
      <c r="F735" s="27" t="s">
        <v>1983</v>
      </c>
      <c r="G735" s="27" t="s">
        <v>1982</v>
      </c>
      <c r="H735" s="27" t="s">
        <v>1984</v>
      </c>
      <c r="I735" s="32" t="n">
        <v>11.6899528374572</v>
      </c>
      <c r="J735" s="28" t="n">
        <v>11.689952837457</v>
      </c>
      <c r="K735" s="27"/>
    </row>
    <row r="736" customFormat="false" ht="15" hidden="true" customHeight="false" outlineLevel="1" collapsed="false">
      <c r="F736" s="27" t="s">
        <v>1985</v>
      </c>
      <c r="G736" s="27" t="s">
        <v>1984</v>
      </c>
      <c r="H736" s="27" t="s">
        <v>1986</v>
      </c>
      <c r="I736" s="32" t="n">
        <v>18.0391385811871</v>
      </c>
      <c r="J736" s="28" t="n">
        <v>29.7290914186442</v>
      </c>
      <c r="K736" s="27"/>
    </row>
    <row r="737" customFormat="false" ht="15" hidden="false" customHeight="false" outlineLevel="0" collapsed="true">
      <c r="A737" s="33" t="n">
        <v>69</v>
      </c>
      <c r="B737" s="33" t="s">
        <v>23</v>
      </c>
      <c r="C737" s="33" t="s">
        <v>303</v>
      </c>
      <c r="D737" s="33" t="s">
        <v>541</v>
      </c>
      <c r="E737" s="33" t="s">
        <v>42</v>
      </c>
      <c r="F737" s="33" t="str">
        <f aca="false">COUNTIFS(Trechos!$L$2:$L$838,A737)&amp;" vãos"</f>
        <v>41 vãos</v>
      </c>
      <c r="G737" s="33"/>
      <c r="H737" s="33"/>
      <c r="I737" s="34" t="n">
        <f aca="false">SUMIFS(Trechos!$F$2:$F$838,Trechos!$L$2:$L$838,A737)</f>
        <v>1991.42192965238</v>
      </c>
      <c r="J737" s="33"/>
      <c r="K737" s="33"/>
      <c r="L737" s="33" t="s">
        <v>187</v>
      </c>
      <c r="M737" s="33" t="s">
        <v>188</v>
      </c>
      <c r="N737" s="33" t="str">
        <f aca="false">Blocos!BT70</f>
        <v>0300052004, 0200050004</v>
      </c>
    </row>
    <row r="738" customFormat="false" ht="15" hidden="true" customHeight="false" outlineLevel="1" collapsed="false">
      <c r="F738" s="27" t="s">
        <v>1987</v>
      </c>
      <c r="G738" s="27" t="s">
        <v>763</v>
      </c>
      <c r="H738" s="27" t="s">
        <v>1988</v>
      </c>
      <c r="I738" s="32" t="n">
        <v>36.0953841158698</v>
      </c>
      <c r="J738" s="28" t="n">
        <v>1410.18430073057</v>
      </c>
      <c r="K738" s="27"/>
    </row>
    <row r="739" customFormat="false" ht="15" hidden="true" customHeight="false" outlineLevel="1" collapsed="false">
      <c r="F739" s="27" t="s">
        <v>1989</v>
      </c>
      <c r="G739" s="27" t="s">
        <v>1988</v>
      </c>
      <c r="H739" s="27" t="s">
        <v>1990</v>
      </c>
      <c r="I739" s="32" t="n">
        <v>35.216712169066</v>
      </c>
      <c r="J739" s="28" t="n">
        <v>1445.40101289964</v>
      </c>
      <c r="K739" s="27"/>
    </row>
    <row r="740" customFormat="false" ht="15" hidden="true" customHeight="false" outlineLevel="1" collapsed="false">
      <c r="F740" s="27" t="s">
        <v>1991</v>
      </c>
      <c r="G740" s="27" t="s">
        <v>1990</v>
      </c>
      <c r="H740" s="27" t="s">
        <v>1992</v>
      </c>
      <c r="I740" s="32" t="n">
        <v>1.96913990764215</v>
      </c>
      <c r="J740" s="28" t="n">
        <v>1447.37015280728</v>
      </c>
      <c r="K740" s="27"/>
    </row>
    <row r="741" customFormat="false" ht="15" hidden="true" customHeight="false" outlineLevel="1" collapsed="false">
      <c r="F741" s="27" t="s">
        <v>1993</v>
      </c>
      <c r="G741" s="27" t="s">
        <v>1992</v>
      </c>
      <c r="H741" s="27" t="s">
        <v>1994</v>
      </c>
      <c r="I741" s="32" t="n">
        <v>147.423772660127</v>
      </c>
      <c r="J741" s="28" t="n">
        <v>1594.79392546741</v>
      </c>
      <c r="K741" s="27"/>
    </row>
    <row r="742" customFormat="false" ht="15" hidden="true" customHeight="false" outlineLevel="1" collapsed="false">
      <c r="F742" s="27" t="s">
        <v>1995</v>
      </c>
      <c r="G742" s="27" t="s">
        <v>1994</v>
      </c>
      <c r="H742" s="27" t="s">
        <v>1996</v>
      </c>
      <c r="I742" s="32" t="n">
        <v>3.57894908117714</v>
      </c>
      <c r="J742" s="28" t="n">
        <v>1598.37287454859</v>
      </c>
      <c r="K742" s="27"/>
    </row>
    <row r="743" customFormat="false" ht="15" hidden="true" customHeight="false" outlineLevel="1" collapsed="false">
      <c r="F743" s="27" t="s">
        <v>1997</v>
      </c>
      <c r="G743" s="27" t="s">
        <v>1996</v>
      </c>
      <c r="H743" s="27" t="s">
        <v>1998</v>
      </c>
      <c r="I743" s="32" t="n">
        <v>38.471101113904</v>
      </c>
      <c r="J743" s="28" t="n">
        <v>1636.84397566249</v>
      </c>
      <c r="K743" s="27"/>
    </row>
    <row r="744" customFormat="false" ht="15" hidden="true" customHeight="false" outlineLevel="1" collapsed="false">
      <c r="F744" s="27" t="s">
        <v>1999</v>
      </c>
      <c r="G744" s="27" t="s">
        <v>1998</v>
      </c>
      <c r="H744" s="27" t="s">
        <v>2000</v>
      </c>
      <c r="I744" s="32" t="n">
        <v>2.43705351331365</v>
      </c>
      <c r="J744" s="28" t="n">
        <v>1639.2810291758</v>
      </c>
      <c r="K744" s="27"/>
    </row>
    <row r="745" customFormat="false" ht="15" hidden="true" customHeight="false" outlineLevel="1" collapsed="false">
      <c r="F745" s="27" t="s">
        <v>2001</v>
      </c>
      <c r="G745" s="27" t="s">
        <v>2000</v>
      </c>
      <c r="H745" s="27" t="s">
        <v>2002</v>
      </c>
      <c r="I745" s="32" t="n">
        <v>3.16333241878164</v>
      </c>
      <c r="J745" s="28" t="n">
        <v>1642.44436159458</v>
      </c>
      <c r="K745" s="27"/>
    </row>
    <row r="746" customFormat="false" ht="15" hidden="true" customHeight="false" outlineLevel="1" collapsed="false">
      <c r="F746" s="27" t="s">
        <v>2003</v>
      </c>
      <c r="G746" s="27" t="s">
        <v>2002</v>
      </c>
      <c r="H746" s="27" t="s">
        <v>2004</v>
      </c>
      <c r="I746" s="32" t="n">
        <v>2.32260639791101</v>
      </c>
      <c r="J746" s="28" t="n">
        <v>1644.7669679925</v>
      </c>
      <c r="K746" s="27"/>
    </row>
    <row r="747" customFormat="false" ht="15" hidden="true" customHeight="false" outlineLevel="1" collapsed="false">
      <c r="F747" s="27" t="s">
        <v>2005</v>
      </c>
      <c r="G747" s="27" t="s">
        <v>2004</v>
      </c>
      <c r="H747" s="27" t="s">
        <v>2006</v>
      </c>
      <c r="I747" s="32" t="n">
        <v>163.236423539953</v>
      </c>
      <c r="J747" s="28" t="n">
        <v>1808.00339153245</v>
      </c>
      <c r="K747" s="27"/>
    </row>
    <row r="748" customFormat="false" ht="15" hidden="true" customHeight="false" outlineLevel="1" collapsed="false">
      <c r="F748" s="27" t="s">
        <v>2007</v>
      </c>
      <c r="G748" s="27" t="s">
        <v>2006</v>
      </c>
      <c r="H748" s="27" t="s">
        <v>2008</v>
      </c>
      <c r="I748" s="32" t="n">
        <v>3.21981705077816</v>
      </c>
      <c r="J748" s="28" t="n">
        <v>1811.22320858323</v>
      </c>
      <c r="K748" s="27"/>
    </row>
    <row r="749" customFormat="false" ht="15" hidden="true" customHeight="false" outlineLevel="1" collapsed="false">
      <c r="F749" s="27" t="s">
        <v>2009</v>
      </c>
      <c r="G749" s="27" t="s">
        <v>2008</v>
      </c>
      <c r="H749" s="27" t="s">
        <v>2010</v>
      </c>
      <c r="I749" s="32" t="n">
        <v>93.471500198348</v>
      </c>
      <c r="J749" s="28" t="n">
        <v>1904.69470878157</v>
      </c>
      <c r="K749" s="27"/>
    </row>
    <row r="750" customFormat="false" ht="15" hidden="true" customHeight="false" outlineLevel="1" collapsed="false">
      <c r="F750" s="27" t="s">
        <v>2011</v>
      </c>
      <c r="G750" s="27" t="s">
        <v>2010</v>
      </c>
      <c r="H750" s="27" t="s">
        <v>2012</v>
      </c>
      <c r="I750" s="32" t="n">
        <v>3.41027620645026</v>
      </c>
      <c r="J750" s="28" t="n">
        <v>1908.10498498803</v>
      </c>
      <c r="K750" s="27"/>
    </row>
    <row r="751" customFormat="false" ht="15" hidden="true" customHeight="false" outlineLevel="1" collapsed="false">
      <c r="F751" s="27" t="s">
        <v>2013</v>
      </c>
      <c r="G751" s="27" t="s">
        <v>2012</v>
      </c>
      <c r="H751" s="27" t="s">
        <v>2014</v>
      </c>
      <c r="I751" s="32" t="n">
        <v>194.479158210445</v>
      </c>
      <c r="J751" s="28" t="n">
        <v>2102.58414319847</v>
      </c>
      <c r="K751" s="27"/>
    </row>
    <row r="752" customFormat="false" ht="15" hidden="true" customHeight="false" outlineLevel="1" collapsed="false">
      <c r="F752" s="27" t="s">
        <v>2015</v>
      </c>
      <c r="G752" s="27" t="s">
        <v>2014</v>
      </c>
      <c r="H752" s="27" t="s">
        <v>2016</v>
      </c>
      <c r="I752" s="32" t="n">
        <v>2.92008458903075</v>
      </c>
      <c r="J752" s="28" t="n">
        <v>2105.5042277875</v>
      </c>
      <c r="K752" s="27"/>
    </row>
    <row r="753" customFormat="false" ht="15" hidden="true" customHeight="false" outlineLevel="1" collapsed="false">
      <c r="F753" s="27" t="s">
        <v>2017</v>
      </c>
      <c r="G753" s="27" t="s">
        <v>2016</v>
      </c>
      <c r="H753" s="27" t="s">
        <v>2018</v>
      </c>
      <c r="I753" s="32" t="n">
        <v>204.331880630345</v>
      </c>
      <c r="J753" s="28" t="n">
        <v>2309.83610841785</v>
      </c>
      <c r="K753" s="27"/>
    </row>
    <row r="754" customFormat="false" ht="15" hidden="true" customHeight="false" outlineLevel="1" collapsed="false">
      <c r="F754" s="27" t="s">
        <v>2019</v>
      </c>
      <c r="G754" s="27" t="s">
        <v>2018</v>
      </c>
      <c r="H754" s="27" t="s">
        <v>2020</v>
      </c>
      <c r="I754" s="32" t="n">
        <v>2.81329299593885</v>
      </c>
      <c r="J754" s="28" t="n">
        <v>2312.64940141378</v>
      </c>
      <c r="K754" s="27"/>
    </row>
    <row r="755" customFormat="false" ht="15" hidden="true" customHeight="false" outlineLevel="1" collapsed="false">
      <c r="F755" s="27" t="s">
        <v>2021</v>
      </c>
      <c r="G755" s="27" t="s">
        <v>2020</v>
      </c>
      <c r="H755" s="27" t="s">
        <v>2022</v>
      </c>
      <c r="I755" s="32" t="n">
        <v>128.293315612672</v>
      </c>
      <c r="J755" s="28" t="n">
        <v>2440.94271702646</v>
      </c>
      <c r="K755" s="27"/>
    </row>
    <row r="756" customFormat="false" ht="15" hidden="true" customHeight="false" outlineLevel="1" collapsed="false">
      <c r="F756" s="27" t="s">
        <v>2023</v>
      </c>
      <c r="G756" s="27" t="s">
        <v>2022</v>
      </c>
      <c r="H756" s="27" t="s">
        <v>2024</v>
      </c>
      <c r="I756" s="32" t="n">
        <v>2.90240387999878</v>
      </c>
      <c r="J756" s="28" t="n">
        <v>2443.84512090646</v>
      </c>
      <c r="K756" s="27"/>
    </row>
    <row r="757" customFormat="false" ht="15" hidden="true" customHeight="false" outlineLevel="1" collapsed="false">
      <c r="F757" s="27" t="s">
        <v>2025</v>
      </c>
      <c r="G757" s="27" t="s">
        <v>2024</v>
      </c>
      <c r="H757" s="27" t="s">
        <v>2026</v>
      </c>
      <c r="I757" s="32" t="n">
        <v>34.457927724143</v>
      </c>
      <c r="J757" s="28" t="n">
        <v>2478.3030486306</v>
      </c>
      <c r="K757" s="27"/>
    </row>
    <row r="758" customFormat="false" ht="15" hidden="true" customHeight="false" outlineLevel="1" collapsed="false">
      <c r="F758" s="27" t="s">
        <v>2027</v>
      </c>
      <c r="G758" s="27" t="s">
        <v>2026</v>
      </c>
      <c r="H758" s="27" t="s">
        <v>2028</v>
      </c>
      <c r="I758" s="32" t="n">
        <v>3.59592383424959</v>
      </c>
      <c r="J758" s="28" t="n">
        <v>2481.89897246485</v>
      </c>
      <c r="K758" s="27"/>
    </row>
    <row r="759" customFormat="false" ht="15" hidden="true" customHeight="false" outlineLevel="1" collapsed="false">
      <c r="F759" s="27" t="s">
        <v>2029</v>
      </c>
      <c r="G759" s="27" t="s">
        <v>2028</v>
      </c>
      <c r="H759" s="27" t="s">
        <v>2030</v>
      </c>
      <c r="I759" s="32" t="n">
        <v>247.788052342707</v>
      </c>
      <c r="J759" s="28" t="n">
        <v>2729.68702480755</v>
      </c>
      <c r="K759" s="27"/>
    </row>
    <row r="760" customFormat="false" ht="15" hidden="true" customHeight="false" outlineLevel="1" collapsed="false">
      <c r="F760" s="27" t="s">
        <v>2031</v>
      </c>
      <c r="G760" s="27" t="s">
        <v>1998</v>
      </c>
      <c r="H760" s="27" t="s">
        <v>2032</v>
      </c>
      <c r="I760" s="32" t="n">
        <v>18.2884178330602</v>
      </c>
      <c r="J760" s="28" t="n">
        <v>1655.13239349555</v>
      </c>
      <c r="K760" s="27"/>
    </row>
    <row r="761" customFormat="false" ht="15" hidden="true" customHeight="false" outlineLevel="1" collapsed="false">
      <c r="F761" s="27" t="s">
        <v>2033</v>
      </c>
      <c r="G761" s="27" t="s">
        <v>2032</v>
      </c>
      <c r="H761" s="27" t="s">
        <v>2034</v>
      </c>
      <c r="I761" s="32" t="n">
        <v>3.78696759741212</v>
      </c>
      <c r="J761" s="28" t="n">
        <v>1658.91936109296</v>
      </c>
      <c r="K761" s="27"/>
    </row>
    <row r="762" customFormat="false" ht="15" hidden="true" customHeight="false" outlineLevel="1" collapsed="false">
      <c r="F762" s="27" t="s">
        <v>2035</v>
      </c>
      <c r="G762" s="27" t="s">
        <v>2034</v>
      </c>
      <c r="H762" s="27" t="s">
        <v>2036</v>
      </c>
      <c r="I762" s="32" t="n">
        <v>126.509403736467</v>
      </c>
      <c r="J762" s="28" t="n">
        <v>1785.42876482943</v>
      </c>
      <c r="K762" s="27"/>
    </row>
    <row r="763" customFormat="false" ht="15" hidden="true" customHeight="false" outlineLevel="1" collapsed="false">
      <c r="F763" s="27" t="s">
        <v>2037</v>
      </c>
      <c r="G763" s="27" t="s">
        <v>2036</v>
      </c>
      <c r="H763" s="27" t="s">
        <v>2038</v>
      </c>
      <c r="I763" s="32" t="n">
        <v>3.42785093235836</v>
      </c>
      <c r="J763" s="28" t="n">
        <v>1788.85661576179</v>
      </c>
      <c r="K763" s="27" t="s">
        <v>188</v>
      </c>
    </row>
    <row r="764" customFormat="false" ht="15" hidden="true" customHeight="false" outlineLevel="1" collapsed="false">
      <c r="F764" s="27" t="s">
        <v>2039</v>
      </c>
      <c r="G764" s="27" t="s">
        <v>2038</v>
      </c>
      <c r="H764" s="27" t="s">
        <v>2040</v>
      </c>
      <c r="I764" s="32" t="n">
        <v>69.3999951394362</v>
      </c>
      <c r="J764" s="28" t="n">
        <v>1858.25661090122</v>
      </c>
      <c r="K764" s="27"/>
    </row>
    <row r="765" customFormat="false" ht="15" hidden="true" customHeight="false" outlineLevel="1" collapsed="false">
      <c r="F765" s="27" t="s">
        <v>2041</v>
      </c>
      <c r="G765" s="27" t="s">
        <v>2040</v>
      </c>
      <c r="H765" s="27" t="s">
        <v>2042</v>
      </c>
      <c r="I765" s="32" t="n">
        <v>2.4814875442026</v>
      </c>
      <c r="J765" s="28" t="n">
        <v>1860.73809844543</v>
      </c>
      <c r="K765" s="27"/>
    </row>
    <row r="766" customFormat="false" ht="15" hidden="true" customHeight="false" outlineLevel="1" collapsed="false">
      <c r="F766" s="27" t="s">
        <v>2043</v>
      </c>
      <c r="G766" s="27" t="s">
        <v>2042</v>
      </c>
      <c r="H766" s="27" t="s">
        <v>2044</v>
      </c>
      <c r="I766" s="32" t="n">
        <v>13.0020675014565</v>
      </c>
      <c r="J766" s="28" t="n">
        <v>1873.74016594688</v>
      </c>
      <c r="K766" s="27"/>
    </row>
    <row r="767" customFormat="false" ht="15" hidden="true" customHeight="false" outlineLevel="1" collapsed="false">
      <c r="F767" s="27" t="s">
        <v>2045</v>
      </c>
      <c r="G767" s="27" t="s">
        <v>2040</v>
      </c>
      <c r="H767" s="27" t="s">
        <v>2046</v>
      </c>
      <c r="I767" s="32" t="n">
        <v>33.4148725147833</v>
      </c>
      <c r="J767" s="28" t="n">
        <v>1891.67148341601</v>
      </c>
      <c r="K767" s="27"/>
    </row>
    <row r="768" customFormat="false" ht="15" hidden="true" customHeight="false" outlineLevel="1" collapsed="false">
      <c r="F768" s="27" t="s">
        <v>2047</v>
      </c>
      <c r="G768" s="27" t="s">
        <v>2046</v>
      </c>
      <c r="H768" s="27" t="s">
        <v>2048</v>
      </c>
      <c r="I768" s="32" t="n">
        <v>3.69273938284743</v>
      </c>
      <c r="J768" s="28" t="n">
        <v>1895.36422279885</v>
      </c>
      <c r="K768" s="27"/>
    </row>
    <row r="769" customFormat="false" ht="15" hidden="true" customHeight="false" outlineLevel="1" collapsed="false">
      <c r="F769" s="27" t="s">
        <v>2049</v>
      </c>
      <c r="G769" s="27" t="s">
        <v>2048</v>
      </c>
      <c r="H769" s="27" t="s">
        <v>2050</v>
      </c>
      <c r="I769" s="32" t="n">
        <v>81.8215752973852</v>
      </c>
      <c r="J769" s="28" t="n">
        <v>1977.18579809624</v>
      </c>
      <c r="K769" s="27"/>
    </row>
    <row r="770" customFormat="false" ht="15" hidden="true" customHeight="false" outlineLevel="1" collapsed="false">
      <c r="F770" s="27" t="s">
        <v>2051</v>
      </c>
      <c r="G770" s="27" t="s">
        <v>2050</v>
      </c>
      <c r="H770" s="27" t="s">
        <v>2052</v>
      </c>
      <c r="I770" s="32" t="n">
        <v>26.0166567707869</v>
      </c>
      <c r="J770" s="28" t="n">
        <v>2003.20245486703</v>
      </c>
      <c r="K770" s="27"/>
    </row>
    <row r="771" customFormat="false" ht="15" hidden="true" customHeight="false" outlineLevel="1" collapsed="false">
      <c r="F771" s="27" t="s">
        <v>2053</v>
      </c>
      <c r="G771" s="27" t="s">
        <v>2052</v>
      </c>
      <c r="H771" s="27" t="s">
        <v>2054</v>
      </c>
      <c r="I771" s="32" t="n">
        <v>3.12797385627121</v>
      </c>
      <c r="J771" s="28" t="n">
        <v>2006.3304287233</v>
      </c>
      <c r="K771" s="27"/>
    </row>
    <row r="772" customFormat="false" ht="15" hidden="true" customHeight="false" outlineLevel="1" collapsed="false">
      <c r="F772" s="27" t="s">
        <v>2055</v>
      </c>
      <c r="G772" s="27" t="s">
        <v>2054</v>
      </c>
      <c r="H772" s="27" t="s">
        <v>2056</v>
      </c>
      <c r="I772" s="32" t="n">
        <v>58.567811256246</v>
      </c>
      <c r="J772" s="28" t="n">
        <v>2064.89823997954</v>
      </c>
      <c r="K772" s="27"/>
    </row>
    <row r="773" customFormat="false" ht="15" hidden="true" customHeight="false" outlineLevel="1" collapsed="false">
      <c r="F773" s="27" t="s">
        <v>2057</v>
      </c>
      <c r="G773" s="27" t="s">
        <v>2056</v>
      </c>
      <c r="H773" s="27" t="s">
        <v>2058</v>
      </c>
      <c r="I773" s="32" t="n">
        <v>1.50144934361183</v>
      </c>
      <c r="J773" s="28" t="n">
        <v>2066.39968932316</v>
      </c>
      <c r="K773" s="27"/>
    </row>
    <row r="774" customFormat="false" ht="15" hidden="true" customHeight="false" outlineLevel="1" collapsed="false">
      <c r="F774" s="27" t="s">
        <v>2059</v>
      </c>
      <c r="G774" s="27" t="s">
        <v>2058</v>
      </c>
      <c r="H774" s="27" t="s">
        <v>2060</v>
      </c>
      <c r="I774" s="32" t="n">
        <v>83.6222980855269</v>
      </c>
      <c r="J774" s="28" t="n">
        <v>2150.02198740868</v>
      </c>
      <c r="K774" s="27"/>
    </row>
    <row r="775" customFormat="false" ht="15" hidden="true" customHeight="false" outlineLevel="1" collapsed="false">
      <c r="F775" s="27" t="s">
        <v>2061</v>
      </c>
      <c r="G775" s="27" t="s">
        <v>2060</v>
      </c>
      <c r="H775" s="27" t="s">
        <v>2062</v>
      </c>
      <c r="I775" s="32" t="n">
        <v>36.4155085326176</v>
      </c>
      <c r="J775" s="28" t="n">
        <v>2186.4374959413</v>
      </c>
      <c r="K775" s="27"/>
    </row>
    <row r="776" customFormat="false" ht="15" hidden="true" customHeight="false" outlineLevel="1" collapsed="false">
      <c r="F776" s="27" t="s">
        <v>2063</v>
      </c>
      <c r="G776" s="27" t="s">
        <v>2060</v>
      </c>
      <c r="H776" s="27" t="s">
        <v>2064</v>
      </c>
      <c r="I776" s="32" t="n">
        <v>1.19629893464278</v>
      </c>
      <c r="J776" s="28" t="n">
        <v>2151.21828634333</v>
      </c>
      <c r="K776" s="27"/>
    </row>
    <row r="777" customFormat="false" ht="15" hidden="true" customHeight="false" outlineLevel="1" collapsed="false">
      <c r="F777" s="27" t="s">
        <v>2065</v>
      </c>
      <c r="G777" s="27" t="s">
        <v>2056</v>
      </c>
      <c r="H777" s="27" t="s">
        <v>2066</v>
      </c>
      <c r="I777" s="32" t="n">
        <v>68.2157064445778</v>
      </c>
      <c r="J777" s="28" t="n">
        <v>2133.11394642412</v>
      </c>
      <c r="K777" s="27"/>
    </row>
    <row r="778" customFormat="false" ht="15" hidden="true" customHeight="false" outlineLevel="1" collapsed="false">
      <c r="F778" s="27" t="s">
        <v>2067</v>
      </c>
      <c r="G778" s="27" t="s">
        <v>2050</v>
      </c>
      <c r="H778" s="27" t="s">
        <v>2068</v>
      </c>
      <c r="I778" s="32" t="n">
        <v>1.33474075584182</v>
      </c>
      <c r="J778" s="28" t="n">
        <v>1978.52053885208</v>
      </c>
      <c r="K778" s="27"/>
    </row>
    <row r="779" customFormat="false" ht="15" hidden="false" customHeight="false" outlineLevel="0" collapsed="true">
      <c r="A779" s="35" t="n">
        <v>70</v>
      </c>
      <c r="B779" s="35" t="s">
        <v>24</v>
      </c>
      <c r="C779" s="35" t="s">
        <v>303</v>
      </c>
      <c r="D779" s="35" t="s">
        <v>541</v>
      </c>
      <c r="E779" s="35" t="s">
        <v>189</v>
      </c>
      <c r="F779" s="35" t="str">
        <f aca="false">COUNTIFS(Trechos!$L$2:$L$838,A779)&amp;" vãos"</f>
        <v>1 vãos</v>
      </c>
      <c r="G779" s="35"/>
      <c r="H779" s="35"/>
      <c r="I779" s="36" t="n">
        <f aca="false">SUMIFS(Trechos!$F$2:$F$838,Trechos!$L$2:$L$838,A779)</f>
        <v>10.9270182219447</v>
      </c>
      <c r="J779" s="35"/>
      <c r="K779" s="35"/>
      <c r="L779" s="35" t="s">
        <v>190</v>
      </c>
      <c r="M779" s="35" t="s">
        <v>54</v>
      </c>
      <c r="N779" s="35" t="str">
        <f aca="false">Blocos!BT71</f>
        <v>—</v>
      </c>
    </row>
    <row r="780" customFormat="false" ht="15" hidden="true" customHeight="false" outlineLevel="1" collapsed="false">
      <c r="F780" s="27" t="s">
        <v>2069</v>
      </c>
      <c r="G780" s="27" t="s">
        <v>2064</v>
      </c>
      <c r="H780" s="27" t="s">
        <v>2070</v>
      </c>
      <c r="I780" s="32" t="n">
        <v>10.9270182219447</v>
      </c>
      <c r="J780" s="28" t="n">
        <v>10.9270182219448</v>
      </c>
      <c r="K780" s="27"/>
    </row>
    <row r="781" customFormat="false" ht="15" hidden="false" customHeight="false" outlineLevel="0" collapsed="true">
      <c r="A781" s="35" t="n">
        <v>71</v>
      </c>
      <c r="B781" s="35" t="s">
        <v>24</v>
      </c>
      <c r="C781" s="35" t="s">
        <v>303</v>
      </c>
      <c r="D781" s="35" t="s">
        <v>541</v>
      </c>
      <c r="E781" s="35" t="s">
        <v>191</v>
      </c>
      <c r="F781" s="35" t="str">
        <f aca="false">COUNTIFS(Trechos!$L$2:$L$838,A781)&amp;" vãos"</f>
        <v>1 vãos</v>
      </c>
      <c r="G781" s="35"/>
      <c r="H781" s="35"/>
      <c r="I781" s="36" t="n">
        <f aca="false">SUMIFS(Trechos!$F$2:$F$838,Trechos!$L$2:$L$838,A781)</f>
        <v>12.6041120650505</v>
      </c>
      <c r="J781" s="35"/>
      <c r="K781" s="35"/>
      <c r="L781" s="35" t="s">
        <v>192</v>
      </c>
      <c r="M781" s="35" t="s">
        <v>54</v>
      </c>
      <c r="N781" s="35" t="str">
        <f aca="false">Blocos!BT72</f>
        <v>—</v>
      </c>
    </row>
    <row r="782" customFormat="false" ht="15" hidden="true" customHeight="false" outlineLevel="1" collapsed="false">
      <c r="F782" s="27" t="s">
        <v>2071</v>
      </c>
      <c r="G782" s="27" t="s">
        <v>2068</v>
      </c>
      <c r="H782" s="27" t="s">
        <v>2072</v>
      </c>
      <c r="I782" s="32" t="n">
        <v>12.6041120650505</v>
      </c>
      <c r="J782" s="28" t="n">
        <v>12.6041120650507</v>
      </c>
      <c r="K782" s="27"/>
    </row>
    <row r="783" customFormat="false" ht="15" hidden="false" customHeight="false" outlineLevel="0" collapsed="true">
      <c r="A783" s="33" t="n">
        <v>72</v>
      </c>
      <c r="B783" s="33" t="s">
        <v>23</v>
      </c>
      <c r="C783" s="33" t="s">
        <v>303</v>
      </c>
      <c r="D783" s="33" t="s">
        <v>546</v>
      </c>
      <c r="E783" s="33" t="s">
        <v>42</v>
      </c>
      <c r="F783" s="33" t="str">
        <f aca="false">COUNTIFS(Trechos!$L$2:$L$838,A783)&amp;" vãos"</f>
        <v>2 vãos</v>
      </c>
      <c r="G783" s="33"/>
      <c r="H783" s="33"/>
      <c r="I783" s="34" t="n">
        <f aca="false">SUMIFS(Trechos!$F$2:$F$838,Trechos!$L$2:$L$838,A783)</f>
        <v>3.02913411342669</v>
      </c>
      <c r="J783" s="33"/>
      <c r="K783" s="33"/>
      <c r="L783" s="33" t="s">
        <v>195</v>
      </c>
      <c r="M783" s="33" t="s">
        <v>54</v>
      </c>
      <c r="N783" s="33" t="str">
        <f aca="false">Blocos!BT73</f>
        <v>—</v>
      </c>
    </row>
    <row r="784" customFormat="false" ht="15" hidden="true" customHeight="false" outlineLevel="1" collapsed="false">
      <c r="F784" s="27" t="s">
        <v>2073</v>
      </c>
      <c r="G784" s="27" t="s">
        <v>768</v>
      </c>
      <c r="H784" s="27" t="s">
        <v>2074</v>
      </c>
      <c r="I784" s="32" t="n">
        <v>0.351351487441505</v>
      </c>
      <c r="J784" s="28" t="n">
        <v>1396.28440054571</v>
      </c>
      <c r="K784" s="27"/>
    </row>
    <row r="785" customFormat="false" ht="15" hidden="true" customHeight="false" outlineLevel="1" collapsed="false">
      <c r="F785" s="27" t="s">
        <v>2075</v>
      </c>
      <c r="G785" s="27" t="s">
        <v>2074</v>
      </c>
      <c r="H785" s="27" t="s">
        <v>2076</v>
      </c>
      <c r="I785" s="32" t="n">
        <v>2.67778262598519</v>
      </c>
      <c r="J785" s="28" t="n">
        <v>1398.96218317169</v>
      </c>
      <c r="K785" s="27"/>
    </row>
    <row r="786" customFormat="false" ht="15" hidden="false" customHeight="false" outlineLevel="0" collapsed="true">
      <c r="A786" s="33" t="n">
        <v>73</v>
      </c>
      <c r="B786" s="33" t="s">
        <v>23</v>
      </c>
      <c r="C786" s="33" t="s">
        <v>303</v>
      </c>
      <c r="D786" s="33" t="s">
        <v>547</v>
      </c>
      <c r="E786" s="33" t="s">
        <v>44</v>
      </c>
      <c r="F786" s="33" t="str">
        <f aca="false">COUNTIFS(Trechos!$L$2:$L$838,A786)&amp;" vãos"</f>
        <v>1 vãos</v>
      </c>
      <c r="G786" s="33"/>
      <c r="H786" s="33"/>
      <c r="I786" s="34" t="n">
        <f aca="false">SUMIFS(Trechos!$F$2:$F$838,Trechos!$L$2:$L$838,A786)</f>
        <v>20.417790421367</v>
      </c>
      <c r="J786" s="33"/>
      <c r="K786" s="33"/>
      <c r="L786" s="33" t="s">
        <v>198</v>
      </c>
      <c r="M786" s="33" t="s">
        <v>54</v>
      </c>
      <c r="N786" s="33" t="str">
        <f aca="false">Blocos!BT74</f>
        <v>—</v>
      </c>
    </row>
    <row r="787" customFormat="false" ht="15" hidden="true" customHeight="false" outlineLevel="1" collapsed="false">
      <c r="F787" s="27" t="s">
        <v>2077</v>
      </c>
      <c r="G787" s="27" t="s">
        <v>774</v>
      </c>
      <c r="H787" s="27" t="s">
        <v>2078</v>
      </c>
      <c r="I787" s="32" t="n">
        <v>20.417790421367</v>
      </c>
      <c r="J787" s="28" t="n">
        <v>229.042434699835</v>
      </c>
      <c r="K787" s="27"/>
    </row>
    <row r="788" customFormat="false" ht="15" hidden="false" customHeight="false" outlineLevel="0" collapsed="true">
      <c r="A788" s="33" t="n">
        <v>74</v>
      </c>
      <c r="B788" s="33" t="s">
        <v>23</v>
      </c>
      <c r="C788" s="33" t="s">
        <v>303</v>
      </c>
      <c r="D788" s="33" t="s">
        <v>548</v>
      </c>
      <c r="E788" s="33" t="s">
        <v>44</v>
      </c>
      <c r="F788" s="33" t="str">
        <f aca="false">COUNTIFS(Trechos!$L$2:$L$838,A788)&amp;" vãos"</f>
        <v>1 vãos</v>
      </c>
      <c r="G788" s="33"/>
      <c r="H788" s="33"/>
      <c r="I788" s="34" t="n">
        <f aca="false">SUMIFS(Trechos!$F$2:$F$838,Trechos!$L$2:$L$838,A788)</f>
        <v>7.73594669834113</v>
      </c>
      <c r="J788" s="33"/>
      <c r="K788" s="33"/>
      <c r="L788" s="33" t="s">
        <v>201</v>
      </c>
      <c r="M788" s="33" t="s">
        <v>54</v>
      </c>
      <c r="N788" s="33" t="str">
        <f aca="false">Blocos!BT75</f>
        <v>—</v>
      </c>
    </row>
    <row r="789" customFormat="false" ht="15" hidden="true" customHeight="false" outlineLevel="1" collapsed="false">
      <c r="F789" s="27" t="s">
        <v>2079</v>
      </c>
      <c r="G789" s="27" t="s">
        <v>786</v>
      </c>
      <c r="H789" s="27" t="s">
        <v>2080</v>
      </c>
      <c r="I789" s="32" t="n">
        <v>7.73594669834113</v>
      </c>
      <c r="J789" s="28" t="n">
        <v>542.782967041029</v>
      </c>
      <c r="K789" s="27"/>
    </row>
    <row r="790" customFormat="false" ht="15" hidden="false" customHeight="false" outlineLevel="0" collapsed="true">
      <c r="A790" s="35" t="n">
        <v>75</v>
      </c>
      <c r="B790" s="35" t="s">
        <v>24</v>
      </c>
      <c r="C790" s="35" t="s">
        <v>303</v>
      </c>
      <c r="D790" s="35" t="s">
        <v>549</v>
      </c>
      <c r="E790" s="35" t="s">
        <v>203</v>
      </c>
      <c r="F790" s="35" t="str">
        <f aca="false">COUNTIFS(Trechos!$L$2:$L$838,A790)&amp;" vãos"</f>
        <v>26 vãos</v>
      </c>
      <c r="G790" s="35"/>
      <c r="H790" s="35"/>
      <c r="I790" s="36" t="n">
        <f aca="false">SUMIFS(Trechos!$F$2:$F$838,Trechos!$L$2:$L$838,A790)</f>
        <v>1411.64193664859</v>
      </c>
      <c r="J790" s="35"/>
      <c r="K790" s="35"/>
      <c r="L790" s="35" t="s">
        <v>204</v>
      </c>
      <c r="M790" s="35" t="s">
        <v>205</v>
      </c>
      <c r="N790" s="35" t="str">
        <f aca="false">Blocos!BT76</f>
        <v>0345006004, 0352810004</v>
      </c>
    </row>
    <row r="791" customFormat="false" ht="15" hidden="true" customHeight="false" outlineLevel="1" collapsed="false">
      <c r="F791" s="27" t="s">
        <v>2081</v>
      </c>
      <c r="G791" s="27" t="s">
        <v>790</v>
      </c>
      <c r="H791" s="27" t="s">
        <v>2082</v>
      </c>
      <c r="I791" s="32" t="n">
        <v>66.5137792801613</v>
      </c>
      <c r="J791" s="28" t="n">
        <v>66.5137792801611</v>
      </c>
      <c r="K791" s="27"/>
    </row>
    <row r="792" customFormat="false" ht="15" hidden="true" customHeight="false" outlineLevel="1" collapsed="false">
      <c r="F792" s="27" t="s">
        <v>2083</v>
      </c>
      <c r="G792" s="27" t="s">
        <v>2082</v>
      </c>
      <c r="H792" s="27" t="s">
        <v>2084</v>
      </c>
      <c r="I792" s="32" t="n">
        <v>129.416425544246</v>
      </c>
      <c r="J792" s="28" t="n">
        <v>195.930204824407</v>
      </c>
      <c r="K792" s="27"/>
    </row>
    <row r="793" customFormat="false" ht="15" hidden="true" customHeight="false" outlineLevel="1" collapsed="false">
      <c r="F793" s="27" t="s">
        <v>2085</v>
      </c>
      <c r="G793" s="27" t="s">
        <v>2084</v>
      </c>
      <c r="H793" s="27" t="s">
        <v>2086</v>
      </c>
      <c r="I793" s="32" t="n">
        <v>45.2601636507811</v>
      </c>
      <c r="J793" s="28" t="n">
        <v>241.190368475188</v>
      </c>
      <c r="K793" s="27"/>
    </row>
    <row r="794" customFormat="false" ht="15" hidden="true" customHeight="false" outlineLevel="1" collapsed="false">
      <c r="F794" s="27" t="s">
        <v>2087</v>
      </c>
      <c r="G794" s="27" t="s">
        <v>2086</v>
      </c>
      <c r="H794" s="27" t="s">
        <v>2088</v>
      </c>
      <c r="I794" s="32" t="n">
        <v>24.1501139200828</v>
      </c>
      <c r="J794" s="28" t="n">
        <v>265.340482395271</v>
      </c>
      <c r="K794" s="27"/>
    </row>
    <row r="795" customFormat="false" ht="15" hidden="true" customHeight="false" outlineLevel="1" collapsed="false">
      <c r="F795" s="27" t="s">
        <v>2089</v>
      </c>
      <c r="G795" s="27" t="s">
        <v>2088</v>
      </c>
      <c r="H795" s="27" t="s">
        <v>2090</v>
      </c>
      <c r="I795" s="32" t="n">
        <v>135.885078719806</v>
      </c>
      <c r="J795" s="28" t="n">
        <v>401.225561115077</v>
      </c>
      <c r="K795" s="27"/>
    </row>
    <row r="796" customFormat="false" ht="15" hidden="true" customHeight="false" outlineLevel="1" collapsed="false">
      <c r="F796" s="27" t="s">
        <v>2091</v>
      </c>
      <c r="G796" s="27" t="s">
        <v>2090</v>
      </c>
      <c r="H796" s="27" t="s">
        <v>2092</v>
      </c>
      <c r="I796" s="32" t="n">
        <v>198.809712294351</v>
      </c>
      <c r="J796" s="28" t="n">
        <v>600.035273409427</v>
      </c>
      <c r="K796" s="27"/>
    </row>
    <row r="797" customFormat="false" ht="15" hidden="true" customHeight="false" outlineLevel="1" collapsed="false">
      <c r="F797" s="27" t="s">
        <v>2093</v>
      </c>
      <c r="G797" s="27" t="s">
        <v>2092</v>
      </c>
      <c r="H797" s="27" t="s">
        <v>2094</v>
      </c>
      <c r="I797" s="32" t="n">
        <v>13.8925102068261</v>
      </c>
      <c r="J797" s="28" t="n">
        <v>613.927783616253</v>
      </c>
      <c r="K797" s="27"/>
    </row>
    <row r="798" customFormat="false" ht="15" hidden="true" customHeight="false" outlineLevel="1" collapsed="false">
      <c r="F798" s="27" t="s">
        <v>2095</v>
      </c>
      <c r="G798" s="27" t="s">
        <v>2092</v>
      </c>
      <c r="H798" s="27" t="s">
        <v>2096</v>
      </c>
      <c r="I798" s="32" t="n">
        <v>159.672147824076</v>
      </c>
      <c r="J798" s="28" t="n">
        <v>759.707421233503</v>
      </c>
      <c r="K798" s="27"/>
    </row>
    <row r="799" customFormat="false" ht="15" hidden="true" customHeight="false" outlineLevel="1" collapsed="false">
      <c r="F799" s="27" t="s">
        <v>2097</v>
      </c>
      <c r="G799" s="27" t="s">
        <v>2092</v>
      </c>
      <c r="H799" s="27" t="s">
        <v>2098</v>
      </c>
      <c r="I799" s="32" t="n">
        <v>21.1303197281373</v>
      </c>
      <c r="J799" s="28" t="n">
        <v>621.165593137565</v>
      </c>
      <c r="K799" s="27"/>
    </row>
    <row r="800" customFormat="false" ht="15" hidden="true" customHeight="false" outlineLevel="1" collapsed="false">
      <c r="F800" s="27" t="s">
        <v>2099</v>
      </c>
      <c r="G800" s="27" t="s">
        <v>2098</v>
      </c>
      <c r="H800" s="27" t="s">
        <v>2100</v>
      </c>
      <c r="I800" s="32" t="n">
        <v>3.77406081134591</v>
      </c>
      <c r="J800" s="28" t="n">
        <v>624.939653948911</v>
      </c>
      <c r="K800" s="27"/>
    </row>
    <row r="801" customFormat="false" ht="15" hidden="true" customHeight="false" outlineLevel="1" collapsed="false">
      <c r="F801" s="27" t="s">
        <v>2101</v>
      </c>
      <c r="G801" s="27" t="s">
        <v>2100</v>
      </c>
      <c r="H801" s="27" t="s">
        <v>2102</v>
      </c>
      <c r="I801" s="32" t="n">
        <v>56.5172307589827</v>
      </c>
      <c r="J801" s="28" t="n">
        <v>681.456884707894</v>
      </c>
      <c r="K801" s="27"/>
    </row>
    <row r="802" customFormat="false" ht="15" hidden="true" customHeight="false" outlineLevel="1" collapsed="false">
      <c r="F802" s="27" t="s">
        <v>2103</v>
      </c>
      <c r="G802" s="27" t="s">
        <v>2102</v>
      </c>
      <c r="H802" s="27" t="s">
        <v>2104</v>
      </c>
      <c r="I802" s="32" t="n">
        <v>17.0874026903062</v>
      </c>
      <c r="J802" s="28" t="n">
        <v>698.544287398201</v>
      </c>
      <c r="K802" s="27"/>
    </row>
    <row r="803" customFormat="false" ht="15" hidden="true" customHeight="false" outlineLevel="1" collapsed="false">
      <c r="F803" s="27" t="s">
        <v>2105</v>
      </c>
      <c r="G803" s="27" t="s">
        <v>2102</v>
      </c>
      <c r="H803" s="27" t="s">
        <v>2106</v>
      </c>
      <c r="I803" s="32" t="n">
        <v>11.1759267524516</v>
      </c>
      <c r="J803" s="28" t="n">
        <v>692.632811460345</v>
      </c>
      <c r="K803" s="27"/>
    </row>
    <row r="804" customFormat="false" ht="15" hidden="true" customHeight="false" outlineLevel="1" collapsed="false">
      <c r="F804" s="27" t="s">
        <v>2107</v>
      </c>
      <c r="G804" s="27" t="s">
        <v>2102</v>
      </c>
      <c r="H804" s="27" t="s">
        <v>2108</v>
      </c>
      <c r="I804" s="32" t="n">
        <v>46.2591846772911</v>
      </c>
      <c r="J804" s="28" t="n">
        <v>727.716069385185</v>
      </c>
      <c r="K804" s="27"/>
    </row>
    <row r="805" customFormat="false" ht="15" hidden="true" customHeight="false" outlineLevel="1" collapsed="false">
      <c r="F805" s="27" t="s">
        <v>2109</v>
      </c>
      <c r="G805" s="27" t="s">
        <v>2108</v>
      </c>
      <c r="H805" s="27" t="s">
        <v>2110</v>
      </c>
      <c r="I805" s="32" t="n">
        <v>33.328539457478</v>
      </c>
      <c r="J805" s="28" t="n">
        <v>761.044608842663</v>
      </c>
      <c r="K805" s="27"/>
    </row>
    <row r="806" customFormat="false" ht="15" hidden="true" customHeight="false" outlineLevel="1" collapsed="false">
      <c r="F806" s="27" t="s">
        <v>2111</v>
      </c>
      <c r="G806" s="27" t="s">
        <v>2088</v>
      </c>
      <c r="H806" s="27" t="s">
        <v>2112</v>
      </c>
      <c r="I806" s="32" t="n">
        <v>6.05027836623153</v>
      </c>
      <c r="J806" s="28" t="n">
        <v>271.390760761502</v>
      </c>
      <c r="K806" s="27"/>
    </row>
    <row r="807" customFormat="false" ht="15" hidden="true" customHeight="false" outlineLevel="1" collapsed="false">
      <c r="F807" s="27" t="s">
        <v>2113</v>
      </c>
      <c r="G807" s="27" t="s">
        <v>2112</v>
      </c>
      <c r="H807" s="27" t="s">
        <v>2114</v>
      </c>
      <c r="I807" s="32" t="n">
        <v>3.3391385046163</v>
      </c>
      <c r="J807" s="28" t="n">
        <v>274.729899266118</v>
      </c>
      <c r="K807" s="27" t="s">
        <v>205</v>
      </c>
    </row>
    <row r="808" customFormat="false" ht="15" hidden="true" customHeight="false" outlineLevel="1" collapsed="false">
      <c r="F808" s="27" t="s">
        <v>2115</v>
      </c>
      <c r="G808" s="27" t="s">
        <v>2114</v>
      </c>
      <c r="H808" s="27" t="s">
        <v>2116</v>
      </c>
      <c r="I808" s="32" t="n">
        <v>130.518504717506</v>
      </c>
      <c r="J808" s="28" t="n">
        <v>405.248403983624</v>
      </c>
      <c r="K808" s="27"/>
    </row>
    <row r="809" customFormat="false" ht="15" hidden="true" customHeight="false" outlineLevel="1" collapsed="false">
      <c r="F809" s="27" t="s">
        <v>2117</v>
      </c>
      <c r="G809" s="27" t="s">
        <v>2116</v>
      </c>
      <c r="H809" s="27" t="s">
        <v>2118</v>
      </c>
      <c r="I809" s="32" t="n">
        <v>36.012096274879</v>
      </c>
      <c r="J809" s="28" t="n">
        <v>441.260500258503</v>
      </c>
      <c r="K809" s="27"/>
    </row>
    <row r="810" customFormat="false" ht="15" hidden="true" customHeight="false" outlineLevel="1" collapsed="false">
      <c r="F810" s="27" t="s">
        <v>2119</v>
      </c>
      <c r="G810" s="27" t="s">
        <v>2116</v>
      </c>
      <c r="H810" s="27" t="s">
        <v>2120</v>
      </c>
      <c r="I810" s="32" t="n">
        <v>0.744738565707341</v>
      </c>
      <c r="J810" s="28" t="n">
        <v>405.993142549331</v>
      </c>
      <c r="K810" s="27"/>
    </row>
    <row r="811" customFormat="false" ht="15" hidden="true" customHeight="false" outlineLevel="1" collapsed="false">
      <c r="F811" s="27" t="s">
        <v>2121</v>
      </c>
      <c r="G811" s="27" t="s">
        <v>2088</v>
      </c>
      <c r="H811" s="27" t="s">
        <v>2122</v>
      </c>
      <c r="I811" s="32" t="n">
        <v>15.9909672602918</v>
      </c>
      <c r="J811" s="28" t="n">
        <v>281.331449655562</v>
      </c>
      <c r="K811" s="27"/>
    </row>
    <row r="812" customFormat="false" ht="15" hidden="true" customHeight="false" outlineLevel="1" collapsed="false">
      <c r="F812" s="27" t="s">
        <v>2123</v>
      </c>
      <c r="G812" s="27" t="s">
        <v>2086</v>
      </c>
      <c r="H812" s="27" t="s">
        <v>2124</v>
      </c>
      <c r="I812" s="32" t="n">
        <v>29.5057023797148</v>
      </c>
      <c r="J812" s="28" t="n">
        <v>270.696070854903</v>
      </c>
      <c r="K812" s="27"/>
    </row>
    <row r="813" customFormat="false" ht="15" hidden="true" customHeight="false" outlineLevel="1" collapsed="false">
      <c r="F813" s="27" t="s">
        <v>2125</v>
      </c>
      <c r="G813" s="27" t="s">
        <v>2084</v>
      </c>
      <c r="H813" s="27" t="s">
        <v>2126</v>
      </c>
      <c r="I813" s="32" t="n">
        <v>2.06200014958653</v>
      </c>
      <c r="J813" s="28" t="n">
        <v>197.992204973993</v>
      </c>
      <c r="K813" s="27"/>
    </row>
    <row r="814" customFormat="false" ht="15" hidden="true" customHeight="false" outlineLevel="1" collapsed="false">
      <c r="F814" s="27" t="s">
        <v>2127</v>
      </c>
      <c r="G814" s="27" t="s">
        <v>2126</v>
      </c>
      <c r="H814" s="27" t="s">
        <v>2128</v>
      </c>
      <c r="I814" s="32" t="n">
        <v>200.293651896934</v>
      </c>
      <c r="J814" s="28" t="n">
        <v>398.285856870927</v>
      </c>
      <c r="K814" s="27"/>
    </row>
    <row r="815" customFormat="false" ht="15" hidden="true" customHeight="false" outlineLevel="1" collapsed="false">
      <c r="F815" s="27" t="s">
        <v>2129</v>
      </c>
      <c r="G815" s="27" t="s">
        <v>2128</v>
      </c>
      <c r="H815" s="27" t="s">
        <v>2130</v>
      </c>
      <c r="I815" s="32" t="n">
        <v>23.355889013552</v>
      </c>
      <c r="J815" s="28" t="n">
        <v>421.641745884479</v>
      </c>
      <c r="K815" s="27"/>
    </row>
    <row r="816" customFormat="false" ht="15" hidden="true" customHeight="false" outlineLevel="1" collapsed="false">
      <c r="F816" s="27" t="s">
        <v>2131</v>
      </c>
      <c r="G816" s="27" t="s">
        <v>2128</v>
      </c>
      <c r="H816" s="27" t="s">
        <v>2132</v>
      </c>
      <c r="I816" s="32" t="n">
        <v>0.896373203248138</v>
      </c>
      <c r="J816" s="28" t="n">
        <v>399.182230074175</v>
      </c>
      <c r="K816" s="27"/>
    </row>
    <row r="817" customFormat="false" ht="15" hidden="false" customHeight="false" outlineLevel="0" collapsed="true">
      <c r="A817" s="35" t="n">
        <v>76</v>
      </c>
      <c r="B817" s="35" t="s">
        <v>24</v>
      </c>
      <c r="C817" s="35" t="s">
        <v>303</v>
      </c>
      <c r="D817" s="35" t="s">
        <v>549</v>
      </c>
      <c r="E817" s="35" t="s">
        <v>206</v>
      </c>
      <c r="F817" s="35" t="str">
        <f aca="false">COUNTIFS(Trechos!$L$2:$L$838,A817)&amp;" vãos"</f>
        <v>1 vãos</v>
      </c>
      <c r="G817" s="35"/>
      <c r="H817" s="35"/>
      <c r="I817" s="36" t="n">
        <f aca="false">SUMIFS(Trechos!$F$2:$F$838,Trechos!$L$2:$L$838,A817)</f>
        <v>6.35943390482056</v>
      </c>
      <c r="J817" s="35"/>
      <c r="K817" s="35"/>
      <c r="L817" s="35" t="s">
        <v>207</v>
      </c>
      <c r="M817" s="35" t="s">
        <v>54</v>
      </c>
      <c r="N817" s="35" t="str">
        <f aca="false">Blocos!BT77</f>
        <v>—</v>
      </c>
    </row>
    <row r="818" customFormat="false" ht="15" hidden="true" customHeight="false" outlineLevel="1" collapsed="false">
      <c r="F818" s="27" t="s">
        <v>2133</v>
      </c>
      <c r="G818" s="27" t="s">
        <v>2120</v>
      </c>
      <c r="H818" s="27" t="s">
        <v>2134</v>
      </c>
      <c r="I818" s="32" t="n">
        <v>6.35943390482056</v>
      </c>
      <c r="J818" s="28" t="n">
        <v>6.35943390482044</v>
      </c>
      <c r="K818" s="27"/>
    </row>
    <row r="819" customFormat="false" ht="15" hidden="false" customHeight="false" outlineLevel="0" collapsed="true">
      <c r="A819" s="35" t="n">
        <v>77</v>
      </c>
      <c r="B819" s="35" t="s">
        <v>24</v>
      </c>
      <c r="C819" s="35" t="s">
        <v>303</v>
      </c>
      <c r="D819" s="35" t="s">
        <v>549</v>
      </c>
      <c r="E819" s="35" t="s">
        <v>208</v>
      </c>
      <c r="F819" s="35" t="str">
        <f aca="false">COUNTIFS(Trechos!$L$2:$L$838,A819)&amp;" vãos"</f>
        <v>1 vãos</v>
      </c>
      <c r="G819" s="35"/>
      <c r="H819" s="35"/>
      <c r="I819" s="36" t="n">
        <f aca="false">SUMIFS(Trechos!$F$2:$F$838,Trechos!$L$2:$L$838,A819)</f>
        <v>8.91912484041897</v>
      </c>
      <c r="J819" s="35"/>
      <c r="K819" s="35"/>
      <c r="L819" s="35" t="s">
        <v>209</v>
      </c>
      <c r="M819" s="35" t="s">
        <v>54</v>
      </c>
      <c r="N819" s="35" t="str">
        <f aca="false">Blocos!BT78</f>
        <v>—</v>
      </c>
    </row>
    <row r="820" customFormat="false" ht="15" hidden="true" customHeight="false" outlineLevel="1" collapsed="false">
      <c r="F820" s="27" t="s">
        <v>2135</v>
      </c>
      <c r="G820" s="27" t="s">
        <v>2132</v>
      </c>
      <c r="H820" s="27" t="s">
        <v>2136</v>
      </c>
      <c r="I820" s="32" t="n">
        <v>8.91912484041897</v>
      </c>
      <c r="J820" s="28" t="n">
        <v>8.91912484041905</v>
      </c>
      <c r="K820" s="27"/>
    </row>
    <row r="821" customFormat="false" ht="15" hidden="false" customHeight="false" outlineLevel="0" collapsed="true">
      <c r="A821" s="35" t="n">
        <v>78</v>
      </c>
      <c r="B821" s="35" t="s">
        <v>24</v>
      </c>
      <c r="C821" s="35" t="s">
        <v>303</v>
      </c>
      <c r="D821" s="35" t="s">
        <v>559</v>
      </c>
      <c r="E821" s="35" t="s">
        <v>211</v>
      </c>
      <c r="F821" s="35" t="str">
        <f aca="false">COUNTIFS(Trechos!$L$2:$L$838,A821)&amp;" vãos"</f>
        <v>2 vãos</v>
      </c>
      <c r="G821" s="35"/>
      <c r="H821" s="35"/>
      <c r="I821" s="36" t="n">
        <f aca="false">SUMIFS(Trechos!$F$2:$F$838,Trechos!$L$2:$L$838,A821)</f>
        <v>497.374537974624</v>
      </c>
      <c r="J821" s="35"/>
      <c r="K821" s="35"/>
      <c r="L821" s="35" t="s">
        <v>212</v>
      </c>
      <c r="M821" s="35" t="s">
        <v>54</v>
      </c>
      <c r="N821" s="35" t="str">
        <f aca="false">Blocos!BT79</f>
        <v>—</v>
      </c>
    </row>
    <row r="822" customFormat="false" ht="15" hidden="true" customHeight="false" outlineLevel="1" collapsed="false">
      <c r="F822" s="27" t="s">
        <v>2137</v>
      </c>
      <c r="G822" s="27" t="s">
        <v>973</v>
      </c>
      <c r="H822" s="27" t="s">
        <v>2138</v>
      </c>
      <c r="I822" s="32" t="n">
        <v>441.793767087739</v>
      </c>
      <c r="J822" s="28" t="n">
        <v>441.79376708774</v>
      </c>
      <c r="K822" s="27"/>
    </row>
    <row r="823" customFormat="false" ht="15" hidden="true" customHeight="false" outlineLevel="1" collapsed="false">
      <c r="F823" s="27" t="s">
        <v>2139</v>
      </c>
      <c r="G823" s="27" t="s">
        <v>2138</v>
      </c>
      <c r="H823" s="27" t="s">
        <v>2140</v>
      </c>
      <c r="I823" s="32" t="n">
        <v>55.5807708868849</v>
      </c>
      <c r="J823" s="28" t="n">
        <v>497.374537974625</v>
      </c>
      <c r="K823" s="27"/>
    </row>
    <row r="824" customFormat="false" ht="15" hidden="false" customHeight="false" outlineLevel="0" collapsed="true">
      <c r="A824" s="33" t="n">
        <v>79</v>
      </c>
      <c r="B824" s="33" t="s">
        <v>23</v>
      </c>
      <c r="C824" s="33" t="s">
        <v>303</v>
      </c>
      <c r="D824" s="33" t="s">
        <v>560</v>
      </c>
      <c r="E824" s="33" t="s">
        <v>44</v>
      </c>
      <c r="F824" s="33" t="str">
        <f aca="false">COUNTIFS(Trechos!$L$2:$L$838,A824)&amp;" vãos"</f>
        <v>2 vãos</v>
      </c>
      <c r="G824" s="33"/>
      <c r="H824" s="33"/>
      <c r="I824" s="34" t="n">
        <f aca="false">SUMIFS(Trechos!$F$2:$F$838,Trechos!$L$2:$L$838,A824)</f>
        <v>65.1910048681943</v>
      </c>
      <c r="J824" s="33"/>
      <c r="K824" s="33"/>
      <c r="L824" s="33" t="s">
        <v>215</v>
      </c>
      <c r="M824" s="33" t="s">
        <v>54</v>
      </c>
      <c r="N824" s="33" t="str">
        <f aca="false">Blocos!BT80</f>
        <v>—</v>
      </c>
    </row>
    <row r="825" customFormat="false" ht="15" hidden="true" customHeight="false" outlineLevel="1" collapsed="false">
      <c r="F825" s="27" t="s">
        <v>2141</v>
      </c>
      <c r="G825" s="27" t="s">
        <v>986</v>
      </c>
      <c r="H825" s="27" t="s">
        <v>2142</v>
      </c>
      <c r="I825" s="32" t="n">
        <v>11.6675595501406</v>
      </c>
      <c r="J825" s="28" t="n">
        <v>707.179127253379</v>
      </c>
      <c r="K825" s="27"/>
    </row>
    <row r="826" customFormat="false" ht="15" hidden="true" customHeight="false" outlineLevel="1" collapsed="false">
      <c r="F826" s="27" t="s">
        <v>2143</v>
      </c>
      <c r="G826" s="27" t="s">
        <v>2142</v>
      </c>
      <c r="H826" s="27" t="s">
        <v>2144</v>
      </c>
      <c r="I826" s="32" t="n">
        <v>53.5234453180536</v>
      </c>
      <c r="J826" s="28" t="n">
        <v>760.702572571433</v>
      </c>
      <c r="K826" s="27"/>
    </row>
    <row r="827" customFormat="false" ht="15" hidden="false" customHeight="false" outlineLevel="0" collapsed="true">
      <c r="A827" s="33" t="n">
        <v>80</v>
      </c>
      <c r="B827" s="33" t="s">
        <v>23</v>
      </c>
      <c r="C827" s="33" t="s">
        <v>303</v>
      </c>
      <c r="D827" s="33" t="s">
        <v>561</v>
      </c>
      <c r="E827" s="33" t="s">
        <v>44</v>
      </c>
      <c r="F827" s="33" t="str">
        <f aca="false">COUNTIFS(Trechos!$L$2:$L$838,A827)&amp;" vãos"</f>
        <v>5 vãos</v>
      </c>
      <c r="G827" s="33"/>
      <c r="H827" s="33"/>
      <c r="I827" s="34" t="n">
        <f aca="false">SUMIFS(Trechos!$F$2:$F$838,Trechos!$L$2:$L$838,A827)</f>
        <v>237.446791659637</v>
      </c>
      <c r="J827" s="33"/>
      <c r="K827" s="33"/>
      <c r="L827" s="33" t="s">
        <v>218</v>
      </c>
      <c r="M827" s="33" t="s">
        <v>54</v>
      </c>
      <c r="N827" s="33" t="str">
        <f aca="false">Blocos!BT81</f>
        <v>—</v>
      </c>
    </row>
    <row r="828" customFormat="false" ht="15" hidden="true" customHeight="false" outlineLevel="1" collapsed="false">
      <c r="F828" s="27" t="s">
        <v>2145</v>
      </c>
      <c r="G828" s="27" t="s">
        <v>988</v>
      </c>
      <c r="H828" s="27" t="s">
        <v>2146</v>
      </c>
      <c r="I828" s="32" t="n">
        <v>23.2765093433331</v>
      </c>
      <c r="J828" s="28" t="n">
        <v>757.977415195329</v>
      </c>
      <c r="K828" s="27"/>
    </row>
    <row r="829" customFormat="false" ht="15" hidden="true" customHeight="false" outlineLevel="1" collapsed="false">
      <c r="F829" s="27" t="s">
        <v>2147</v>
      </c>
      <c r="G829" s="27" t="s">
        <v>988</v>
      </c>
      <c r="H829" s="27" t="s">
        <v>2148</v>
      </c>
      <c r="I829" s="32" t="n">
        <v>6.67066688119118</v>
      </c>
      <c r="J829" s="28" t="n">
        <v>741.371572733187</v>
      </c>
      <c r="K829" s="27"/>
    </row>
    <row r="830" customFormat="false" ht="15" hidden="true" customHeight="false" outlineLevel="1" collapsed="false">
      <c r="F830" s="27" t="s">
        <v>2149</v>
      </c>
      <c r="G830" s="27" t="s">
        <v>2148</v>
      </c>
      <c r="H830" s="27" t="s">
        <v>2150</v>
      </c>
      <c r="I830" s="32" t="n">
        <v>2.97353812206739</v>
      </c>
      <c r="J830" s="28" t="n">
        <v>744.345110855255</v>
      </c>
      <c r="K830" s="27"/>
    </row>
    <row r="831" customFormat="false" ht="15" hidden="true" customHeight="false" outlineLevel="1" collapsed="false">
      <c r="F831" s="27" t="s">
        <v>2151</v>
      </c>
      <c r="G831" s="27" t="s">
        <v>2150</v>
      </c>
      <c r="H831" s="27" t="s">
        <v>2152</v>
      </c>
      <c r="I831" s="32" t="n">
        <v>163.165433496249</v>
      </c>
      <c r="J831" s="28" t="n">
        <v>907.510544351503</v>
      </c>
      <c r="K831" s="27"/>
    </row>
    <row r="832" customFormat="false" ht="15" hidden="true" customHeight="false" outlineLevel="1" collapsed="false">
      <c r="F832" s="27" t="s">
        <v>2153</v>
      </c>
      <c r="G832" s="27" t="s">
        <v>2152</v>
      </c>
      <c r="H832" s="27" t="s">
        <v>2154</v>
      </c>
      <c r="I832" s="32" t="n">
        <v>41.3606438167966</v>
      </c>
      <c r="J832" s="28" t="n">
        <v>948.8711881683</v>
      </c>
      <c r="K832" s="27"/>
    </row>
    <row r="833" customFormat="false" ht="15" hidden="false" customHeight="false" outlineLevel="0" collapsed="true">
      <c r="A833" s="35" t="n">
        <v>81</v>
      </c>
      <c r="B833" s="35" t="s">
        <v>24</v>
      </c>
      <c r="C833" s="35" t="s">
        <v>303</v>
      </c>
      <c r="D833" s="35" t="s">
        <v>564</v>
      </c>
      <c r="E833" s="35" t="s">
        <v>220</v>
      </c>
      <c r="F833" s="35" t="str">
        <f aca="false">COUNTIFS(Trechos!$L$2:$L$838,A833)&amp;" vãos"</f>
        <v>1 vãos</v>
      </c>
      <c r="G833" s="35"/>
      <c r="H833" s="35"/>
      <c r="I833" s="36" t="n">
        <f aca="false">SUMIFS(Trechos!$F$2:$F$838,Trechos!$L$2:$L$838,A833)</f>
        <v>4.68189760252389</v>
      </c>
      <c r="J833" s="35"/>
      <c r="K833" s="35"/>
      <c r="L833" s="35" t="s">
        <v>221</v>
      </c>
      <c r="M833" s="35" t="s">
        <v>54</v>
      </c>
      <c r="N833" s="35" t="str">
        <f aca="false">Blocos!BT82</f>
        <v>—</v>
      </c>
    </row>
    <row r="834" customFormat="false" ht="15" hidden="true" customHeight="false" outlineLevel="1" collapsed="false">
      <c r="F834" s="27" t="s">
        <v>2155</v>
      </c>
      <c r="G834" s="27" t="s">
        <v>1008</v>
      </c>
      <c r="H834" s="27" t="s">
        <v>2156</v>
      </c>
      <c r="I834" s="32" t="n">
        <v>4.68189760252389</v>
      </c>
      <c r="J834" s="28" t="n">
        <v>4.6818976025238</v>
      </c>
      <c r="K834" s="27"/>
    </row>
    <row r="835" customFormat="false" ht="15" hidden="false" customHeight="false" outlineLevel="0" collapsed="true">
      <c r="A835" s="33" t="n">
        <v>82</v>
      </c>
      <c r="B835" s="33" t="s">
        <v>23</v>
      </c>
      <c r="C835" s="33" t="s">
        <v>303</v>
      </c>
      <c r="D835" s="33" t="s">
        <v>565</v>
      </c>
      <c r="E835" s="33" t="s">
        <v>44</v>
      </c>
      <c r="F835" s="33" t="str">
        <f aca="false">COUNTIFS(Trechos!$L$2:$L$838,A835)&amp;" vãos"</f>
        <v>2 vãos</v>
      </c>
      <c r="G835" s="33"/>
      <c r="H835" s="33"/>
      <c r="I835" s="34" t="n">
        <f aca="false">SUMIFS(Trechos!$F$2:$F$838,Trechos!$L$2:$L$838,A835)</f>
        <v>107.018845368593</v>
      </c>
      <c r="J835" s="33"/>
      <c r="K835" s="33"/>
      <c r="L835" s="33" t="s">
        <v>224</v>
      </c>
      <c r="M835" s="33" t="s">
        <v>54</v>
      </c>
      <c r="N835" s="33" t="str">
        <f aca="false">Blocos!BT83</f>
        <v>—</v>
      </c>
    </row>
    <row r="836" customFormat="false" ht="15" hidden="true" customHeight="false" outlineLevel="1" collapsed="false">
      <c r="F836" s="27" t="s">
        <v>2157</v>
      </c>
      <c r="G836" s="27" t="s">
        <v>1000</v>
      </c>
      <c r="H836" s="27" t="s">
        <v>2158</v>
      </c>
      <c r="I836" s="32" t="n">
        <v>6.75486269502822</v>
      </c>
      <c r="J836" s="28" t="n">
        <v>811.914336089949</v>
      </c>
      <c r="K836" s="27"/>
    </row>
    <row r="837" customFormat="false" ht="15" hidden="true" customHeight="false" outlineLevel="1" collapsed="false">
      <c r="F837" s="27" t="s">
        <v>2159</v>
      </c>
      <c r="G837" s="27" t="s">
        <v>1000</v>
      </c>
      <c r="H837" s="27" t="s">
        <v>2160</v>
      </c>
      <c r="I837" s="32" t="n">
        <v>100.263982673564</v>
      </c>
      <c r="J837" s="28" t="n">
        <v>905.423456068485</v>
      </c>
      <c r="K837" s="27"/>
    </row>
    <row r="838" customFormat="false" ht="15" hidden="false" customHeight="false" outlineLevel="0" collapsed="true">
      <c r="A838" s="33" t="n">
        <v>83</v>
      </c>
      <c r="B838" s="33" t="s">
        <v>23</v>
      </c>
      <c r="C838" s="33" t="s">
        <v>303</v>
      </c>
      <c r="D838" s="33" t="s">
        <v>568</v>
      </c>
      <c r="E838" s="33" t="s">
        <v>44</v>
      </c>
      <c r="F838" s="33" t="str">
        <f aca="false">COUNTIFS(Trechos!$L$2:$L$838,A838)&amp;" vãos"</f>
        <v>1 vãos</v>
      </c>
      <c r="G838" s="33"/>
      <c r="H838" s="33"/>
      <c r="I838" s="34" t="n">
        <f aca="false">SUMIFS(Trechos!$F$2:$F$838,Trechos!$L$2:$L$838,A838)</f>
        <v>38.9745730641246</v>
      </c>
      <c r="J838" s="33"/>
      <c r="K838" s="33"/>
      <c r="L838" s="33" t="s">
        <v>227</v>
      </c>
      <c r="M838" s="33" t="s">
        <v>54</v>
      </c>
      <c r="N838" s="33" t="str">
        <f aca="false">Blocos!BT84</f>
        <v>—</v>
      </c>
    </row>
    <row r="839" customFormat="false" ht="15" hidden="true" customHeight="false" outlineLevel="1" collapsed="false">
      <c r="F839" s="27" t="s">
        <v>2161</v>
      </c>
      <c r="G839" s="27" t="s">
        <v>990</v>
      </c>
      <c r="H839" s="27" t="s">
        <v>2162</v>
      </c>
      <c r="I839" s="32" t="n">
        <v>38.9745730641246</v>
      </c>
      <c r="J839" s="28" t="n">
        <v>898.901617285339</v>
      </c>
      <c r="K839" s="27"/>
    </row>
    <row r="840" customFormat="false" ht="15" hidden="false" customHeight="false" outlineLevel="0" collapsed="true">
      <c r="A840" s="35" t="n">
        <v>84</v>
      </c>
      <c r="B840" s="35" t="s">
        <v>24</v>
      </c>
      <c r="C840" s="35" t="s">
        <v>303</v>
      </c>
      <c r="D840" s="35" t="s">
        <v>569</v>
      </c>
      <c r="E840" s="35" t="s">
        <v>229</v>
      </c>
      <c r="F840" s="35" t="str">
        <f aca="false">COUNTIFS(Trechos!$L$2:$L$838,A840)&amp;" vãos"</f>
        <v>2 vãos</v>
      </c>
      <c r="G840" s="35"/>
      <c r="H840" s="35"/>
      <c r="I840" s="36" t="n">
        <f aca="false">SUMIFS(Trechos!$F$2:$F$838,Trechos!$L$2:$L$838,A840)</f>
        <v>16.1554809754665</v>
      </c>
      <c r="J840" s="35"/>
      <c r="K840" s="35"/>
      <c r="L840" s="35" t="s">
        <v>230</v>
      </c>
      <c r="M840" s="35" t="s">
        <v>54</v>
      </c>
      <c r="N840" s="35" t="str">
        <f aca="false">Blocos!BT85</f>
        <v>—</v>
      </c>
    </row>
    <row r="841" customFormat="false" ht="15" hidden="true" customHeight="false" outlineLevel="1" collapsed="false">
      <c r="F841" s="27" t="s">
        <v>2163</v>
      </c>
      <c r="G841" s="27" t="s">
        <v>992</v>
      </c>
      <c r="H841" s="27" t="s">
        <v>2164</v>
      </c>
      <c r="I841" s="32" t="n">
        <v>6.22677633482486</v>
      </c>
      <c r="J841" s="28" t="n">
        <v>6.22677633482499</v>
      </c>
      <c r="K841" s="27"/>
    </row>
    <row r="842" customFormat="false" ht="15" hidden="true" customHeight="false" outlineLevel="1" collapsed="false">
      <c r="F842" s="27" t="s">
        <v>2165</v>
      </c>
      <c r="G842" s="27" t="s">
        <v>2164</v>
      </c>
      <c r="H842" s="27" t="s">
        <v>2166</v>
      </c>
      <c r="I842" s="32" t="n">
        <v>9.92870464064166</v>
      </c>
      <c r="J842" s="28" t="n">
        <v>16.1554809754666</v>
      </c>
      <c r="K842" s="27"/>
    </row>
    <row r="843" customFormat="false" ht="15" hidden="false" customHeight="false" outlineLevel="0" collapsed="true">
      <c r="A843" s="35" t="n">
        <v>85</v>
      </c>
      <c r="B843" s="35" t="s">
        <v>24</v>
      </c>
      <c r="C843" s="35" t="s">
        <v>303</v>
      </c>
      <c r="D843" s="35" t="s">
        <v>570</v>
      </c>
      <c r="E843" s="35" t="s">
        <v>232</v>
      </c>
      <c r="F843" s="35" t="str">
        <f aca="false">COUNTIFS(Trechos!$L$2:$L$838,A843)&amp;" vãos"</f>
        <v>1 vãos</v>
      </c>
      <c r="G843" s="35"/>
      <c r="H843" s="35"/>
      <c r="I843" s="36" t="n">
        <f aca="false">SUMIFS(Trechos!$F$2:$F$838,Trechos!$L$2:$L$838,A843)</f>
        <v>1.79624857415318</v>
      </c>
      <c r="J843" s="35"/>
      <c r="K843" s="35"/>
      <c r="L843" s="35" t="s">
        <v>233</v>
      </c>
      <c r="M843" s="35" t="s">
        <v>54</v>
      </c>
      <c r="N843" s="35" t="str">
        <f aca="false">Blocos!BT86</f>
        <v>—</v>
      </c>
    </row>
    <row r="844" customFormat="false" ht="15" hidden="true" customHeight="false" outlineLevel="1" collapsed="false">
      <c r="F844" s="27" t="s">
        <v>2167</v>
      </c>
      <c r="G844" s="27" t="s">
        <v>1006</v>
      </c>
      <c r="H844" s="27" t="s">
        <v>2168</v>
      </c>
      <c r="I844" s="32" t="n">
        <v>1.79624857415318</v>
      </c>
      <c r="J844" s="28" t="n">
        <v>1.7962485741532</v>
      </c>
      <c r="K844" s="27"/>
    </row>
    <row r="845" customFormat="false" ht="15" hidden="false" customHeight="false" outlineLevel="0" collapsed="true">
      <c r="A845" s="33" t="n">
        <v>86</v>
      </c>
      <c r="B845" s="33" t="s">
        <v>23</v>
      </c>
      <c r="C845" s="33" t="s">
        <v>303</v>
      </c>
      <c r="D845" s="33" t="s">
        <v>571</v>
      </c>
      <c r="E845" s="33" t="s">
        <v>44</v>
      </c>
      <c r="F845" s="33" t="str">
        <f aca="false">COUNTIFS(Trechos!$L$2:$L$838,A845)&amp;" vãos"</f>
        <v>4 vãos</v>
      </c>
      <c r="G845" s="33"/>
      <c r="H845" s="33"/>
      <c r="I845" s="34" t="n">
        <f aca="false">SUMIFS(Trechos!$F$2:$F$838,Trechos!$L$2:$L$838,A845)</f>
        <v>442.507407058993</v>
      </c>
      <c r="J845" s="33"/>
      <c r="K845" s="33"/>
      <c r="L845" s="33" t="s">
        <v>236</v>
      </c>
      <c r="M845" s="33" t="s">
        <v>54</v>
      </c>
      <c r="N845" s="33" t="str">
        <f aca="false">Blocos!BT87</f>
        <v>—</v>
      </c>
    </row>
    <row r="846" customFormat="false" ht="15" hidden="true" customHeight="false" outlineLevel="1" collapsed="false">
      <c r="F846" s="27" t="s">
        <v>2169</v>
      </c>
      <c r="G846" s="27" t="s">
        <v>801</v>
      </c>
      <c r="H846" s="27" t="s">
        <v>2170</v>
      </c>
      <c r="I846" s="32" t="n">
        <v>31.6922820384257</v>
      </c>
      <c r="J846" s="28" t="n">
        <v>1018.60495610348</v>
      </c>
      <c r="K846" s="27"/>
    </row>
    <row r="847" customFormat="false" ht="15" hidden="true" customHeight="false" outlineLevel="1" collapsed="false">
      <c r="F847" s="27" t="s">
        <v>2171</v>
      </c>
      <c r="G847" s="27" t="s">
        <v>2170</v>
      </c>
      <c r="H847" s="27" t="s">
        <v>2172</v>
      </c>
      <c r="I847" s="32" t="n">
        <v>3.85868260321732</v>
      </c>
      <c r="J847" s="28" t="n">
        <v>1022.46363870669</v>
      </c>
      <c r="K847" s="27"/>
    </row>
    <row r="848" customFormat="false" ht="15" hidden="true" customHeight="false" outlineLevel="1" collapsed="false">
      <c r="F848" s="27" t="s">
        <v>2173</v>
      </c>
      <c r="G848" s="27" t="s">
        <v>2172</v>
      </c>
      <c r="H848" s="27" t="s">
        <v>2174</v>
      </c>
      <c r="I848" s="32" t="n">
        <v>24.2875423708491</v>
      </c>
      <c r="J848" s="28" t="n">
        <v>1046.75118107754</v>
      </c>
      <c r="K848" s="27"/>
    </row>
    <row r="849" customFormat="false" ht="15" hidden="true" customHeight="false" outlineLevel="1" collapsed="false">
      <c r="F849" s="27" t="s">
        <v>2175</v>
      </c>
      <c r="G849" s="27" t="s">
        <v>2174</v>
      </c>
      <c r="H849" s="27" t="s">
        <v>2176</v>
      </c>
      <c r="I849" s="32" t="n">
        <v>382.668900046501</v>
      </c>
      <c r="J849" s="28" t="n">
        <v>1429.42008112404</v>
      </c>
      <c r="K849" s="27"/>
    </row>
    <row r="850" customFormat="false" ht="15" hidden="false" customHeight="false" outlineLevel="0" collapsed="true">
      <c r="A850" s="35" t="n">
        <v>87</v>
      </c>
      <c r="B850" s="35" t="s">
        <v>24</v>
      </c>
      <c r="C850" s="35" t="s">
        <v>303</v>
      </c>
      <c r="D850" s="35" t="s">
        <v>572</v>
      </c>
      <c r="E850" s="35" t="s">
        <v>238</v>
      </c>
      <c r="F850" s="35" t="str">
        <f aca="false">COUNTIFS(Trechos!$L$2:$L$838,A850)&amp;" vãos"</f>
        <v>13 vãos</v>
      </c>
      <c r="G850" s="35"/>
      <c r="H850" s="35"/>
      <c r="I850" s="36" t="n">
        <f aca="false">SUMIFS(Trechos!$F$2:$F$838,Trechos!$L$2:$L$838,A850)</f>
        <v>873.423362786328</v>
      </c>
      <c r="J850" s="35"/>
      <c r="K850" s="35"/>
      <c r="L850" s="35" t="s">
        <v>239</v>
      </c>
      <c r="M850" s="35" t="s">
        <v>54</v>
      </c>
      <c r="N850" s="35" t="str">
        <f aca="false">Blocos!BT88</f>
        <v>0342284004, 0200038004</v>
      </c>
    </row>
    <row r="851" customFormat="false" ht="15" hidden="true" customHeight="false" outlineLevel="1" collapsed="false">
      <c r="F851" s="27" t="s">
        <v>2177</v>
      </c>
      <c r="G851" s="27" t="s">
        <v>805</v>
      </c>
      <c r="H851" s="27" t="s">
        <v>2178</v>
      </c>
      <c r="I851" s="32" t="n">
        <v>401.594849883195</v>
      </c>
      <c r="J851" s="28" t="n">
        <v>401.594849883196</v>
      </c>
      <c r="K851" s="27"/>
    </row>
    <row r="852" customFormat="false" ht="15" hidden="true" customHeight="false" outlineLevel="1" collapsed="false">
      <c r="F852" s="27" t="s">
        <v>2179</v>
      </c>
      <c r="G852" s="27" t="s">
        <v>2178</v>
      </c>
      <c r="H852" s="27" t="s">
        <v>2180</v>
      </c>
      <c r="I852" s="32" t="n">
        <v>31.8941288870251</v>
      </c>
      <c r="J852" s="28" t="n">
        <v>433.488978770221</v>
      </c>
      <c r="K852" s="27"/>
    </row>
    <row r="853" customFormat="false" ht="15" hidden="true" customHeight="false" outlineLevel="1" collapsed="false">
      <c r="F853" s="27" t="s">
        <v>2181</v>
      </c>
      <c r="G853" s="27" t="s">
        <v>2180</v>
      </c>
      <c r="H853" s="27" t="s">
        <v>2182</v>
      </c>
      <c r="I853" s="32" t="n">
        <v>31.1861581919244</v>
      </c>
      <c r="J853" s="28" t="n">
        <v>464.675136962146</v>
      </c>
      <c r="K853" s="27"/>
    </row>
    <row r="854" customFormat="false" ht="15" hidden="true" customHeight="false" outlineLevel="1" collapsed="false">
      <c r="F854" s="27" t="s">
        <v>2183</v>
      </c>
      <c r="G854" s="27" t="s">
        <v>2182</v>
      </c>
      <c r="H854" s="27" t="s">
        <v>2184</v>
      </c>
      <c r="I854" s="32" t="n">
        <v>3.34156931479404</v>
      </c>
      <c r="J854" s="28" t="n">
        <v>468.016706276941</v>
      </c>
      <c r="K854" s="27"/>
    </row>
    <row r="855" customFormat="false" ht="15" hidden="true" customHeight="false" outlineLevel="1" collapsed="false">
      <c r="F855" s="27" t="s">
        <v>2185</v>
      </c>
      <c r="G855" s="27" t="s">
        <v>2184</v>
      </c>
      <c r="H855" s="27" t="s">
        <v>2186</v>
      </c>
      <c r="I855" s="32" t="n">
        <v>78.5502861843489</v>
      </c>
      <c r="J855" s="28" t="n">
        <v>546.566992461289</v>
      </c>
      <c r="K855" s="27"/>
    </row>
    <row r="856" customFormat="false" ht="15" hidden="true" customHeight="false" outlineLevel="1" collapsed="false">
      <c r="F856" s="27" t="s">
        <v>2187</v>
      </c>
      <c r="G856" s="27" t="s">
        <v>2186</v>
      </c>
      <c r="H856" s="27" t="s">
        <v>2188</v>
      </c>
      <c r="I856" s="32" t="n">
        <v>40.7564659622506</v>
      </c>
      <c r="J856" s="28" t="n">
        <v>587.32345842354</v>
      </c>
      <c r="K856" s="27"/>
    </row>
    <row r="857" customFormat="false" ht="15" hidden="true" customHeight="false" outlineLevel="1" collapsed="false">
      <c r="F857" s="27" t="s">
        <v>2189</v>
      </c>
      <c r="G857" s="27" t="s">
        <v>2186</v>
      </c>
      <c r="H857" s="27" t="s">
        <v>2190</v>
      </c>
      <c r="I857" s="32" t="n">
        <v>0.455049282154971</v>
      </c>
      <c r="J857" s="28" t="n">
        <v>547.022041743445</v>
      </c>
      <c r="K857" s="27"/>
    </row>
    <row r="858" customFormat="false" ht="15" hidden="true" customHeight="false" outlineLevel="1" collapsed="false">
      <c r="F858" s="27" t="s">
        <v>2191</v>
      </c>
      <c r="G858" s="27" t="s">
        <v>2180</v>
      </c>
      <c r="H858" s="27" t="s">
        <v>2192</v>
      </c>
      <c r="I858" s="32" t="n">
        <v>2.0959633938229</v>
      </c>
      <c r="J858" s="28" t="n">
        <v>435.584942164044</v>
      </c>
      <c r="K858" s="27"/>
    </row>
    <row r="859" customFormat="false" ht="15" hidden="true" customHeight="false" outlineLevel="1" collapsed="false">
      <c r="F859" s="27" t="s">
        <v>2193</v>
      </c>
      <c r="G859" s="27" t="s">
        <v>2178</v>
      </c>
      <c r="H859" s="27" t="s">
        <v>2194</v>
      </c>
      <c r="I859" s="32" t="n">
        <v>8.41872624527928</v>
      </c>
      <c r="J859" s="28" t="n">
        <v>410.013576128476</v>
      </c>
      <c r="K859" s="27"/>
    </row>
    <row r="860" customFormat="false" ht="15" hidden="true" customHeight="false" outlineLevel="1" collapsed="false">
      <c r="F860" s="27" t="s">
        <v>2195</v>
      </c>
      <c r="G860" s="27" t="s">
        <v>2194</v>
      </c>
      <c r="H860" s="27" t="s">
        <v>2196</v>
      </c>
      <c r="I860" s="32" t="n">
        <v>3.53179677832578</v>
      </c>
      <c r="J860" s="28" t="n">
        <v>413.545372906801</v>
      </c>
      <c r="K860" s="27"/>
    </row>
    <row r="861" customFormat="false" ht="15" hidden="true" customHeight="false" outlineLevel="1" collapsed="false">
      <c r="F861" s="27" t="s">
        <v>2197</v>
      </c>
      <c r="G861" s="27" t="s">
        <v>2196</v>
      </c>
      <c r="H861" s="27" t="s">
        <v>2198</v>
      </c>
      <c r="I861" s="32" t="n">
        <v>226.696724964835</v>
      </c>
      <c r="J861" s="28" t="n">
        <v>640.242097871636</v>
      </c>
      <c r="K861" s="27"/>
    </row>
    <row r="862" customFormat="false" ht="15" hidden="true" customHeight="false" outlineLevel="1" collapsed="false">
      <c r="F862" s="27" t="s">
        <v>2199</v>
      </c>
      <c r="G862" s="27" t="s">
        <v>2198</v>
      </c>
      <c r="H862" s="27" t="s">
        <v>2200</v>
      </c>
      <c r="I862" s="32" t="n">
        <v>34.7396443220099</v>
      </c>
      <c r="J862" s="28" t="n">
        <v>674.981742193646</v>
      </c>
      <c r="K862" s="27"/>
    </row>
    <row r="863" customFormat="false" ht="15" hidden="true" customHeight="false" outlineLevel="1" collapsed="false">
      <c r="F863" s="27" t="s">
        <v>2201</v>
      </c>
      <c r="G863" s="27" t="s">
        <v>2178</v>
      </c>
      <c r="H863" s="27" t="s">
        <v>2202</v>
      </c>
      <c r="I863" s="32" t="n">
        <v>10.1619993763618</v>
      </c>
      <c r="J863" s="28" t="n">
        <v>411.756849259557</v>
      </c>
      <c r="K863" s="27"/>
    </row>
    <row r="864" customFormat="false" ht="15" hidden="false" customHeight="false" outlineLevel="0" collapsed="true">
      <c r="A864" s="35" t="n">
        <v>88</v>
      </c>
      <c r="B864" s="35" t="s">
        <v>24</v>
      </c>
      <c r="C864" s="35" t="s">
        <v>303</v>
      </c>
      <c r="D864" s="35" t="s">
        <v>572</v>
      </c>
      <c r="E864" s="35" t="s">
        <v>240</v>
      </c>
      <c r="F864" s="35" t="str">
        <f aca="false">COUNTIFS(Trechos!$L$2:$L$838,A864)&amp;" vãos"</f>
        <v>2 vãos</v>
      </c>
      <c r="G864" s="35"/>
      <c r="H864" s="35"/>
      <c r="I864" s="36" t="n">
        <f aca="false">SUMIFS(Trechos!$F$2:$F$838,Trechos!$L$2:$L$838,A864)</f>
        <v>20.9178905075115</v>
      </c>
      <c r="J864" s="35"/>
      <c r="K864" s="35"/>
      <c r="L864" s="35" t="s">
        <v>241</v>
      </c>
      <c r="M864" s="35" t="s">
        <v>54</v>
      </c>
      <c r="N864" s="35" t="str">
        <f aca="false">Blocos!BT89</f>
        <v>—</v>
      </c>
    </row>
    <row r="865" customFormat="false" ht="15" hidden="true" customHeight="false" outlineLevel="1" collapsed="false">
      <c r="F865" s="27" t="s">
        <v>2203</v>
      </c>
      <c r="G865" s="27" t="s">
        <v>2190</v>
      </c>
      <c r="H865" s="27" t="s">
        <v>2204</v>
      </c>
      <c r="I865" s="32" t="n">
        <v>5.41340366047044</v>
      </c>
      <c r="J865" s="28" t="n">
        <v>5.41340366047007</v>
      </c>
      <c r="K865" s="27"/>
    </row>
    <row r="866" customFormat="false" ht="15" hidden="true" customHeight="false" outlineLevel="1" collapsed="false">
      <c r="F866" s="27" t="s">
        <v>2205</v>
      </c>
      <c r="G866" s="27" t="s">
        <v>2204</v>
      </c>
      <c r="H866" s="27" t="s">
        <v>2206</v>
      </c>
      <c r="I866" s="32" t="n">
        <v>15.5044868470411</v>
      </c>
      <c r="J866" s="28" t="n">
        <v>20.9178905075114</v>
      </c>
      <c r="K866" s="27"/>
    </row>
    <row r="867" customFormat="false" ht="15" hidden="false" customHeight="false" outlineLevel="0" collapsed="true">
      <c r="A867" s="35" t="n">
        <v>89</v>
      </c>
      <c r="B867" s="35" t="s">
        <v>24</v>
      </c>
      <c r="C867" s="35" t="s">
        <v>303</v>
      </c>
      <c r="D867" s="35" t="s">
        <v>572</v>
      </c>
      <c r="E867" s="35" t="s">
        <v>242</v>
      </c>
      <c r="F867" s="35" t="str">
        <f aca="false">COUNTIFS(Trechos!$L$2:$L$838,A867)&amp;" vãos"</f>
        <v>2 vãos</v>
      </c>
      <c r="G867" s="35"/>
      <c r="H867" s="35"/>
      <c r="I867" s="36" t="n">
        <f aca="false">SUMIFS(Trechos!$F$2:$F$838,Trechos!$L$2:$L$838,A867)</f>
        <v>38.0739674856382</v>
      </c>
      <c r="J867" s="35"/>
      <c r="K867" s="35"/>
      <c r="L867" s="35" t="s">
        <v>243</v>
      </c>
      <c r="M867" s="35" t="s">
        <v>54</v>
      </c>
      <c r="N867" s="35" t="str">
        <f aca="false">Blocos!BT90</f>
        <v>—</v>
      </c>
    </row>
    <row r="868" customFormat="false" ht="15" hidden="true" customHeight="false" outlineLevel="1" collapsed="false">
      <c r="F868" s="27" t="s">
        <v>2207</v>
      </c>
      <c r="G868" s="27" t="s">
        <v>2192</v>
      </c>
      <c r="H868" s="27" t="s">
        <v>2208</v>
      </c>
      <c r="I868" s="32" t="n">
        <v>19.3206110962785</v>
      </c>
      <c r="J868" s="28" t="n">
        <v>19.3206110962783</v>
      </c>
      <c r="K868" s="27"/>
    </row>
    <row r="869" customFormat="false" ht="15" hidden="true" customHeight="false" outlineLevel="1" collapsed="false">
      <c r="F869" s="27" t="s">
        <v>2209</v>
      </c>
      <c r="G869" s="27" t="s">
        <v>2208</v>
      </c>
      <c r="H869" s="27" t="s">
        <v>2210</v>
      </c>
      <c r="I869" s="32" t="n">
        <v>18.7533563893597</v>
      </c>
      <c r="J869" s="28" t="n">
        <v>38.0739674856377</v>
      </c>
      <c r="K869" s="27"/>
    </row>
    <row r="870" customFormat="false" ht="15" hidden="false" customHeight="false" outlineLevel="0" collapsed="true">
      <c r="A870" s="33" t="n">
        <v>90</v>
      </c>
      <c r="B870" s="33" t="s">
        <v>23</v>
      </c>
      <c r="C870" s="33" t="s">
        <v>303</v>
      </c>
      <c r="D870" s="33" t="s">
        <v>576</v>
      </c>
      <c r="E870" s="33" t="s">
        <v>44</v>
      </c>
      <c r="F870" s="33" t="str">
        <f aca="false">COUNTIFS(Trechos!$L$2:$L$838,A870)&amp;" vãos"</f>
        <v>1 vãos</v>
      </c>
      <c r="G870" s="33"/>
      <c r="H870" s="33"/>
      <c r="I870" s="34" t="n">
        <f aca="false">SUMIFS(Trechos!$F$2:$F$838,Trechos!$L$2:$L$838,A870)</f>
        <v>16.1416616276471</v>
      </c>
      <c r="J870" s="33"/>
      <c r="K870" s="33"/>
      <c r="L870" s="33" t="s">
        <v>246</v>
      </c>
      <c r="M870" s="33" t="s">
        <v>54</v>
      </c>
      <c r="N870" s="33" t="str">
        <f aca="false">Blocos!BT91</f>
        <v>—</v>
      </c>
    </row>
    <row r="871" customFormat="false" ht="15" hidden="true" customHeight="false" outlineLevel="1" collapsed="false">
      <c r="F871" s="27" t="s">
        <v>2211</v>
      </c>
      <c r="G871" s="27" t="s">
        <v>816</v>
      </c>
      <c r="H871" s="27" t="s">
        <v>2212</v>
      </c>
      <c r="I871" s="32" t="n">
        <v>16.1416616276471</v>
      </c>
      <c r="J871" s="28" t="n">
        <v>1381.16027380247</v>
      </c>
      <c r="K871" s="27"/>
    </row>
    <row r="872" customFormat="false" ht="15" hidden="false" customHeight="false" outlineLevel="0" collapsed="true">
      <c r="A872" s="35" t="n">
        <v>91</v>
      </c>
      <c r="B872" s="35" t="s">
        <v>24</v>
      </c>
      <c r="C872" s="35" t="s">
        <v>303</v>
      </c>
      <c r="D872" s="35" t="s">
        <v>577</v>
      </c>
      <c r="E872" s="35" t="s">
        <v>248</v>
      </c>
      <c r="F872" s="35" t="str">
        <f aca="false">COUNTIFS(Trechos!$L$2:$L$838,A872)&amp;" vãos"</f>
        <v>7 vãos</v>
      </c>
      <c r="G872" s="35"/>
      <c r="H872" s="35"/>
      <c r="I872" s="36" t="n">
        <f aca="false">SUMIFS(Trechos!$F$2:$F$838,Trechos!$L$2:$L$838,A872)</f>
        <v>587.293359276902</v>
      </c>
      <c r="J872" s="35"/>
      <c r="K872" s="35"/>
      <c r="L872" s="35" t="s">
        <v>249</v>
      </c>
      <c r="M872" s="35" t="s">
        <v>54</v>
      </c>
      <c r="N872" s="35" t="str">
        <f aca="false">Blocos!BT92</f>
        <v>—</v>
      </c>
    </row>
    <row r="873" customFormat="false" ht="15" hidden="true" customHeight="false" outlineLevel="1" collapsed="false">
      <c r="F873" s="27" t="s">
        <v>2213</v>
      </c>
      <c r="G873" s="27" t="s">
        <v>971</v>
      </c>
      <c r="H873" s="27" t="s">
        <v>2214</v>
      </c>
      <c r="I873" s="32" t="n">
        <v>33.5821239822394</v>
      </c>
      <c r="J873" s="28" t="n">
        <v>33.582123982239</v>
      </c>
      <c r="K873" s="27"/>
    </row>
    <row r="874" customFormat="false" ht="15" hidden="true" customHeight="false" outlineLevel="1" collapsed="false">
      <c r="F874" s="27" t="s">
        <v>2215</v>
      </c>
      <c r="G874" s="27" t="s">
        <v>2214</v>
      </c>
      <c r="H874" s="27" t="s">
        <v>2216</v>
      </c>
      <c r="I874" s="32" t="n">
        <v>3.80137043054194</v>
      </c>
      <c r="J874" s="28" t="n">
        <v>37.3834944127812</v>
      </c>
      <c r="K874" s="27"/>
    </row>
    <row r="875" customFormat="false" ht="15" hidden="true" customHeight="false" outlineLevel="1" collapsed="false">
      <c r="F875" s="27" t="s">
        <v>2217</v>
      </c>
      <c r="G875" s="27" t="s">
        <v>2216</v>
      </c>
      <c r="H875" s="27" t="s">
        <v>2218</v>
      </c>
      <c r="I875" s="32" t="n">
        <v>113.736167853684</v>
      </c>
      <c r="J875" s="28" t="n">
        <v>151.119662266466</v>
      </c>
      <c r="K875" s="27"/>
    </row>
    <row r="876" customFormat="false" ht="15" hidden="true" customHeight="false" outlineLevel="1" collapsed="false">
      <c r="F876" s="27" t="s">
        <v>2219</v>
      </c>
      <c r="G876" s="27" t="s">
        <v>2218</v>
      </c>
      <c r="H876" s="27" t="s">
        <v>2220</v>
      </c>
      <c r="I876" s="32" t="n">
        <v>85.2375939281319</v>
      </c>
      <c r="J876" s="28" t="n">
        <v>236.357256194598</v>
      </c>
      <c r="K876" s="27"/>
    </row>
    <row r="877" customFormat="false" ht="15" hidden="true" customHeight="false" outlineLevel="1" collapsed="false">
      <c r="F877" s="27" t="s">
        <v>2221</v>
      </c>
      <c r="G877" s="27" t="s">
        <v>2220</v>
      </c>
      <c r="H877" s="27" t="s">
        <v>2222</v>
      </c>
      <c r="I877" s="32" t="n">
        <v>12.67704236029</v>
      </c>
      <c r="J877" s="28" t="n">
        <v>249.034298554888</v>
      </c>
      <c r="K877" s="27"/>
    </row>
    <row r="878" customFormat="false" ht="15" hidden="true" customHeight="false" outlineLevel="1" collapsed="false">
      <c r="F878" s="27" t="s">
        <v>2223</v>
      </c>
      <c r="G878" s="27" t="s">
        <v>2220</v>
      </c>
      <c r="H878" s="27" t="s">
        <v>2224</v>
      </c>
      <c r="I878" s="32" t="n">
        <v>315.636106619759</v>
      </c>
      <c r="J878" s="28" t="n">
        <v>551.993362814356</v>
      </c>
      <c r="K878" s="27"/>
    </row>
    <row r="879" customFormat="false" ht="15" hidden="true" customHeight="false" outlineLevel="1" collapsed="false">
      <c r="F879" s="27" t="s">
        <v>2225</v>
      </c>
      <c r="G879" s="27" t="s">
        <v>2220</v>
      </c>
      <c r="H879" s="27" t="s">
        <v>2226</v>
      </c>
      <c r="I879" s="32" t="n">
        <v>22.6229541022549</v>
      </c>
      <c r="J879" s="28" t="n">
        <v>258.980210296852</v>
      </c>
      <c r="K879" s="27"/>
    </row>
    <row r="880" customFormat="false" ht="15" hidden="false" customHeight="false" outlineLevel="0" collapsed="true">
      <c r="A880" s="35" t="n">
        <v>92</v>
      </c>
      <c r="B880" s="35" t="s">
        <v>24</v>
      </c>
      <c r="C880" s="35" t="s">
        <v>303</v>
      </c>
      <c r="D880" s="35" t="s">
        <v>581</v>
      </c>
      <c r="E880" s="35" t="s">
        <v>251</v>
      </c>
      <c r="F880" s="35" t="str">
        <f aca="false">COUNTIFS(Trechos!$L$2:$L$838,A880)&amp;" vãos"</f>
        <v>2 vãos</v>
      </c>
      <c r="G880" s="35"/>
      <c r="H880" s="35"/>
      <c r="I880" s="36" t="n">
        <f aca="false">SUMIFS(Trechos!$F$2:$F$838,Trechos!$L$2:$L$838,A880)</f>
        <v>23.6276870349066</v>
      </c>
      <c r="J880" s="35"/>
      <c r="K880" s="35"/>
      <c r="L880" s="35" t="s">
        <v>252</v>
      </c>
      <c r="M880" s="35" t="s">
        <v>54</v>
      </c>
      <c r="N880" s="35" t="str">
        <f aca="false">Blocos!BT93</f>
        <v>—</v>
      </c>
    </row>
    <row r="881" customFormat="false" ht="15" hidden="true" customHeight="false" outlineLevel="1" collapsed="false">
      <c r="F881" s="27" t="s">
        <v>2227</v>
      </c>
      <c r="G881" s="27" t="s">
        <v>967</v>
      </c>
      <c r="H881" s="27" t="s">
        <v>2228</v>
      </c>
      <c r="I881" s="32" t="n">
        <v>5.16481701504008</v>
      </c>
      <c r="J881" s="28" t="n">
        <v>5.16481701504017</v>
      </c>
      <c r="K881" s="27"/>
    </row>
    <row r="882" customFormat="false" ht="15" hidden="true" customHeight="false" outlineLevel="1" collapsed="false">
      <c r="F882" s="27" t="s">
        <v>2229</v>
      </c>
      <c r="G882" s="27" t="s">
        <v>2228</v>
      </c>
      <c r="H882" s="27" t="s">
        <v>2230</v>
      </c>
      <c r="I882" s="32" t="n">
        <v>18.4628700198665</v>
      </c>
      <c r="J882" s="28" t="n">
        <v>23.6276870349066</v>
      </c>
      <c r="K882" s="27"/>
    </row>
    <row r="883" customFormat="false" ht="15" hidden="false" customHeight="false" outlineLevel="0" collapsed="true">
      <c r="A883" s="33" t="n">
        <v>93</v>
      </c>
      <c r="B883" s="33" t="s">
        <v>23</v>
      </c>
      <c r="C883" s="33" t="s">
        <v>303</v>
      </c>
      <c r="D883" s="33" t="s">
        <v>582</v>
      </c>
      <c r="E883" s="33" t="s">
        <v>44</v>
      </c>
      <c r="F883" s="33" t="str">
        <f aca="false">COUNTIFS(Trechos!$L$2:$L$838,A883)&amp;" vãos"</f>
        <v>2 vãos</v>
      </c>
      <c r="G883" s="33"/>
      <c r="H883" s="33"/>
      <c r="I883" s="34" t="n">
        <f aca="false">SUMIFS(Trechos!$F$2:$F$838,Trechos!$L$2:$L$838,A883)</f>
        <v>17.8009009726271</v>
      </c>
      <c r="J883" s="33"/>
      <c r="K883" s="33"/>
      <c r="L883" s="33" t="s">
        <v>255</v>
      </c>
      <c r="M883" s="33" t="s">
        <v>54</v>
      </c>
      <c r="N883" s="33" t="str">
        <f aca="false">Blocos!BT94</f>
        <v>—</v>
      </c>
    </row>
    <row r="884" customFormat="false" ht="15" hidden="true" customHeight="false" outlineLevel="1" collapsed="false">
      <c r="F884" s="27" t="s">
        <v>2231</v>
      </c>
      <c r="G884" s="27" t="s">
        <v>835</v>
      </c>
      <c r="H884" s="27" t="s">
        <v>2232</v>
      </c>
      <c r="I884" s="32" t="n">
        <v>7.35956298568549</v>
      </c>
      <c r="J884" s="28" t="n">
        <v>2003.70237183835</v>
      </c>
      <c r="K884" s="27"/>
    </row>
    <row r="885" customFormat="false" ht="15" hidden="true" customHeight="false" outlineLevel="1" collapsed="false">
      <c r="F885" s="27" t="s">
        <v>2233</v>
      </c>
      <c r="G885" s="27" t="s">
        <v>835</v>
      </c>
      <c r="H885" s="27" t="s">
        <v>2234</v>
      </c>
      <c r="I885" s="32" t="n">
        <v>10.4413379869416</v>
      </c>
      <c r="J885" s="28" t="n">
        <v>2006.78414683961</v>
      </c>
      <c r="K885" s="27"/>
    </row>
    <row r="886" customFormat="false" ht="15" hidden="false" customHeight="false" outlineLevel="0" collapsed="true">
      <c r="A886" s="33" t="n">
        <v>94</v>
      </c>
      <c r="B886" s="33" t="s">
        <v>23</v>
      </c>
      <c r="C886" s="33" t="s">
        <v>303</v>
      </c>
      <c r="D886" s="33" t="s">
        <v>585</v>
      </c>
      <c r="E886" s="33" t="s">
        <v>44</v>
      </c>
      <c r="F886" s="33" t="str">
        <f aca="false">COUNTIFS(Trechos!$L$2:$L$838,A886)&amp;" vãos"</f>
        <v>8 vãos</v>
      </c>
      <c r="G886" s="33"/>
      <c r="H886" s="33"/>
      <c r="I886" s="34" t="n">
        <f aca="false">SUMIFS(Trechos!$F$2:$F$838,Trechos!$L$2:$L$838,A886)</f>
        <v>826.683371055813</v>
      </c>
      <c r="J886" s="33"/>
      <c r="K886" s="33"/>
      <c r="L886" s="33" t="s">
        <v>258</v>
      </c>
      <c r="M886" s="33" t="s">
        <v>54</v>
      </c>
      <c r="N886" s="33" t="str">
        <f aca="false">Blocos!BT95</f>
        <v>—</v>
      </c>
    </row>
    <row r="887" customFormat="false" ht="15" hidden="true" customHeight="false" outlineLevel="1" collapsed="false">
      <c r="F887" s="27" t="s">
        <v>2235</v>
      </c>
      <c r="G887" s="27" t="s">
        <v>837</v>
      </c>
      <c r="H887" s="27" t="s">
        <v>2236</v>
      </c>
      <c r="I887" s="32" t="n">
        <v>11.6476956900128</v>
      </c>
      <c r="J887" s="28" t="n">
        <v>2112.35003060301</v>
      </c>
      <c r="K887" s="27"/>
    </row>
    <row r="888" customFormat="false" ht="15" hidden="true" customHeight="false" outlineLevel="1" collapsed="false">
      <c r="F888" s="27" t="s">
        <v>2237</v>
      </c>
      <c r="G888" s="27" t="s">
        <v>837</v>
      </c>
      <c r="H888" s="27" t="s">
        <v>2238</v>
      </c>
      <c r="I888" s="32" t="n">
        <v>6.50942026737503</v>
      </c>
      <c r="J888" s="28" t="n">
        <v>2107.21175518037</v>
      </c>
      <c r="K888" s="27"/>
    </row>
    <row r="889" customFormat="false" ht="15" hidden="true" customHeight="false" outlineLevel="1" collapsed="false">
      <c r="F889" s="27" t="s">
        <v>2239</v>
      </c>
      <c r="G889" s="27" t="s">
        <v>2238</v>
      </c>
      <c r="H889" s="27" t="s">
        <v>2240</v>
      </c>
      <c r="I889" s="32" t="n">
        <v>2.90531827412032</v>
      </c>
      <c r="J889" s="28" t="n">
        <v>2110.11707345449</v>
      </c>
      <c r="K889" s="27"/>
    </row>
    <row r="890" customFormat="false" ht="15" hidden="true" customHeight="false" outlineLevel="1" collapsed="false">
      <c r="F890" s="27" t="s">
        <v>2241</v>
      </c>
      <c r="G890" s="27" t="s">
        <v>2240</v>
      </c>
      <c r="H890" s="27" t="s">
        <v>2242</v>
      </c>
      <c r="I890" s="32" t="n">
        <v>233.050412818081</v>
      </c>
      <c r="J890" s="28" t="n">
        <v>2343.16748627257</v>
      </c>
      <c r="K890" s="27"/>
    </row>
    <row r="891" customFormat="false" ht="15" hidden="true" customHeight="false" outlineLevel="1" collapsed="false">
      <c r="F891" s="27" t="s">
        <v>2243</v>
      </c>
      <c r="G891" s="27" t="s">
        <v>2242</v>
      </c>
      <c r="H891" s="27" t="s">
        <v>2244</v>
      </c>
      <c r="I891" s="32" t="n">
        <v>3.03633625658882</v>
      </c>
      <c r="J891" s="28" t="n">
        <v>2346.20382252916</v>
      </c>
      <c r="K891" s="27"/>
    </row>
    <row r="892" customFormat="false" ht="15" hidden="true" customHeight="false" outlineLevel="1" collapsed="false">
      <c r="F892" s="27" t="s">
        <v>2245</v>
      </c>
      <c r="G892" s="27" t="s">
        <v>2244</v>
      </c>
      <c r="H892" s="27" t="s">
        <v>2246</v>
      </c>
      <c r="I892" s="32" t="n">
        <v>372.025411368763</v>
      </c>
      <c r="J892" s="28" t="n">
        <v>2718.22923389792</v>
      </c>
      <c r="K892" s="27"/>
    </row>
    <row r="893" customFormat="false" ht="15" hidden="true" customHeight="false" outlineLevel="1" collapsed="false">
      <c r="F893" s="27" t="s">
        <v>2247</v>
      </c>
      <c r="G893" s="27" t="s">
        <v>2246</v>
      </c>
      <c r="H893" s="27" t="s">
        <v>2248</v>
      </c>
      <c r="I893" s="32" t="n">
        <v>2.89773507313259</v>
      </c>
      <c r="J893" s="28" t="n">
        <v>2721.12696897105</v>
      </c>
      <c r="K893" s="27"/>
    </row>
    <row r="894" customFormat="false" ht="15" hidden="true" customHeight="false" outlineLevel="1" collapsed="false">
      <c r="F894" s="27" t="s">
        <v>2249</v>
      </c>
      <c r="G894" s="27" t="s">
        <v>2248</v>
      </c>
      <c r="H894" s="27" t="s">
        <v>2250</v>
      </c>
      <c r="I894" s="32" t="n">
        <v>194.611041307739</v>
      </c>
      <c r="J894" s="28" t="n">
        <v>2915.73801027879</v>
      </c>
      <c r="K894" s="27"/>
    </row>
    <row r="895" customFormat="false" ht="15" hidden="false" customHeight="false" outlineLevel="0" collapsed="true">
      <c r="A895" s="33" t="n">
        <v>95</v>
      </c>
      <c r="B895" s="33" t="s">
        <v>23</v>
      </c>
      <c r="C895" s="33" t="s">
        <v>303</v>
      </c>
      <c r="D895" s="33" t="s">
        <v>588</v>
      </c>
      <c r="E895" s="33" t="s">
        <v>44</v>
      </c>
      <c r="F895" s="33" t="str">
        <f aca="false">COUNTIFS(Trechos!$L$2:$L$838,A895)&amp;" vãos"</f>
        <v>7 vãos</v>
      </c>
      <c r="G895" s="33"/>
      <c r="H895" s="33"/>
      <c r="I895" s="34" t="n">
        <f aca="false">SUMIFS(Trechos!$F$2:$F$838,Trechos!$L$2:$L$838,A895)</f>
        <v>74.0311743068236</v>
      </c>
      <c r="J895" s="33"/>
      <c r="K895" s="33"/>
      <c r="L895" s="33" t="s">
        <v>261</v>
      </c>
      <c r="M895" s="33" t="s">
        <v>54</v>
      </c>
      <c r="N895" s="33" t="str">
        <f aca="false">Blocos!BT96</f>
        <v>—</v>
      </c>
    </row>
    <row r="896" customFormat="false" ht="15" hidden="true" customHeight="false" outlineLevel="1" collapsed="false">
      <c r="F896" s="27" t="s">
        <v>2251</v>
      </c>
      <c r="G896" s="27" t="s">
        <v>852</v>
      </c>
      <c r="H896" s="27" t="s">
        <v>2252</v>
      </c>
      <c r="I896" s="32" t="n">
        <v>24.307985718508</v>
      </c>
      <c r="J896" s="28" t="n">
        <v>2482.72738955193</v>
      </c>
      <c r="K896" s="27"/>
    </row>
    <row r="897" customFormat="false" ht="15" hidden="true" customHeight="false" outlineLevel="1" collapsed="false">
      <c r="F897" s="27" t="s">
        <v>2253</v>
      </c>
      <c r="G897" s="27" t="s">
        <v>2252</v>
      </c>
      <c r="H897" s="27" t="s">
        <v>2254</v>
      </c>
      <c r="I897" s="32" t="n">
        <v>4.93512132568285</v>
      </c>
      <c r="J897" s="28" t="n">
        <v>2487.66251087762</v>
      </c>
      <c r="K897" s="27"/>
    </row>
    <row r="898" customFormat="false" ht="15" hidden="true" customHeight="false" outlineLevel="1" collapsed="false">
      <c r="F898" s="27" t="s">
        <v>2255</v>
      </c>
      <c r="G898" s="27" t="s">
        <v>2252</v>
      </c>
      <c r="H898" s="27" t="s">
        <v>2256</v>
      </c>
      <c r="I898" s="32" t="n">
        <v>0.351351338188335</v>
      </c>
      <c r="J898" s="28" t="n">
        <v>2483.07874089012</v>
      </c>
      <c r="K898" s="27"/>
    </row>
    <row r="899" customFormat="false" ht="15" hidden="true" customHeight="false" outlineLevel="1" collapsed="false">
      <c r="F899" s="27" t="s">
        <v>2257</v>
      </c>
      <c r="G899" s="27" t="s">
        <v>2256</v>
      </c>
      <c r="H899" s="27" t="s">
        <v>2258</v>
      </c>
      <c r="I899" s="32" t="n">
        <v>2.742784263893</v>
      </c>
      <c r="J899" s="28" t="n">
        <v>2485.82152515402</v>
      </c>
      <c r="K899" s="27"/>
    </row>
    <row r="900" customFormat="false" ht="15" hidden="true" customHeight="false" outlineLevel="1" collapsed="false">
      <c r="F900" s="27" t="s">
        <v>2259</v>
      </c>
      <c r="G900" s="27" t="s">
        <v>852</v>
      </c>
      <c r="H900" s="27" t="s">
        <v>2260</v>
      </c>
      <c r="I900" s="32" t="n">
        <v>9.37726855129225</v>
      </c>
      <c r="J900" s="28" t="n">
        <v>2467.79667238472</v>
      </c>
      <c r="K900" s="27"/>
    </row>
    <row r="901" customFormat="false" ht="15" hidden="true" customHeight="false" outlineLevel="1" collapsed="false">
      <c r="F901" s="27" t="s">
        <v>2261</v>
      </c>
      <c r="G901" s="27" t="s">
        <v>2260</v>
      </c>
      <c r="H901" s="27" t="s">
        <v>2262</v>
      </c>
      <c r="I901" s="32" t="n">
        <v>15.2236070082105</v>
      </c>
      <c r="J901" s="28" t="n">
        <v>2483.02027939293</v>
      </c>
      <c r="K901" s="27"/>
    </row>
    <row r="902" customFormat="false" ht="15" hidden="true" customHeight="false" outlineLevel="1" collapsed="false">
      <c r="F902" s="27" t="s">
        <v>2263</v>
      </c>
      <c r="G902" s="27" t="s">
        <v>2260</v>
      </c>
      <c r="H902" s="27" t="s">
        <v>2264</v>
      </c>
      <c r="I902" s="32" t="n">
        <v>17.0930561010487</v>
      </c>
      <c r="J902" s="28" t="n">
        <v>2484.88972848577</v>
      </c>
      <c r="K902" s="27"/>
    </row>
    <row r="903" customFormat="false" ht="15" hidden="false" customHeight="false" outlineLevel="0" collapsed="true">
      <c r="A903" s="33" t="n">
        <v>96</v>
      </c>
      <c r="B903" s="33" t="s">
        <v>23</v>
      </c>
      <c r="C903" s="33" t="s">
        <v>303</v>
      </c>
      <c r="D903" s="33" t="s">
        <v>593</v>
      </c>
      <c r="E903" s="33" t="s">
        <v>44</v>
      </c>
      <c r="F903" s="33" t="str">
        <f aca="false">COUNTIFS(Trechos!$L$2:$L$838,A903)&amp;" vãos"</f>
        <v>2 vãos</v>
      </c>
      <c r="G903" s="33"/>
      <c r="H903" s="33"/>
      <c r="I903" s="34" t="n">
        <f aca="false">SUMIFS(Trechos!$F$2:$F$838,Trechos!$L$2:$L$838,A903)</f>
        <v>47.5357398150188</v>
      </c>
      <c r="J903" s="33"/>
      <c r="K903" s="33"/>
      <c r="L903" s="33" t="s">
        <v>264</v>
      </c>
      <c r="M903" s="33" t="s">
        <v>54</v>
      </c>
      <c r="N903" s="33" t="str">
        <f aca="false">Blocos!BT97</f>
        <v>—</v>
      </c>
    </row>
    <row r="904" customFormat="false" ht="15" hidden="true" customHeight="false" outlineLevel="1" collapsed="false">
      <c r="F904" s="27" t="s">
        <v>2265</v>
      </c>
      <c r="G904" s="27" t="s">
        <v>880</v>
      </c>
      <c r="H904" s="27" t="s">
        <v>2266</v>
      </c>
      <c r="I904" s="32" t="n">
        <v>26.4646224556558</v>
      </c>
      <c r="J904" s="28" t="n">
        <v>3308.64900388397</v>
      </c>
      <c r="K904" s="27"/>
    </row>
    <row r="905" customFormat="false" ht="15" hidden="true" customHeight="false" outlineLevel="1" collapsed="false">
      <c r="F905" s="27" t="s">
        <v>2267</v>
      </c>
      <c r="G905" s="27" t="s">
        <v>880</v>
      </c>
      <c r="H905" s="27" t="s">
        <v>2268</v>
      </c>
      <c r="I905" s="32" t="n">
        <v>21.071117359363</v>
      </c>
      <c r="J905" s="28" t="n">
        <v>3303.25549878768</v>
      </c>
      <c r="K905" s="27"/>
    </row>
    <row r="906" customFormat="false" ht="15" hidden="false" customHeight="false" outlineLevel="0" collapsed="true">
      <c r="A906" s="33" t="n">
        <v>97</v>
      </c>
      <c r="B906" s="33" t="s">
        <v>23</v>
      </c>
      <c r="C906" s="33" t="s">
        <v>303</v>
      </c>
      <c r="D906" s="33" t="s">
        <v>596</v>
      </c>
      <c r="E906" s="33" t="s">
        <v>44</v>
      </c>
      <c r="F906" s="33" t="str">
        <f aca="false">COUNTIFS(Trechos!$L$2:$L$838,A906)&amp;" vãos"</f>
        <v>1 vãos</v>
      </c>
      <c r="G906" s="33"/>
      <c r="H906" s="33"/>
      <c r="I906" s="34" t="n">
        <f aca="false">SUMIFS(Trechos!$F$2:$F$838,Trechos!$L$2:$L$838,A906)</f>
        <v>50.7068065183594</v>
      </c>
      <c r="J906" s="33"/>
      <c r="K906" s="33"/>
      <c r="L906" s="33" t="s">
        <v>267</v>
      </c>
      <c r="M906" s="33" t="s">
        <v>54</v>
      </c>
      <c r="N906" s="33" t="str">
        <f aca="false">Blocos!BT98</f>
        <v>—</v>
      </c>
    </row>
    <row r="907" customFormat="false" ht="15" hidden="true" customHeight="false" outlineLevel="1" collapsed="false">
      <c r="F907" s="27" t="s">
        <v>2269</v>
      </c>
      <c r="G907" s="27" t="s">
        <v>887</v>
      </c>
      <c r="H907" s="27" t="s">
        <v>2270</v>
      </c>
      <c r="I907" s="32" t="n">
        <v>50.7068065183594</v>
      </c>
      <c r="J907" s="28" t="n">
        <v>3437.97479146159</v>
      </c>
      <c r="K907" s="27"/>
    </row>
    <row r="908" customFormat="false" ht="15" hidden="false" customHeight="false" outlineLevel="0" collapsed="true">
      <c r="A908" s="33" t="n">
        <v>98</v>
      </c>
      <c r="B908" s="33" t="s">
        <v>23</v>
      </c>
      <c r="C908" s="33" t="s">
        <v>303</v>
      </c>
      <c r="D908" s="33" t="s">
        <v>597</v>
      </c>
      <c r="E908" s="33" t="s">
        <v>44</v>
      </c>
      <c r="F908" s="33" t="str">
        <f aca="false">COUNTIFS(Trechos!$L$2:$L$838,A908)&amp;" vãos"</f>
        <v>1 vãos</v>
      </c>
      <c r="G908" s="33"/>
      <c r="H908" s="33"/>
      <c r="I908" s="34" t="n">
        <f aca="false">SUMIFS(Trechos!$F$2:$F$838,Trechos!$L$2:$L$838,A908)</f>
        <v>25.6869755767706</v>
      </c>
      <c r="J908" s="33"/>
      <c r="K908" s="33"/>
      <c r="L908" s="33" t="s">
        <v>270</v>
      </c>
      <c r="M908" s="33" t="s">
        <v>54</v>
      </c>
      <c r="N908" s="33" t="str">
        <f aca="false">Blocos!BT99</f>
        <v>—</v>
      </c>
    </row>
    <row r="909" customFormat="false" ht="15" hidden="true" customHeight="false" outlineLevel="1" collapsed="false">
      <c r="F909" s="27" t="s">
        <v>2271</v>
      </c>
      <c r="G909" s="27" t="s">
        <v>904</v>
      </c>
      <c r="H909" s="27" t="s">
        <v>2272</v>
      </c>
      <c r="I909" s="32" t="n">
        <v>25.6869755767706</v>
      </c>
      <c r="J909" s="28" t="n">
        <v>3588.40580132401</v>
      </c>
      <c r="K909" s="27"/>
    </row>
    <row r="910" customFormat="false" ht="15" hidden="false" customHeight="false" outlineLevel="0" collapsed="true">
      <c r="A910" s="35" t="n">
        <v>99</v>
      </c>
      <c r="B910" s="35" t="s">
        <v>24</v>
      </c>
      <c r="C910" s="35" t="s">
        <v>303</v>
      </c>
      <c r="D910" s="35" t="s">
        <v>598</v>
      </c>
      <c r="E910" s="35" t="s">
        <v>272</v>
      </c>
      <c r="F910" s="35" t="str">
        <f aca="false">COUNTIFS(Trechos!$L$2:$L$838,A910)&amp;" vãos"</f>
        <v>1 vãos</v>
      </c>
      <c r="G910" s="35"/>
      <c r="H910" s="35"/>
      <c r="I910" s="36" t="n">
        <f aca="false">SUMIFS(Trechos!$F$2:$F$838,Trechos!$L$2:$L$838,A910)</f>
        <v>4.52288804706825</v>
      </c>
      <c r="J910" s="35"/>
      <c r="K910" s="35"/>
      <c r="L910" s="35" t="s">
        <v>273</v>
      </c>
      <c r="M910" s="35" t="s">
        <v>54</v>
      </c>
      <c r="N910" s="35" t="str">
        <f aca="false">Blocos!BT100</f>
        <v>—</v>
      </c>
    </row>
    <row r="911" customFormat="false" ht="15" hidden="true" customHeight="false" outlineLevel="1" collapsed="false">
      <c r="F911" s="27" t="s">
        <v>2273</v>
      </c>
      <c r="G911" s="27" t="s">
        <v>906</v>
      </c>
      <c r="H911" s="27" t="s">
        <v>2274</v>
      </c>
      <c r="I911" s="32" t="n">
        <v>4.52288804706825</v>
      </c>
      <c r="J911" s="28" t="n">
        <v>4.52288804706859</v>
      </c>
      <c r="K911" s="27"/>
    </row>
    <row r="912" customFormat="false" ht="15" hidden="false" customHeight="false" outlineLevel="0" collapsed="true">
      <c r="A912" s="33" t="n">
        <v>100</v>
      </c>
      <c r="B912" s="33" t="s">
        <v>23</v>
      </c>
      <c r="C912" s="33" t="s">
        <v>303</v>
      </c>
      <c r="D912" s="33" t="s">
        <v>599</v>
      </c>
      <c r="E912" s="33" t="s">
        <v>44</v>
      </c>
      <c r="F912" s="33" t="str">
        <f aca="false">COUNTIFS(Trechos!$L$2:$L$838,A912)&amp;" vãos"</f>
        <v>1 vãos</v>
      </c>
      <c r="G912" s="33"/>
      <c r="H912" s="33"/>
      <c r="I912" s="34" t="n">
        <f aca="false">SUMIFS(Trechos!$F$2:$F$838,Trechos!$L$2:$L$838,A912)</f>
        <v>23.8288725439928</v>
      </c>
      <c r="J912" s="33"/>
      <c r="K912" s="33"/>
      <c r="L912" s="33" t="s">
        <v>276</v>
      </c>
      <c r="M912" s="33" t="s">
        <v>54</v>
      </c>
      <c r="N912" s="33" t="str">
        <f aca="false">Blocos!BT101</f>
        <v>—</v>
      </c>
    </row>
    <row r="913" customFormat="false" ht="15" hidden="true" customHeight="false" outlineLevel="1" collapsed="false">
      <c r="F913" s="27" t="s">
        <v>2275</v>
      </c>
      <c r="G913" s="27" t="s">
        <v>896</v>
      </c>
      <c r="H913" s="27" t="s">
        <v>2276</v>
      </c>
      <c r="I913" s="32" t="n">
        <v>23.8288725439928</v>
      </c>
      <c r="J913" s="28" t="n">
        <v>3659.32896409974</v>
      </c>
      <c r="K913" s="27"/>
    </row>
    <row r="914" customFormat="false" ht="15" hidden="false" customHeight="false" outlineLevel="0" collapsed="true">
      <c r="A914" s="35" t="n">
        <v>101</v>
      </c>
      <c r="B914" s="35" t="s">
        <v>24</v>
      </c>
      <c r="C914" s="35" t="s">
        <v>303</v>
      </c>
      <c r="D914" s="35" t="s">
        <v>600</v>
      </c>
      <c r="E914" s="35" t="s">
        <v>278</v>
      </c>
      <c r="F914" s="35" t="str">
        <f aca="false">COUNTIFS(Trechos!$L$2:$L$838,A914)&amp;" vãos"</f>
        <v>1 vãos</v>
      </c>
      <c r="G914" s="35"/>
      <c r="H914" s="35"/>
      <c r="I914" s="36" t="n">
        <f aca="false">SUMIFS(Trechos!$F$2:$F$838,Trechos!$L$2:$L$838,A914)</f>
        <v>12.4253093027431</v>
      </c>
      <c r="J914" s="35"/>
      <c r="K914" s="35"/>
      <c r="L914" s="35" t="s">
        <v>279</v>
      </c>
      <c r="M914" s="35" t="s">
        <v>54</v>
      </c>
      <c r="N914" s="35" t="str">
        <f aca="false">Blocos!BT102</f>
        <v>—</v>
      </c>
    </row>
    <row r="915" customFormat="false" ht="15" hidden="true" customHeight="false" outlineLevel="1" collapsed="false">
      <c r="F915" s="27" t="s">
        <v>2277</v>
      </c>
      <c r="G915" s="27" t="s">
        <v>898</v>
      </c>
      <c r="H915" s="27" t="s">
        <v>2278</v>
      </c>
      <c r="I915" s="32" t="n">
        <v>12.4253093027431</v>
      </c>
      <c r="J915" s="28" t="n">
        <v>12.4253093027428</v>
      </c>
      <c r="K915" s="27"/>
    </row>
    <row r="916" customFormat="false" ht="15" hidden="false" customHeight="false" outlineLevel="0" collapsed="true">
      <c r="A916" s="33" t="n">
        <v>102</v>
      </c>
      <c r="B916" s="33" t="s">
        <v>23</v>
      </c>
      <c r="C916" s="33" t="s">
        <v>303</v>
      </c>
      <c r="D916" s="33" t="s">
        <v>601</v>
      </c>
      <c r="E916" s="33" t="s">
        <v>44</v>
      </c>
      <c r="F916" s="33" t="str">
        <f aca="false">COUNTIFS(Trechos!$L$2:$L$838,A916)&amp;" vãos"</f>
        <v>1 vãos</v>
      </c>
      <c r="G916" s="33"/>
      <c r="H916" s="33"/>
      <c r="I916" s="34" t="n">
        <f aca="false">SUMIFS(Trechos!$F$2:$F$838,Trechos!$L$2:$L$838,A916)</f>
        <v>2.55748331285779</v>
      </c>
      <c r="J916" s="33"/>
      <c r="K916" s="33"/>
      <c r="L916" s="33" t="s">
        <v>282</v>
      </c>
      <c r="M916" s="33" t="s">
        <v>54</v>
      </c>
      <c r="N916" s="33" t="str">
        <f aca="false">Blocos!BT103</f>
        <v>—</v>
      </c>
    </row>
    <row r="917" customFormat="false" ht="15" hidden="true" customHeight="false" outlineLevel="1" collapsed="false">
      <c r="F917" s="27" t="s">
        <v>2279</v>
      </c>
      <c r="G917" s="27" t="s">
        <v>912</v>
      </c>
      <c r="H917" s="27" t="s">
        <v>2280</v>
      </c>
      <c r="I917" s="32" t="n">
        <v>2.55748331285779</v>
      </c>
      <c r="J917" s="28" t="n">
        <v>3705.67269178927</v>
      </c>
      <c r="K917" s="27"/>
    </row>
    <row r="918" customFormat="false" ht="15" hidden="false" customHeight="false" outlineLevel="0" collapsed="true">
      <c r="A918" s="35" t="n">
        <v>103</v>
      </c>
      <c r="B918" s="35" t="s">
        <v>24</v>
      </c>
      <c r="C918" s="35" t="s">
        <v>303</v>
      </c>
      <c r="D918" s="35" t="s">
        <v>602</v>
      </c>
      <c r="E918" s="35" t="s">
        <v>284</v>
      </c>
      <c r="F918" s="35" t="str">
        <f aca="false">COUNTIFS(Trechos!$L$2:$L$838,A918)&amp;" vãos"</f>
        <v>12 vãos</v>
      </c>
      <c r="G918" s="35"/>
      <c r="H918" s="35"/>
      <c r="I918" s="36" t="n">
        <f aca="false">SUMIFS(Trechos!$F$2:$F$838,Trechos!$L$2:$L$838,A918)</f>
        <v>420.023085943675</v>
      </c>
      <c r="J918" s="35"/>
      <c r="K918" s="35"/>
      <c r="L918" s="35" t="s">
        <v>285</v>
      </c>
      <c r="M918" s="35" t="s">
        <v>54</v>
      </c>
      <c r="N918" s="35" t="str">
        <f aca="false">Blocos!BT104</f>
        <v>0347400004, 0358161004, 0342738004</v>
      </c>
    </row>
    <row r="919" customFormat="false" ht="15" hidden="true" customHeight="false" outlineLevel="1" collapsed="false">
      <c r="F919" s="27" t="s">
        <v>2281</v>
      </c>
      <c r="G919" s="27" t="s">
        <v>965</v>
      </c>
      <c r="H919" s="27" t="s">
        <v>2282</v>
      </c>
      <c r="I919" s="32" t="n">
        <v>42.700134312069</v>
      </c>
      <c r="J919" s="28" t="n">
        <v>42.7001343120692</v>
      </c>
      <c r="K919" s="27"/>
    </row>
    <row r="920" customFormat="false" ht="15" hidden="true" customHeight="false" outlineLevel="1" collapsed="false">
      <c r="F920" s="27" t="s">
        <v>2283</v>
      </c>
      <c r="G920" s="27" t="s">
        <v>2282</v>
      </c>
      <c r="H920" s="27" t="s">
        <v>2284</v>
      </c>
      <c r="I920" s="32" t="n">
        <v>55.1544487454093</v>
      </c>
      <c r="J920" s="28" t="n">
        <v>97.8545830574785</v>
      </c>
      <c r="K920" s="27"/>
    </row>
    <row r="921" customFormat="false" ht="15" hidden="true" customHeight="false" outlineLevel="1" collapsed="false">
      <c r="F921" s="27" t="s">
        <v>2285</v>
      </c>
      <c r="G921" s="27" t="s">
        <v>2284</v>
      </c>
      <c r="H921" s="27" t="s">
        <v>2286</v>
      </c>
      <c r="I921" s="32" t="n">
        <v>22.8676935432435</v>
      </c>
      <c r="J921" s="28" t="n">
        <v>120.722276600722</v>
      </c>
      <c r="K921" s="27"/>
    </row>
    <row r="922" customFormat="false" ht="15" hidden="true" customHeight="false" outlineLevel="1" collapsed="false">
      <c r="F922" s="27" t="s">
        <v>2287</v>
      </c>
      <c r="G922" s="27" t="s">
        <v>2284</v>
      </c>
      <c r="H922" s="27" t="s">
        <v>2288</v>
      </c>
      <c r="I922" s="32" t="n">
        <v>9.67458756118568</v>
      </c>
      <c r="J922" s="28" t="n">
        <v>107.529170618665</v>
      </c>
      <c r="K922" s="27"/>
    </row>
    <row r="923" customFormat="false" ht="15" hidden="true" customHeight="false" outlineLevel="1" collapsed="false">
      <c r="F923" s="27" t="s">
        <v>2289</v>
      </c>
      <c r="G923" s="27" t="s">
        <v>2284</v>
      </c>
      <c r="H923" s="27" t="s">
        <v>2290</v>
      </c>
      <c r="I923" s="32" t="n">
        <v>200.251168916379</v>
      </c>
      <c r="J923" s="28" t="n">
        <v>298.105751973858</v>
      </c>
      <c r="K923" s="27"/>
    </row>
    <row r="924" customFormat="false" ht="15" hidden="true" customHeight="false" outlineLevel="1" collapsed="false">
      <c r="F924" s="27" t="s">
        <v>2291</v>
      </c>
      <c r="G924" s="27" t="s">
        <v>2290</v>
      </c>
      <c r="H924" s="27" t="s">
        <v>2292</v>
      </c>
      <c r="I924" s="32" t="n">
        <v>1.6547069948059</v>
      </c>
      <c r="J924" s="28" t="n">
        <v>299.760458968663</v>
      </c>
      <c r="K924" s="27"/>
    </row>
    <row r="925" customFormat="false" ht="15" hidden="true" customHeight="false" outlineLevel="1" collapsed="false">
      <c r="F925" s="27" t="s">
        <v>2293</v>
      </c>
      <c r="G925" s="27" t="s">
        <v>2292</v>
      </c>
      <c r="H925" s="27" t="s">
        <v>2294</v>
      </c>
      <c r="I925" s="32" t="n">
        <v>16.6796037914133</v>
      </c>
      <c r="J925" s="28" t="n">
        <v>316.440062760077</v>
      </c>
      <c r="K925" s="27"/>
    </row>
    <row r="926" customFormat="false" ht="15" hidden="true" customHeight="false" outlineLevel="1" collapsed="false">
      <c r="F926" s="27" t="s">
        <v>2295</v>
      </c>
      <c r="G926" s="27" t="s">
        <v>2294</v>
      </c>
      <c r="H926" s="27" t="s">
        <v>2296</v>
      </c>
      <c r="I926" s="32" t="n">
        <v>13.3452150653204</v>
      </c>
      <c r="J926" s="28" t="n">
        <v>329.785277825397</v>
      </c>
      <c r="K926" s="27"/>
    </row>
    <row r="927" customFormat="false" ht="15" hidden="true" customHeight="false" outlineLevel="1" collapsed="false">
      <c r="F927" s="27" t="s">
        <v>2297</v>
      </c>
      <c r="G927" s="27" t="s">
        <v>2296</v>
      </c>
      <c r="H927" s="27" t="s">
        <v>2298</v>
      </c>
      <c r="I927" s="32" t="n">
        <v>28.577309063921</v>
      </c>
      <c r="J927" s="28" t="n">
        <v>358.362586889319</v>
      </c>
      <c r="K927" s="27"/>
    </row>
    <row r="928" customFormat="false" ht="15" hidden="true" customHeight="false" outlineLevel="1" collapsed="false">
      <c r="F928" s="27" t="s">
        <v>2299</v>
      </c>
      <c r="G928" s="27" t="s">
        <v>2298</v>
      </c>
      <c r="H928" s="27" t="s">
        <v>2300</v>
      </c>
      <c r="I928" s="32" t="n">
        <v>3.00226301942638</v>
      </c>
      <c r="J928" s="28" t="n">
        <v>361.364849908745</v>
      </c>
      <c r="K928" s="27"/>
    </row>
    <row r="929" customFormat="false" ht="15" hidden="true" customHeight="false" outlineLevel="1" collapsed="false">
      <c r="F929" s="27" t="s">
        <v>2301</v>
      </c>
      <c r="G929" s="27" t="s">
        <v>2296</v>
      </c>
      <c r="H929" s="27" t="s">
        <v>2302</v>
      </c>
      <c r="I929" s="32" t="n">
        <v>1.98564720871787</v>
      </c>
      <c r="J929" s="28" t="n">
        <v>331.770925034115</v>
      </c>
      <c r="K929" s="27"/>
    </row>
    <row r="930" customFormat="false" ht="15" hidden="true" customHeight="false" outlineLevel="1" collapsed="false">
      <c r="F930" s="27" t="s">
        <v>2303</v>
      </c>
      <c r="G930" s="27" t="s">
        <v>2292</v>
      </c>
      <c r="H930" s="27" t="s">
        <v>2304</v>
      </c>
      <c r="I930" s="32" t="n">
        <v>24.1303077217831</v>
      </c>
      <c r="J930" s="28" t="n">
        <v>323.890766690447</v>
      </c>
      <c r="K930" s="27"/>
    </row>
    <row r="931" customFormat="false" ht="15" hidden="false" customHeight="false" outlineLevel="0" collapsed="true">
      <c r="A931" s="35" t="n">
        <v>104</v>
      </c>
      <c r="B931" s="35" t="s">
        <v>24</v>
      </c>
      <c r="C931" s="35" t="s">
        <v>303</v>
      </c>
      <c r="D931" s="35" t="s">
        <v>602</v>
      </c>
      <c r="E931" s="35" t="s">
        <v>286</v>
      </c>
      <c r="F931" s="35" t="str">
        <f aca="false">COUNTIFS(Trechos!$L$2:$L$838,A931)&amp;" vãos"</f>
        <v>7 vãos</v>
      </c>
      <c r="G931" s="35"/>
      <c r="H931" s="35"/>
      <c r="I931" s="36" t="n">
        <f aca="false">SUMIFS(Trechos!$F$2:$F$838,Trechos!$L$2:$L$838,A931)</f>
        <v>488.86159978891</v>
      </c>
      <c r="J931" s="35"/>
      <c r="K931" s="35"/>
      <c r="L931" s="35" t="s">
        <v>287</v>
      </c>
      <c r="M931" s="35" t="s">
        <v>54</v>
      </c>
      <c r="N931" s="35" t="str">
        <f aca="false">Blocos!BT105</f>
        <v>0358161004</v>
      </c>
    </row>
    <row r="932" customFormat="false" ht="15" hidden="true" customHeight="false" outlineLevel="1" collapsed="false">
      <c r="F932" s="27" t="s">
        <v>2305</v>
      </c>
      <c r="G932" s="27" t="s">
        <v>2300</v>
      </c>
      <c r="H932" s="27" t="s">
        <v>2306</v>
      </c>
      <c r="I932" s="32" t="n">
        <v>181.814548236924</v>
      </c>
      <c r="J932" s="28" t="n">
        <v>181.814548236924</v>
      </c>
      <c r="K932" s="27"/>
    </row>
    <row r="933" customFormat="false" ht="15" hidden="true" customHeight="false" outlineLevel="1" collapsed="false">
      <c r="F933" s="27" t="s">
        <v>2307</v>
      </c>
      <c r="G933" s="27" t="s">
        <v>2306</v>
      </c>
      <c r="H933" s="27" t="s">
        <v>2308</v>
      </c>
      <c r="I933" s="32" t="n">
        <v>238.867152701626</v>
      </c>
      <c r="J933" s="28" t="n">
        <v>420.68170093855</v>
      </c>
      <c r="K933" s="27"/>
    </row>
    <row r="934" customFormat="false" ht="15" hidden="true" customHeight="false" outlineLevel="1" collapsed="false">
      <c r="F934" s="27" t="s">
        <v>2309</v>
      </c>
      <c r="G934" s="27" t="s">
        <v>2308</v>
      </c>
      <c r="H934" s="27" t="s">
        <v>2310</v>
      </c>
      <c r="I934" s="32" t="n">
        <v>3.09076607447682</v>
      </c>
      <c r="J934" s="28" t="n">
        <v>423.772467013027</v>
      </c>
      <c r="K934" s="27"/>
    </row>
    <row r="935" customFormat="false" ht="15" hidden="true" customHeight="false" outlineLevel="1" collapsed="false">
      <c r="F935" s="27" t="s">
        <v>2311</v>
      </c>
      <c r="G935" s="27" t="s">
        <v>2310</v>
      </c>
      <c r="H935" s="27" t="s">
        <v>2312</v>
      </c>
      <c r="I935" s="32" t="n">
        <v>39.9357986198794</v>
      </c>
      <c r="J935" s="28" t="n">
        <v>463.708265632906</v>
      </c>
      <c r="K935" s="27"/>
    </row>
    <row r="936" customFormat="false" ht="15" hidden="true" customHeight="false" outlineLevel="1" collapsed="false">
      <c r="F936" s="27" t="s">
        <v>2313</v>
      </c>
      <c r="G936" s="27" t="s">
        <v>2308</v>
      </c>
      <c r="H936" s="27" t="s">
        <v>2314</v>
      </c>
      <c r="I936" s="32" t="n">
        <v>1.97379080169774</v>
      </c>
      <c r="J936" s="28" t="n">
        <v>422.655491740247</v>
      </c>
      <c r="K936" s="27"/>
    </row>
    <row r="937" customFormat="false" ht="15" hidden="true" customHeight="false" outlineLevel="1" collapsed="false">
      <c r="F937" s="27" t="s">
        <v>2315</v>
      </c>
      <c r="G937" s="27" t="s">
        <v>2306</v>
      </c>
      <c r="H937" s="27" t="s">
        <v>2316</v>
      </c>
      <c r="I937" s="32" t="n">
        <v>13.3117827437865</v>
      </c>
      <c r="J937" s="28" t="n">
        <v>195.12633098071</v>
      </c>
      <c r="K937" s="27"/>
    </row>
    <row r="938" customFormat="false" ht="15" hidden="true" customHeight="false" outlineLevel="1" collapsed="false">
      <c r="F938" s="27" t="s">
        <v>2317</v>
      </c>
      <c r="G938" s="27" t="s">
        <v>2306</v>
      </c>
      <c r="H938" s="27" t="s">
        <v>2318</v>
      </c>
      <c r="I938" s="32" t="n">
        <v>9.86776061052029</v>
      </c>
      <c r="J938" s="28" t="n">
        <v>191.682308847444</v>
      </c>
      <c r="K938" s="27"/>
    </row>
    <row r="939" customFormat="false" ht="15" hidden="false" customHeight="false" outlineLevel="0" collapsed="true">
      <c r="A939" s="35" t="n">
        <v>105</v>
      </c>
      <c r="B939" s="35" t="s">
        <v>24</v>
      </c>
      <c r="C939" s="35" t="s">
        <v>303</v>
      </c>
      <c r="D939" s="35" t="s">
        <v>602</v>
      </c>
      <c r="E939" s="35" t="s">
        <v>288</v>
      </c>
      <c r="F939" s="35" t="str">
        <f aca="false">COUNTIFS(Trechos!$L$2:$L$838,A939)&amp;" vãos"</f>
        <v>1 vãos</v>
      </c>
      <c r="G939" s="35"/>
      <c r="H939" s="35"/>
      <c r="I939" s="36" t="n">
        <f aca="false">SUMIFS(Trechos!$F$2:$F$838,Trechos!$L$2:$L$838,A939)</f>
        <v>18.075189589398</v>
      </c>
      <c r="J939" s="35"/>
      <c r="K939" s="35"/>
      <c r="L939" s="35" t="s">
        <v>289</v>
      </c>
      <c r="M939" s="35" t="s">
        <v>54</v>
      </c>
      <c r="N939" s="35" t="str">
        <f aca="false">Blocos!BT106</f>
        <v>—</v>
      </c>
    </row>
    <row r="940" customFormat="false" ht="15" hidden="true" customHeight="false" outlineLevel="1" collapsed="false">
      <c r="F940" s="27" t="s">
        <v>2319</v>
      </c>
      <c r="G940" s="27" t="s">
        <v>2314</v>
      </c>
      <c r="H940" s="27" t="s">
        <v>2320</v>
      </c>
      <c r="I940" s="32" t="n">
        <v>18.075189589398</v>
      </c>
      <c r="J940" s="28" t="n">
        <v>18.0751895893982</v>
      </c>
      <c r="K940" s="27"/>
    </row>
    <row r="941" customFormat="false" ht="15" hidden="false" customHeight="false" outlineLevel="0" collapsed="true">
      <c r="A941" s="35" t="n">
        <v>106</v>
      </c>
      <c r="B941" s="35" t="s">
        <v>24</v>
      </c>
      <c r="C941" s="35" t="s">
        <v>303</v>
      </c>
      <c r="D941" s="35" t="s">
        <v>602</v>
      </c>
      <c r="E941" s="35" t="s">
        <v>290</v>
      </c>
      <c r="F941" s="35" t="str">
        <f aca="false">COUNTIFS(Trechos!$L$2:$L$838,A941)&amp;" vãos"</f>
        <v>1 vãos</v>
      </c>
      <c r="G941" s="35"/>
      <c r="H941" s="35"/>
      <c r="I941" s="36" t="n">
        <f aca="false">SUMIFS(Trechos!$F$2:$F$838,Trechos!$L$2:$L$838,A941)</f>
        <v>17.9814824451083</v>
      </c>
      <c r="J941" s="35"/>
      <c r="K941" s="35"/>
      <c r="L941" s="35" t="s">
        <v>291</v>
      </c>
      <c r="M941" s="35" t="s">
        <v>54</v>
      </c>
      <c r="N941" s="35" t="str">
        <f aca="false">Blocos!BT107</f>
        <v>—</v>
      </c>
    </row>
    <row r="942" customFormat="false" ht="15" hidden="true" customHeight="false" outlineLevel="1" collapsed="false">
      <c r="F942" s="27" t="s">
        <v>2321</v>
      </c>
      <c r="G942" s="27" t="s">
        <v>2302</v>
      </c>
      <c r="H942" s="27" t="s">
        <v>2322</v>
      </c>
      <c r="I942" s="32" t="n">
        <v>17.9814824451083</v>
      </c>
      <c r="J942" s="28" t="n">
        <v>17.9814824451087</v>
      </c>
      <c r="K942" s="27"/>
    </row>
    <row r="943" customFormat="false" ht="15" hidden="false" customHeight="false" outlineLevel="0" collapsed="true">
      <c r="A943" s="35" t="n">
        <v>107</v>
      </c>
      <c r="B943" s="35" t="s">
        <v>24</v>
      </c>
      <c r="C943" s="35" t="s">
        <v>303</v>
      </c>
      <c r="D943" s="35" t="s">
        <v>609</v>
      </c>
      <c r="E943" s="35" t="s">
        <v>293</v>
      </c>
      <c r="F943" s="35" t="str">
        <f aca="false">COUNTIFS(Trechos!$L$2:$L$838,A943)&amp;" vãos"</f>
        <v>2 vãos</v>
      </c>
      <c r="G943" s="35"/>
      <c r="H943" s="35"/>
      <c r="I943" s="36" t="n">
        <f aca="false">SUMIFS(Trechos!$F$2:$F$838,Trechos!$L$2:$L$838,A943)</f>
        <v>19.6213081451709</v>
      </c>
      <c r="J943" s="35"/>
      <c r="K943" s="35"/>
      <c r="L943" s="35" t="s">
        <v>294</v>
      </c>
      <c r="M943" s="35" t="s">
        <v>54</v>
      </c>
      <c r="N943" s="35" t="str">
        <f aca="false">Blocos!BT108</f>
        <v>—</v>
      </c>
    </row>
    <row r="944" customFormat="false" ht="15" hidden="true" customHeight="false" outlineLevel="1" collapsed="false">
      <c r="F944" s="27" t="s">
        <v>2323</v>
      </c>
      <c r="G944" s="27" t="s">
        <v>957</v>
      </c>
      <c r="H944" s="27" t="s">
        <v>2324</v>
      </c>
      <c r="I944" s="32" t="n">
        <v>15.0789835379477</v>
      </c>
      <c r="J944" s="28" t="n">
        <v>15.0789835379474</v>
      </c>
      <c r="K944" s="27"/>
    </row>
    <row r="945" customFormat="false" ht="15" hidden="true" customHeight="false" outlineLevel="1" collapsed="false">
      <c r="F945" s="27" t="s">
        <v>2325</v>
      </c>
      <c r="G945" s="27" t="s">
        <v>957</v>
      </c>
      <c r="H945" s="27" t="s">
        <v>298</v>
      </c>
      <c r="I945" s="32" t="n">
        <v>4.54232460722324</v>
      </c>
      <c r="J945" s="28" t="n">
        <v>4.54232460722324</v>
      </c>
      <c r="K945" s="2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8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9"/>
    <col collapsed="false" customWidth="true" hidden="false" outlineLevel="0" max="3" min="3" style="0" width="18"/>
    <col collapsed="false" customWidth="true" hidden="false" outlineLevel="0" max="5" min="4" style="0" width="11"/>
    <col collapsed="false" customWidth="true" hidden="false" outlineLevel="0" max="6" min="6" style="0" width="10"/>
    <col collapsed="false" customWidth="true" hidden="false" outlineLevel="0" max="7" min="7" style="0" width="13"/>
    <col collapsed="false" customWidth="true" hidden="false" outlineLevel="0" max="8" min="8" style="0" width="15"/>
    <col collapsed="false" customWidth="true" hidden="false" outlineLevel="0" max="9" min="9" style="0" width="7"/>
    <col collapsed="false" customWidth="true" hidden="false" outlineLevel="0" max="10" min="10" style="0" width="11"/>
    <col collapsed="false" customWidth="true" hidden="false" outlineLevel="0" max="11" min="11" style="0" width="17"/>
    <col collapsed="false" customWidth="true" hidden="false" outlineLevel="0" max="12" min="12" style="0" width="7"/>
    <col collapsed="false" customWidth="true" hidden="false" outlineLevel="0" max="13" min="13" style="0" width="12"/>
    <col collapsed="false" customWidth="true" hidden="false" outlineLevel="0" max="14" min="14" style="0" width="18"/>
    <col collapsed="false" customWidth="true" hidden="false" outlineLevel="0" max="15" min="15" style="0" width="22"/>
    <col collapsed="false" customWidth="true" hidden="false" outlineLevel="0" max="16" min="16" style="0" width="34"/>
    <col collapsed="false" customWidth="true" hidden="false" outlineLevel="0" max="17" min="17" style="0" width="11"/>
    <col collapsed="false" customWidth="true" hidden="false" outlineLevel="0" max="18" min="18" style="0" width="12"/>
    <col collapsed="false" customWidth="true" hidden="false" outlineLevel="0" max="24" min="19" style="0" width="8"/>
    <col collapsed="false" customWidth="true" hidden="false" outlineLevel="0" max="25" min="25" style="0" width="34"/>
    <col collapsed="false" customWidth="true" hidden="false" outlineLevel="0" max="27" min="26" style="0" width="13"/>
    <col collapsed="false" customWidth="true" hidden="false" outlineLevel="0" max="28" min="28" style="0" width="8"/>
    <col collapsed="false" customWidth="true" hidden="false" outlineLevel="0" max="29" min="29" style="0" width="26"/>
  </cols>
  <sheetData>
    <row r="1" customFormat="false" ht="31.5" hidden="false" customHeight="true" outlineLevel="0" collapsed="false">
      <c r="A1" s="12" t="s">
        <v>2326</v>
      </c>
      <c r="B1" s="12" t="s">
        <v>613</v>
      </c>
      <c r="C1" s="12" t="s">
        <v>2327</v>
      </c>
      <c r="D1" s="12" t="s">
        <v>301</v>
      </c>
      <c r="E1" s="12" t="s">
        <v>614</v>
      </c>
      <c r="F1" s="12" t="s">
        <v>37</v>
      </c>
      <c r="G1" s="12" t="s">
        <v>2328</v>
      </c>
      <c r="H1" s="12" t="s">
        <v>615</v>
      </c>
      <c r="I1" s="12" t="s">
        <v>1</v>
      </c>
      <c r="J1" s="12" t="s">
        <v>302</v>
      </c>
      <c r="K1" s="12" t="s">
        <v>303</v>
      </c>
      <c r="L1" s="12" t="s">
        <v>11</v>
      </c>
      <c r="M1" s="12" t="s">
        <v>7</v>
      </c>
      <c r="N1" s="12" t="s">
        <v>2329</v>
      </c>
      <c r="O1" s="12" t="s">
        <v>2330</v>
      </c>
      <c r="P1" s="12" t="s">
        <v>9</v>
      </c>
      <c r="Q1" s="12" t="s">
        <v>368</v>
      </c>
      <c r="R1" s="12" t="s">
        <v>306</v>
      </c>
      <c r="S1" s="12" t="s">
        <v>28</v>
      </c>
      <c r="T1" s="12" t="s">
        <v>29</v>
      </c>
      <c r="U1" s="12" t="s">
        <v>30</v>
      </c>
      <c r="V1" s="12" t="s">
        <v>31</v>
      </c>
      <c r="W1" s="12" t="s">
        <v>32</v>
      </c>
      <c r="X1" s="12" t="s">
        <v>33</v>
      </c>
      <c r="Y1" s="12" t="s">
        <v>307</v>
      </c>
      <c r="Z1" s="12" t="s">
        <v>2331</v>
      </c>
      <c r="AA1" s="12" t="s">
        <v>2332</v>
      </c>
      <c r="AB1" s="12" t="s">
        <v>2333</v>
      </c>
      <c r="AC1" s="12" t="s">
        <v>2334</v>
      </c>
    </row>
    <row r="2" customFormat="false" ht="15" hidden="false" customHeight="false" outlineLevel="0" collapsed="false">
      <c r="A2" s="27" t="n">
        <v>1</v>
      </c>
      <c r="B2" s="27" t="s">
        <v>618</v>
      </c>
      <c r="C2" s="27" t="s">
        <v>2335</v>
      </c>
      <c r="D2" s="27" t="s">
        <v>619</v>
      </c>
      <c r="E2" s="27" t="s">
        <v>620</v>
      </c>
      <c r="F2" s="32" t="n">
        <v>41.0381224050729</v>
      </c>
      <c r="G2" s="28" t="n">
        <v>41.0381224050729</v>
      </c>
      <c r="H2" s="28" t="n">
        <v>41.0381224050729</v>
      </c>
      <c r="I2" s="5" t="s">
        <v>22</v>
      </c>
      <c r="J2" s="27" t="s">
        <v>5</v>
      </c>
      <c r="K2" s="27" t="s">
        <v>5</v>
      </c>
      <c r="L2" s="27" t="n">
        <v>1</v>
      </c>
      <c r="M2" s="27" t="s">
        <v>41</v>
      </c>
      <c r="N2" s="27" t="s">
        <v>2336</v>
      </c>
      <c r="O2" s="27" t="s">
        <v>42</v>
      </c>
      <c r="P2" s="27" t="s">
        <v>2337</v>
      </c>
      <c r="Q2" s="27" t="n">
        <v>76</v>
      </c>
      <c r="R2" s="27"/>
      <c r="S2" s="27" t="s">
        <v>41</v>
      </c>
      <c r="T2" s="27"/>
      <c r="U2" s="27"/>
      <c r="V2" s="27"/>
      <c r="W2" s="27"/>
      <c r="X2" s="27"/>
      <c r="Y2" s="27" t="s">
        <v>41</v>
      </c>
      <c r="Z2" s="27" t="n">
        <v>-7.19538</v>
      </c>
      <c r="AA2" s="27" t="n">
        <v>-48.23811</v>
      </c>
      <c r="AB2" s="37" t="s">
        <v>2338</v>
      </c>
      <c r="AC2" s="27" t="s">
        <v>2339</v>
      </c>
    </row>
    <row r="3" customFormat="false" ht="15" hidden="false" customHeight="false" outlineLevel="0" collapsed="false">
      <c r="A3" s="27" t="n">
        <v>2</v>
      </c>
      <c r="B3" s="27" t="s">
        <v>621</v>
      </c>
      <c r="C3" s="27" t="s">
        <v>2340</v>
      </c>
      <c r="D3" s="27" t="s">
        <v>620</v>
      </c>
      <c r="E3" s="27" t="s">
        <v>622</v>
      </c>
      <c r="F3" s="32" t="n">
        <v>1.99975074469302</v>
      </c>
      <c r="G3" s="28" t="n">
        <v>43.0378731497659</v>
      </c>
      <c r="H3" s="28" t="n">
        <v>43.0378731497659</v>
      </c>
      <c r="I3" s="5" t="s">
        <v>22</v>
      </c>
      <c r="J3" s="27" t="s">
        <v>5</v>
      </c>
      <c r="K3" s="27" t="s">
        <v>5</v>
      </c>
      <c r="L3" s="27" t="n">
        <v>1</v>
      </c>
      <c r="M3" s="27" t="s">
        <v>41</v>
      </c>
      <c r="N3" s="27" t="s">
        <v>2336</v>
      </c>
      <c r="O3" s="27" t="s">
        <v>42</v>
      </c>
      <c r="P3" s="27" t="s">
        <v>2337</v>
      </c>
      <c r="Q3" s="27" t="n">
        <v>76</v>
      </c>
      <c r="R3" s="27" t="s">
        <v>623</v>
      </c>
      <c r="S3" s="27" t="s">
        <v>41</v>
      </c>
      <c r="T3" s="27"/>
      <c r="U3" s="27"/>
      <c r="V3" s="27"/>
      <c r="W3" s="27"/>
      <c r="X3" s="27"/>
      <c r="Y3" s="27" t="s">
        <v>41</v>
      </c>
      <c r="Z3" s="27" t="n">
        <v>-7.1955055</v>
      </c>
      <c r="AA3" s="27" t="n">
        <v>-48.238258</v>
      </c>
      <c r="AB3" s="37" t="s">
        <v>2338</v>
      </c>
      <c r="AC3" s="27" t="s">
        <v>2339</v>
      </c>
    </row>
    <row r="4" customFormat="false" ht="15" hidden="false" customHeight="false" outlineLevel="0" collapsed="false">
      <c r="A4" s="27" t="n">
        <v>3</v>
      </c>
      <c r="B4" s="27" t="s">
        <v>624</v>
      </c>
      <c r="C4" s="27" t="s">
        <v>2341</v>
      </c>
      <c r="D4" s="27" t="s">
        <v>622</v>
      </c>
      <c r="E4" s="27" t="s">
        <v>625</v>
      </c>
      <c r="F4" s="32" t="n">
        <v>17.1469303221971</v>
      </c>
      <c r="G4" s="28" t="n">
        <v>60.1848034719631</v>
      </c>
      <c r="H4" s="28" t="n">
        <v>60.1848034719631</v>
      </c>
      <c r="I4" s="5" t="s">
        <v>22</v>
      </c>
      <c r="J4" s="27" t="s">
        <v>5</v>
      </c>
      <c r="K4" s="27" t="s">
        <v>5</v>
      </c>
      <c r="L4" s="27" t="n">
        <v>1</v>
      </c>
      <c r="M4" s="27" t="s">
        <v>41</v>
      </c>
      <c r="N4" s="27" t="s">
        <v>2336</v>
      </c>
      <c r="O4" s="27" t="s">
        <v>42</v>
      </c>
      <c r="P4" s="27" t="s">
        <v>2337</v>
      </c>
      <c r="Q4" s="27" t="n">
        <v>76</v>
      </c>
      <c r="R4" s="27"/>
      <c r="S4" s="27" t="s">
        <v>41</v>
      </c>
      <c r="T4" s="27"/>
      <c r="U4" s="27"/>
      <c r="V4" s="27"/>
      <c r="W4" s="27"/>
      <c r="X4" s="27"/>
      <c r="Y4" s="27" t="s">
        <v>41</v>
      </c>
      <c r="Z4" s="27" t="n">
        <v>-7.1955785</v>
      </c>
      <c r="AA4" s="27" t="n">
        <v>-48.238304</v>
      </c>
      <c r="AB4" s="37" t="s">
        <v>2338</v>
      </c>
      <c r="AC4" s="27" t="s">
        <v>2339</v>
      </c>
    </row>
    <row r="5" customFormat="false" ht="15" hidden="false" customHeight="false" outlineLevel="0" collapsed="false">
      <c r="A5" s="27" t="n">
        <v>4</v>
      </c>
      <c r="B5" s="27" t="s">
        <v>626</v>
      </c>
      <c r="C5" s="27" t="s">
        <v>2342</v>
      </c>
      <c r="D5" s="27" t="s">
        <v>625</v>
      </c>
      <c r="E5" s="27" t="s">
        <v>627</v>
      </c>
      <c r="F5" s="32" t="n">
        <v>2.92455122246055</v>
      </c>
      <c r="G5" s="28" t="n">
        <v>63.1093546944236</v>
      </c>
      <c r="H5" s="28" t="n">
        <v>63.1093546944236</v>
      </c>
      <c r="I5" s="5" t="s">
        <v>22</v>
      </c>
      <c r="J5" s="27" t="s">
        <v>5</v>
      </c>
      <c r="K5" s="27" t="s">
        <v>5</v>
      </c>
      <c r="L5" s="27" t="n">
        <v>1</v>
      </c>
      <c r="M5" s="27" t="s">
        <v>41</v>
      </c>
      <c r="N5" s="27" t="s">
        <v>2336</v>
      </c>
      <c r="O5" s="27" t="s">
        <v>42</v>
      </c>
      <c r="P5" s="27" t="s">
        <v>2337</v>
      </c>
      <c r="Q5" s="27" t="n">
        <v>76</v>
      </c>
      <c r="R5" s="27"/>
      <c r="S5" s="27" t="s">
        <v>41</v>
      </c>
      <c r="T5" s="27"/>
      <c r="U5" s="27"/>
      <c r="V5" s="27"/>
      <c r="W5" s="27"/>
      <c r="X5" s="27"/>
      <c r="Y5" s="27" t="s">
        <v>41</v>
      </c>
      <c r="Z5" s="27" t="n">
        <v>-7.195657</v>
      </c>
      <c r="AA5" s="27" t="n">
        <v>-48.238343</v>
      </c>
      <c r="AB5" s="37" t="s">
        <v>2338</v>
      </c>
      <c r="AC5" s="27" t="s">
        <v>2339</v>
      </c>
    </row>
    <row r="6" customFormat="false" ht="15" hidden="false" customHeight="false" outlineLevel="0" collapsed="false">
      <c r="A6" s="27" t="n">
        <v>5</v>
      </c>
      <c r="B6" s="27" t="s">
        <v>628</v>
      </c>
      <c r="C6" s="27" t="s">
        <v>2343</v>
      </c>
      <c r="D6" s="27" t="s">
        <v>627</v>
      </c>
      <c r="E6" s="27" t="s">
        <v>629</v>
      </c>
      <c r="F6" s="32" t="n">
        <v>36.0458093978032</v>
      </c>
      <c r="G6" s="28" t="n">
        <v>99.1551640922268</v>
      </c>
      <c r="H6" s="28" t="n">
        <v>99.1551640922268</v>
      </c>
      <c r="I6" s="5" t="s">
        <v>22</v>
      </c>
      <c r="J6" s="27" t="s">
        <v>5</v>
      </c>
      <c r="K6" s="27" t="s">
        <v>5</v>
      </c>
      <c r="L6" s="27" t="n">
        <v>1</v>
      </c>
      <c r="M6" s="27" t="s">
        <v>41</v>
      </c>
      <c r="N6" s="27" t="s">
        <v>2336</v>
      </c>
      <c r="O6" s="27" t="s">
        <v>42</v>
      </c>
      <c r="P6" s="27" t="s">
        <v>2337</v>
      </c>
      <c r="Q6" s="27" t="n">
        <v>76</v>
      </c>
      <c r="R6" s="27"/>
      <c r="S6" s="27" t="s">
        <v>41</v>
      </c>
      <c r="T6" s="27"/>
      <c r="U6" s="27"/>
      <c r="V6" s="27"/>
      <c r="W6" s="27"/>
      <c r="X6" s="27"/>
      <c r="Y6" s="27" t="s">
        <v>41</v>
      </c>
      <c r="Z6" s="27" t="n">
        <v>-7.195788</v>
      </c>
      <c r="AA6" s="27" t="n">
        <v>-48.238229</v>
      </c>
      <c r="AB6" s="37" t="s">
        <v>2338</v>
      </c>
      <c r="AC6" s="27" t="s">
        <v>2339</v>
      </c>
    </row>
    <row r="7" customFormat="false" ht="15" hidden="false" customHeight="false" outlineLevel="0" collapsed="false">
      <c r="A7" s="27" t="n">
        <v>6</v>
      </c>
      <c r="B7" s="27" t="s">
        <v>630</v>
      </c>
      <c r="C7" s="27" t="s">
        <v>2344</v>
      </c>
      <c r="D7" s="27" t="s">
        <v>629</v>
      </c>
      <c r="E7" s="27" t="s">
        <v>631</v>
      </c>
      <c r="F7" s="32" t="n">
        <v>3.42510001848546</v>
      </c>
      <c r="G7" s="28" t="n">
        <v>102.580264110712</v>
      </c>
      <c r="H7" s="28" t="n">
        <v>102.580264110712</v>
      </c>
      <c r="I7" s="5" t="s">
        <v>22</v>
      </c>
      <c r="J7" s="27" t="s">
        <v>5</v>
      </c>
      <c r="K7" s="27" t="s">
        <v>5</v>
      </c>
      <c r="L7" s="27" t="n">
        <v>1</v>
      </c>
      <c r="M7" s="27" t="s">
        <v>41</v>
      </c>
      <c r="N7" s="27" t="s">
        <v>2336</v>
      </c>
      <c r="O7" s="27" t="s">
        <v>42</v>
      </c>
      <c r="P7" s="27" t="s">
        <v>2337</v>
      </c>
      <c r="Q7" s="27" t="n">
        <v>76</v>
      </c>
      <c r="R7" s="27"/>
      <c r="S7" s="27" t="s">
        <v>41</v>
      </c>
      <c r="T7" s="27"/>
      <c r="U7" s="27"/>
      <c r="V7" s="27"/>
      <c r="W7" s="27"/>
      <c r="X7" s="27"/>
      <c r="Y7" s="27" t="s">
        <v>41</v>
      </c>
      <c r="Z7" s="27" t="n">
        <v>-7.1959115</v>
      </c>
      <c r="AA7" s="27" t="n">
        <v>-48.2381025</v>
      </c>
      <c r="AB7" s="37" t="s">
        <v>2338</v>
      </c>
      <c r="AC7" s="27" t="s">
        <v>2339</v>
      </c>
    </row>
    <row r="8" customFormat="false" ht="15" hidden="false" customHeight="false" outlineLevel="0" collapsed="false">
      <c r="A8" s="27" t="n">
        <v>7</v>
      </c>
      <c r="B8" s="27" t="s">
        <v>632</v>
      </c>
      <c r="C8" s="27" t="s">
        <v>2345</v>
      </c>
      <c r="D8" s="27" t="s">
        <v>631</v>
      </c>
      <c r="E8" s="27" t="s">
        <v>633</v>
      </c>
      <c r="F8" s="32" t="n">
        <v>20.0848279035018</v>
      </c>
      <c r="G8" s="28" t="n">
        <v>122.665092014214</v>
      </c>
      <c r="H8" s="28" t="n">
        <v>122.665092014214</v>
      </c>
      <c r="I8" s="5" t="s">
        <v>22</v>
      </c>
      <c r="J8" s="27" t="s">
        <v>5</v>
      </c>
      <c r="K8" s="27" t="s">
        <v>5</v>
      </c>
      <c r="L8" s="27" t="n">
        <v>1</v>
      </c>
      <c r="M8" s="27" t="s">
        <v>41</v>
      </c>
      <c r="N8" s="27" t="s">
        <v>2336</v>
      </c>
      <c r="O8" s="27" t="s">
        <v>42</v>
      </c>
      <c r="P8" s="27" t="s">
        <v>2337</v>
      </c>
      <c r="Q8" s="27" t="n">
        <v>76</v>
      </c>
      <c r="R8" s="27"/>
      <c r="S8" s="27" t="s">
        <v>41</v>
      </c>
      <c r="T8" s="27"/>
      <c r="U8" s="27"/>
      <c r="V8" s="27"/>
      <c r="W8" s="27"/>
      <c r="X8" s="27"/>
      <c r="Y8" s="27" t="s">
        <v>41</v>
      </c>
      <c r="Z8" s="27" t="n">
        <v>-7.195948</v>
      </c>
      <c r="AA8" s="27" t="n">
        <v>-48.2380025</v>
      </c>
      <c r="AB8" s="37" t="s">
        <v>2338</v>
      </c>
      <c r="AC8" s="27" t="s">
        <v>2339</v>
      </c>
    </row>
    <row r="9" customFormat="false" ht="15" hidden="false" customHeight="false" outlineLevel="0" collapsed="false">
      <c r="A9" s="27" t="n">
        <v>8</v>
      </c>
      <c r="B9" s="27" t="s">
        <v>634</v>
      </c>
      <c r="C9" s="27" t="s">
        <v>2346</v>
      </c>
      <c r="D9" s="27" t="s">
        <v>633</v>
      </c>
      <c r="E9" s="27" t="s">
        <v>635</v>
      </c>
      <c r="F9" s="32" t="n">
        <v>3.09892791240852</v>
      </c>
      <c r="G9" s="28" t="n">
        <v>125.764019926623</v>
      </c>
      <c r="H9" s="28" t="n">
        <v>125.764019926623</v>
      </c>
      <c r="I9" s="5" t="s">
        <v>22</v>
      </c>
      <c r="J9" s="27" t="s">
        <v>5</v>
      </c>
      <c r="K9" s="27" t="s">
        <v>5</v>
      </c>
      <c r="L9" s="27" t="n">
        <v>1</v>
      </c>
      <c r="M9" s="27" t="s">
        <v>41</v>
      </c>
      <c r="N9" s="27" t="s">
        <v>2336</v>
      </c>
      <c r="O9" s="27" t="s">
        <v>42</v>
      </c>
      <c r="P9" s="27" t="s">
        <v>2337</v>
      </c>
      <c r="Q9" s="27" t="n">
        <v>76</v>
      </c>
      <c r="R9" s="27"/>
      <c r="S9" s="27" t="s">
        <v>41</v>
      </c>
      <c r="T9" s="27"/>
      <c r="U9" s="27"/>
      <c r="V9" s="27"/>
      <c r="W9" s="27"/>
      <c r="X9" s="27"/>
      <c r="Y9" s="27" t="s">
        <v>41</v>
      </c>
      <c r="Z9" s="27" t="n">
        <v>-7.195987</v>
      </c>
      <c r="AA9" s="27" t="n">
        <v>-48.2379055</v>
      </c>
      <c r="AB9" s="37" t="s">
        <v>2338</v>
      </c>
      <c r="AC9" s="27" t="s">
        <v>2339</v>
      </c>
    </row>
    <row r="10" customFormat="false" ht="15" hidden="false" customHeight="false" outlineLevel="0" collapsed="false">
      <c r="A10" s="27" t="n">
        <v>9</v>
      </c>
      <c r="B10" s="27" t="s">
        <v>636</v>
      </c>
      <c r="C10" s="27" t="s">
        <v>2347</v>
      </c>
      <c r="D10" s="27" t="s">
        <v>635</v>
      </c>
      <c r="E10" s="27" t="s">
        <v>637</v>
      </c>
      <c r="F10" s="32" t="n">
        <v>50.7051959078943</v>
      </c>
      <c r="G10" s="28" t="n">
        <v>176.469215834517</v>
      </c>
      <c r="H10" s="28" t="n">
        <v>176.469215834517</v>
      </c>
      <c r="I10" s="5" t="s">
        <v>22</v>
      </c>
      <c r="J10" s="27" t="s">
        <v>5</v>
      </c>
      <c r="K10" s="27" t="s">
        <v>5</v>
      </c>
      <c r="L10" s="27" t="n">
        <v>1</v>
      </c>
      <c r="M10" s="27" t="s">
        <v>41</v>
      </c>
      <c r="N10" s="27" t="s">
        <v>2336</v>
      </c>
      <c r="O10" s="27" t="s">
        <v>42</v>
      </c>
      <c r="P10" s="27" t="s">
        <v>2337</v>
      </c>
      <c r="Q10" s="27" t="n">
        <v>76</v>
      </c>
      <c r="R10" s="27"/>
      <c r="S10" s="27" t="s">
        <v>41</v>
      </c>
      <c r="T10" s="27"/>
      <c r="U10" s="27"/>
      <c r="V10" s="27"/>
      <c r="W10" s="27"/>
      <c r="X10" s="27"/>
      <c r="Y10" s="27" t="s">
        <v>41</v>
      </c>
      <c r="Z10" s="27" t="n">
        <v>-7.196093</v>
      </c>
      <c r="AA10" s="27" t="n">
        <v>-48.2376865</v>
      </c>
      <c r="AB10" s="37" t="s">
        <v>2338</v>
      </c>
      <c r="AC10" s="27" t="s">
        <v>2339</v>
      </c>
    </row>
    <row r="11" customFormat="false" ht="15" hidden="false" customHeight="false" outlineLevel="0" collapsed="false">
      <c r="A11" s="27" t="n">
        <v>10</v>
      </c>
      <c r="B11" s="27" t="s">
        <v>638</v>
      </c>
      <c r="C11" s="27" t="s">
        <v>2348</v>
      </c>
      <c r="D11" s="27" t="s">
        <v>637</v>
      </c>
      <c r="E11" s="27" t="s">
        <v>639</v>
      </c>
      <c r="F11" s="32" t="n">
        <v>3.44880759773909</v>
      </c>
      <c r="G11" s="28" t="n">
        <v>179.918023432256</v>
      </c>
      <c r="H11" s="28" t="n">
        <v>179.918023432256</v>
      </c>
      <c r="I11" s="5" t="s">
        <v>22</v>
      </c>
      <c r="J11" s="27" t="s">
        <v>5</v>
      </c>
      <c r="K11" s="27" t="s">
        <v>5</v>
      </c>
      <c r="L11" s="27" t="n">
        <v>1</v>
      </c>
      <c r="M11" s="27" t="s">
        <v>41</v>
      </c>
      <c r="N11" s="27" t="s">
        <v>2336</v>
      </c>
      <c r="O11" s="27" t="s">
        <v>42</v>
      </c>
      <c r="P11" s="27" t="s">
        <v>2337</v>
      </c>
      <c r="Q11" s="27" t="n">
        <v>76</v>
      </c>
      <c r="R11" s="27"/>
      <c r="S11" s="27" t="s">
        <v>41</v>
      </c>
      <c r="T11" s="27"/>
      <c r="U11" s="27"/>
      <c r="V11" s="27"/>
      <c r="W11" s="27"/>
      <c r="X11" s="27"/>
      <c r="Y11" s="27" t="s">
        <v>41</v>
      </c>
      <c r="Z11" s="27" t="n">
        <v>-7.1962065</v>
      </c>
      <c r="AA11" s="27" t="n">
        <v>-48.2374785</v>
      </c>
      <c r="AB11" s="37" t="s">
        <v>2338</v>
      </c>
      <c r="AC11" s="27" t="s">
        <v>2339</v>
      </c>
    </row>
    <row r="12" customFormat="false" ht="15" hidden="false" customHeight="false" outlineLevel="0" collapsed="false">
      <c r="A12" s="27" t="n">
        <v>11</v>
      </c>
      <c r="B12" s="27" t="s">
        <v>640</v>
      </c>
      <c r="C12" s="27" t="s">
        <v>2349</v>
      </c>
      <c r="D12" s="27" t="s">
        <v>639</v>
      </c>
      <c r="E12" s="27" t="s">
        <v>641</v>
      </c>
      <c r="F12" s="32" t="n">
        <v>16.0924372583707</v>
      </c>
      <c r="G12" s="28" t="n">
        <v>196.010460690627</v>
      </c>
      <c r="H12" s="28" t="n">
        <v>196.010460690627</v>
      </c>
      <c r="I12" s="5" t="s">
        <v>22</v>
      </c>
      <c r="J12" s="27" t="s">
        <v>5</v>
      </c>
      <c r="K12" s="27" t="s">
        <v>5</v>
      </c>
      <c r="L12" s="27" t="n">
        <v>1</v>
      </c>
      <c r="M12" s="27" t="s">
        <v>41</v>
      </c>
      <c r="N12" s="27" t="s">
        <v>2336</v>
      </c>
      <c r="O12" s="27" t="s">
        <v>42</v>
      </c>
      <c r="P12" s="27" t="s">
        <v>2337</v>
      </c>
      <c r="Q12" s="27" t="n">
        <v>76</v>
      </c>
      <c r="R12" s="27"/>
      <c r="S12" s="27" t="s">
        <v>41</v>
      </c>
      <c r="T12" s="27"/>
      <c r="U12" s="27"/>
      <c r="V12" s="27"/>
      <c r="W12" s="27"/>
      <c r="X12" s="27"/>
      <c r="Y12" s="27" t="s">
        <v>41</v>
      </c>
      <c r="Z12" s="27" t="n">
        <v>-7.1962875</v>
      </c>
      <c r="AA12" s="27" t="n">
        <v>-48.237509</v>
      </c>
      <c r="AB12" s="37" t="s">
        <v>2338</v>
      </c>
      <c r="AC12" s="27" t="s">
        <v>2339</v>
      </c>
    </row>
    <row r="13" customFormat="false" ht="15" hidden="false" customHeight="false" outlineLevel="0" collapsed="false">
      <c r="A13" s="27" t="n">
        <v>12</v>
      </c>
      <c r="B13" s="27" t="s">
        <v>642</v>
      </c>
      <c r="C13" s="27" t="s">
        <v>2350</v>
      </c>
      <c r="D13" s="27" t="s">
        <v>641</v>
      </c>
      <c r="E13" s="27" t="s">
        <v>643</v>
      </c>
      <c r="F13" s="32" t="n">
        <v>3.72373390107315</v>
      </c>
      <c r="G13" s="28" t="n">
        <v>199.7341945917</v>
      </c>
      <c r="H13" s="28" t="n">
        <v>199.7341945917</v>
      </c>
      <c r="I13" s="5" t="s">
        <v>22</v>
      </c>
      <c r="J13" s="27" t="s">
        <v>5</v>
      </c>
      <c r="K13" s="27" t="s">
        <v>5</v>
      </c>
      <c r="L13" s="27" t="n">
        <v>1</v>
      </c>
      <c r="M13" s="27" t="s">
        <v>41</v>
      </c>
      <c r="N13" s="27" t="s">
        <v>2336</v>
      </c>
      <c r="O13" s="27" t="s">
        <v>42</v>
      </c>
      <c r="P13" s="27" t="s">
        <v>2337</v>
      </c>
      <c r="Q13" s="27" t="n">
        <v>76</v>
      </c>
      <c r="R13" s="27"/>
      <c r="S13" s="27" t="s">
        <v>41</v>
      </c>
      <c r="T13" s="27"/>
      <c r="U13" s="27"/>
      <c r="V13" s="27"/>
      <c r="W13" s="27"/>
      <c r="X13" s="27"/>
      <c r="Y13" s="27" t="s">
        <v>41</v>
      </c>
      <c r="Z13" s="27" t="n">
        <v>-7.196368</v>
      </c>
      <c r="AA13" s="27" t="n">
        <v>-48.2375475</v>
      </c>
      <c r="AB13" s="37" t="s">
        <v>2338</v>
      </c>
      <c r="AC13" s="27" t="s">
        <v>2339</v>
      </c>
    </row>
    <row r="14" customFormat="false" ht="15" hidden="false" customHeight="false" outlineLevel="0" collapsed="false">
      <c r="A14" s="27" t="n">
        <v>13</v>
      </c>
      <c r="B14" s="27" t="s">
        <v>644</v>
      </c>
      <c r="C14" s="27" t="s">
        <v>2351</v>
      </c>
      <c r="D14" s="27" t="s">
        <v>643</v>
      </c>
      <c r="E14" s="27" t="s">
        <v>645</v>
      </c>
      <c r="F14" s="32" t="n">
        <v>97.1293336725192</v>
      </c>
      <c r="G14" s="28" t="n">
        <v>296.863528264219</v>
      </c>
      <c r="H14" s="28" t="n">
        <v>296.863528264219</v>
      </c>
      <c r="I14" s="5" t="s">
        <v>22</v>
      </c>
      <c r="J14" s="27" t="s">
        <v>5</v>
      </c>
      <c r="K14" s="27" t="s">
        <v>5</v>
      </c>
      <c r="L14" s="27" t="n">
        <v>1</v>
      </c>
      <c r="M14" s="27" t="s">
        <v>41</v>
      </c>
      <c r="N14" s="27" t="s">
        <v>2336</v>
      </c>
      <c r="O14" s="27" t="s">
        <v>42</v>
      </c>
      <c r="P14" s="27" t="s">
        <v>2337</v>
      </c>
      <c r="Q14" s="27" t="n">
        <v>76</v>
      </c>
      <c r="R14" s="27"/>
      <c r="S14" s="27" t="s">
        <v>41</v>
      </c>
      <c r="T14" s="27"/>
      <c r="U14" s="27"/>
      <c r="V14" s="27"/>
      <c r="W14" s="27"/>
      <c r="X14" s="27"/>
      <c r="Y14" s="27" t="s">
        <v>41</v>
      </c>
      <c r="Z14" s="27" t="n">
        <v>-7.19678</v>
      </c>
      <c r="AA14" s="27" t="n">
        <v>-48.2377385</v>
      </c>
      <c r="AB14" s="37" t="s">
        <v>2338</v>
      </c>
      <c r="AC14" s="27" t="s">
        <v>2339</v>
      </c>
    </row>
    <row r="15" customFormat="false" ht="15" hidden="false" customHeight="false" outlineLevel="0" collapsed="false">
      <c r="A15" s="27" t="n">
        <v>14</v>
      </c>
      <c r="B15" s="27" t="s">
        <v>646</v>
      </c>
      <c r="C15" s="27" t="s">
        <v>2352</v>
      </c>
      <c r="D15" s="27" t="s">
        <v>645</v>
      </c>
      <c r="E15" s="27" t="s">
        <v>647</v>
      </c>
      <c r="F15" s="32" t="n">
        <v>12.306964033521</v>
      </c>
      <c r="G15" s="28" t="n">
        <v>309.17049229774</v>
      </c>
      <c r="H15" s="28" t="n">
        <v>309.17049229774</v>
      </c>
      <c r="I15" s="5" t="s">
        <v>22</v>
      </c>
      <c r="J15" s="27" t="s">
        <v>5</v>
      </c>
      <c r="K15" s="27" t="s">
        <v>5</v>
      </c>
      <c r="L15" s="27" t="n">
        <v>1</v>
      </c>
      <c r="M15" s="27" t="s">
        <v>41</v>
      </c>
      <c r="N15" s="27" t="s">
        <v>2336</v>
      </c>
      <c r="O15" s="27" t="s">
        <v>42</v>
      </c>
      <c r="P15" s="27" t="s">
        <v>2353</v>
      </c>
      <c r="Q15" s="27" t="n">
        <v>66</v>
      </c>
      <c r="R15" s="27"/>
      <c r="S15" s="27" t="s">
        <v>41</v>
      </c>
      <c r="T15" s="27"/>
      <c r="U15" s="27"/>
      <c r="V15" s="27"/>
      <c r="W15" s="27"/>
      <c r="X15" s="27"/>
      <c r="Y15" s="27" t="s">
        <v>41</v>
      </c>
      <c r="Z15" s="27" t="n">
        <v>-7.1972005</v>
      </c>
      <c r="AA15" s="27" t="n">
        <v>-48.2378715</v>
      </c>
      <c r="AB15" s="37" t="s">
        <v>2338</v>
      </c>
      <c r="AC15" s="27" t="s">
        <v>2339</v>
      </c>
    </row>
    <row r="16" customFormat="false" ht="15" hidden="false" customHeight="false" outlineLevel="0" collapsed="false">
      <c r="A16" s="27" t="n">
        <v>15</v>
      </c>
      <c r="B16" s="27" t="s">
        <v>648</v>
      </c>
      <c r="C16" s="27" t="s">
        <v>2354</v>
      </c>
      <c r="D16" s="27" t="s">
        <v>647</v>
      </c>
      <c r="E16" s="27" t="s">
        <v>649</v>
      </c>
      <c r="F16" s="32" t="n">
        <v>1.13793540734345</v>
      </c>
      <c r="G16" s="28" t="n">
        <v>310.308427705084</v>
      </c>
      <c r="H16" s="28" t="n">
        <v>310.308427705084</v>
      </c>
      <c r="I16" s="5" t="s">
        <v>22</v>
      </c>
      <c r="J16" s="27" t="s">
        <v>5</v>
      </c>
      <c r="K16" s="27" t="s">
        <v>5</v>
      </c>
      <c r="L16" s="27" t="n">
        <v>1</v>
      </c>
      <c r="M16" s="27" t="s">
        <v>41</v>
      </c>
      <c r="N16" s="27" t="s">
        <v>2336</v>
      </c>
      <c r="O16" s="27" t="s">
        <v>42</v>
      </c>
      <c r="P16" s="27" t="s">
        <v>2353</v>
      </c>
      <c r="Q16" s="27" t="n">
        <v>66</v>
      </c>
      <c r="R16" s="27" t="s">
        <v>650</v>
      </c>
      <c r="S16" s="27" t="s">
        <v>41</v>
      </c>
      <c r="T16" s="27"/>
      <c r="U16" s="27"/>
      <c r="V16" s="27"/>
      <c r="W16" s="27"/>
      <c r="X16" s="27"/>
      <c r="Y16" s="27" t="s">
        <v>41</v>
      </c>
      <c r="Z16" s="27" t="n">
        <v>-7.1972215</v>
      </c>
      <c r="AA16" s="27" t="n">
        <v>-48.2378255</v>
      </c>
      <c r="AB16" s="37" t="s">
        <v>2338</v>
      </c>
      <c r="AC16" s="27" t="s">
        <v>2339</v>
      </c>
    </row>
    <row r="17" customFormat="false" ht="15" hidden="false" customHeight="false" outlineLevel="0" collapsed="false">
      <c r="A17" s="27" t="n">
        <v>16</v>
      </c>
      <c r="B17" s="27" t="s">
        <v>651</v>
      </c>
      <c r="C17" s="27" t="s">
        <v>2355</v>
      </c>
      <c r="D17" s="27" t="s">
        <v>649</v>
      </c>
      <c r="E17" s="27" t="s">
        <v>652</v>
      </c>
      <c r="F17" s="32" t="n">
        <v>6.86872947688364</v>
      </c>
      <c r="G17" s="28" t="n">
        <v>317.177157181967</v>
      </c>
      <c r="H17" s="28" t="n">
        <v>317.177157181967</v>
      </c>
      <c r="I17" s="5" t="s">
        <v>22</v>
      </c>
      <c r="J17" s="27" t="s">
        <v>5</v>
      </c>
      <c r="K17" s="27" t="s">
        <v>5</v>
      </c>
      <c r="L17" s="27" t="n">
        <v>1</v>
      </c>
      <c r="M17" s="27" t="s">
        <v>41</v>
      </c>
      <c r="N17" s="27" t="s">
        <v>2336</v>
      </c>
      <c r="O17" s="27" t="s">
        <v>42</v>
      </c>
      <c r="P17" s="27" t="s">
        <v>2353</v>
      </c>
      <c r="Q17" s="27" t="n">
        <v>66</v>
      </c>
      <c r="R17" s="27"/>
      <c r="S17" s="27" t="s">
        <v>41</v>
      </c>
      <c r="T17" s="27"/>
      <c r="U17" s="27"/>
      <c r="V17" s="27"/>
      <c r="W17" s="27"/>
      <c r="X17" s="27"/>
      <c r="Y17" s="27" t="s">
        <v>41</v>
      </c>
      <c r="Z17" s="27" t="n">
        <v>-7.1972325</v>
      </c>
      <c r="AA17" s="27" t="n">
        <v>-48.237802</v>
      </c>
      <c r="AB17" s="37" t="s">
        <v>2338</v>
      </c>
      <c r="AC17" s="27" t="s">
        <v>2339</v>
      </c>
    </row>
    <row r="18" customFormat="false" ht="15" hidden="false" customHeight="false" outlineLevel="0" collapsed="false">
      <c r="A18" s="27" t="n">
        <v>17</v>
      </c>
      <c r="B18" s="27" t="s">
        <v>653</v>
      </c>
      <c r="C18" s="27" t="s">
        <v>2356</v>
      </c>
      <c r="D18" s="27" t="s">
        <v>652</v>
      </c>
      <c r="E18" s="27" t="s">
        <v>654</v>
      </c>
      <c r="F18" s="32" t="n">
        <v>27.8843632846819</v>
      </c>
      <c r="G18" s="28" t="n">
        <v>345.061520466649</v>
      </c>
      <c r="H18" s="28" t="n">
        <v>345.061520466649</v>
      </c>
      <c r="I18" s="5" t="s">
        <v>22</v>
      </c>
      <c r="J18" s="27" t="s">
        <v>5</v>
      </c>
      <c r="K18" s="27" t="s">
        <v>5</v>
      </c>
      <c r="L18" s="27" t="n">
        <v>1</v>
      </c>
      <c r="M18" s="27" t="s">
        <v>41</v>
      </c>
      <c r="N18" s="27" t="s">
        <v>2336</v>
      </c>
      <c r="O18" s="27" t="s">
        <v>42</v>
      </c>
      <c r="P18" s="27" t="s">
        <v>2353</v>
      </c>
      <c r="Q18" s="27" t="n">
        <v>66</v>
      </c>
      <c r="R18" s="27"/>
      <c r="S18" s="27" t="s">
        <v>41</v>
      </c>
      <c r="T18" s="27"/>
      <c r="U18" s="27"/>
      <c r="V18" s="27"/>
      <c r="W18" s="27"/>
      <c r="X18" s="27"/>
      <c r="Y18" s="27" t="s">
        <v>41</v>
      </c>
      <c r="Z18" s="27" t="n">
        <v>-7.197298</v>
      </c>
      <c r="AA18" s="27" t="n">
        <v>-48.237659</v>
      </c>
      <c r="AB18" s="37" t="s">
        <v>2338</v>
      </c>
      <c r="AC18" s="27" t="s">
        <v>2339</v>
      </c>
    </row>
    <row r="19" customFormat="false" ht="15" hidden="false" customHeight="false" outlineLevel="0" collapsed="false">
      <c r="A19" s="27" t="n">
        <v>18</v>
      </c>
      <c r="B19" s="27" t="s">
        <v>655</v>
      </c>
      <c r="C19" s="27" t="s">
        <v>2357</v>
      </c>
      <c r="D19" s="27" t="s">
        <v>654</v>
      </c>
      <c r="E19" s="27" t="s">
        <v>656</v>
      </c>
      <c r="F19" s="32" t="n">
        <v>3.59611207381204</v>
      </c>
      <c r="G19" s="28" t="n">
        <v>348.657632540461</v>
      </c>
      <c r="H19" s="28" t="n">
        <v>348.657632540461</v>
      </c>
      <c r="I19" s="5" t="s">
        <v>22</v>
      </c>
      <c r="J19" s="27" t="s">
        <v>5</v>
      </c>
      <c r="K19" s="27" t="s">
        <v>5</v>
      </c>
      <c r="L19" s="27" t="n">
        <v>1</v>
      </c>
      <c r="M19" s="27" t="s">
        <v>41</v>
      </c>
      <c r="N19" s="27" t="s">
        <v>2336</v>
      </c>
      <c r="O19" s="27" t="s">
        <v>42</v>
      </c>
      <c r="P19" s="27" t="s">
        <v>2353</v>
      </c>
      <c r="Q19" s="27" t="n">
        <v>66</v>
      </c>
      <c r="R19" s="27"/>
      <c r="S19" s="27" t="s">
        <v>41</v>
      </c>
      <c r="T19" s="27"/>
      <c r="U19" s="27"/>
      <c r="V19" s="27"/>
      <c r="W19" s="27"/>
      <c r="X19" s="27"/>
      <c r="Y19" s="27" t="s">
        <v>41</v>
      </c>
      <c r="Z19" s="27" t="n">
        <v>-7.197355</v>
      </c>
      <c r="AA19" s="27" t="n">
        <v>-48.2375285</v>
      </c>
      <c r="AB19" s="37" t="s">
        <v>2338</v>
      </c>
      <c r="AC19" s="27" t="s">
        <v>2339</v>
      </c>
    </row>
    <row r="20" customFormat="false" ht="15" hidden="false" customHeight="false" outlineLevel="0" collapsed="false">
      <c r="A20" s="27" t="n">
        <v>19</v>
      </c>
      <c r="B20" s="27" t="s">
        <v>657</v>
      </c>
      <c r="C20" s="27" t="s">
        <v>2358</v>
      </c>
      <c r="D20" s="27" t="s">
        <v>656</v>
      </c>
      <c r="E20" s="27" t="s">
        <v>658</v>
      </c>
      <c r="F20" s="32" t="n">
        <v>12.9494216216507</v>
      </c>
      <c r="G20" s="28" t="n">
        <v>361.607054162112</v>
      </c>
      <c r="H20" s="28" t="n">
        <v>361.607054162112</v>
      </c>
      <c r="I20" s="5" t="s">
        <v>22</v>
      </c>
      <c r="J20" s="27" t="s">
        <v>5</v>
      </c>
      <c r="K20" s="27" t="s">
        <v>5</v>
      </c>
      <c r="L20" s="27" t="n">
        <v>1</v>
      </c>
      <c r="M20" s="27" t="s">
        <v>41</v>
      </c>
      <c r="N20" s="27" t="s">
        <v>2336</v>
      </c>
      <c r="O20" s="27" t="s">
        <v>42</v>
      </c>
      <c r="P20" s="27" t="s">
        <v>2353</v>
      </c>
      <c r="Q20" s="27" t="n">
        <v>66</v>
      </c>
      <c r="R20" s="27"/>
      <c r="S20" s="27" t="s">
        <v>41</v>
      </c>
      <c r="T20" s="27"/>
      <c r="U20" s="27"/>
      <c r="V20" s="27"/>
      <c r="W20" s="27"/>
      <c r="X20" s="27"/>
      <c r="Y20" s="27" t="s">
        <v>41</v>
      </c>
      <c r="Z20" s="27" t="n">
        <v>-7.197387</v>
      </c>
      <c r="AA20" s="27" t="n">
        <v>-48.237461</v>
      </c>
      <c r="AB20" s="37" t="s">
        <v>2338</v>
      </c>
      <c r="AC20" s="27" t="s">
        <v>2339</v>
      </c>
    </row>
    <row r="21" customFormat="false" ht="15" hidden="false" customHeight="false" outlineLevel="0" collapsed="false">
      <c r="A21" s="27" t="n">
        <v>20</v>
      </c>
      <c r="B21" s="27" t="s">
        <v>659</v>
      </c>
      <c r="C21" s="27" t="s">
        <v>2359</v>
      </c>
      <c r="D21" s="27" t="s">
        <v>658</v>
      </c>
      <c r="E21" s="27" t="s">
        <v>660</v>
      </c>
      <c r="F21" s="32" t="n">
        <v>3.77375108087405</v>
      </c>
      <c r="G21" s="28" t="n">
        <v>365.380805242986</v>
      </c>
      <c r="H21" s="28" t="n">
        <v>365.380805242986</v>
      </c>
      <c r="I21" s="5" t="s">
        <v>22</v>
      </c>
      <c r="J21" s="27" t="s">
        <v>5</v>
      </c>
      <c r="K21" s="27" t="s">
        <v>5</v>
      </c>
      <c r="L21" s="27" t="n">
        <v>1</v>
      </c>
      <c r="M21" s="27" t="s">
        <v>41</v>
      </c>
      <c r="N21" s="27" t="s">
        <v>2336</v>
      </c>
      <c r="O21" s="27" t="s">
        <v>42</v>
      </c>
      <c r="P21" s="27" t="s">
        <v>2353</v>
      </c>
      <c r="Q21" s="27" t="n">
        <v>66</v>
      </c>
      <c r="R21" s="27"/>
      <c r="S21" s="27" t="s">
        <v>41</v>
      </c>
      <c r="T21" s="27"/>
      <c r="U21" s="27"/>
      <c r="V21" s="27"/>
      <c r="W21" s="27"/>
      <c r="X21" s="27"/>
      <c r="Y21" s="27" t="s">
        <v>41</v>
      </c>
      <c r="Z21" s="27" t="n">
        <v>-7.197423</v>
      </c>
      <c r="AA21" s="27" t="n">
        <v>-48.2373945</v>
      </c>
      <c r="AB21" s="37" t="s">
        <v>2338</v>
      </c>
      <c r="AC21" s="27" t="s">
        <v>2339</v>
      </c>
    </row>
    <row r="22" customFormat="false" ht="15" hidden="false" customHeight="false" outlineLevel="0" collapsed="false">
      <c r="A22" s="27" t="n">
        <v>21</v>
      </c>
      <c r="B22" s="27" t="s">
        <v>661</v>
      </c>
      <c r="C22" s="27" t="s">
        <v>2360</v>
      </c>
      <c r="D22" s="27" t="s">
        <v>660</v>
      </c>
      <c r="E22" s="27" t="s">
        <v>662</v>
      </c>
      <c r="F22" s="32" t="n">
        <v>13.986460923947</v>
      </c>
      <c r="G22" s="28" t="n">
        <v>379.367266166933</v>
      </c>
      <c r="H22" s="28" t="n">
        <v>379.367266166933</v>
      </c>
      <c r="I22" s="5" t="s">
        <v>22</v>
      </c>
      <c r="J22" s="27" t="s">
        <v>5</v>
      </c>
      <c r="K22" s="27" t="s">
        <v>5</v>
      </c>
      <c r="L22" s="27" t="n">
        <v>1</v>
      </c>
      <c r="M22" s="27" t="s">
        <v>41</v>
      </c>
      <c r="N22" s="27" t="s">
        <v>2336</v>
      </c>
      <c r="O22" s="27" t="s">
        <v>42</v>
      </c>
      <c r="P22" s="27" t="s">
        <v>2353</v>
      </c>
      <c r="Q22" s="27" t="n">
        <v>66</v>
      </c>
      <c r="R22" s="27"/>
      <c r="S22" s="27" t="s">
        <v>41</v>
      </c>
      <c r="T22" s="27"/>
      <c r="U22" s="27"/>
      <c r="V22" s="27"/>
      <c r="W22" s="27"/>
      <c r="X22" s="27"/>
      <c r="Y22" s="27" t="s">
        <v>41</v>
      </c>
      <c r="Z22" s="27" t="n">
        <v>-7.197455</v>
      </c>
      <c r="AA22" s="27" t="n">
        <v>-48.237321</v>
      </c>
      <c r="AB22" s="37" t="s">
        <v>2338</v>
      </c>
      <c r="AC22" s="27" t="s">
        <v>2339</v>
      </c>
    </row>
    <row r="23" customFormat="false" ht="15" hidden="false" customHeight="false" outlineLevel="0" collapsed="false">
      <c r="A23" s="27" t="n">
        <v>22</v>
      </c>
      <c r="B23" s="27" t="s">
        <v>663</v>
      </c>
      <c r="C23" s="27" t="s">
        <v>2361</v>
      </c>
      <c r="D23" s="27" t="s">
        <v>662</v>
      </c>
      <c r="E23" s="27" t="s">
        <v>664</v>
      </c>
      <c r="F23" s="32" t="n">
        <v>3.61147743792708</v>
      </c>
      <c r="G23" s="28" t="n">
        <v>382.97874360486</v>
      </c>
      <c r="H23" s="28" t="n">
        <v>382.97874360486</v>
      </c>
      <c r="I23" s="5" t="s">
        <v>22</v>
      </c>
      <c r="J23" s="27" t="s">
        <v>5</v>
      </c>
      <c r="K23" s="27" t="s">
        <v>5</v>
      </c>
      <c r="L23" s="27" t="n">
        <v>1</v>
      </c>
      <c r="M23" s="27" t="s">
        <v>41</v>
      </c>
      <c r="N23" s="27" t="s">
        <v>2336</v>
      </c>
      <c r="O23" s="27" t="s">
        <v>42</v>
      </c>
      <c r="P23" s="27" t="s">
        <v>2353</v>
      </c>
      <c r="Q23" s="27" t="n">
        <v>66</v>
      </c>
      <c r="R23" s="27"/>
      <c r="S23" s="27" t="s">
        <v>41</v>
      </c>
      <c r="T23" s="27"/>
      <c r="U23" s="27"/>
      <c r="V23" s="27"/>
      <c r="W23" s="27"/>
      <c r="X23" s="27"/>
      <c r="Y23" s="27" t="s">
        <v>41</v>
      </c>
      <c r="Z23" s="27" t="n">
        <v>-7.1974845</v>
      </c>
      <c r="AA23" s="27" t="n">
        <v>-48.237247</v>
      </c>
      <c r="AB23" s="37" t="s">
        <v>2338</v>
      </c>
      <c r="AC23" s="27" t="s">
        <v>2339</v>
      </c>
    </row>
    <row r="24" customFormat="false" ht="15" hidden="false" customHeight="false" outlineLevel="0" collapsed="false">
      <c r="A24" s="27" t="n">
        <v>23</v>
      </c>
      <c r="B24" s="27" t="s">
        <v>665</v>
      </c>
      <c r="C24" s="27" t="s">
        <v>2362</v>
      </c>
      <c r="D24" s="27" t="s">
        <v>664</v>
      </c>
      <c r="E24" s="27" t="s">
        <v>666</v>
      </c>
      <c r="F24" s="32" t="n">
        <v>20.0166086391435</v>
      </c>
      <c r="G24" s="28" t="n">
        <v>402.995352244003</v>
      </c>
      <c r="H24" s="28" t="n">
        <v>402.995352244003</v>
      </c>
      <c r="I24" s="5" t="s">
        <v>22</v>
      </c>
      <c r="J24" s="27" t="s">
        <v>5</v>
      </c>
      <c r="K24" s="27" t="s">
        <v>5</v>
      </c>
      <c r="L24" s="27" t="n">
        <v>1</v>
      </c>
      <c r="M24" s="27" t="s">
        <v>41</v>
      </c>
      <c r="N24" s="27" t="s">
        <v>2336</v>
      </c>
      <c r="O24" s="27" t="s">
        <v>42</v>
      </c>
      <c r="P24" s="27" t="s">
        <v>2353</v>
      </c>
      <c r="Q24" s="27" t="n">
        <v>66</v>
      </c>
      <c r="R24" s="27"/>
      <c r="S24" s="27" t="s">
        <v>41</v>
      </c>
      <c r="T24" s="27"/>
      <c r="U24" s="27"/>
      <c r="V24" s="27"/>
      <c r="W24" s="27"/>
      <c r="X24" s="27"/>
      <c r="Y24" s="27" t="s">
        <v>41</v>
      </c>
      <c r="Z24" s="27" t="n">
        <v>-7.1975725</v>
      </c>
      <c r="AA24" s="27" t="n">
        <v>-48.2372705</v>
      </c>
      <c r="AB24" s="37" t="s">
        <v>2338</v>
      </c>
      <c r="AC24" s="27" t="s">
        <v>2339</v>
      </c>
    </row>
    <row r="25" customFormat="false" ht="15" hidden="false" customHeight="false" outlineLevel="0" collapsed="false">
      <c r="A25" s="27" t="n">
        <v>24</v>
      </c>
      <c r="B25" s="27" t="s">
        <v>667</v>
      </c>
      <c r="C25" s="27" t="s">
        <v>2363</v>
      </c>
      <c r="D25" s="27" t="s">
        <v>666</v>
      </c>
      <c r="E25" s="27" t="s">
        <v>668</v>
      </c>
      <c r="F25" s="32" t="n">
        <v>3.58892619184597</v>
      </c>
      <c r="G25" s="28" t="n">
        <v>406.584278435849</v>
      </c>
      <c r="H25" s="28" t="n">
        <v>406.584278435849</v>
      </c>
      <c r="I25" s="5" t="s">
        <v>22</v>
      </c>
      <c r="J25" s="27" t="s">
        <v>5</v>
      </c>
      <c r="K25" s="27" t="s">
        <v>5</v>
      </c>
      <c r="L25" s="27" t="n">
        <v>1</v>
      </c>
      <c r="M25" s="27" t="s">
        <v>41</v>
      </c>
      <c r="N25" s="27" t="s">
        <v>2336</v>
      </c>
      <c r="O25" s="27" t="s">
        <v>42</v>
      </c>
      <c r="P25" s="27" t="s">
        <v>2353</v>
      </c>
      <c r="Q25" s="27" t="n">
        <v>66</v>
      </c>
      <c r="R25" s="27"/>
      <c r="S25" s="27" t="s">
        <v>41</v>
      </c>
      <c r="T25" s="27"/>
      <c r="U25" s="27"/>
      <c r="V25" s="27"/>
      <c r="W25" s="27"/>
      <c r="X25" s="27"/>
      <c r="Y25" s="27" t="s">
        <v>41</v>
      </c>
      <c r="Z25" s="27" t="n">
        <v>-7.197669</v>
      </c>
      <c r="AA25" s="27" t="n">
        <v>-48.237315</v>
      </c>
      <c r="AB25" s="37" t="s">
        <v>2338</v>
      </c>
      <c r="AC25" s="27" t="s">
        <v>2339</v>
      </c>
    </row>
    <row r="26" customFormat="false" ht="15" hidden="false" customHeight="false" outlineLevel="0" collapsed="false">
      <c r="A26" s="27" t="n">
        <v>25</v>
      </c>
      <c r="B26" s="27" t="s">
        <v>669</v>
      </c>
      <c r="C26" s="27" t="s">
        <v>2364</v>
      </c>
      <c r="D26" s="27" t="s">
        <v>668</v>
      </c>
      <c r="E26" s="27" t="s">
        <v>670</v>
      </c>
      <c r="F26" s="32" t="n">
        <v>44.8335816135897</v>
      </c>
      <c r="G26" s="28" t="n">
        <v>451.417860049439</v>
      </c>
      <c r="H26" s="28" t="n">
        <v>451.417860049439</v>
      </c>
      <c r="I26" s="5" t="s">
        <v>22</v>
      </c>
      <c r="J26" s="27" t="s">
        <v>5</v>
      </c>
      <c r="K26" s="27" t="s">
        <v>5</v>
      </c>
      <c r="L26" s="27" t="n">
        <v>1</v>
      </c>
      <c r="M26" s="27" t="s">
        <v>41</v>
      </c>
      <c r="N26" s="27" t="s">
        <v>2336</v>
      </c>
      <c r="O26" s="27" t="s">
        <v>42</v>
      </c>
      <c r="P26" s="27" t="s">
        <v>2353</v>
      </c>
      <c r="Q26" s="27" t="n">
        <v>66</v>
      </c>
      <c r="R26" s="27"/>
      <c r="S26" s="27" t="s">
        <v>41</v>
      </c>
      <c r="T26" s="27"/>
      <c r="U26" s="27"/>
      <c r="V26" s="27"/>
      <c r="W26" s="27"/>
      <c r="X26" s="27"/>
      <c r="Y26" s="27" t="s">
        <v>41</v>
      </c>
      <c r="Z26" s="27" t="n">
        <v>-7.1978635</v>
      </c>
      <c r="AA26" s="27" t="n">
        <v>-48.2374135</v>
      </c>
      <c r="AB26" s="37" t="s">
        <v>2338</v>
      </c>
      <c r="AC26" s="27" t="s">
        <v>2339</v>
      </c>
    </row>
    <row r="27" customFormat="false" ht="15" hidden="false" customHeight="false" outlineLevel="0" collapsed="false">
      <c r="A27" s="27" t="n">
        <v>26</v>
      </c>
      <c r="B27" s="27" t="s">
        <v>671</v>
      </c>
      <c r="C27" s="27" t="s">
        <v>2365</v>
      </c>
      <c r="D27" s="27" t="s">
        <v>670</v>
      </c>
      <c r="E27" s="27" t="s">
        <v>672</v>
      </c>
      <c r="F27" s="32" t="n">
        <v>239.44686633918</v>
      </c>
      <c r="G27" s="28" t="n">
        <v>690.864726388619</v>
      </c>
      <c r="H27" s="28" t="n">
        <v>690.864726388619</v>
      </c>
      <c r="I27" s="5" t="s">
        <v>22</v>
      </c>
      <c r="J27" s="27" t="s">
        <v>5</v>
      </c>
      <c r="K27" s="27" t="s">
        <v>5</v>
      </c>
      <c r="L27" s="27" t="n">
        <v>1</v>
      </c>
      <c r="M27" s="27" t="s">
        <v>41</v>
      </c>
      <c r="N27" s="27" t="s">
        <v>2336</v>
      </c>
      <c r="O27" s="27" t="s">
        <v>42</v>
      </c>
      <c r="P27" s="27" t="s">
        <v>2353</v>
      </c>
      <c r="Q27" s="27" t="n">
        <v>66</v>
      </c>
      <c r="R27" s="27"/>
      <c r="S27" s="27" t="s">
        <v>41</v>
      </c>
      <c r="T27" s="27"/>
      <c r="U27" s="27"/>
      <c r="V27" s="27"/>
      <c r="W27" s="27"/>
      <c r="X27" s="27"/>
      <c r="Y27" s="27" t="s">
        <v>41</v>
      </c>
      <c r="Z27" s="27" t="n">
        <v>-7.1990205</v>
      </c>
      <c r="AA27" s="27" t="n">
        <v>-48.237961</v>
      </c>
      <c r="AB27" s="37" t="s">
        <v>2338</v>
      </c>
      <c r="AC27" s="27" t="s">
        <v>2339</v>
      </c>
    </row>
    <row r="28" customFormat="false" ht="15" hidden="false" customHeight="false" outlineLevel="0" collapsed="false">
      <c r="A28" s="27" t="n">
        <v>27</v>
      </c>
      <c r="B28" s="27" t="s">
        <v>673</v>
      </c>
      <c r="C28" s="27" t="s">
        <v>2366</v>
      </c>
      <c r="D28" s="27" t="s">
        <v>672</v>
      </c>
      <c r="E28" s="27" t="s">
        <v>674</v>
      </c>
      <c r="F28" s="32" t="n">
        <v>45.2924374477819</v>
      </c>
      <c r="G28" s="28" t="n">
        <v>736.157163836401</v>
      </c>
      <c r="H28" s="28" t="n">
        <v>736.157163836401</v>
      </c>
      <c r="I28" s="5" t="s">
        <v>22</v>
      </c>
      <c r="J28" s="27" t="s">
        <v>5</v>
      </c>
      <c r="K28" s="27" t="s">
        <v>5</v>
      </c>
      <c r="L28" s="27" t="n">
        <v>1</v>
      </c>
      <c r="M28" s="27" t="s">
        <v>41</v>
      </c>
      <c r="N28" s="27" t="s">
        <v>2336</v>
      </c>
      <c r="O28" s="27" t="s">
        <v>42</v>
      </c>
      <c r="P28" s="27" t="s">
        <v>2353</v>
      </c>
      <c r="Q28" s="27" t="n">
        <v>66</v>
      </c>
      <c r="R28" s="27"/>
      <c r="S28" s="27" t="s">
        <v>41</v>
      </c>
      <c r="T28" s="27"/>
      <c r="U28" s="27"/>
      <c r="V28" s="27"/>
      <c r="W28" s="27"/>
      <c r="X28" s="27"/>
      <c r="Y28" s="27" t="s">
        <v>41</v>
      </c>
      <c r="Z28" s="27" t="n">
        <v>-7.200182</v>
      </c>
      <c r="AA28" s="27" t="n">
        <v>-48.238504</v>
      </c>
      <c r="AB28" s="37" t="s">
        <v>2338</v>
      </c>
      <c r="AC28" s="27" t="s">
        <v>2339</v>
      </c>
    </row>
    <row r="29" customFormat="false" ht="15" hidden="false" customHeight="false" outlineLevel="0" collapsed="false">
      <c r="A29" s="27" t="n">
        <v>28</v>
      </c>
      <c r="B29" s="27" t="s">
        <v>675</v>
      </c>
      <c r="C29" s="27" t="s">
        <v>2367</v>
      </c>
      <c r="D29" s="27" t="s">
        <v>674</v>
      </c>
      <c r="E29" s="27" t="s">
        <v>676</v>
      </c>
      <c r="F29" s="32" t="n">
        <v>3.42788007282376</v>
      </c>
      <c r="G29" s="28" t="n">
        <v>739.585043909224</v>
      </c>
      <c r="H29" s="28" t="n">
        <v>739.585043909224</v>
      </c>
      <c r="I29" s="5" t="s">
        <v>22</v>
      </c>
      <c r="J29" s="27" t="s">
        <v>5</v>
      </c>
      <c r="K29" s="27" t="s">
        <v>5</v>
      </c>
      <c r="L29" s="27" t="n">
        <v>1</v>
      </c>
      <c r="M29" s="27" t="s">
        <v>41</v>
      </c>
      <c r="N29" s="27" t="s">
        <v>2336</v>
      </c>
      <c r="O29" s="27" t="s">
        <v>42</v>
      </c>
      <c r="P29" s="27" t="s">
        <v>2353</v>
      </c>
      <c r="Q29" s="27" t="n">
        <v>66</v>
      </c>
      <c r="R29" s="27" t="s">
        <v>677</v>
      </c>
      <c r="S29" s="27" t="s">
        <v>41</v>
      </c>
      <c r="T29" s="27"/>
      <c r="U29" s="27"/>
      <c r="V29" s="27"/>
      <c r="W29" s="27"/>
      <c r="X29" s="27"/>
      <c r="Y29" s="27" t="s">
        <v>41</v>
      </c>
      <c r="Z29" s="27" t="n">
        <v>-7.20038</v>
      </c>
      <c r="AA29" s="27" t="n">
        <v>-48.2385985</v>
      </c>
      <c r="AB29" s="37" t="s">
        <v>2338</v>
      </c>
      <c r="AC29" s="27" t="s">
        <v>2339</v>
      </c>
    </row>
    <row r="30" customFormat="false" ht="15" hidden="false" customHeight="false" outlineLevel="0" collapsed="false">
      <c r="A30" s="27" t="n">
        <v>29</v>
      </c>
      <c r="B30" s="27" t="s">
        <v>678</v>
      </c>
      <c r="C30" s="27" t="s">
        <v>2368</v>
      </c>
      <c r="D30" s="27" t="s">
        <v>676</v>
      </c>
      <c r="E30" s="27" t="s">
        <v>679</v>
      </c>
      <c r="F30" s="32" t="n">
        <v>136.455022045927</v>
      </c>
      <c r="G30" s="28" t="n">
        <v>876.040065955152</v>
      </c>
      <c r="H30" s="28" t="n">
        <v>876.040065955152</v>
      </c>
      <c r="I30" s="5" t="s">
        <v>22</v>
      </c>
      <c r="J30" s="27" t="s">
        <v>5</v>
      </c>
      <c r="K30" s="27" t="s">
        <v>5</v>
      </c>
      <c r="L30" s="27" t="n">
        <v>1</v>
      </c>
      <c r="M30" s="27" t="s">
        <v>41</v>
      </c>
      <c r="N30" s="27" t="s">
        <v>2336</v>
      </c>
      <c r="O30" s="27" t="s">
        <v>42</v>
      </c>
      <c r="P30" s="27" t="s">
        <v>2353</v>
      </c>
      <c r="Q30" s="27" t="n">
        <v>66</v>
      </c>
      <c r="R30" s="27"/>
      <c r="S30" s="27" t="s">
        <v>41</v>
      </c>
      <c r="T30" s="27"/>
      <c r="U30" s="27"/>
      <c r="V30" s="27"/>
      <c r="W30" s="27"/>
      <c r="X30" s="27"/>
      <c r="Y30" s="27" t="s">
        <v>41</v>
      </c>
      <c r="Z30" s="27" t="n">
        <v>-7.2009505</v>
      </c>
      <c r="AA30" s="27" t="n">
        <v>-48.2388655</v>
      </c>
      <c r="AB30" s="37" t="s">
        <v>2338</v>
      </c>
      <c r="AC30" s="27" t="s">
        <v>2339</v>
      </c>
    </row>
    <row r="31" customFormat="false" ht="15" hidden="false" customHeight="false" outlineLevel="0" collapsed="false">
      <c r="A31" s="27" t="n">
        <v>30</v>
      </c>
      <c r="B31" s="27" t="s">
        <v>680</v>
      </c>
      <c r="C31" s="27" t="s">
        <v>2369</v>
      </c>
      <c r="D31" s="27" t="s">
        <v>679</v>
      </c>
      <c r="E31" s="27" t="s">
        <v>681</v>
      </c>
      <c r="F31" s="32" t="n">
        <v>138.402059590168</v>
      </c>
      <c r="G31" s="28" t="n">
        <v>1014.44212554532</v>
      </c>
      <c r="H31" s="28" t="n">
        <v>1014.44212554532</v>
      </c>
      <c r="I31" s="5" t="s">
        <v>22</v>
      </c>
      <c r="J31" s="27" t="s">
        <v>5</v>
      </c>
      <c r="K31" s="27" t="s">
        <v>5</v>
      </c>
      <c r="L31" s="27" t="n">
        <v>1</v>
      </c>
      <c r="M31" s="27" t="s">
        <v>41</v>
      </c>
      <c r="N31" s="27" t="s">
        <v>2336</v>
      </c>
      <c r="O31" s="27" t="s">
        <v>42</v>
      </c>
      <c r="P31" s="27" t="s">
        <v>2353</v>
      </c>
      <c r="Q31" s="27" t="n">
        <v>66</v>
      </c>
      <c r="R31" s="27"/>
      <c r="S31" s="27" t="s">
        <v>41</v>
      </c>
      <c r="T31" s="27"/>
      <c r="U31" s="27"/>
      <c r="V31" s="27"/>
      <c r="W31" s="27"/>
      <c r="X31" s="27"/>
      <c r="Y31" s="27" t="s">
        <v>41</v>
      </c>
      <c r="Z31" s="27" t="n">
        <v>-7.202072</v>
      </c>
      <c r="AA31" s="27" t="n">
        <v>-48.239389</v>
      </c>
      <c r="AB31" s="37" t="s">
        <v>2338</v>
      </c>
      <c r="AC31" s="27" t="s">
        <v>2339</v>
      </c>
    </row>
    <row r="32" customFormat="false" ht="15" hidden="false" customHeight="false" outlineLevel="0" collapsed="false">
      <c r="A32" s="27" t="n">
        <v>31</v>
      </c>
      <c r="B32" s="27" t="s">
        <v>682</v>
      </c>
      <c r="C32" s="27" t="s">
        <v>2370</v>
      </c>
      <c r="D32" s="27" t="s">
        <v>681</v>
      </c>
      <c r="E32" s="27" t="s">
        <v>683</v>
      </c>
      <c r="F32" s="32" t="n">
        <v>3.72372371327325</v>
      </c>
      <c r="G32" s="28" t="n">
        <v>1018.16584925859</v>
      </c>
      <c r="H32" s="28" t="n">
        <v>1018.16584925859</v>
      </c>
      <c r="I32" s="5" t="s">
        <v>22</v>
      </c>
      <c r="J32" s="27" t="s">
        <v>5</v>
      </c>
      <c r="K32" s="27" t="s">
        <v>5</v>
      </c>
      <c r="L32" s="27" t="n">
        <v>1</v>
      </c>
      <c r="M32" s="27" t="s">
        <v>41</v>
      </c>
      <c r="N32" s="27" t="s">
        <v>2336</v>
      </c>
      <c r="O32" s="27" t="s">
        <v>42</v>
      </c>
      <c r="P32" s="27" t="s">
        <v>2353</v>
      </c>
      <c r="Q32" s="27" t="n">
        <v>66</v>
      </c>
      <c r="R32" s="27"/>
      <c r="S32" s="27" t="s">
        <v>41</v>
      </c>
      <c r="T32" s="27"/>
      <c r="U32" s="27"/>
      <c r="V32" s="27"/>
      <c r="W32" s="27"/>
      <c r="X32" s="27"/>
      <c r="Y32" s="27" t="s">
        <v>41</v>
      </c>
      <c r="Z32" s="27" t="n">
        <v>-7.202652</v>
      </c>
      <c r="AA32" s="27" t="n">
        <v>-48.2396595</v>
      </c>
      <c r="AB32" s="37" t="s">
        <v>2338</v>
      </c>
      <c r="AC32" s="27" t="s">
        <v>2339</v>
      </c>
    </row>
    <row r="33" customFormat="false" ht="15" hidden="false" customHeight="false" outlineLevel="0" collapsed="false">
      <c r="A33" s="27" t="n">
        <v>32</v>
      </c>
      <c r="B33" s="27" t="s">
        <v>684</v>
      </c>
      <c r="C33" s="27" t="s">
        <v>2371</v>
      </c>
      <c r="D33" s="27" t="s">
        <v>683</v>
      </c>
      <c r="E33" s="27" t="s">
        <v>685</v>
      </c>
      <c r="F33" s="32" t="n">
        <v>118.02833544109</v>
      </c>
      <c r="G33" s="28" t="n">
        <v>1136.19418469968</v>
      </c>
      <c r="H33" s="28" t="n">
        <v>1136.19418469968</v>
      </c>
      <c r="I33" s="5" t="s">
        <v>22</v>
      </c>
      <c r="J33" s="27" t="s">
        <v>5</v>
      </c>
      <c r="K33" s="27" t="s">
        <v>5</v>
      </c>
      <c r="L33" s="27" t="n">
        <v>1</v>
      </c>
      <c r="M33" s="27" t="s">
        <v>41</v>
      </c>
      <c r="N33" s="27" t="s">
        <v>2336</v>
      </c>
      <c r="O33" s="27" t="s">
        <v>42</v>
      </c>
      <c r="P33" s="27" t="s">
        <v>2353</v>
      </c>
      <c r="Q33" s="27" t="n">
        <v>66</v>
      </c>
      <c r="R33" s="27"/>
      <c r="S33" s="27" t="s">
        <v>41</v>
      </c>
      <c r="T33" s="27"/>
      <c r="U33" s="27"/>
      <c r="V33" s="27"/>
      <c r="W33" s="27"/>
      <c r="X33" s="27"/>
      <c r="Y33" s="27" t="s">
        <v>41</v>
      </c>
      <c r="Z33" s="27" t="n">
        <v>-7.2031485</v>
      </c>
      <c r="AA33" s="27" t="n">
        <v>-48.239892</v>
      </c>
      <c r="AB33" s="37" t="s">
        <v>2338</v>
      </c>
      <c r="AC33" s="27" t="s">
        <v>2339</v>
      </c>
    </row>
    <row r="34" customFormat="false" ht="15" hidden="false" customHeight="false" outlineLevel="0" collapsed="false">
      <c r="A34" s="27" t="n">
        <v>33</v>
      </c>
      <c r="B34" s="27" t="s">
        <v>686</v>
      </c>
      <c r="C34" s="27" t="s">
        <v>2372</v>
      </c>
      <c r="D34" s="27" t="s">
        <v>685</v>
      </c>
      <c r="E34" s="27" t="s">
        <v>687</v>
      </c>
      <c r="F34" s="32" t="n">
        <v>99.3999997208714</v>
      </c>
      <c r="G34" s="28" t="n">
        <v>1235.59418442055</v>
      </c>
      <c r="H34" s="28" t="n">
        <v>1235.59418442055</v>
      </c>
      <c r="I34" s="5" t="s">
        <v>22</v>
      </c>
      <c r="J34" s="27" t="s">
        <v>5</v>
      </c>
      <c r="K34" s="27" t="s">
        <v>5</v>
      </c>
      <c r="L34" s="27" t="n">
        <v>1</v>
      </c>
      <c r="M34" s="27" t="s">
        <v>41</v>
      </c>
      <c r="N34" s="27" t="s">
        <v>2336</v>
      </c>
      <c r="O34" s="27" t="s">
        <v>42</v>
      </c>
      <c r="P34" s="27" t="s">
        <v>2353</v>
      </c>
      <c r="Q34" s="27" t="n">
        <v>66</v>
      </c>
      <c r="R34" s="27"/>
      <c r="S34" s="27" t="s">
        <v>41</v>
      </c>
      <c r="T34" s="27"/>
      <c r="U34" s="27"/>
      <c r="V34" s="27"/>
      <c r="W34" s="27"/>
      <c r="X34" s="27"/>
      <c r="Y34" s="27" t="s">
        <v>41</v>
      </c>
      <c r="Z34" s="27" t="n">
        <v>-7.2040355</v>
      </c>
      <c r="AA34" s="27" t="n">
        <v>-48.2403065</v>
      </c>
      <c r="AB34" s="37" t="s">
        <v>2338</v>
      </c>
      <c r="AC34" s="27" t="s">
        <v>2339</v>
      </c>
    </row>
    <row r="35" customFormat="false" ht="15" hidden="false" customHeight="false" outlineLevel="0" collapsed="false">
      <c r="A35" s="27" t="n">
        <v>34</v>
      </c>
      <c r="B35" s="27" t="s">
        <v>688</v>
      </c>
      <c r="C35" s="27" t="s">
        <v>2373</v>
      </c>
      <c r="D35" s="27" t="s">
        <v>687</v>
      </c>
      <c r="E35" s="27" t="s">
        <v>689</v>
      </c>
      <c r="F35" s="32" t="n">
        <v>294.725561746487</v>
      </c>
      <c r="G35" s="28" t="n">
        <v>1530.31974616704</v>
      </c>
      <c r="H35" s="28" t="n">
        <v>1530.31974616704</v>
      </c>
      <c r="I35" s="5" t="s">
        <v>22</v>
      </c>
      <c r="J35" s="27" t="s">
        <v>5</v>
      </c>
      <c r="K35" s="27" t="s">
        <v>5</v>
      </c>
      <c r="L35" s="27" t="n">
        <v>1</v>
      </c>
      <c r="M35" s="27" t="s">
        <v>41</v>
      </c>
      <c r="N35" s="27" t="s">
        <v>2336</v>
      </c>
      <c r="O35" s="27" t="s">
        <v>42</v>
      </c>
      <c r="P35" s="27" t="s">
        <v>2353</v>
      </c>
      <c r="Q35" s="27" t="n">
        <v>66</v>
      </c>
      <c r="R35" s="27"/>
      <c r="S35" s="27" t="s">
        <v>41</v>
      </c>
      <c r="T35" s="27"/>
      <c r="U35" s="27"/>
      <c r="V35" s="27"/>
      <c r="W35" s="27"/>
      <c r="X35" s="27"/>
      <c r="Y35" s="27" t="s">
        <v>41</v>
      </c>
      <c r="Z35" s="27" t="n">
        <v>-7.2056435</v>
      </c>
      <c r="AA35" s="27" t="n">
        <v>-48.2410575</v>
      </c>
      <c r="AB35" s="37" t="s">
        <v>2338</v>
      </c>
      <c r="AC35" s="27" t="s">
        <v>2339</v>
      </c>
    </row>
    <row r="36" customFormat="false" ht="15" hidden="false" customHeight="false" outlineLevel="0" collapsed="false">
      <c r="A36" s="27" t="n">
        <v>35</v>
      </c>
      <c r="B36" s="27" t="s">
        <v>690</v>
      </c>
      <c r="C36" s="27" t="s">
        <v>2374</v>
      </c>
      <c r="D36" s="27" t="s">
        <v>689</v>
      </c>
      <c r="E36" s="27" t="s">
        <v>691</v>
      </c>
      <c r="F36" s="32" t="n">
        <v>27.8083441136049</v>
      </c>
      <c r="G36" s="28" t="n">
        <v>1558.12809028065</v>
      </c>
      <c r="H36" s="28" t="n">
        <v>1558.12809028065</v>
      </c>
      <c r="I36" s="5" t="s">
        <v>22</v>
      </c>
      <c r="J36" s="27" t="s">
        <v>5</v>
      </c>
      <c r="K36" s="27" t="s">
        <v>5</v>
      </c>
      <c r="L36" s="27" t="n">
        <v>1</v>
      </c>
      <c r="M36" s="27" t="s">
        <v>41</v>
      </c>
      <c r="N36" s="27" t="s">
        <v>2336</v>
      </c>
      <c r="O36" s="27" t="s">
        <v>42</v>
      </c>
      <c r="P36" s="27" t="s">
        <v>2375</v>
      </c>
      <c r="Q36" s="27" t="n">
        <v>30</v>
      </c>
      <c r="R36" s="27"/>
      <c r="S36" s="27" t="s">
        <v>41</v>
      </c>
      <c r="T36" s="27"/>
      <c r="U36" s="27"/>
      <c r="V36" s="27"/>
      <c r="W36" s="27"/>
      <c r="X36" s="27"/>
      <c r="Y36" s="27" t="s">
        <v>41</v>
      </c>
      <c r="Z36" s="27" t="n">
        <v>-7.2068925</v>
      </c>
      <c r="AA36" s="27" t="n">
        <v>-48.241502</v>
      </c>
      <c r="AB36" s="37" t="s">
        <v>2338</v>
      </c>
      <c r="AC36" s="27" t="s">
        <v>2339</v>
      </c>
    </row>
    <row r="37" customFormat="false" ht="15" hidden="false" customHeight="false" outlineLevel="0" collapsed="false">
      <c r="A37" s="27" t="n">
        <v>36</v>
      </c>
      <c r="B37" s="27" t="s">
        <v>692</v>
      </c>
      <c r="C37" s="27" t="s">
        <v>2376</v>
      </c>
      <c r="D37" s="27" t="s">
        <v>691</v>
      </c>
      <c r="E37" s="27" t="s">
        <v>693</v>
      </c>
      <c r="F37" s="32" t="n">
        <v>5.11569508786359</v>
      </c>
      <c r="G37" s="28" t="n">
        <v>1563.24378536851</v>
      </c>
      <c r="H37" s="28" t="n">
        <v>1563.24378536851</v>
      </c>
      <c r="I37" s="5" t="s">
        <v>22</v>
      </c>
      <c r="J37" s="27" t="s">
        <v>5</v>
      </c>
      <c r="K37" s="27" t="s">
        <v>5</v>
      </c>
      <c r="L37" s="27" t="n">
        <v>1</v>
      </c>
      <c r="M37" s="27" t="s">
        <v>41</v>
      </c>
      <c r="N37" s="27" t="s">
        <v>2336</v>
      </c>
      <c r="O37" s="27" t="s">
        <v>42</v>
      </c>
      <c r="P37" s="27" t="s">
        <v>2375</v>
      </c>
      <c r="Q37" s="27" t="n">
        <v>30</v>
      </c>
      <c r="R37" s="27" t="s">
        <v>694</v>
      </c>
      <c r="S37" s="27" t="s">
        <v>41</v>
      </c>
      <c r="T37" s="27"/>
      <c r="U37" s="27"/>
      <c r="V37" s="27"/>
      <c r="W37" s="27"/>
      <c r="X37" s="27"/>
      <c r="Y37" s="27" t="s">
        <v>41</v>
      </c>
      <c r="Z37" s="27" t="n">
        <v>-7.2069535</v>
      </c>
      <c r="AA37" s="27" t="n">
        <v>-48.241367</v>
      </c>
      <c r="AB37" s="37" t="s">
        <v>2338</v>
      </c>
      <c r="AC37" s="27" t="s">
        <v>2339</v>
      </c>
    </row>
    <row r="38" customFormat="false" ht="15" hidden="false" customHeight="false" outlineLevel="0" collapsed="false">
      <c r="A38" s="27" t="n">
        <v>37</v>
      </c>
      <c r="B38" s="27" t="s">
        <v>695</v>
      </c>
      <c r="C38" s="27" t="s">
        <v>2377</v>
      </c>
      <c r="D38" s="27" t="s">
        <v>693</v>
      </c>
      <c r="E38" s="27" t="s">
        <v>696</v>
      </c>
      <c r="F38" s="32" t="n">
        <v>45.6289978927793</v>
      </c>
      <c r="G38" s="28" t="n">
        <v>1608.87278326129</v>
      </c>
      <c r="H38" s="28" t="n">
        <v>1608.87278326129</v>
      </c>
      <c r="I38" s="5" t="s">
        <v>22</v>
      </c>
      <c r="J38" s="27" t="s">
        <v>5</v>
      </c>
      <c r="K38" s="27" t="s">
        <v>5</v>
      </c>
      <c r="L38" s="27" t="n">
        <v>1</v>
      </c>
      <c r="M38" s="27" t="s">
        <v>41</v>
      </c>
      <c r="N38" s="27" t="s">
        <v>2336</v>
      </c>
      <c r="O38" s="27" t="s">
        <v>42</v>
      </c>
      <c r="P38" s="27" t="s">
        <v>2375</v>
      </c>
      <c r="Q38" s="27" t="n">
        <v>30</v>
      </c>
      <c r="R38" s="27"/>
      <c r="S38" s="27" t="s">
        <v>41</v>
      </c>
      <c r="T38" s="27"/>
      <c r="U38" s="27"/>
      <c r="V38" s="27"/>
      <c r="W38" s="27"/>
      <c r="X38" s="27"/>
      <c r="Y38" s="27" t="s">
        <v>41</v>
      </c>
      <c r="Z38" s="27" t="n">
        <v>-7.207098</v>
      </c>
      <c r="AA38" s="27" t="n">
        <v>-48.241189</v>
      </c>
      <c r="AB38" s="37" t="s">
        <v>2338</v>
      </c>
      <c r="AC38" s="27" t="s">
        <v>2339</v>
      </c>
    </row>
    <row r="39" customFormat="false" ht="15" hidden="false" customHeight="false" outlineLevel="0" collapsed="false">
      <c r="A39" s="27" t="n">
        <v>38</v>
      </c>
      <c r="B39" s="27" t="s">
        <v>697</v>
      </c>
      <c r="C39" s="27" t="s">
        <v>2378</v>
      </c>
      <c r="D39" s="27" t="s">
        <v>696</v>
      </c>
      <c r="E39" s="27" t="s">
        <v>698</v>
      </c>
      <c r="F39" s="32" t="n">
        <v>3.32720038263637</v>
      </c>
      <c r="G39" s="28" t="n">
        <v>1612.19998364393</v>
      </c>
      <c r="H39" s="28" t="n">
        <v>1612.19998364393</v>
      </c>
      <c r="I39" s="5" t="s">
        <v>22</v>
      </c>
      <c r="J39" s="27" t="s">
        <v>5</v>
      </c>
      <c r="K39" s="27" t="s">
        <v>5</v>
      </c>
      <c r="L39" s="27" t="n">
        <v>1</v>
      </c>
      <c r="M39" s="27" t="s">
        <v>41</v>
      </c>
      <c r="N39" s="27" t="s">
        <v>2336</v>
      </c>
      <c r="O39" s="27" t="s">
        <v>42</v>
      </c>
      <c r="P39" s="27" t="s">
        <v>2375</v>
      </c>
      <c r="Q39" s="27" t="n">
        <v>30</v>
      </c>
      <c r="R39" s="27"/>
      <c r="S39" s="27" t="s">
        <v>41</v>
      </c>
      <c r="T39" s="27"/>
      <c r="U39" s="27"/>
      <c r="V39" s="27"/>
      <c r="W39" s="27"/>
      <c r="X39" s="27"/>
      <c r="Y39" s="27" t="s">
        <v>41</v>
      </c>
      <c r="Z39" s="27" t="n">
        <v>-7.2072415</v>
      </c>
      <c r="AA39" s="27" t="n">
        <v>-48.2410355</v>
      </c>
      <c r="AB39" s="37" t="s">
        <v>2338</v>
      </c>
      <c r="AC39" s="27" t="s">
        <v>2339</v>
      </c>
    </row>
    <row r="40" customFormat="false" ht="15" hidden="false" customHeight="false" outlineLevel="0" collapsed="false">
      <c r="A40" s="27" t="n">
        <v>39</v>
      </c>
      <c r="B40" s="27" t="s">
        <v>699</v>
      </c>
      <c r="C40" s="27" t="s">
        <v>2379</v>
      </c>
      <c r="D40" s="27" t="s">
        <v>698</v>
      </c>
      <c r="E40" s="27" t="s">
        <v>700</v>
      </c>
      <c r="F40" s="32" t="n">
        <v>3.9812053653703</v>
      </c>
      <c r="G40" s="28" t="n">
        <v>1616.1811890093</v>
      </c>
      <c r="H40" s="28" t="n">
        <v>1616.1811890093</v>
      </c>
      <c r="I40" s="5" t="s">
        <v>22</v>
      </c>
      <c r="J40" s="27" t="s">
        <v>5</v>
      </c>
      <c r="K40" s="27" t="s">
        <v>5</v>
      </c>
      <c r="L40" s="27" t="n">
        <v>1</v>
      </c>
      <c r="M40" s="27" t="s">
        <v>41</v>
      </c>
      <c r="N40" s="27" t="s">
        <v>2336</v>
      </c>
      <c r="O40" s="27" t="s">
        <v>42</v>
      </c>
      <c r="P40" s="27" t="s">
        <v>2375</v>
      </c>
      <c r="Q40" s="27" t="n">
        <v>30</v>
      </c>
      <c r="R40" s="27"/>
      <c r="S40" s="27" t="s">
        <v>41</v>
      </c>
      <c r="T40" s="27"/>
      <c r="U40" s="27"/>
      <c r="V40" s="27"/>
      <c r="W40" s="27"/>
      <c r="X40" s="27"/>
      <c r="Y40" s="27" t="s">
        <v>41</v>
      </c>
      <c r="Z40" s="27" t="n">
        <v>-7.2072715</v>
      </c>
      <c r="AA40" s="27" t="n">
        <v>-48.241049</v>
      </c>
      <c r="AB40" s="37" t="s">
        <v>2338</v>
      </c>
      <c r="AC40" s="27" t="s">
        <v>2339</v>
      </c>
    </row>
    <row r="41" customFormat="false" ht="15" hidden="false" customHeight="false" outlineLevel="0" collapsed="false">
      <c r="A41" s="27" t="n">
        <v>40</v>
      </c>
      <c r="B41" s="27" t="s">
        <v>701</v>
      </c>
      <c r="C41" s="27" t="s">
        <v>2380</v>
      </c>
      <c r="D41" s="27" t="s">
        <v>700</v>
      </c>
      <c r="E41" s="27" t="s">
        <v>702</v>
      </c>
      <c r="F41" s="32" t="n">
        <v>69.2195391764969</v>
      </c>
      <c r="G41" s="28" t="n">
        <v>1685.40072818579</v>
      </c>
      <c r="H41" s="28" t="n">
        <v>1685.40072818579</v>
      </c>
      <c r="I41" s="5" t="s">
        <v>22</v>
      </c>
      <c r="J41" s="27" t="s">
        <v>5</v>
      </c>
      <c r="K41" s="27" t="s">
        <v>5</v>
      </c>
      <c r="L41" s="27" t="n">
        <v>1</v>
      </c>
      <c r="M41" s="27" t="s">
        <v>41</v>
      </c>
      <c r="N41" s="27" t="s">
        <v>2336</v>
      </c>
      <c r="O41" s="27" t="s">
        <v>42</v>
      </c>
      <c r="P41" s="27" t="s">
        <v>2375</v>
      </c>
      <c r="Q41" s="27" t="n">
        <v>30</v>
      </c>
      <c r="R41" s="27"/>
      <c r="S41" s="27" t="s">
        <v>41</v>
      </c>
      <c r="T41" s="27"/>
      <c r="U41" s="27"/>
      <c r="V41" s="27"/>
      <c r="W41" s="27"/>
      <c r="X41" s="27"/>
      <c r="Y41" s="27" t="s">
        <v>41</v>
      </c>
      <c r="Z41" s="27" t="n">
        <v>-7.2075715</v>
      </c>
      <c r="AA41" s="27" t="n">
        <v>-48.2411855</v>
      </c>
      <c r="AB41" s="37" t="s">
        <v>2338</v>
      </c>
      <c r="AC41" s="27" t="s">
        <v>2339</v>
      </c>
    </row>
    <row r="42" customFormat="false" ht="15" hidden="false" customHeight="false" outlineLevel="0" collapsed="false">
      <c r="A42" s="27" t="n">
        <v>41</v>
      </c>
      <c r="B42" s="27" t="s">
        <v>703</v>
      </c>
      <c r="C42" s="27" t="s">
        <v>2381</v>
      </c>
      <c r="D42" s="27" t="s">
        <v>702</v>
      </c>
      <c r="E42" s="27" t="s">
        <v>704</v>
      </c>
      <c r="F42" s="32" t="n">
        <v>0.222389853107463</v>
      </c>
      <c r="G42" s="28" t="n">
        <v>1685.6231180389</v>
      </c>
      <c r="H42" s="28" t="n">
        <v>1685.6231180389</v>
      </c>
      <c r="I42" s="5" t="s">
        <v>22</v>
      </c>
      <c r="J42" s="27" t="s">
        <v>5</v>
      </c>
      <c r="K42" s="27" t="s">
        <v>5</v>
      </c>
      <c r="L42" s="27" t="n">
        <v>1</v>
      </c>
      <c r="M42" s="27" t="s">
        <v>41</v>
      </c>
      <c r="N42" s="27" t="s">
        <v>2336</v>
      </c>
      <c r="O42" s="27" t="s">
        <v>42</v>
      </c>
      <c r="P42" s="27" t="s">
        <v>2375</v>
      </c>
      <c r="Q42" s="27" t="n">
        <v>30</v>
      </c>
      <c r="R42" s="27"/>
      <c r="S42" s="27" t="s">
        <v>41</v>
      </c>
      <c r="T42" s="27"/>
      <c r="U42" s="27"/>
      <c r="V42" s="27"/>
      <c r="W42" s="27"/>
      <c r="X42" s="27"/>
      <c r="Y42" s="27" t="s">
        <v>41</v>
      </c>
      <c r="Z42" s="27" t="n">
        <v>-7.207856</v>
      </c>
      <c r="AA42" s="27" t="n">
        <v>-48.241315</v>
      </c>
      <c r="AB42" s="37" t="s">
        <v>2338</v>
      </c>
      <c r="AC42" s="27" t="s">
        <v>2339</v>
      </c>
    </row>
    <row r="43" customFormat="false" ht="15" hidden="false" customHeight="false" outlineLevel="0" collapsed="false">
      <c r="A43" s="27" t="n">
        <v>42</v>
      </c>
      <c r="B43" s="27" t="s">
        <v>705</v>
      </c>
      <c r="C43" s="27" t="s">
        <v>2382</v>
      </c>
      <c r="D43" s="27" t="s">
        <v>704</v>
      </c>
      <c r="E43" s="27" t="s">
        <v>706</v>
      </c>
      <c r="F43" s="32" t="n">
        <v>2.81467750644975</v>
      </c>
      <c r="G43" s="28" t="n">
        <v>1688.43779554535</v>
      </c>
      <c r="H43" s="28" t="n">
        <v>1688.43779554535</v>
      </c>
      <c r="I43" s="5" t="s">
        <v>22</v>
      </c>
      <c r="J43" s="27" t="s">
        <v>5</v>
      </c>
      <c r="K43" s="27" t="s">
        <v>5</v>
      </c>
      <c r="L43" s="27" t="n">
        <v>1</v>
      </c>
      <c r="M43" s="27" t="s">
        <v>41</v>
      </c>
      <c r="N43" s="27" t="s">
        <v>2336</v>
      </c>
      <c r="O43" s="27" t="s">
        <v>42</v>
      </c>
      <c r="P43" s="27" t="s">
        <v>2375</v>
      </c>
      <c r="Q43" s="27" t="n">
        <v>30</v>
      </c>
      <c r="R43" s="27"/>
      <c r="S43" s="27" t="s">
        <v>41</v>
      </c>
      <c r="T43" s="27"/>
      <c r="U43" s="27"/>
      <c r="V43" s="27"/>
      <c r="W43" s="27"/>
      <c r="X43" s="27"/>
      <c r="Y43" s="27" t="s">
        <v>41</v>
      </c>
      <c r="Z43" s="27" t="n">
        <v>-7.2078695</v>
      </c>
      <c r="AA43" s="27" t="n">
        <v>-48.241313</v>
      </c>
      <c r="AB43" s="37" t="s">
        <v>2338</v>
      </c>
      <c r="AC43" s="27" t="s">
        <v>2339</v>
      </c>
    </row>
    <row r="44" customFormat="false" ht="15" hidden="false" customHeight="false" outlineLevel="0" collapsed="false">
      <c r="A44" s="27" t="n">
        <v>43</v>
      </c>
      <c r="B44" s="27" t="s">
        <v>707</v>
      </c>
      <c r="C44" s="27" t="s">
        <v>2383</v>
      </c>
      <c r="D44" s="27" t="s">
        <v>706</v>
      </c>
      <c r="E44" s="27" t="s">
        <v>708</v>
      </c>
      <c r="F44" s="32" t="n">
        <v>0.248247681595679</v>
      </c>
      <c r="G44" s="28" t="n">
        <v>1688.68604322695</v>
      </c>
      <c r="H44" s="28" t="n">
        <v>1688.68604322695</v>
      </c>
      <c r="I44" s="5" t="s">
        <v>22</v>
      </c>
      <c r="J44" s="27" t="s">
        <v>5</v>
      </c>
      <c r="K44" s="27" t="s">
        <v>5</v>
      </c>
      <c r="L44" s="27" t="n">
        <v>1</v>
      </c>
      <c r="M44" s="27" t="s">
        <v>41</v>
      </c>
      <c r="N44" s="27" t="s">
        <v>2336</v>
      </c>
      <c r="O44" s="27" t="s">
        <v>42</v>
      </c>
      <c r="P44" s="27" t="s">
        <v>2375</v>
      </c>
      <c r="Q44" s="27" t="n">
        <v>30</v>
      </c>
      <c r="R44" s="27"/>
      <c r="S44" s="27" t="s">
        <v>41</v>
      </c>
      <c r="T44" s="27"/>
      <c r="U44" s="27"/>
      <c r="V44" s="27"/>
      <c r="W44" s="27"/>
      <c r="X44" s="27"/>
      <c r="Y44" s="27" t="s">
        <v>41</v>
      </c>
      <c r="Z44" s="27" t="n">
        <v>-7.207883</v>
      </c>
      <c r="AA44" s="27" t="n">
        <v>-48.2413115</v>
      </c>
      <c r="AB44" s="37" t="s">
        <v>2338</v>
      </c>
      <c r="AC44" s="27" t="s">
        <v>2339</v>
      </c>
    </row>
    <row r="45" customFormat="false" ht="15" hidden="false" customHeight="false" outlineLevel="0" collapsed="false">
      <c r="A45" s="27" t="n">
        <v>44</v>
      </c>
      <c r="B45" s="27" t="s">
        <v>709</v>
      </c>
      <c r="C45" s="27" t="s">
        <v>2384</v>
      </c>
      <c r="D45" s="27" t="s">
        <v>708</v>
      </c>
      <c r="E45" s="27" t="s">
        <v>710</v>
      </c>
      <c r="F45" s="32" t="n">
        <v>1.75676171973257</v>
      </c>
      <c r="G45" s="28" t="n">
        <v>1690.44280494668</v>
      </c>
      <c r="H45" s="28" t="n">
        <v>1.75676171973259</v>
      </c>
      <c r="I45" s="6" t="s">
        <v>23</v>
      </c>
      <c r="J45" s="27" t="s">
        <v>5</v>
      </c>
      <c r="K45" s="27" t="s">
        <v>5</v>
      </c>
      <c r="L45" s="27" t="n">
        <v>2</v>
      </c>
      <c r="M45" s="27" t="s">
        <v>42</v>
      </c>
      <c r="N45" s="27" t="s">
        <v>2385</v>
      </c>
      <c r="O45" s="27" t="s">
        <v>44</v>
      </c>
      <c r="P45" s="27" t="s">
        <v>2386</v>
      </c>
      <c r="Q45" s="27" t="n">
        <v>29</v>
      </c>
      <c r="R45" s="27"/>
      <c r="S45" s="27" t="s">
        <v>41</v>
      </c>
      <c r="T45" s="27" t="s">
        <v>42</v>
      </c>
      <c r="U45" s="27"/>
      <c r="V45" s="27"/>
      <c r="W45" s="27"/>
      <c r="X45" s="27"/>
      <c r="Y45" s="27" t="s">
        <v>2387</v>
      </c>
      <c r="Z45" s="27" t="n">
        <v>-7.2078915</v>
      </c>
      <c r="AA45" s="27" t="n">
        <v>-48.2413145</v>
      </c>
      <c r="AB45" s="37" t="s">
        <v>2338</v>
      </c>
      <c r="AC45" s="27" t="s">
        <v>2388</v>
      </c>
    </row>
    <row r="46" customFormat="false" ht="15" hidden="false" customHeight="false" outlineLevel="0" collapsed="false">
      <c r="A46" s="27" t="n">
        <v>45</v>
      </c>
      <c r="B46" s="27" t="s">
        <v>711</v>
      </c>
      <c r="C46" s="27" t="s">
        <v>2389</v>
      </c>
      <c r="D46" s="27" t="s">
        <v>710</v>
      </c>
      <c r="E46" s="27" t="s">
        <v>712</v>
      </c>
      <c r="F46" s="32" t="n">
        <v>0.398728253710708</v>
      </c>
      <c r="G46" s="28" t="n">
        <v>1690.84153320039</v>
      </c>
      <c r="H46" s="28" t="n">
        <v>2.15548997344331</v>
      </c>
      <c r="I46" s="6" t="s">
        <v>23</v>
      </c>
      <c r="J46" s="27" t="s">
        <v>5</v>
      </c>
      <c r="K46" s="27" t="s">
        <v>5</v>
      </c>
      <c r="L46" s="27" t="n">
        <v>2</v>
      </c>
      <c r="M46" s="27" t="s">
        <v>42</v>
      </c>
      <c r="N46" s="27" t="s">
        <v>2385</v>
      </c>
      <c r="O46" s="27" t="s">
        <v>44</v>
      </c>
      <c r="P46" s="27" t="s">
        <v>2386</v>
      </c>
      <c r="Q46" s="27" t="n">
        <v>29</v>
      </c>
      <c r="R46" s="27"/>
      <c r="S46" s="27" t="s">
        <v>41</v>
      </c>
      <c r="T46" s="27" t="s">
        <v>42</v>
      </c>
      <c r="U46" s="27"/>
      <c r="V46" s="27"/>
      <c r="W46" s="27"/>
      <c r="X46" s="27"/>
      <c r="Y46" s="27" t="s">
        <v>2387</v>
      </c>
      <c r="Z46" s="27" t="n">
        <v>-7.2079</v>
      </c>
      <c r="AA46" s="27" t="n">
        <v>-48.2413185</v>
      </c>
      <c r="AB46" s="37" t="s">
        <v>2338</v>
      </c>
      <c r="AC46" s="27" t="s">
        <v>2388</v>
      </c>
    </row>
    <row r="47" customFormat="false" ht="15" hidden="false" customHeight="false" outlineLevel="0" collapsed="false">
      <c r="A47" s="27" t="n">
        <v>46</v>
      </c>
      <c r="B47" s="27" t="s">
        <v>713</v>
      </c>
      <c r="C47" s="27" t="s">
        <v>2390</v>
      </c>
      <c r="D47" s="27" t="s">
        <v>712</v>
      </c>
      <c r="E47" s="27" t="s">
        <v>714</v>
      </c>
      <c r="F47" s="32" t="n">
        <v>2.71775620509772</v>
      </c>
      <c r="G47" s="28" t="n">
        <v>1693.55928940549</v>
      </c>
      <c r="H47" s="28" t="n">
        <v>4.87324617854097</v>
      </c>
      <c r="I47" s="6" t="s">
        <v>23</v>
      </c>
      <c r="J47" s="27" t="s">
        <v>5</v>
      </c>
      <c r="K47" s="27" t="s">
        <v>5</v>
      </c>
      <c r="L47" s="27" t="n">
        <v>2</v>
      </c>
      <c r="M47" s="27" t="s">
        <v>42</v>
      </c>
      <c r="N47" s="27" t="s">
        <v>2385</v>
      </c>
      <c r="O47" s="27" t="s">
        <v>44</v>
      </c>
      <c r="P47" s="27" t="s">
        <v>2386</v>
      </c>
      <c r="Q47" s="27" t="n">
        <v>29</v>
      </c>
      <c r="R47" s="27"/>
      <c r="S47" s="27" t="s">
        <v>41</v>
      </c>
      <c r="T47" s="27" t="s">
        <v>42</v>
      </c>
      <c r="U47" s="27"/>
      <c r="V47" s="27"/>
      <c r="W47" s="27"/>
      <c r="X47" s="27"/>
      <c r="Y47" s="27" t="s">
        <v>2387</v>
      </c>
      <c r="Z47" s="27" t="n">
        <v>-7.2079065</v>
      </c>
      <c r="AA47" s="27" t="n">
        <v>-48.241331</v>
      </c>
      <c r="AB47" s="37" t="s">
        <v>2338</v>
      </c>
      <c r="AC47" s="27" t="s">
        <v>2388</v>
      </c>
    </row>
    <row r="48" customFormat="false" ht="15" hidden="false" customHeight="false" outlineLevel="0" collapsed="false">
      <c r="A48" s="27" t="n">
        <v>47</v>
      </c>
      <c r="B48" s="27" t="s">
        <v>715</v>
      </c>
      <c r="C48" s="27" t="s">
        <v>2391</v>
      </c>
      <c r="D48" s="27" t="s">
        <v>714</v>
      </c>
      <c r="E48" s="27" t="s">
        <v>716</v>
      </c>
      <c r="F48" s="32" t="n">
        <v>110.265313829523</v>
      </c>
      <c r="G48" s="28" t="n">
        <v>1803.82460323501</v>
      </c>
      <c r="H48" s="28" t="n">
        <v>115.138560008064</v>
      </c>
      <c r="I48" s="6" t="s">
        <v>23</v>
      </c>
      <c r="J48" s="27" t="s">
        <v>5</v>
      </c>
      <c r="K48" s="27" t="s">
        <v>5</v>
      </c>
      <c r="L48" s="27" t="n">
        <v>2</v>
      </c>
      <c r="M48" s="27" t="s">
        <v>42</v>
      </c>
      <c r="N48" s="27" t="s">
        <v>2385</v>
      </c>
      <c r="O48" s="27" t="s">
        <v>44</v>
      </c>
      <c r="P48" s="27" t="s">
        <v>2386</v>
      </c>
      <c r="Q48" s="27" t="n">
        <v>29</v>
      </c>
      <c r="R48" s="27"/>
      <c r="S48" s="27" t="s">
        <v>41</v>
      </c>
      <c r="T48" s="27" t="s">
        <v>42</v>
      </c>
      <c r="U48" s="27"/>
      <c r="V48" s="27"/>
      <c r="W48" s="27"/>
      <c r="X48" s="27"/>
      <c r="Y48" s="27" t="s">
        <v>2387</v>
      </c>
      <c r="Z48" s="27" t="n">
        <v>-7.208361</v>
      </c>
      <c r="AA48" s="27" t="n">
        <v>-48.241554</v>
      </c>
      <c r="AB48" s="37" t="s">
        <v>2338</v>
      </c>
      <c r="AC48" s="27" t="s">
        <v>2388</v>
      </c>
    </row>
    <row r="49" customFormat="false" ht="15" hidden="false" customHeight="false" outlineLevel="0" collapsed="false">
      <c r="A49" s="27" t="n">
        <v>48</v>
      </c>
      <c r="B49" s="27" t="s">
        <v>717</v>
      </c>
      <c r="C49" s="27" t="s">
        <v>2392</v>
      </c>
      <c r="D49" s="27" t="s">
        <v>716</v>
      </c>
      <c r="E49" s="27" t="s">
        <v>718</v>
      </c>
      <c r="F49" s="32" t="n">
        <v>3.67602025138273</v>
      </c>
      <c r="G49" s="28" t="n">
        <v>1807.50062348639</v>
      </c>
      <c r="H49" s="28" t="n">
        <v>118.814580259446</v>
      </c>
      <c r="I49" s="6" t="s">
        <v>23</v>
      </c>
      <c r="J49" s="27" t="s">
        <v>5</v>
      </c>
      <c r="K49" s="27" t="s">
        <v>5</v>
      </c>
      <c r="L49" s="27" t="n">
        <v>2</v>
      </c>
      <c r="M49" s="27" t="s">
        <v>42</v>
      </c>
      <c r="N49" s="27" t="s">
        <v>2385</v>
      </c>
      <c r="O49" s="27" t="s">
        <v>44</v>
      </c>
      <c r="P49" s="27" t="s">
        <v>2386</v>
      </c>
      <c r="Q49" s="27" t="n">
        <v>29</v>
      </c>
      <c r="R49" s="27"/>
      <c r="S49" s="27" t="s">
        <v>41</v>
      </c>
      <c r="T49" s="27" t="s">
        <v>42</v>
      </c>
      <c r="U49" s="27"/>
      <c r="V49" s="27"/>
      <c r="W49" s="27"/>
      <c r="X49" s="27"/>
      <c r="Y49" s="27" t="s">
        <v>2387</v>
      </c>
      <c r="Z49" s="27" t="n">
        <v>-7.208825</v>
      </c>
      <c r="AA49" s="27" t="n">
        <v>-48.241773</v>
      </c>
      <c r="AB49" s="37" t="s">
        <v>2338</v>
      </c>
      <c r="AC49" s="27" t="s">
        <v>2388</v>
      </c>
    </row>
    <row r="50" customFormat="false" ht="15" hidden="false" customHeight="false" outlineLevel="0" collapsed="false">
      <c r="A50" s="27" t="n">
        <v>49</v>
      </c>
      <c r="B50" s="27" t="s">
        <v>719</v>
      </c>
      <c r="C50" s="27" t="s">
        <v>2393</v>
      </c>
      <c r="D50" s="27" t="s">
        <v>718</v>
      </c>
      <c r="E50" s="27" t="s">
        <v>720</v>
      </c>
      <c r="F50" s="32" t="n">
        <v>76.5649232868155</v>
      </c>
      <c r="G50" s="28" t="n">
        <v>1884.06554677321</v>
      </c>
      <c r="H50" s="28" t="n">
        <v>195.379503546262</v>
      </c>
      <c r="I50" s="6" t="s">
        <v>23</v>
      </c>
      <c r="J50" s="27" t="s">
        <v>5</v>
      </c>
      <c r="K50" s="27" t="s">
        <v>5</v>
      </c>
      <c r="L50" s="27" t="n">
        <v>2</v>
      </c>
      <c r="M50" s="27" t="s">
        <v>42</v>
      </c>
      <c r="N50" s="27" t="s">
        <v>2385</v>
      </c>
      <c r="O50" s="27" t="s">
        <v>44</v>
      </c>
      <c r="P50" s="27" t="s">
        <v>2386</v>
      </c>
      <c r="Q50" s="27" t="n">
        <v>29</v>
      </c>
      <c r="R50" s="27"/>
      <c r="S50" s="27" t="s">
        <v>41</v>
      </c>
      <c r="T50" s="27" t="s">
        <v>42</v>
      </c>
      <c r="U50" s="27"/>
      <c r="V50" s="27"/>
      <c r="W50" s="27"/>
      <c r="X50" s="27"/>
      <c r="Y50" s="27" t="s">
        <v>2387</v>
      </c>
      <c r="Z50" s="27" t="n">
        <v>-7.2091495</v>
      </c>
      <c r="AA50" s="27" t="n">
        <v>-48.241932</v>
      </c>
      <c r="AB50" s="37" t="s">
        <v>2338</v>
      </c>
      <c r="AC50" s="27" t="s">
        <v>2388</v>
      </c>
    </row>
    <row r="51" customFormat="false" ht="15" hidden="false" customHeight="false" outlineLevel="0" collapsed="false">
      <c r="A51" s="27" t="n">
        <v>50</v>
      </c>
      <c r="B51" s="27" t="s">
        <v>721</v>
      </c>
      <c r="C51" s="27" t="s">
        <v>2394</v>
      </c>
      <c r="D51" s="27" t="s">
        <v>720</v>
      </c>
      <c r="E51" s="27" t="s">
        <v>722</v>
      </c>
      <c r="F51" s="32" t="n">
        <v>3.34323783435515</v>
      </c>
      <c r="G51" s="28" t="n">
        <v>1887.40878460756</v>
      </c>
      <c r="H51" s="28" t="n">
        <v>198.722741380617</v>
      </c>
      <c r="I51" s="6" t="s">
        <v>23</v>
      </c>
      <c r="J51" s="27" t="s">
        <v>5</v>
      </c>
      <c r="K51" s="27" t="s">
        <v>5</v>
      </c>
      <c r="L51" s="27" t="n">
        <v>2</v>
      </c>
      <c r="M51" s="27" t="s">
        <v>42</v>
      </c>
      <c r="N51" s="27" t="s">
        <v>2385</v>
      </c>
      <c r="O51" s="27" t="s">
        <v>44</v>
      </c>
      <c r="P51" s="27" t="s">
        <v>2386</v>
      </c>
      <c r="Q51" s="27" t="n">
        <v>29</v>
      </c>
      <c r="R51" s="27"/>
      <c r="S51" s="27" t="s">
        <v>41</v>
      </c>
      <c r="T51" s="27" t="s">
        <v>42</v>
      </c>
      <c r="U51" s="27"/>
      <c r="V51" s="27"/>
      <c r="W51" s="27"/>
      <c r="X51" s="27"/>
      <c r="Y51" s="27" t="s">
        <v>2387</v>
      </c>
      <c r="Z51" s="27" t="n">
        <v>-7.2094735</v>
      </c>
      <c r="AA51" s="27" t="n">
        <v>-48.242088</v>
      </c>
      <c r="AB51" s="37" t="s">
        <v>2338</v>
      </c>
      <c r="AC51" s="27" t="s">
        <v>2388</v>
      </c>
    </row>
    <row r="52" customFormat="false" ht="15" hidden="false" customHeight="false" outlineLevel="0" collapsed="false">
      <c r="A52" s="27" t="n">
        <v>51</v>
      </c>
      <c r="B52" s="27" t="s">
        <v>723</v>
      </c>
      <c r="C52" s="27" t="s">
        <v>2395</v>
      </c>
      <c r="D52" s="27" t="s">
        <v>722</v>
      </c>
      <c r="E52" s="27" t="s">
        <v>724</v>
      </c>
      <c r="F52" s="32" t="n">
        <v>33.673859543669</v>
      </c>
      <c r="G52" s="28" t="n">
        <v>1921.08264415123</v>
      </c>
      <c r="H52" s="28" t="n">
        <v>232.396600924286</v>
      </c>
      <c r="I52" s="6" t="s">
        <v>23</v>
      </c>
      <c r="J52" s="27" t="s">
        <v>5</v>
      </c>
      <c r="K52" s="27" t="s">
        <v>5</v>
      </c>
      <c r="L52" s="27" t="n">
        <v>2</v>
      </c>
      <c r="M52" s="27" t="s">
        <v>42</v>
      </c>
      <c r="N52" s="27" t="s">
        <v>2385</v>
      </c>
      <c r="O52" s="27" t="s">
        <v>44</v>
      </c>
      <c r="P52" s="27" t="s">
        <v>2386</v>
      </c>
      <c r="Q52" s="27" t="n">
        <v>29</v>
      </c>
      <c r="R52" s="27"/>
      <c r="S52" s="27" t="s">
        <v>41</v>
      </c>
      <c r="T52" s="27" t="s">
        <v>42</v>
      </c>
      <c r="U52" s="27"/>
      <c r="V52" s="27"/>
      <c r="W52" s="27"/>
      <c r="X52" s="27"/>
      <c r="Y52" s="27" t="s">
        <v>2387</v>
      </c>
      <c r="Z52" s="27" t="n">
        <v>-7.209625</v>
      </c>
      <c r="AA52" s="27" t="n">
        <v>-48.242157</v>
      </c>
      <c r="AB52" s="37" t="s">
        <v>2338</v>
      </c>
      <c r="AC52" s="27" t="s">
        <v>2388</v>
      </c>
    </row>
    <row r="53" customFormat="false" ht="15" hidden="false" customHeight="false" outlineLevel="0" collapsed="false">
      <c r="A53" s="27" t="n">
        <v>52</v>
      </c>
      <c r="B53" s="27" t="s">
        <v>725</v>
      </c>
      <c r="C53" s="27" t="s">
        <v>2396</v>
      </c>
      <c r="D53" s="27" t="s">
        <v>724</v>
      </c>
      <c r="E53" s="27" t="s">
        <v>726</v>
      </c>
      <c r="F53" s="32" t="n">
        <v>3.4460525846992</v>
      </c>
      <c r="G53" s="28" t="n">
        <v>1924.52869673593</v>
      </c>
      <c r="H53" s="28" t="n">
        <v>235.842653508985</v>
      </c>
      <c r="I53" s="6" t="s">
        <v>23</v>
      </c>
      <c r="J53" s="27" t="s">
        <v>5</v>
      </c>
      <c r="K53" s="27" t="s">
        <v>5</v>
      </c>
      <c r="L53" s="27" t="n">
        <v>2</v>
      </c>
      <c r="M53" s="27" t="s">
        <v>42</v>
      </c>
      <c r="N53" s="27" t="s">
        <v>2385</v>
      </c>
      <c r="O53" s="27" t="s">
        <v>44</v>
      </c>
      <c r="P53" s="27" t="s">
        <v>2386</v>
      </c>
      <c r="Q53" s="27" t="n">
        <v>29</v>
      </c>
      <c r="R53" s="27"/>
      <c r="S53" s="27" t="s">
        <v>41</v>
      </c>
      <c r="T53" s="27" t="s">
        <v>42</v>
      </c>
      <c r="U53" s="27"/>
      <c r="V53" s="27"/>
      <c r="W53" s="27"/>
      <c r="X53" s="27"/>
      <c r="Y53" s="27" t="s">
        <v>2387</v>
      </c>
      <c r="Z53" s="27" t="n">
        <v>-7.209775</v>
      </c>
      <c r="AA53" s="27" t="n">
        <v>-48.2422305</v>
      </c>
      <c r="AB53" s="37" t="s">
        <v>2338</v>
      </c>
      <c r="AC53" s="27" t="s">
        <v>2388</v>
      </c>
    </row>
    <row r="54" customFormat="false" ht="15" hidden="false" customHeight="false" outlineLevel="0" collapsed="false">
      <c r="A54" s="27" t="n">
        <v>53</v>
      </c>
      <c r="B54" s="27" t="s">
        <v>727</v>
      </c>
      <c r="C54" s="27" t="s">
        <v>2397</v>
      </c>
      <c r="D54" s="27" t="s">
        <v>726</v>
      </c>
      <c r="E54" s="27" t="s">
        <v>728</v>
      </c>
      <c r="F54" s="32" t="n">
        <v>187.166380625504</v>
      </c>
      <c r="G54" s="28" t="n">
        <v>2111.69507736143</v>
      </c>
      <c r="H54" s="28" t="n">
        <v>423.009034134489</v>
      </c>
      <c r="I54" s="6" t="s">
        <v>23</v>
      </c>
      <c r="J54" s="27" t="s">
        <v>5</v>
      </c>
      <c r="K54" s="27" t="s">
        <v>5</v>
      </c>
      <c r="L54" s="27" t="n">
        <v>2</v>
      </c>
      <c r="M54" s="27" t="s">
        <v>42</v>
      </c>
      <c r="N54" s="27" t="s">
        <v>2385</v>
      </c>
      <c r="O54" s="27" t="s">
        <v>44</v>
      </c>
      <c r="P54" s="27" t="s">
        <v>2386</v>
      </c>
      <c r="Q54" s="27" t="n">
        <v>29</v>
      </c>
      <c r="R54" s="27"/>
      <c r="S54" s="27" t="s">
        <v>41</v>
      </c>
      <c r="T54" s="27" t="s">
        <v>42</v>
      </c>
      <c r="U54" s="27"/>
      <c r="V54" s="27"/>
      <c r="W54" s="27"/>
      <c r="X54" s="27"/>
      <c r="Y54" s="27" t="s">
        <v>2387</v>
      </c>
      <c r="Z54" s="27" t="n">
        <v>-7.210551</v>
      </c>
      <c r="AA54" s="27" t="n">
        <v>-48.242597</v>
      </c>
      <c r="AB54" s="37" t="s">
        <v>2338</v>
      </c>
      <c r="AC54" s="27" t="s">
        <v>2388</v>
      </c>
    </row>
    <row r="55" customFormat="false" ht="15" hidden="false" customHeight="false" outlineLevel="0" collapsed="false">
      <c r="A55" s="27" t="n">
        <v>54</v>
      </c>
      <c r="B55" s="27" t="s">
        <v>729</v>
      </c>
      <c r="C55" s="27" t="s">
        <v>2398</v>
      </c>
      <c r="D55" s="27" t="s">
        <v>728</v>
      </c>
      <c r="E55" s="27" t="s">
        <v>730</v>
      </c>
      <c r="F55" s="32" t="n">
        <v>24.832785892052</v>
      </c>
      <c r="G55" s="28" t="n">
        <v>2136.52786325349</v>
      </c>
      <c r="H55" s="28" t="n">
        <v>447.841820026541</v>
      </c>
      <c r="I55" s="6" t="s">
        <v>23</v>
      </c>
      <c r="J55" s="27" t="s">
        <v>5</v>
      </c>
      <c r="K55" s="27" t="s">
        <v>5</v>
      </c>
      <c r="L55" s="27" t="n">
        <v>2</v>
      </c>
      <c r="M55" s="27" t="s">
        <v>42</v>
      </c>
      <c r="N55" s="27" t="s">
        <v>2385</v>
      </c>
      <c r="O55" s="27" t="s">
        <v>44</v>
      </c>
      <c r="P55" s="27" t="s">
        <v>2399</v>
      </c>
      <c r="Q55" s="27" t="n">
        <v>28</v>
      </c>
      <c r="R55" s="27"/>
      <c r="S55" s="27" t="s">
        <v>41</v>
      </c>
      <c r="T55" s="27" t="s">
        <v>42</v>
      </c>
      <c r="U55" s="27"/>
      <c r="V55" s="27"/>
      <c r="W55" s="27"/>
      <c r="X55" s="27"/>
      <c r="Y55" s="27" t="s">
        <v>2387</v>
      </c>
      <c r="Z55" s="27" t="n">
        <v>-7.211415</v>
      </c>
      <c r="AA55" s="27" t="n">
        <v>-48.243003</v>
      </c>
      <c r="AB55" s="37" t="s">
        <v>2338</v>
      </c>
      <c r="AC55" s="27" t="s">
        <v>2388</v>
      </c>
    </row>
    <row r="56" customFormat="false" ht="15" hidden="false" customHeight="false" outlineLevel="0" collapsed="false">
      <c r="A56" s="27" t="n">
        <v>55</v>
      </c>
      <c r="B56" s="27" t="s">
        <v>731</v>
      </c>
      <c r="C56" s="27" t="s">
        <v>2400</v>
      </c>
      <c r="D56" s="27" t="s">
        <v>730</v>
      </c>
      <c r="E56" s="27" t="s">
        <v>732</v>
      </c>
      <c r="F56" s="32" t="n">
        <v>0.809029758830816</v>
      </c>
      <c r="G56" s="28" t="n">
        <v>2137.33689301232</v>
      </c>
      <c r="H56" s="28" t="n">
        <v>448.650849785372</v>
      </c>
      <c r="I56" s="6" t="s">
        <v>23</v>
      </c>
      <c r="J56" s="27" t="s">
        <v>5</v>
      </c>
      <c r="K56" s="27" t="s">
        <v>5</v>
      </c>
      <c r="L56" s="27" t="n">
        <v>2</v>
      </c>
      <c r="M56" s="27" t="s">
        <v>42</v>
      </c>
      <c r="N56" s="27" t="s">
        <v>2385</v>
      </c>
      <c r="O56" s="27" t="s">
        <v>44</v>
      </c>
      <c r="P56" s="27" t="s">
        <v>2399</v>
      </c>
      <c r="Q56" s="27" t="n">
        <v>28</v>
      </c>
      <c r="R56" s="27" t="s">
        <v>733</v>
      </c>
      <c r="S56" s="27" t="s">
        <v>41</v>
      </c>
      <c r="T56" s="27" t="s">
        <v>42</v>
      </c>
      <c r="U56" s="27"/>
      <c r="V56" s="27"/>
      <c r="W56" s="27"/>
      <c r="X56" s="27"/>
      <c r="Y56" s="27" t="s">
        <v>2387</v>
      </c>
      <c r="Z56" s="27" t="n">
        <v>-7.2115195</v>
      </c>
      <c r="AA56" s="27" t="n">
        <v>-48.243052</v>
      </c>
      <c r="AB56" s="37" t="s">
        <v>2338</v>
      </c>
      <c r="AC56" s="27" t="s">
        <v>2388</v>
      </c>
    </row>
    <row r="57" customFormat="false" ht="15" hidden="false" customHeight="false" outlineLevel="0" collapsed="false">
      <c r="A57" s="27" t="n">
        <v>56</v>
      </c>
      <c r="B57" s="27" t="s">
        <v>734</v>
      </c>
      <c r="C57" s="27" t="s">
        <v>2401</v>
      </c>
      <c r="D57" s="27" t="s">
        <v>732</v>
      </c>
      <c r="E57" s="27" t="s">
        <v>735</v>
      </c>
      <c r="F57" s="32" t="n">
        <v>6.11133599836971</v>
      </c>
      <c r="G57" s="28" t="n">
        <v>2143.44822901069</v>
      </c>
      <c r="H57" s="28" t="n">
        <v>454.762185783741</v>
      </c>
      <c r="I57" s="6" t="s">
        <v>23</v>
      </c>
      <c r="J57" s="27" t="s">
        <v>5</v>
      </c>
      <c r="K57" s="27" t="s">
        <v>5</v>
      </c>
      <c r="L57" s="27" t="n">
        <v>2</v>
      </c>
      <c r="M57" s="27" t="s">
        <v>42</v>
      </c>
      <c r="N57" s="27" t="s">
        <v>2385</v>
      </c>
      <c r="O57" s="27" t="s">
        <v>44</v>
      </c>
      <c r="P57" s="27" t="s">
        <v>2399</v>
      </c>
      <c r="Q57" s="27" t="n">
        <v>28</v>
      </c>
      <c r="R57" s="27"/>
      <c r="S57" s="27" t="s">
        <v>41</v>
      </c>
      <c r="T57" s="27" t="s">
        <v>42</v>
      </c>
      <c r="U57" s="27"/>
      <c r="V57" s="27"/>
      <c r="W57" s="27"/>
      <c r="X57" s="27"/>
      <c r="Y57" s="27" t="s">
        <v>2387</v>
      </c>
      <c r="Z57" s="27" t="n">
        <v>-7.211548</v>
      </c>
      <c r="AA57" s="27" t="n">
        <v>-48.2430645</v>
      </c>
      <c r="AB57" s="37" t="s">
        <v>2338</v>
      </c>
      <c r="AC57" s="27" t="s">
        <v>2388</v>
      </c>
    </row>
    <row r="58" customFormat="false" ht="15" hidden="false" customHeight="false" outlineLevel="0" collapsed="false">
      <c r="A58" s="27" t="n">
        <v>57</v>
      </c>
      <c r="B58" s="27" t="s">
        <v>736</v>
      </c>
      <c r="C58" s="27" t="s">
        <v>2402</v>
      </c>
      <c r="D58" s="27" t="s">
        <v>735</v>
      </c>
      <c r="E58" s="27" t="s">
        <v>737</v>
      </c>
      <c r="F58" s="32" t="n">
        <v>2.83076425165164</v>
      </c>
      <c r="G58" s="28" t="n">
        <v>2146.27899326234</v>
      </c>
      <c r="H58" s="28" t="n">
        <v>457.592950035393</v>
      </c>
      <c r="I58" s="6" t="s">
        <v>23</v>
      </c>
      <c r="J58" s="27" t="s">
        <v>5</v>
      </c>
      <c r="K58" s="27" t="s">
        <v>5</v>
      </c>
      <c r="L58" s="27" t="n">
        <v>2</v>
      </c>
      <c r="M58" s="27" t="s">
        <v>42</v>
      </c>
      <c r="N58" s="27" t="s">
        <v>2385</v>
      </c>
      <c r="O58" s="27" t="s">
        <v>44</v>
      </c>
      <c r="P58" s="27" t="s">
        <v>2399</v>
      </c>
      <c r="Q58" s="27" t="n">
        <v>28</v>
      </c>
      <c r="R58" s="27" t="s">
        <v>738</v>
      </c>
      <c r="S58" s="27" t="s">
        <v>41</v>
      </c>
      <c r="T58" s="27" t="s">
        <v>42</v>
      </c>
      <c r="U58" s="27"/>
      <c r="V58" s="27"/>
      <c r="W58" s="27"/>
      <c r="X58" s="27"/>
      <c r="Y58" s="27" t="s">
        <v>2387</v>
      </c>
      <c r="Z58" s="27" t="n">
        <v>-7.2115845</v>
      </c>
      <c r="AA58" s="27" t="n">
        <v>-48.2430815</v>
      </c>
      <c r="AB58" s="37" t="s">
        <v>2338</v>
      </c>
      <c r="AC58" s="27" t="s">
        <v>2388</v>
      </c>
    </row>
    <row r="59" customFormat="false" ht="15" hidden="false" customHeight="false" outlineLevel="0" collapsed="false">
      <c r="A59" s="27" t="n">
        <v>58</v>
      </c>
      <c r="B59" s="27" t="s">
        <v>739</v>
      </c>
      <c r="C59" s="27" t="s">
        <v>2403</v>
      </c>
      <c r="D59" s="27" t="s">
        <v>737</v>
      </c>
      <c r="E59" s="27" t="s">
        <v>740</v>
      </c>
      <c r="F59" s="32" t="n">
        <v>216.089687447031</v>
      </c>
      <c r="G59" s="28" t="n">
        <v>2362.36868070937</v>
      </c>
      <c r="H59" s="28" t="n">
        <v>673.682637482423</v>
      </c>
      <c r="I59" s="6" t="s">
        <v>23</v>
      </c>
      <c r="J59" s="27" t="s">
        <v>5</v>
      </c>
      <c r="K59" s="27" t="s">
        <v>5</v>
      </c>
      <c r="L59" s="27" t="n">
        <v>2</v>
      </c>
      <c r="M59" s="27" t="s">
        <v>42</v>
      </c>
      <c r="N59" s="27" t="s">
        <v>2385</v>
      </c>
      <c r="O59" s="27" t="s">
        <v>44</v>
      </c>
      <c r="P59" s="27" t="s">
        <v>2399</v>
      </c>
      <c r="Q59" s="27" t="n">
        <v>28</v>
      </c>
      <c r="R59" s="27"/>
      <c r="S59" s="27" t="s">
        <v>41</v>
      </c>
      <c r="T59" s="27" t="s">
        <v>42</v>
      </c>
      <c r="U59" s="27"/>
      <c r="V59" s="27"/>
      <c r="W59" s="27"/>
      <c r="X59" s="27"/>
      <c r="Y59" s="27" t="s">
        <v>2387</v>
      </c>
      <c r="Z59" s="27" t="n">
        <v>-7.2124745</v>
      </c>
      <c r="AA59" s="27" t="n">
        <v>-48.2435055</v>
      </c>
      <c r="AB59" s="37" t="s">
        <v>2338</v>
      </c>
      <c r="AC59" s="27" t="s">
        <v>2388</v>
      </c>
    </row>
    <row r="60" customFormat="false" ht="15" hidden="false" customHeight="false" outlineLevel="0" collapsed="false">
      <c r="A60" s="27" t="n">
        <v>59</v>
      </c>
      <c r="B60" s="27" t="s">
        <v>741</v>
      </c>
      <c r="C60" s="27" t="s">
        <v>2404</v>
      </c>
      <c r="D60" s="27" t="s">
        <v>740</v>
      </c>
      <c r="E60" s="27" t="s">
        <v>742</v>
      </c>
      <c r="F60" s="32" t="n">
        <v>35.3106607751939</v>
      </c>
      <c r="G60" s="28" t="n">
        <v>2397.67934148456</v>
      </c>
      <c r="H60" s="28" t="n">
        <v>708.993298257617</v>
      </c>
      <c r="I60" s="6" t="s">
        <v>23</v>
      </c>
      <c r="J60" s="27" t="s">
        <v>5</v>
      </c>
      <c r="K60" s="27" t="s">
        <v>5</v>
      </c>
      <c r="L60" s="27" t="n">
        <v>2</v>
      </c>
      <c r="M60" s="27" t="s">
        <v>42</v>
      </c>
      <c r="N60" s="27" t="s">
        <v>2385</v>
      </c>
      <c r="O60" s="27" t="s">
        <v>44</v>
      </c>
      <c r="P60" s="27" t="s">
        <v>2405</v>
      </c>
      <c r="Q60" s="27" t="n">
        <v>27</v>
      </c>
      <c r="R60" s="27"/>
      <c r="S60" s="27" t="s">
        <v>41</v>
      </c>
      <c r="T60" s="27" t="s">
        <v>42</v>
      </c>
      <c r="U60" s="27"/>
      <c r="V60" s="27"/>
      <c r="W60" s="27"/>
      <c r="X60" s="27"/>
      <c r="Y60" s="27" t="s">
        <v>2387</v>
      </c>
      <c r="Z60" s="27" t="n">
        <v>-7.2134965</v>
      </c>
      <c r="AA60" s="27" t="n">
        <v>-48.2439925</v>
      </c>
      <c r="AB60" s="37" t="s">
        <v>2338</v>
      </c>
      <c r="AC60" s="27" t="s">
        <v>2388</v>
      </c>
    </row>
    <row r="61" customFormat="false" ht="15" hidden="false" customHeight="false" outlineLevel="0" collapsed="false">
      <c r="A61" s="27" t="n">
        <v>60</v>
      </c>
      <c r="B61" s="27" t="s">
        <v>743</v>
      </c>
      <c r="C61" s="27" t="s">
        <v>2406</v>
      </c>
      <c r="D61" s="27" t="s">
        <v>742</v>
      </c>
      <c r="E61" s="27" t="s">
        <v>744</v>
      </c>
      <c r="F61" s="32" t="n">
        <v>3.73346011686023</v>
      </c>
      <c r="G61" s="28" t="n">
        <v>2401.41280160142</v>
      </c>
      <c r="H61" s="28" t="n">
        <v>712.726758374478</v>
      </c>
      <c r="I61" s="6" t="s">
        <v>23</v>
      </c>
      <c r="J61" s="27" t="s">
        <v>5</v>
      </c>
      <c r="K61" s="27" t="s">
        <v>5</v>
      </c>
      <c r="L61" s="27" t="n">
        <v>2</v>
      </c>
      <c r="M61" s="27" t="s">
        <v>42</v>
      </c>
      <c r="N61" s="27" t="s">
        <v>2385</v>
      </c>
      <c r="O61" s="27" t="s">
        <v>44</v>
      </c>
      <c r="P61" s="27" t="s">
        <v>2405</v>
      </c>
      <c r="Q61" s="27" t="n">
        <v>27</v>
      </c>
      <c r="R61" s="27"/>
      <c r="S61" s="27" t="s">
        <v>41</v>
      </c>
      <c r="T61" s="27" t="s">
        <v>42</v>
      </c>
      <c r="U61" s="27"/>
      <c r="V61" s="27"/>
      <c r="W61" s="27"/>
      <c r="X61" s="27"/>
      <c r="Y61" s="27" t="s">
        <v>2387</v>
      </c>
      <c r="Z61" s="27" t="n">
        <v>-7.2136555</v>
      </c>
      <c r="AA61" s="27" t="n">
        <v>-48.2440675</v>
      </c>
      <c r="AB61" s="37" t="s">
        <v>2338</v>
      </c>
      <c r="AC61" s="27" t="s">
        <v>2388</v>
      </c>
    </row>
    <row r="62" customFormat="false" ht="15" hidden="false" customHeight="false" outlineLevel="0" collapsed="false">
      <c r="A62" s="27" t="n">
        <v>61</v>
      </c>
      <c r="B62" s="27" t="s">
        <v>745</v>
      </c>
      <c r="C62" s="27" t="s">
        <v>2407</v>
      </c>
      <c r="D62" s="27" t="s">
        <v>744</v>
      </c>
      <c r="E62" s="27" t="s">
        <v>746</v>
      </c>
      <c r="F62" s="32" t="n">
        <v>54.6197235290076</v>
      </c>
      <c r="G62" s="28" t="n">
        <v>2456.03252513043</v>
      </c>
      <c r="H62" s="28" t="n">
        <v>767.346481903485</v>
      </c>
      <c r="I62" s="6" t="s">
        <v>23</v>
      </c>
      <c r="J62" s="27" t="s">
        <v>5</v>
      </c>
      <c r="K62" s="27" t="s">
        <v>5</v>
      </c>
      <c r="L62" s="27" t="n">
        <v>2</v>
      </c>
      <c r="M62" s="27" t="s">
        <v>42</v>
      </c>
      <c r="N62" s="27" t="s">
        <v>2385</v>
      </c>
      <c r="O62" s="27" t="s">
        <v>44</v>
      </c>
      <c r="P62" s="27" t="s">
        <v>2405</v>
      </c>
      <c r="Q62" s="27" t="n">
        <v>27</v>
      </c>
      <c r="R62" s="27"/>
      <c r="S62" s="27" t="s">
        <v>41</v>
      </c>
      <c r="T62" s="27" t="s">
        <v>42</v>
      </c>
      <c r="U62" s="27"/>
      <c r="V62" s="27"/>
      <c r="W62" s="27"/>
      <c r="X62" s="27"/>
      <c r="Y62" s="27" t="s">
        <v>2387</v>
      </c>
      <c r="Z62" s="27" t="n">
        <v>-7.213892</v>
      </c>
      <c r="AA62" s="27" t="n">
        <v>-48.244182</v>
      </c>
      <c r="AB62" s="37" t="s">
        <v>2338</v>
      </c>
      <c r="AC62" s="27" t="s">
        <v>2388</v>
      </c>
    </row>
    <row r="63" customFormat="false" ht="15" hidden="false" customHeight="false" outlineLevel="0" collapsed="false">
      <c r="A63" s="27" t="n">
        <v>62</v>
      </c>
      <c r="B63" s="27" t="s">
        <v>747</v>
      </c>
      <c r="C63" s="27" t="s">
        <v>2408</v>
      </c>
      <c r="D63" s="27" t="s">
        <v>746</v>
      </c>
      <c r="E63" s="27" t="s">
        <v>748</v>
      </c>
      <c r="F63" s="32" t="n">
        <v>101.53202855838</v>
      </c>
      <c r="G63" s="28" t="n">
        <v>2557.56455368881</v>
      </c>
      <c r="H63" s="28" t="n">
        <v>868.878510461865</v>
      </c>
      <c r="I63" s="6" t="s">
        <v>23</v>
      </c>
      <c r="J63" s="27" t="s">
        <v>5</v>
      </c>
      <c r="K63" s="27" t="s">
        <v>5</v>
      </c>
      <c r="L63" s="27" t="n">
        <v>2</v>
      </c>
      <c r="M63" s="27" t="s">
        <v>42</v>
      </c>
      <c r="N63" s="27" t="s">
        <v>2385</v>
      </c>
      <c r="O63" s="27" t="s">
        <v>44</v>
      </c>
      <c r="P63" s="27" t="s">
        <v>2405</v>
      </c>
      <c r="Q63" s="27" t="n">
        <v>27</v>
      </c>
      <c r="R63" s="27"/>
      <c r="S63" s="27" t="s">
        <v>41</v>
      </c>
      <c r="T63" s="27" t="s">
        <v>42</v>
      </c>
      <c r="U63" s="27"/>
      <c r="V63" s="27"/>
      <c r="W63" s="27"/>
      <c r="X63" s="27"/>
      <c r="Y63" s="27" t="s">
        <v>2387</v>
      </c>
      <c r="Z63" s="27" t="n">
        <v>-7.214514</v>
      </c>
      <c r="AA63" s="27" t="n">
        <v>-48.24451</v>
      </c>
      <c r="AB63" s="37" t="s">
        <v>2338</v>
      </c>
      <c r="AC63" s="27" t="s">
        <v>2388</v>
      </c>
    </row>
    <row r="64" customFormat="false" ht="15" hidden="false" customHeight="false" outlineLevel="0" collapsed="false">
      <c r="A64" s="27" t="n">
        <v>63</v>
      </c>
      <c r="B64" s="27" t="s">
        <v>749</v>
      </c>
      <c r="C64" s="27" t="s">
        <v>2409</v>
      </c>
      <c r="D64" s="27" t="s">
        <v>748</v>
      </c>
      <c r="E64" s="27" t="s">
        <v>750</v>
      </c>
      <c r="F64" s="32" t="n">
        <v>32.781685416303</v>
      </c>
      <c r="G64" s="28" t="n">
        <v>2590.34623910511</v>
      </c>
      <c r="H64" s="28" t="n">
        <v>901.660195878168</v>
      </c>
      <c r="I64" s="6" t="s">
        <v>23</v>
      </c>
      <c r="J64" s="27" t="s">
        <v>5</v>
      </c>
      <c r="K64" s="27" t="s">
        <v>5</v>
      </c>
      <c r="L64" s="27" t="n">
        <v>2</v>
      </c>
      <c r="M64" s="27" t="s">
        <v>42</v>
      </c>
      <c r="N64" s="27" t="s">
        <v>2385</v>
      </c>
      <c r="O64" s="27" t="s">
        <v>44</v>
      </c>
      <c r="P64" s="27" t="s">
        <v>2410</v>
      </c>
      <c r="Q64" s="27" t="n">
        <v>26</v>
      </c>
      <c r="R64" s="27"/>
      <c r="S64" s="27" t="s">
        <v>41</v>
      </c>
      <c r="T64" s="27" t="s">
        <v>42</v>
      </c>
      <c r="U64" s="27"/>
      <c r="V64" s="27"/>
      <c r="W64" s="27"/>
      <c r="X64" s="27"/>
      <c r="Y64" s="27" t="s">
        <v>2387</v>
      </c>
      <c r="Z64" s="27" t="n">
        <v>-7.2150485</v>
      </c>
      <c r="AA64" s="27" t="n">
        <v>-48.244793</v>
      </c>
      <c r="AB64" s="37" t="s">
        <v>2338</v>
      </c>
      <c r="AC64" s="27" t="s">
        <v>2388</v>
      </c>
    </row>
    <row r="65" customFormat="false" ht="15" hidden="false" customHeight="false" outlineLevel="0" collapsed="false">
      <c r="A65" s="27" t="n">
        <v>64</v>
      </c>
      <c r="B65" s="27" t="s">
        <v>751</v>
      </c>
      <c r="C65" s="27" t="s">
        <v>2411</v>
      </c>
      <c r="D65" s="27" t="s">
        <v>750</v>
      </c>
      <c r="E65" s="27" t="s">
        <v>752</v>
      </c>
      <c r="F65" s="32" t="n">
        <v>1.79445365587393</v>
      </c>
      <c r="G65" s="28" t="n">
        <v>2592.14069276099</v>
      </c>
      <c r="H65" s="28" t="n">
        <v>903.454649534042</v>
      </c>
      <c r="I65" s="6" t="s">
        <v>23</v>
      </c>
      <c r="J65" s="27" t="s">
        <v>5</v>
      </c>
      <c r="K65" s="27" t="s">
        <v>5</v>
      </c>
      <c r="L65" s="27" t="n">
        <v>2</v>
      </c>
      <c r="M65" s="27" t="s">
        <v>42</v>
      </c>
      <c r="N65" s="27" t="s">
        <v>2385</v>
      </c>
      <c r="O65" s="27" t="s">
        <v>44</v>
      </c>
      <c r="P65" s="27" t="s">
        <v>2412</v>
      </c>
      <c r="Q65" s="27" t="n">
        <v>24</v>
      </c>
      <c r="R65" s="27"/>
      <c r="S65" s="27" t="s">
        <v>41</v>
      </c>
      <c r="T65" s="27" t="s">
        <v>42</v>
      </c>
      <c r="U65" s="27"/>
      <c r="V65" s="27"/>
      <c r="W65" s="27"/>
      <c r="X65" s="27"/>
      <c r="Y65" s="27" t="s">
        <v>2387</v>
      </c>
      <c r="Z65" s="27" t="n">
        <v>-7.2151895</v>
      </c>
      <c r="AA65" s="27" t="n">
        <v>-48.244859</v>
      </c>
      <c r="AB65" s="37" t="s">
        <v>2338</v>
      </c>
      <c r="AC65" s="27" t="s">
        <v>2388</v>
      </c>
    </row>
    <row r="66" customFormat="false" ht="15" hidden="false" customHeight="false" outlineLevel="0" collapsed="false">
      <c r="A66" s="27" t="n">
        <v>65</v>
      </c>
      <c r="B66" s="27" t="s">
        <v>753</v>
      </c>
      <c r="C66" s="27" t="s">
        <v>2413</v>
      </c>
      <c r="D66" s="27" t="s">
        <v>752</v>
      </c>
      <c r="E66" s="27" t="s">
        <v>754</v>
      </c>
      <c r="F66" s="32" t="n">
        <v>240.949254443757</v>
      </c>
      <c r="G66" s="28" t="n">
        <v>2833.08994720474</v>
      </c>
      <c r="H66" s="28" t="n">
        <v>1144.4039039778</v>
      </c>
      <c r="I66" s="6" t="s">
        <v>23</v>
      </c>
      <c r="J66" s="27" t="s">
        <v>5</v>
      </c>
      <c r="K66" s="27" t="s">
        <v>5</v>
      </c>
      <c r="L66" s="27" t="n">
        <v>2</v>
      </c>
      <c r="M66" s="27" t="s">
        <v>42</v>
      </c>
      <c r="N66" s="27" t="s">
        <v>2385</v>
      </c>
      <c r="O66" s="27" t="s">
        <v>44</v>
      </c>
      <c r="P66" s="27" t="s">
        <v>2412</v>
      </c>
      <c r="Q66" s="27" t="n">
        <v>24</v>
      </c>
      <c r="R66" s="27"/>
      <c r="S66" s="27" t="s">
        <v>41</v>
      </c>
      <c r="T66" s="27" t="s">
        <v>42</v>
      </c>
      <c r="U66" s="27"/>
      <c r="V66" s="27"/>
      <c r="W66" s="27"/>
      <c r="X66" s="27"/>
      <c r="Y66" s="27" t="s">
        <v>2387</v>
      </c>
      <c r="Z66" s="27" t="n">
        <v>-7.2161785</v>
      </c>
      <c r="AA66" s="27" t="n">
        <v>-48.2453245</v>
      </c>
      <c r="AB66" s="37" t="s">
        <v>2338</v>
      </c>
      <c r="AC66" s="27" t="s">
        <v>2388</v>
      </c>
    </row>
    <row r="67" customFormat="false" ht="15" hidden="false" customHeight="false" outlineLevel="0" collapsed="false">
      <c r="A67" s="27" t="n">
        <v>66</v>
      </c>
      <c r="B67" s="27" t="s">
        <v>755</v>
      </c>
      <c r="C67" s="27" t="s">
        <v>2414</v>
      </c>
      <c r="D67" s="27" t="s">
        <v>754</v>
      </c>
      <c r="E67" s="27" t="s">
        <v>756</v>
      </c>
      <c r="F67" s="32" t="n">
        <v>93.4618833621445</v>
      </c>
      <c r="G67" s="28" t="n">
        <v>2926.55183056689</v>
      </c>
      <c r="H67" s="28" t="n">
        <v>1237.86578733994</v>
      </c>
      <c r="I67" s="6" t="s">
        <v>23</v>
      </c>
      <c r="J67" s="27" t="s">
        <v>5</v>
      </c>
      <c r="K67" s="27" t="s">
        <v>5</v>
      </c>
      <c r="L67" s="27" t="n">
        <v>2</v>
      </c>
      <c r="M67" s="27" t="s">
        <v>42</v>
      </c>
      <c r="N67" s="27" t="s">
        <v>2385</v>
      </c>
      <c r="O67" s="27" t="s">
        <v>44</v>
      </c>
      <c r="P67" s="27" t="s">
        <v>2415</v>
      </c>
      <c r="Q67" s="27" t="n">
        <v>23</v>
      </c>
      <c r="R67" s="27"/>
      <c r="S67" s="27" t="s">
        <v>41</v>
      </c>
      <c r="T67" s="27" t="s">
        <v>42</v>
      </c>
      <c r="U67" s="27"/>
      <c r="V67" s="27"/>
      <c r="W67" s="27"/>
      <c r="X67" s="27"/>
      <c r="Y67" s="27" t="s">
        <v>2387</v>
      </c>
      <c r="Z67" s="27" t="n">
        <v>-7.2175445</v>
      </c>
      <c r="AA67" s="27" t="n">
        <v>-48.245958</v>
      </c>
      <c r="AB67" s="37" t="s">
        <v>2338</v>
      </c>
      <c r="AC67" s="27" t="s">
        <v>2388</v>
      </c>
    </row>
    <row r="68" customFormat="false" ht="15" hidden="false" customHeight="false" outlineLevel="0" collapsed="false">
      <c r="A68" s="27" t="n">
        <v>67</v>
      </c>
      <c r="B68" s="27" t="s">
        <v>757</v>
      </c>
      <c r="C68" s="27" t="s">
        <v>2416</v>
      </c>
      <c r="D68" s="27" t="s">
        <v>756</v>
      </c>
      <c r="E68" s="27" t="s">
        <v>758</v>
      </c>
      <c r="F68" s="32" t="n">
        <v>4.02526877112142</v>
      </c>
      <c r="G68" s="28" t="n">
        <v>2930.57709933801</v>
      </c>
      <c r="H68" s="28" t="n">
        <v>1241.89105611106</v>
      </c>
      <c r="I68" s="6" t="s">
        <v>23</v>
      </c>
      <c r="J68" s="27" t="s">
        <v>5</v>
      </c>
      <c r="K68" s="27" t="s">
        <v>5</v>
      </c>
      <c r="L68" s="27" t="n">
        <v>2</v>
      </c>
      <c r="M68" s="27" t="s">
        <v>42</v>
      </c>
      <c r="N68" s="27" t="s">
        <v>2385</v>
      </c>
      <c r="O68" s="27" t="s">
        <v>44</v>
      </c>
      <c r="P68" s="27" t="s">
        <v>2415</v>
      </c>
      <c r="Q68" s="27" t="n">
        <v>23</v>
      </c>
      <c r="R68" s="27" t="s">
        <v>759</v>
      </c>
      <c r="S68" s="27" t="s">
        <v>41</v>
      </c>
      <c r="T68" s="27" t="s">
        <v>42</v>
      </c>
      <c r="U68" s="27"/>
      <c r="V68" s="27"/>
      <c r="W68" s="27"/>
      <c r="X68" s="27"/>
      <c r="Y68" s="27" t="s">
        <v>2387</v>
      </c>
      <c r="Z68" s="27" t="n">
        <v>-7.2179125</v>
      </c>
      <c r="AA68" s="27" t="n">
        <v>-48.2461215</v>
      </c>
      <c r="AB68" s="37" t="s">
        <v>2338</v>
      </c>
      <c r="AC68" s="27" t="s">
        <v>2388</v>
      </c>
    </row>
    <row r="69" customFormat="false" ht="15" hidden="false" customHeight="false" outlineLevel="0" collapsed="false">
      <c r="A69" s="27" t="n">
        <v>68</v>
      </c>
      <c r="B69" s="27" t="s">
        <v>760</v>
      </c>
      <c r="C69" s="27" t="s">
        <v>2417</v>
      </c>
      <c r="D69" s="27" t="s">
        <v>758</v>
      </c>
      <c r="E69" s="27" t="s">
        <v>761</v>
      </c>
      <c r="F69" s="32" t="n">
        <v>40.0410211089915</v>
      </c>
      <c r="G69" s="28" t="n">
        <v>2970.618120447</v>
      </c>
      <c r="H69" s="28" t="n">
        <v>1281.93207722006</v>
      </c>
      <c r="I69" s="6" t="s">
        <v>23</v>
      </c>
      <c r="J69" s="27" t="s">
        <v>5</v>
      </c>
      <c r="K69" s="27" t="s">
        <v>5</v>
      </c>
      <c r="L69" s="27" t="n">
        <v>2</v>
      </c>
      <c r="M69" s="27" t="s">
        <v>42</v>
      </c>
      <c r="N69" s="27" t="s">
        <v>2385</v>
      </c>
      <c r="O69" s="27" t="s">
        <v>44</v>
      </c>
      <c r="P69" s="27" t="s">
        <v>2415</v>
      </c>
      <c r="Q69" s="27" t="n">
        <v>23</v>
      </c>
      <c r="R69" s="27"/>
      <c r="S69" s="27" t="s">
        <v>41</v>
      </c>
      <c r="T69" s="27" t="s">
        <v>42</v>
      </c>
      <c r="U69" s="27"/>
      <c r="V69" s="27"/>
      <c r="W69" s="27"/>
      <c r="X69" s="27"/>
      <c r="Y69" s="27" t="s">
        <v>2387</v>
      </c>
      <c r="Z69" s="27" t="n">
        <v>-7.2180685</v>
      </c>
      <c r="AA69" s="27" t="n">
        <v>-48.246166</v>
      </c>
      <c r="AB69" s="37" t="s">
        <v>2338</v>
      </c>
      <c r="AC69" s="27" t="s">
        <v>2388</v>
      </c>
    </row>
    <row r="70" customFormat="false" ht="15" hidden="false" customHeight="false" outlineLevel="0" collapsed="false">
      <c r="A70" s="27" t="n">
        <v>69</v>
      </c>
      <c r="B70" s="27" t="s">
        <v>762</v>
      </c>
      <c r="C70" s="27" t="s">
        <v>2418</v>
      </c>
      <c r="D70" s="27" t="s">
        <v>761</v>
      </c>
      <c r="E70" s="27" t="s">
        <v>763</v>
      </c>
      <c r="F70" s="32" t="n">
        <v>92.1568393946471</v>
      </c>
      <c r="G70" s="28" t="n">
        <v>3062.77495984165</v>
      </c>
      <c r="H70" s="28" t="n">
        <v>1374.0889166147</v>
      </c>
      <c r="I70" s="6" t="s">
        <v>23</v>
      </c>
      <c r="J70" s="27" t="s">
        <v>5</v>
      </c>
      <c r="K70" s="27" t="s">
        <v>5</v>
      </c>
      <c r="L70" s="27" t="n">
        <v>2</v>
      </c>
      <c r="M70" s="27" t="s">
        <v>42</v>
      </c>
      <c r="N70" s="27" t="s">
        <v>2385</v>
      </c>
      <c r="O70" s="27" t="s">
        <v>44</v>
      </c>
      <c r="P70" s="27" t="s">
        <v>2419</v>
      </c>
      <c r="Q70" s="27" t="n">
        <v>22</v>
      </c>
      <c r="R70" s="27"/>
      <c r="S70" s="27" t="s">
        <v>41</v>
      </c>
      <c r="T70" s="27" t="s">
        <v>42</v>
      </c>
      <c r="U70" s="27"/>
      <c r="V70" s="27"/>
      <c r="W70" s="27"/>
      <c r="X70" s="27"/>
      <c r="Y70" s="27" t="s">
        <v>2387</v>
      </c>
      <c r="Z70" s="27" t="n">
        <v>-7.2186175</v>
      </c>
      <c r="AA70" s="27" t="n">
        <v>-48.2463925</v>
      </c>
      <c r="AB70" s="37" t="s">
        <v>2338</v>
      </c>
      <c r="AC70" s="27" t="s">
        <v>2388</v>
      </c>
    </row>
    <row r="71" customFormat="false" ht="15" hidden="false" customHeight="false" outlineLevel="0" collapsed="false">
      <c r="A71" s="27" t="n">
        <v>70</v>
      </c>
      <c r="B71" s="27" t="s">
        <v>764</v>
      </c>
      <c r="C71" s="27" t="s">
        <v>2420</v>
      </c>
      <c r="D71" s="27" t="s">
        <v>763</v>
      </c>
      <c r="E71" s="27" t="s">
        <v>765</v>
      </c>
      <c r="F71" s="32" t="n">
        <v>2.27578752811963</v>
      </c>
      <c r="G71" s="28" t="n">
        <v>3065.05074736977</v>
      </c>
      <c r="H71" s="28" t="n">
        <v>1376.36470414282</v>
      </c>
      <c r="I71" s="6" t="s">
        <v>23</v>
      </c>
      <c r="J71" s="27" t="s">
        <v>5</v>
      </c>
      <c r="K71" s="27" t="s">
        <v>5</v>
      </c>
      <c r="L71" s="27" t="n">
        <v>2</v>
      </c>
      <c r="M71" s="27" t="s">
        <v>42</v>
      </c>
      <c r="N71" s="27" t="s">
        <v>2385</v>
      </c>
      <c r="O71" s="27" t="s">
        <v>44</v>
      </c>
      <c r="P71" s="27" t="s">
        <v>2421</v>
      </c>
      <c r="Q71" s="27" t="n">
        <v>20</v>
      </c>
      <c r="R71" s="27" t="s">
        <v>766</v>
      </c>
      <c r="S71" s="27" t="s">
        <v>41</v>
      </c>
      <c r="T71" s="27" t="s">
        <v>42</v>
      </c>
      <c r="U71" s="27"/>
      <c r="V71" s="27"/>
      <c r="W71" s="27"/>
      <c r="X71" s="27"/>
      <c r="Y71" s="27" t="s">
        <v>2387</v>
      </c>
      <c r="Z71" s="27" t="n">
        <v>-7.218999</v>
      </c>
      <c r="AA71" s="27" t="n">
        <v>-48.246558</v>
      </c>
      <c r="AB71" s="37" t="s">
        <v>2338</v>
      </c>
      <c r="AC71" s="27" t="s">
        <v>2388</v>
      </c>
    </row>
    <row r="72" customFormat="false" ht="15" hidden="false" customHeight="false" outlineLevel="0" collapsed="false">
      <c r="A72" s="27" t="n">
        <v>71</v>
      </c>
      <c r="B72" s="27" t="s">
        <v>767</v>
      </c>
      <c r="C72" s="27" t="s">
        <v>2422</v>
      </c>
      <c r="D72" s="27" t="s">
        <v>765</v>
      </c>
      <c r="E72" s="27" t="s">
        <v>768</v>
      </c>
      <c r="F72" s="32" t="n">
        <v>19.5683449154425</v>
      </c>
      <c r="G72" s="28" t="n">
        <v>3084.61909228521</v>
      </c>
      <c r="H72" s="28" t="n">
        <v>1395.93304905827</v>
      </c>
      <c r="I72" s="6" t="s">
        <v>23</v>
      </c>
      <c r="J72" s="27" t="s">
        <v>5</v>
      </c>
      <c r="K72" s="27" t="s">
        <v>5</v>
      </c>
      <c r="L72" s="27" t="n">
        <v>2</v>
      </c>
      <c r="M72" s="27" t="s">
        <v>42</v>
      </c>
      <c r="N72" s="27" t="s">
        <v>2385</v>
      </c>
      <c r="O72" s="27" t="s">
        <v>44</v>
      </c>
      <c r="P72" s="27" t="s">
        <v>2421</v>
      </c>
      <c r="Q72" s="27" t="n">
        <v>20</v>
      </c>
      <c r="R72" s="27"/>
      <c r="S72" s="27" t="s">
        <v>41</v>
      </c>
      <c r="T72" s="27" t="s">
        <v>42</v>
      </c>
      <c r="U72" s="27"/>
      <c r="V72" s="27"/>
      <c r="W72" s="27"/>
      <c r="X72" s="27"/>
      <c r="Y72" s="27" t="s">
        <v>2387</v>
      </c>
      <c r="Z72" s="27" t="n">
        <v>-7.219044</v>
      </c>
      <c r="AA72" s="27" t="n">
        <v>-48.24647</v>
      </c>
      <c r="AB72" s="37" t="s">
        <v>2338</v>
      </c>
      <c r="AC72" s="27" t="s">
        <v>2388</v>
      </c>
    </row>
    <row r="73" customFormat="false" ht="15" hidden="false" customHeight="false" outlineLevel="0" collapsed="false">
      <c r="A73" s="27" t="n">
        <v>72</v>
      </c>
      <c r="B73" s="27" t="s">
        <v>769</v>
      </c>
      <c r="C73" s="27" t="s">
        <v>2423</v>
      </c>
      <c r="D73" s="27" t="s">
        <v>768</v>
      </c>
      <c r="E73" s="27" t="s">
        <v>770</v>
      </c>
      <c r="F73" s="32" t="n">
        <v>1.38476415106801</v>
      </c>
      <c r="G73" s="28" t="n">
        <v>3086.00385643628</v>
      </c>
      <c r="H73" s="28" t="n">
        <v>1397.31781320933</v>
      </c>
      <c r="I73" s="6" t="s">
        <v>23</v>
      </c>
      <c r="J73" s="27" t="s">
        <v>5</v>
      </c>
      <c r="K73" s="27" t="s">
        <v>5</v>
      </c>
      <c r="L73" s="27" t="n">
        <v>2</v>
      </c>
      <c r="M73" s="27" t="s">
        <v>42</v>
      </c>
      <c r="N73" s="27" t="s">
        <v>2385</v>
      </c>
      <c r="O73" s="27" t="s">
        <v>44</v>
      </c>
      <c r="P73" s="27" t="s">
        <v>2421</v>
      </c>
      <c r="Q73" s="27" t="n">
        <v>20</v>
      </c>
      <c r="R73" s="27"/>
      <c r="S73" s="27" t="s">
        <v>41</v>
      </c>
      <c r="T73" s="27" t="s">
        <v>42</v>
      </c>
      <c r="U73" s="27"/>
      <c r="V73" s="27"/>
      <c r="W73" s="27"/>
      <c r="X73" s="27"/>
      <c r="Y73" s="27" t="s">
        <v>2387</v>
      </c>
      <c r="Z73" s="27" t="n">
        <v>-7.219087</v>
      </c>
      <c r="AA73" s="27" t="n">
        <v>-48.2463855</v>
      </c>
      <c r="AB73" s="37" t="s">
        <v>2338</v>
      </c>
      <c r="AC73" s="27" t="s">
        <v>2388</v>
      </c>
    </row>
    <row r="74" customFormat="false" ht="15" hidden="false" customHeight="false" outlineLevel="0" collapsed="false">
      <c r="A74" s="27" t="n">
        <v>73</v>
      </c>
      <c r="B74" s="27" t="s">
        <v>771</v>
      </c>
      <c r="C74" s="27" t="s">
        <v>2424</v>
      </c>
      <c r="D74" s="27" t="s">
        <v>770</v>
      </c>
      <c r="E74" s="27" t="s">
        <v>772</v>
      </c>
      <c r="F74" s="32" t="n">
        <v>13.5885126595742</v>
      </c>
      <c r="G74" s="28" t="n">
        <v>3099.59236909585</v>
      </c>
      <c r="H74" s="28" t="n">
        <v>13.588512659574</v>
      </c>
      <c r="I74" s="6" t="s">
        <v>23</v>
      </c>
      <c r="J74" s="27" t="s">
        <v>5</v>
      </c>
      <c r="K74" s="27" t="s">
        <v>5</v>
      </c>
      <c r="L74" s="27" t="n">
        <v>3</v>
      </c>
      <c r="M74" s="27" t="s">
        <v>44</v>
      </c>
      <c r="N74" s="27" t="s">
        <v>2385</v>
      </c>
      <c r="O74" s="27" t="s">
        <v>46</v>
      </c>
      <c r="P74" s="27" t="s">
        <v>2425</v>
      </c>
      <c r="Q74" s="27" t="n">
        <v>19</v>
      </c>
      <c r="R74" s="27"/>
      <c r="S74" s="27" t="s">
        <v>41</v>
      </c>
      <c r="T74" s="27" t="s">
        <v>42</v>
      </c>
      <c r="U74" s="27" t="s">
        <v>44</v>
      </c>
      <c r="V74" s="27"/>
      <c r="W74" s="27"/>
      <c r="X74" s="27"/>
      <c r="Y74" s="27" t="s">
        <v>2426</v>
      </c>
      <c r="Z74" s="27" t="n">
        <v>-7.2191175</v>
      </c>
      <c r="AA74" s="27" t="n">
        <v>-48.246325</v>
      </c>
      <c r="AB74" s="37" t="s">
        <v>2338</v>
      </c>
      <c r="AC74" s="27" t="s">
        <v>2427</v>
      </c>
    </row>
    <row r="75" customFormat="false" ht="15" hidden="false" customHeight="false" outlineLevel="0" collapsed="false">
      <c r="A75" s="27" t="n">
        <v>74</v>
      </c>
      <c r="B75" s="27" t="s">
        <v>773</v>
      </c>
      <c r="C75" s="27" t="s">
        <v>2428</v>
      </c>
      <c r="D75" s="27" t="s">
        <v>772</v>
      </c>
      <c r="E75" s="27" t="s">
        <v>774</v>
      </c>
      <c r="F75" s="32" t="n">
        <v>195.036131618894</v>
      </c>
      <c r="G75" s="28" t="n">
        <v>3294.62850071475</v>
      </c>
      <c r="H75" s="28" t="n">
        <v>208.624644278468</v>
      </c>
      <c r="I75" s="6" t="s">
        <v>23</v>
      </c>
      <c r="J75" s="27" t="s">
        <v>5</v>
      </c>
      <c r="K75" s="27" t="s">
        <v>5</v>
      </c>
      <c r="L75" s="27" t="n">
        <v>3</v>
      </c>
      <c r="M75" s="27" t="s">
        <v>44</v>
      </c>
      <c r="N75" s="27" t="s">
        <v>2385</v>
      </c>
      <c r="O75" s="27" t="s">
        <v>46</v>
      </c>
      <c r="P75" s="27" t="s">
        <v>2425</v>
      </c>
      <c r="Q75" s="27" t="n">
        <v>19</v>
      </c>
      <c r="R75" s="27"/>
      <c r="S75" s="27" t="s">
        <v>41</v>
      </c>
      <c r="T75" s="27" t="s">
        <v>42</v>
      </c>
      <c r="U75" s="27" t="s">
        <v>44</v>
      </c>
      <c r="V75" s="27"/>
      <c r="W75" s="27"/>
      <c r="X75" s="27"/>
      <c r="Y75" s="27" t="s">
        <v>2426</v>
      </c>
      <c r="Z75" s="27" t="n">
        <v>-7.2195085</v>
      </c>
      <c r="AA75" s="27" t="n">
        <v>-48.2454655</v>
      </c>
      <c r="AB75" s="37" t="s">
        <v>2338</v>
      </c>
      <c r="AC75" s="27" t="s">
        <v>2427</v>
      </c>
    </row>
    <row r="76" customFormat="false" ht="15" hidden="false" customHeight="false" outlineLevel="0" collapsed="false">
      <c r="A76" s="27" t="n">
        <v>75</v>
      </c>
      <c r="B76" s="27" t="s">
        <v>775</v>
      </c>
      <c r="C76" s="27" t="s">
        <v>2429</v>
      </c>
      <c r="D76" s="27" t="s">
        <v>774</v>
      </c>
      <c r="E76" s="27" t="s">
        <v>776</v>
      </c>
      <c r="F76" s="32" t="n">
        <v>42.6625417144517</v>
      </c>
      <c r="G76" s="28" t="n">
        <v>3337.2910424292</v>
      </c>
      <c r="H76" s="28" t="n">
        <v>251.28718599292</v>
      </c>
      <c r="I76" s="6" t="s">
        <v>23</v>
      </c>
      <c r="J76" s="27" t="s">
        <v>5</v>
      </c>
      <c r="K76" s="27" t="s">
        <v>5</v>
      </c>
      <c r="L76" s="27" t="n">
        <v>3</v>
      </c>
      <c r="M76" s="27" t="s">
        <v>44</v>
      </c>
      <c r="N76" s="27" t="s">
        <v>2385</v>
      </c>
      <c r="O76" s="27" t="s">
        <v>46</v>
      </c>
      <c r="P76" s="27" t="s">
        <v>2430</v>
      </c>
      <c r="Q76" s="27" t="n">
        <v>16</v>
      </c>
      <c r="R76" s="27"/>
      <c r="S76" s="27" t="s">
        <v>41</v>
      </c>
      <c r="T76" s="27" t="s">
        <v>42</v>
      </c>
      <c r="U76" s="27" t="s">
        <v>44</v>
      </c>
      <c r="V76" s="27"/>
      <c r="W76" s="27"/>
      <c r="X76" s="27"/>
      <c r="Y76" s="27" t="s">
        <v>2426</v>
      </c>
      <c r="Z76" s="27" t="n">
        <v>-7.2199625</v>
      </c>
      <c r="AA76" s="27" t="n">
        <v>-48.2444905</v>
      </c>
      <c r="AB76" s="37" t="s">
        <v>2338</v>
      </c>
      <c r="AC76" s="27" t="s">
        <v>2427</v>
      </c>
    </row>
    <row r="77" customFormat="false" ht="15" hidden="false" customHeight="false" outlineLevel="0" collapsed="false">
      <c r="A77" s="27" t="n">
        <v>76</v>
      </c>
      <c r="B77" s="27" t="s">
        <v>777</v>
      </c>
      <c r="C77" s="27" t="s">
        <v>2431</v>
      </c>
      <c r="D77" s="27" t="s">
        <v>776</v>
      </c>
      <c r="E77" s="27" t="s">
        <v>778</v>
      </c>
      <c r="F77" s="32" t="n">
        <v>3.70096841812374</v>
      </c>
      <c r="G77" s="28" t="n">
        <v>3340.99201084732</v>
      </c>
      <c r="H77" s="28" t="n">
        <v>254.988154411044</v>
      </c>
      <c r="I77" s="6" t="s">
        <v>23</v>
      </c>
      <c r="J77" s="27" t="s">
        <v>5</v>
      </c>
      <c r="K77" s="27" t="s">
        <v>5</v>
      </c>
      <c r="L77" s="27" t="n">
        <v>3</v>
      </c>
      <c r="M77" s="27" t="s">
        <v>44</v>
      </c>
      <c r="N77" s="27" t="s">
        <v>2385</v>
      </c>
      <c r="O77" s="27" t="s">
        <v>46</v>
      </c>
      <c r="P77" s="27" t="s">
        <v>2430</v>
      </c>
      <c r="Q77" s="27" t="n">
        <v>16</v>
      </c>
      <c r="R77" s="27"/>
      <c r="S77" s="27" t="s">
        <v>41</v>
      </c>
      <c r="T77" s="27" t="s">
        <v>42</v>
      </c>
      <c r="U77" s="27" t="s">
        <v>44</v>
      </c>
      <c r="V77" s="27"/>
      <c r="W77" s="27"/>
      <c r="X77" s="27"/>
      <c r="Y77" s="27" t="s">
        <v>2426</v>
      </c>
      <c r="Z77" s="27" t="n">
        <v>-7.220056</v>
      </c>
      <c r="AA77" s="27" t="n">
        <v>-48.2443035</v>
      </c>
      <c r="AB77" s="37" t="s">
        <v>2338</v>
      </c>
      <c r="AC77" s="27" t="s">
        <v>2427</v>
      </c>
    </row>
    <row r="78" customFormat="false" ht="15" hidden="false" customHeight="false" outlineLevel="0" collapsed="false">
      <c r="A78" s="27" t="n">
        <v>77</v>
      </c>
      <c r="B78" s="27" t="s">
        <v>779</v>
      </c>
      <c r="C78" s="27" t="s">
        <v>2432</v>
      </c>
      <c r="D78" s="27" t="s">
        <v>778</v>
      </c>
      <c r="E78" s="27" t="s">
        <v>780</v>
      </c>
      <c r="F78" s="32" t="n">
        <v>76.5867317196167</v>
      </c>
      <c r="G78" s="28" t="n">
        <v>3417.57874256694</v>
      </c>
      <c r="H78" s="28" t="n">
        <v>331.574886130661</v>
      </c>
      <c r="I78" s="6" t="s">
        <v>23</v>
      </c>
      <c r="J78" s="27" t="s">
        <v>5</v>
      </c>
      <c r="K78" s="27" t="s">
        <v>5</v>
      </c>
      <c r="L78" s="27" t="n">
        <v>3</v>
      </c>
      <c r="M78" s="27" t="s">
        <v>44</v>
      </c>
      <c r="N78" s="27" t="s">
        <v>2385</v>
      </c>
      <c r="O78" s="27" t="s">
        <v>46</v>
      </c>
      <c r="P78" s="27" t="s">
        <v>2430</v>
      </c>
      <c r="Q78" s="27" t="n">
        <v>16</v>
      </c>
      <c r="R78" s="27"/>
      <c r="S78" s="27" t="s">
        <v>41</v>
      </c>
      <c r="T78" s="27" t="s">
        <v>42</v>
      </c>
      <c r="U78" s="27" t="s">
        <v>44</v>
      </c>
      <c r="V78" s="27"/>
      <c r="W78" s="27"/>
      <c r="X78" s="27"/>
      <c r="Y78" s="27" t="s">
        <v>2426</v>
      </c>
      <c r="Z78" s="27" t="n">
        <v>-7.219992</v>
      </c>
      <c r="AA78" s="27" t="n">
        <v>-48.2439465</v>
      </c>
      <c r="AB78" s="37" t="s">
        <v>2338</v>
      </c>
      <c r="AC78" s="27" t="s">
        <v>2427</v>
      </c>
    </row>
    <row r="79" customFormat="false" ht="15" hidden="false" customHeight="false" outlineLevel="0" collapsed="false">
      <c r="A79" s="27" t="n">
        <v>78</v>
      </c>
      <c r="B79" s="27" t="s">
        <v>781</v>
      </c>
      <c r="C79" s="27" t="s">
        <v>2433</v>
      </c>
      <c r="D79" s="27" t="s">
        <v>780</v>
      </c>
      <c r="E79" s="27" t="s">
        <v>782</v>
      </c>
      <c r="F79" s="32" t="n">
        <v>75.0960774457571</v>
      </c>
      <c r="G79" s="28" t="n">
        <v>3492.6748200127</v>
      </c>
      <c r="H79" s="28" t="n">
        <v>406.670963576418</v>
      </c>
      <c r="I79" s="6" t="s">
        <v>23</v>
      </c>
      <c r="J79" s="27" t="s">
        <v>5</v>
      </c>
      <c r="K79" s="27" t="s">
        <v>5</v>
      </c>
      <c r="L79" s="27" t="n">
        <v>3</v>
      </c>
      <c r="M79" s="27" t="s">
        <v>44</v>
      </c>
      <c r="N79" s="27" t="s">
        <v>2385</v>
      </c>
      <c r="O79" s="27" t="s">
        <v>46</v>
      </c>
      <c r="P79" s="27" t="s">
        <v>2430</v>
      </c>
      <c r="Q79" s="27" t="n">
        <v>16</v>
      </c>
      <c r="R79" s="27"/>
      <c r="S79" s="27" t="s">
        <v>41</v>
      </c>
      <c r="T79" s="27" t="s">
        <v>42</v>
      </c>
      <c r="U79" s="27" t="s">
        <v>44</v>
      </c>
      <c r="V79" s="27"/>
      <c r="W79" s="27"/>
      <c r="X79" s="27"/>
      <c r="Y79" s="27" t="s">
        <v>2426</v>
      </c>
      <c r="Z79" s="27" t="n">
        <v>-7.219833</v>
      </c>
      <c r="AA79" s="27" t="n">
        <v>-48.2432785</v>
      </c>
      <c r="AB79" s="37" t="s">
        <v>2338</v>
      </c>
      <c r="AC79" s="27" t="s">
        <v>2427</v>
      </c>
    </row>
    <row r="80" customFormat="false" ht="15" hidden="false" customHeight="false" outlineLevel="0" collapsed="false">
      <c r="A80" s="27" t="n">
        <v>79</v>
      </c>
      <c r="B80" s="27" t="s">
        <v>783</v>
      </c>
      <c r="C80" s="27" t="s">
        <v>2434</v>
      </c>
      <c r="D80" s="27" t="s">
        <v>782</v>
      </c>
      <c r="E80" s="27" t="s">
        <v>784</v>
      </c>
      <c r="F80" s="32" t="n">
        <v>3.74745068652364</v>
      </c>
      <c r="G80" s="28" t="n">
        <v>3496.42227069922</v>
      </c>
      <c r="H80" s="28" t="n">
        <v>410.418414262942</v>
      </c>
      <c r="I80" s="6" t="s">
        <v>23</v>
      </c>
      <c r="J80" s="27" t="s">
        <v>5</v>
      </c>
      <c r="K80" s="27" t="s">
        <v>5</v>
      </c>
      <c r="L80" s="27" t="n">
        <v>3</v>
      </c>
      <c r="M80" s="27" t="s">
        <v>44</v>
      </c>
      <c r="N80" s="27" t="s">
        <v>2385</v>
      </c>
      <c r="O80" s="27" t="s">
        <v>46</v>
      </c>
      <c r="P80" s="27" t="s">
        <v>2430</v>
      </c>
      <c r="Q80" s="27" t="n">
        <v>16</v>
      </c>
      <c r="R80" s="27"/>
      <c r="S80" s="27" t="s">
        <v>41</v>
      </c>
      <c r="T80" s="27" t="s">
        <v>42</v>
      </c>
      <c r="U80" s="27" t="s">
        <v>44</v>
      </c>
      <c r="V80" s="27"/>
      <c r="W80" s="27"/>
      <c r="X80" s="27"/>
      <c r="Y80" s="27" t="s">
        <v>2426</v>
      </c>
      <c r="Z80" s="27" t="n">
        <v>-7.219737</v>
      </c>
      <c r="AA80" s="27" t="n">
        <v>-48.2429345</v>
      </c>
      <c r="AB80" s="37" t="s">
        <v>2338</v>
      </c>
      <c r="AC80" s="27" t="s">
        <v>2427</v>
      </c>
    </row>
    <row r="81" customFormat="false" ht="15" hidden="false" customHeight="false" outlineLevel="0" collapsed="false">
      <c r="A81" s="27" t="n">
        <v>80</v>
      </c>
      <c r="B81" s="27" t="s">
        <v>785</v>
      </c>
      <c r="C81" s="27" t="s">
        <v>2435</v>
      </c>
      <c r="D81" s="27" t="s">
        <v>784</v>
      </c>
      <c r="E81" s="27" t="s">
        <v>786</v>
      </c>
      <c r="F81" s="32" t="n">
        <v>124.628606079747</v>
      </c>
      <c r="G81" s="28" t="n">
        <v>3621.05087677897</v>
      </c>
      <c r="H81" s="28" t="n">
        <v>535.047020342688</v>
      </c>
      <c r="I81" s="6" t="s">
        <v>23</v>
      </c>
      <c r="J81" s="27" t="s">
        <v>5</v>
      </c>
      <c r="K81" s="27" t="s">
        <v>5</v>
      </c>
      <c r="L81" s="27" t="n">
        <v>3</v>
      </c>
      <c r="M81" s="27" t="s">
        <v>44</v>
      </c>
      <c r="N81" s="27" t="s">
        <v>2385</v>
      </c>
      <c r="O81" s="27" t="s">
        <v>46</v>
      </c>
      <c r="P81" s="27" t="s">
        <v>2430</v>
      </c>
      <c r="Q81" s="27" t="n">
        <v>16</v>
      </c>
      <c r="R81" s="27"/>
      <c r="S81" s="27" t="s">
        <v>41</v>
      </c>
      <c r="T81" s="27" t="s">
        <v>42</v>
      </c>
      <c r="U81" s="27" t="s">
        <v>44</v>
      </c>
      <c r="V81" s="27"/>
      <c r="W81" s="27"/>
      <c r="X81" s="27"/>
      <c r="Y81" s="27" t="s">
        <v>2426</v>
      </c>
      <c r="Z81" s="27" t="n">
        <v>-7.2195685</v>
      </c>
      <c r="AA81" s="27" t="n">
        <v>-48.242378</v>
      </c>
      <c r="AB81" s="37" t="s">
        <v>2338</v>
      </c>
      <c r="AC81" s="27" t="s">
        <v>2427</v>
      </c>
    </row>
    <row r="82" customFormat="false" ht="15" hidden="false" customHeight="false" outlineLevel="0" collapsed="false">
      <c r="A82" s="27" t="n">
        <v>81</v>
      </c>
      <c r="B82" s="27" t="s">
        <v>787</v>
      </c>
      <c r="C82" s="27" t="s">
        <v>2436</v>
      </c>
      <c r="D82" s="27" t="s">
        <v>786</v>
      </c>
      <c r="E82" s="27" t="s">
        <v>788</v>
      </c>
      <c r="F82" s="32" t="n">
        <v>26.0712295156119</v>
      </c>
      <c r="G82" s="28" t="n">
        <v>3647.12210629458</v>
      </c>
      <c r="H82" s="28" t="n">
        <v>561.1182498583</v>
      </c>
      <c r="I82" s="6" t="s">
        <v>23</v>
      </c>
      <c r="J82" s="27" t="s">
        <v>5</v>
      </c>
      <c r="K82" s="27" t="s">
        <v>5</v>
      </c>
      <c r="L82" s="27" t="n">
        <v>3</v>
      </c>
      <c r="M82" s="27" t="s">
        <v>44</v>
      </c>
      <c r="N82" s="27" t="s">
        <v>2385</v>
      </c>
      <c r="O82" s="27" t="s">
        <v>46</v>
      </c>
      <c r="P82" s="27" t="s">
        <v>2437</v>
      </c>
      <c r="Q82" s="27" t="n">
        <v>3</v>
      </c>
      <c r="R82" s="27"/>
      <c r="S82" s="27" t="s">
        <v>41</v>
      </c>
      <c r="T82" s="27" t="s">
        <v>42</v>
      </c>
      <c r="U82" s="27" t="s">
        <v>44</v>
      </c>
      <c r="V82" s="27"/>
      <c r="W82" s="27"/>
      <c r="X82" s="27"/>
      <c r="Y82" s="27" t="s">
        <v>2426</v>
      </c>
      <c r="Z82" s="27" t="n">
        <v>-7.219513</v>
      </c>
      <c r="AA82" s="27" t="n">
        <v>-48.2417945</v>
      </c>
      <c r="AB82" s="37" t="s">
        <v>2338</v>
      </c>
      <c r="AC82" s="27" t="s">
        <v>2427</v>
      </c>
    </row>
    <row r="83" customFormat="false" ht="15" hidden="false" customHeight="false" outlineLevel="0" collapsed="false">
      <c r="A83" s="27" t="n">
        <v>82</v>
      </c>
      <c r="B83" s="27" t="s">
        <v>789</v>
      </c>
      <c r="C83" s="27" t="s">
        <v>2438</v>
      </c>
      <c r="D83" s="27" t="s">
        <v>788</v>
      </c>
      <c r="E83" s="27" t="s">
        <v>790</v>
      </c>
      <c r="F83" s="32" t="n">
        <v>3.55821888637034</v>
      </c>
      <c r="G83" s="28" t="n">
        <v>3650.68032518095</v>
      </c>
      <c r="H83" s="28" t="n">
        <v>564.67646874467</v>
      </c>
      <c r="I83" s="6" t="s">
        <v>23</v>
      </c>
      <c r="J83" s="27" t="s">
        <v>5</v>
      </c>
      <c r="K83" s="27" t="s">
        <v>5</v>
      </c>
      <c r="L83" s="27" t="n">
        <v>3</v>
      </c>
      <c r="M83" s="27" t="s">
        <v>44</v>
      </c>
      <c r="N83" s="27" t="s">
        <v>2385</v>
      </c>
      <c r="O83" s="27" t="s">
        <v>46</v>
      </c>
      <c r="P83" s="27" t="s">
        <v>2437</v>
      </c>
      <c r="Q83" s="27" t="n">
        <v>3</v>
      </c>
      <c r="R83" s="27"/>
      <c r="S83" s="27" t="s">
        <v>41</v>
      </c>
      <c r="T83" s="27" t="s">
        <v>42</v>
      </c>
      <c r="U83" s="27" t="s">
        <v>44</v>
      </c>
      <c r="V83" s="27"/>
      <c r="W83" s="27"/>
      <c r="X83" s="27"/>
      <c r="Y83" s="27" t="s">
        <v>2426</v>
      </c>
      <c r="Z83" s="27" t="n">
        <v>-7.2196375</v>
      </c>
      <c r="AA83" s="27" t="n">
        <v>-48.241747</v>
      </c>
      <c r="AB83" s="37" t="s">
        <v>2338</v>
      </c>
      <c r="AC83" s="27" t="s">
        <v>2427</v>
      </c>
    </row>
    <row r="84" customFormat="false" ht="15" hidden="false" customHeight="false" outlineLevel="0" collapsed="false">
      <c r="A84" s="27" t="n">
        <v>83</v>
      </c>
      <c r="B84" s="27" t="s">
        <v>791</v>
      </c>
      <c r="C84" s="27" t="s">
        <v>2439</v>
      </c>
      <c r="D84" s="27" t="s">
        <v>786</v>
      </c>
      <c r="E84" s="27" t="s">
        <v>792</v>
      </c>
      <c r="F84" s="32" t="n">
        <v>47.7922003285466</v>
      </c>
      <c r="G84" s="28" t="n">
        <v>3668.84307710751</v>
      </c>
      <c r="H84" s="28" t="n">
        <v>582.839220671235</v>
      </c>
      <c r="I84" s="6" t="s">
        <v>23</v>
      </c>
      <c r="J84" s="27" t="s">
        <v>5</v>
      </c>
      <c r="K84" s="27" t="s">
        <v>5</v>
      </c>
      <c r="L84" s="27" t="n">
        <v>3</v>
      </c>
      <c r="M84" s="27" t="s">
        <v>44</v>
      </c>
      <c r="N84" s="27" t="s">
        <v>2385</v>
      </c>
      <c r="O84" s="27" t="s">
        <v>46</v>
      </c>
      <c r="P84" s="27" t="s">
        <v>2440</v>
      </c>
      <c r="Q84" s="27" t="n">
        <v>13</v>
      </c>
      <c r="R84" s="27"/>
      <c r="S84" s="27" t="s">
        <v>41</v>
      </c>
      <c r="T84" s="27" t="s">
        <v>42</v>
      </c>
      <c r="U84" s="27" t="s">
        <v>44</v>
      </c>
      <c r="V84" s="27"/>
      <c r="W84" s="27"/>
      <c r="X84" s="27"/>
      <c r="Y84" s="27" t="s">
        <v>2426</v>
      </c>
      <c r="Z84" s="27" t="n">
        <v>-7.219329</v>
      </c>
      <c r="AA84" s="27" t="n">
        <v>-48.241635</v>
      </c>
      <c r="AB84" s="37" t="s">
        <v>2338</v>
      </c>
      <c r="AC84" s="27" t="s">
        <v>2427</v>
      </c>
    </row>
    <row r="85" customFormat="false" ht="15" hidden="false" customHeight="false" outlineLevel="0" collapsed="false">
      <c r="A85" s="27" t="n">
        <v>84</v>
      </c>
      <c r="B85" s="27" t="s">
        <v>793</v>
      </c>
      <c r="C85" s="27" t="s">
        <v>2441</v>
      </c>
      <c r="D85" s="27" t="s">
        <v>792</v>
      </c>
      <c r="E85" s="27" t="s">
        <v>794</v>
      </c>
      <c r="F85" s="32" t="n">
        <v>20.4299019819414</v>
      </c>
      <c r="G85" s="28" t="n">
        <v>3689.27297908945</v>
      </c>
      <c r="H85" s="28" t="n">
        <v>603.269122653176</v>
      </c>
      <c r="I85" s="6" t="s">
        <v>23</v>
      </c>
      <c r="J85" s="27" t="s">
        <v>5</v>
      </c>
      <c r="K85" s="27" t="s">
        <v>5</v>
      </c>
      <c r="L85" s="27" t="n">
        <v>3</v>
      </c>
      <c r="M85" s="27" t="s">
        <v>44</v>
      </c>
      <c r="N85" s="27" t="s">
        <v>2385</v>
      </c>
      <c r="O85" s="27" t="s">
        <v>46</v>
      </c>
      <c r="P85" s="27" t="s">
        <v>2442</v>
      </c>
      <c r="Q85" s="27" t="n">
        <v>12</v>
      </c>
      <c r="R85" s="27"/>
      <c r="S85" s="27" t="s">
        <v>41</v>
      </c>
      <c r="T85" s="27" t="s">
        <v>42</v>
      </c>
      <c r="U85" s="27" t="s">
        <v>44</v>
      </c>
      <c r="V85" s="27"/>
      <c r="W85" s="27"/>
      <c r="X85" s="27"/>
      <c r="Y85" s="27" t="s">
        <v>2426</v>
      </c>
      <c r="Z85" s="27" t="n">
        <v>-7.219237</v>
      </c>
      <c r="AA85" s="27" t="n">
        <v>-48.241341</v>
      </c>
      <c r="AB85" s="37" t="s">
        <v>2338</v>
      </c>
      <c r="AC85" s="27" t="s">
        <v>2427</v>
      </c>
    </row>
    <row r="86" customFormat="false" ht="15" hidden="false" customHeight="false" outlineLevel="0" collapsed="false">
      <c r="A86" s="27" t="n">
        <v>85</v>
      </c>
      <c r="B86" s="27" t="s">
        <v>795</v>
      </c>
      <c r="C86" s="27" t="s">
        <v>2443</v>
      </c>
      <c r="D86" s="27" t="s">
        <v>794</v>
      </c>
      <c r="E86" s="27" t="s">
        <v>796</v>
      </c>
      <c r="F86" s="32" t="n">
        <v>118.24977390814</v>
      </c>
      <c r="G86" s="28" t="n">
        <v>3807.5227529976</v>
      </c>
      <c r="H86" s="28" t="n">
        <v>721.518896561317</v>
      </c>
      <c r="I86" s="6" t="s">
        <v>23</v>
      </c>
      <c r="J86" s="27" t="s">
        <v>5</v>
      </c>
      <c r="K86" s="27" t="s">
        <v>5</v>
      </c>
      <c r="L86" s="27" t="n">
        <v>3</v>
      </c>
      <c r="M86" s="27" t="s">
        <v>44</v>
      </c>
      <c r="N86" s="27" t="s">
        <v>2385</v>
      </c>
      <c r="O86" s="27" t="s">
        <v>46</v>
      </c>
      <c r="P86" s="27" t="s">
        <v>2442</v>
      </c>
      <c r="Q86" s="27" t="n">
        <v>12</v>
      </c>
      <c r="R86" s="27"/>
      <c r="S86" s="27" t="s">
        <v>41</v>
      </c>
      <c r="T86" s="27" t="s">
        <v>42</v>
      </c>
      <c r="U86" s="27" t="s">
        <v>44</v>
      </c>
      <c r="V86" s="27"/>
      <c r="W86" s="27"/>
      <c r="X86" s="27"/>
      <c r="Y86" s="27" t="s">
        <v>2426</v>
      </c>
      <c r="Z86" s="27" t="n">
        <v>-7.219066</v>
      </c>
      <c r="AA86" s="27" t="n">
        <v>-48.240737</v>
      </c>
      <c r="AB86" s="37" t="s">
        <v>2338</v>
      </c>
      <c r="AC86" s="27" t="s">
        <v>2427</v>
      </c>
    </row>
    <row r="87" customFormat="false" ht="15" hidden="false" customHeight="false" outlineLevel="0" collapsed="false">
      <c r="A87" s="27" t="n">
        <v>86</v>
      </c>
      <c r="B87" s="27" t="s">
        <v>797</v>
      </c>
      <c r="C87" s="27" t="s">
        <v>2444</v>
      </c>
      <c r="D87" s="27" t="s">
        <v>796</v>
      </c>
      <c r="E87" s="27" t="s">
        <v>798</v>
      </c>
      <c r="F87" s="32" t="n">
        <v>3.5631429037925</v>
      </c>
      <c r="G87" s="28" t="n">
        <v>3811.08589590139</v>
      </c>
      <c r="H87" s="28" t="n">
        <v>725.082039465109</v>
      </c>
      <c r="I87" s="6" t="s">
        <v>23</v>
      </c>
      <c r="J87" s="27" t="s">
        <v>5</v>
      </c>
      <c r="K87" s="27" t="s">
        <v>5</v>
      </c>
      <c r="L87" s="27" t="n">
        <v>3</v>
      </c>
      <c r="M87" s="27" t="s">
        <v>44</v>
      </c>
      <c r="N87" s="27" t="s">
        <v>2385</v>
      </c>
      <c r="O87" s="27" t="s">
        <v>46</v>
      </c>
      <c r="P87" s="27" t="s">
        <v>2442</v>
      </c>
      <c r="Q87" s="27" t="n">
        <v>12</v>
      </c>
      <c r="R87" s="27" t="s">
        <v>799</v>
      </c>
      <c r="S87" s="27" t="s">
        <v>41</v>
      </c>
      <c r="T87" s="27" t="s">
        <v>42</v>
      </c>
      <c r="U87" s="27" t="s">
        <v>44</v>
      </c>
      <c r="V87" s="27"/>
      <c r="W87" s="27"/>
      <c r="X87" s="27"/>
      <c r="Y87" s="27" t="s">
        <v>2426</v>
      </c>
      <c r="Z87" s="27" t="n">
        <v>-7.2189075</v>
      </c>
      <c r="AA87" s="27" t="n">
        <v>-48.2402085</v>
      </c>
      <c r="AB87" s="37" t="s">
        <v>2338</v>
      </c>
      <c r="AC87" s="27" t="s">
        <v>2427</v>
      </c>
    </row>
    <row r="88" customFormat="false" ht="15" hidden="false" customHeight="false" outlineLevel="0" collapsed="false">
      <c r="A88" s="27" t="n">
        <v>87</v>
      </c>
      <c r="B88" s="27" t="s">
        <v>800</v>
      </c>
      <c r="C88" s="27" t="s">
        <v>2445</v>
      </c>
      <c r="D88" s="27" t="s">
        <v>798</v>
      </c>
      <c r="E88" s="27" t="s">
        <v>801</v>
      </c>
      <c r="F88" s="32" t="n">
        <v>261.830634599942</v>
      </c>
      <c r="G88" s="28" t="n">
        <v>4072.91653050133</v>
      </c>
      <c r="H88" s="28" t="n">
        <v>986.912674065051</v>
      </c>
      <c r="I88" s="6" t="s">
        <v>23</v>
      </c>
      <c r="J88" s="27" t="s">
        <v>5</v>
      </c>
      <c r="K88" s="27" t="s">
        <v>5</v>
      </c>
      <c r="L88" s="27" t="n">
        <v>3</v>
      </c>
      <c r="M88" s="27" t="s">
        <v>44</v>
      </c>
      <c r="N88" s="27" t="s">
        <v>2385</v>
      </c>
      <c r="O88" s="27" t="s">
        <v>46</v>
      </c>
      <c r="P88" s="27" t="s">
        <v>2442</v>
      </c>
      <c r="Q88" s="27" t="n">
        <v>12</v>
      </c>
      <c r="R88" s="27"/>
      <c r="S88" s="27" t="s">
        <v>41</v>
      </c>
      <c r="T88" s="27" t="s">
        <v>42</v>
      </c>
      <c r="U88" s="27" t="s">
        <v>44</v>
      </c>
      <c r="V88" s="27"/>
      <c r="W88" s="27"/>
      <c r="X88" s="27"/>
      <c r="Y88" s="27" t="s">
        <v>2426</v>
      </c>
      <c r="Z88" s="27" t="n">
        <v>-7.218569</v>
      </c>
      <c r="AA88" s="27" t="n">
        <v>-48.239055</v>
      </c>
      <c r="AB88" s="37" t="s">
        <v>2338</v>
      </c>
      <c r="AC88" s="27" t="s">
        <v>2427</v>
      </c>
    </row>
    <row r="89" customFormat="false" ht="15" hidden="false" customHeight="false" outlineLevel="0" collapsed="false">
      <c r="A89" s="27" t="n">
        <v>88</v>
      </c>
      <c r="B89" s="27" t="s">
        <v>802</v>
      </c>
      <c r="C89" s="27" t="s">
        <v>2446</v>
      </c>
      <c r="D89" s="27" t="s">
        <v>801</v>
      </c>
      <c r="E89" s="27" t="s">
        <v>803</v>
      </c>
      <c r="F89" s="32" t="n">
        <v>20.5443425560821</v>
      </c>
      <c r="G89" s="28" t="n">
        <v>4093.46087305741</v>
      </c>
      <c r="H89" s="28" t="n">
        <v>1007.45701662113</v>
      </c>
      <c r="I89" s="6" t="s">
        <v>23</v>
      </c>
      <c r="J89" s="27" t="s">
        <v>5</v>
      </c>
      <c r="K89" s="27" t="s">
        <v>5</v>
      </c>
      <c r="L89" s="27" t="n">
        <v>3</v>
      </c>
      <c r="M89" s="27" t="s">
        <v>44</v>
      </c>
      <c r="N89" s="27" t="s">
        <v>2385</v>
      </c>
      <c r="O89" s="27" t="s">
        <v>46</v>
      </c>
      <c r="P89" s="27" t="s">
        <v>2447</v>
      </c>
      <c r="Q89" s="27" t="n">
        <v>3</v>
      </c>
      <c r="R89" s="27"/>
      <c r="S89" s="27" t="s">
        <v>41</v>
      </c>
      <c r="T89" s="27" t="s">
        <v>42</v>
      </c>
      <c r="U89" s="27" t="s">
        <v>44</v>
      </c>
      <c r="V89" s="27"/>
      <c r="W89" s="27"/>
      <c r="X89" s="27"/>
      <c r="Y89" s="27" t="s">
        <v>2426</v>
      </c>
      <c r="Z89" s="27" t="n">
        <v>-7.2182095</v>
      </c>
      <c r="AA89" s="27" t="n">
        <v>-48.2378275</v>
      </c>
      <c r="AB89" s="37" t="s">
        <v>2338</v>
      </c>
      <c r="AC89" s="27" t="s">
        <v>2427</v>
      </c>
    </row>
    <row r="90" customFormat="false" ht="15" hidden="false" customHeight="false" outlineLevel="0" collapsed="false">
      <c r="A90" s="27" t="n">
        <v>89</v>
      </c>
      <c r="B90" s="27" t="s">
        <v>804</v>
      </c>
      <c r="C90" s="27" t="s">
        <v>2448</v>
      </c>
      <c r="D90" s="27" t="s">
        <v>803</v>
      </c>
      <c r="E90" s="27" t="s">
        <v>805</v>
      </c>
      <c r="F90" s="32" t="n">
        <v>3.66915235293423</v>
      </c>
      <c r="G90" s="28" t="n">
        <v>4097.13002541035</v>
      </c>
      <c r="H90" s="28" t="n">
        <v>1011.12616897407</v>
      </c>
      <c r="I90" s="6" t="s">
        <v>23</v>
      </c>
      <c r="J90" s="27" t="s">
        <v>5</v>
      </c>
      <c r="K90" s="27" t="s">
        <v>5</v>
      </c>
      <c r="L90" s="27" t="n">
        <v>3</v>
      </c>
      <c r="M90" s="27" t="s">
        <v>44</v>
      </c>
      <c r="N90" s="27" t="s">
        <v>2385</v>
      </c>
      <c r="O90" s="27" t="s">
        <v>46</v>
      </c>
      <c r="P90" s="27" t="s">
        <v>2447</v>
      </c>
      <c r="Q90" s="27" t="n">
        <v>3</v>
      </c>
      <c r="R90" s="27"/>
      <c r="S90" s="27" t="s">
        <v>41</v>
      </c>
      <c r="T90" s="27" t="s">
        <v>42</v>
      </c>
      <c r="U90" s="27" t="s">
        <v>44</v>
      </c>
      <c r="V90" s="27"/>
      <c r="W90" s="27"/>
      <c r="X90" s="27"/>
      <c r="Y90" s="27" t="s">
        <v>2426</v>
      </c>
      <c r="Z90" s="27" t="n">
        <v>-7.2181795</v>
      </c>
      <c r="AA90" s="27" t="n">
        <v>-48.237722</v>
      </c>
      <c r="AB90" s="37" t="s">
        <v>2338</v>
      </c>
      <c r="AC90" s="27" t="s">
        <v>2427</v>
      </c>
    </row>
    <row r="91" customFormat="false" ht="15" hidden="false" customHeight="false" outlineLevel="0" collapsed="false">
      <c r="A91" s="27" t="n">
        <v>90</v>
      </c>
      <c r="B91" s="27" t="s">
        <v>806</v>
      </c>
      <c r="C91" s="27" t="s">
        <v>2449</v>
      </c>
      <c r="D91" s="27" t="s">
        <v>801</v>
      </c>
      <c r="E91" s="27" t="s">
        <v>807</v>
      </c>
      <c r="F91" s="32" t="n">
        <v>5.0326452060201</v>
      </c>
      <c r="G91" s="28" t="n">
        <v>4077.94917570735</v>
      </c>
      <c r="H91" s="28" t="n">
        <v>991.945319271071</v>
      </c>
      <c r="I91" s="6" t="s">
        <v>23</v>
      </c>
      <c r="J91" s="27" t="s">
        <v>5</v>
      </c>
      <c r="K91" s="27" t="s">
        <v>5</v>
      </c>
      <c r="L91" s="27" t="n">
        <v>3</v>
      </c>
      <c r="M91" s="27" t="s">
        <v>44</v>
      </c>
      <c r="N91" s="27" t="s">
        <v>2385</v>
      </c>
      <c r="O91" s="27" t="s">
        <v>46</v>
      </c>
      <c r="P91" s="27" t="s">
        <v>2450</v>
      </c>
      <c r="Q91" s="27" t="n">
        <v>9</v>
      </c>
      <c r="R91" s="27"/>
      <c r="S91" s="27" t="s">
        <v>41</v>
      </c>
      <c r="T91" s="27" t="s">
        <v>42</v>
      </c>
      <c r="U91" s="27" t="s">
        <v>44</v>
      </c>
      <c r="V91" s="27"/>
      <c r="W91" s="27"/>
      <c r="X91" s="27"/>
      <c r="Y91" s="27" t="s">
        <v>2426</v>
      </c>
      <c r="Z91" s="27" t="n">
        <v>-7.218256</v>
      </c>
      <c r="AA91" s="27" t="n">
        <v>-48.2379085</v>
      </c>
      <c r="AB91" s="37" t="s">
        <v>2338</v>
      </c>
      <c r="AC91" s="27" t="s">
        <v>2427</v>
      </c>
    </row>
    <row r="92" customFormat="false" ht="15" hidden="false" customHeight="false" outlineLevel="0" collapsed="false">
      <c r="A92" s="27" t="n">
        <v>91</v>
      </c>
      <c r="B92" s="27" t="s">
        <v>808</v>
      </c>
      <c r="C92" s="27" t="s">
        <v>2451</v>
      </c>
      <c r="D92" s="27" t="s">
        <v>807</v>
      </c>
      <c r="E92" s="27" t="s">
        <v>809</v>
      </c>
      <c r="F92" s="32" t="n">
        <v>4.18605170441635</v>
      </c>
      <c r="G92" s="28" t="n">
        <v>4082.13522741177</v>
      </c>
      <c r="H92" s="28" t="n">
        <v>996.131370975488</v>
      </c>
      <c r="I92" s="6" t="s">
        <v>23</v>
      </c>
      <c r="J92" s="27" t="s">
        <v>5</v>
      </c>
      <c r="K92" s="27" t="s">
        <v>5</v>
      </c>
      <c r="L92" s="27" t="n">
        <v>3</v>
      </c>
      <c r="M92" s="27" t="s">
        <v>44</v>
      </c>
      <c r="N92" s="27" t="s">
        <v>2385</v>
      </c>
      <c r="O92" s="27" t="s">
        <v>46</v>
      </c>
      <c r="P92" s="27" t="s">
        <v>2450</v>
      </c>
      <c r="Q92" s="27" t="n">
        <v>9</v>
      </c>
      <c r="R92" s="27" t="s">
        <v>810</v>
      </c>
      <c r="S92" s="27" t="s">
        <v>41</v>
      </c>
      <c r="T92" s="27" t="s">
        <v>42</v>
      </c>
      <c r="U92" s="27" t="s">
        <v>44</v>
      </c>
      <c r="V92" s="27"/>
      <c r="W92" s="27"/>
      <c r="X92" s="27"/>
      <c r="Y92" s="27" t="s">
        <v>2426</v>
      </c>
      <c r="Z92" s="27" t="n">
        <v>-7.2182955</v>
      </c>
      <c r="AA92" s="27" t="n">
        <v>-48.2378965</v>
      </c>
      <c r="AB92" s="37" t="s">
        <v>2338</v>
      </c>
      <c r="AC92" s="27" t="s">
        <v>2427</v>
      </c>
    </row>
    <row r="93" customFormat="false" ht="15" hidden="false" customHeight="false" outlineLevel="0" collapsed="false">
      <c r="A93" s="27" t="n">
        <v>92</v>
      </c>
      <c r="B93" s="27" t="s">
        <v>811</v>
      </c>
      <c r="C93" s="27" t="s">
        <v>2452</v>
      </c>
      <c r="D93" s="27" t="s">
        <v>809</v>
      </c>
      <c r="E93" s="27" t="s">
        <v>812</v>
      </c>
      <c r="F93" s="32" t="n">
        <v>112.473241809318</v>
      </c>
      <c r="G93" s="28" t="n">
        <v>4194.60846922108</v>
      </c>
      <c r="H93" s="28" t="n">
        <v>1108.60461278481</v>
      </c>
      <c r="I93" s="6" t="s">
        <v>23</v>
      </c>
      <c r="J93" s="27" t="s">
        <v>5</v>
      </c>
      <c r="K93" s="27" t="s">
        <v>5</v>
      </c>
      <c r="L93" s="27" t="n">
        <v>3</v>
      </c>
      <c r="M93" s="27" t="s">
        <v>44</v>
      </c>
      <c r="N93" s="27" t="s">
        <v>2385</v>
      </c>
      <c r="O93" s="27" t="s">
        <v>46</v>
      </c>
      <c r="P93" s="27" t="s">
        <v>2450</v>
      </c>
      <c r="Q93" s="27" t="n">
        <v>9</v>
      </c>
      <c r="R93" s="27"/>
      <c r="S93" s="27" t="s">
        <v>41</v>
      </c>
      <c r="T93" s="27" t="s">
        <v>42</v>
      </c>
      <c r="U93" s="27" t="s">
        <v>44</v>
      </c>
      <c r="V93" s="27"/>
      <c r="W93" s="27"/>
      <c r="X93" s="27"/>
      <c r="Y93" s="27" t="s">
        <v>2426</v>
      </c>
      <c r="Z93" s="27" t="n">
        <v>-7.2188025</v>
      </c>
      <c r="AA93" s="27" t="n">
        <v>-48.237761</v>
      </c>
      <c r="AB93" s="37" t="s">
        <v>2338</v>
      </c>
      <c r="AC93" s="27" t="s">
        <v>2427</v>
      </c>
    </row>
    <row r="94" customFormat="false" ht="15" hidden="false" customHeight="false" outlineLevel="0" collapsed="false">
      <c r="A94" s="27" t="n">
        <v>93</v>
      </c>
      <c r="B94" s="27" t="s">
        <v>813</v>
      </c>
      <c r="C94" s="27" t="s">
        <v>2453</v>
      </c>
      <c r="D94" s="27" t="s">
        <v>812</v>
      </c>
      <c r="E94" s="27" t="s">
        <v>814</v>
      </c>
      <c r="F94" s="32" t="n">
        <v>158.293448637502</v>
      </c>
      <c r="G94" s="28" t="n">
        <v>4352.90191785859</v>
      </c>
      <c r="H94" s="28" t="n">
        <v>1266.89806142231</v>
      </c>
      <c r="I94" s="6" t="s">
        <v>23</v>
      </c>
      <c r="J94" s="27" t="s">
        <v>5</v>
      </c>
      <c r="K94" s="27" t="s">
        <v>5</v>
      </c>
      <c r="L94" s="27" t="n">
        <v>3</v>
      </c>
      <c r="M94" s="27" t="s">
        <v>44</v>
      </c>
      <c r="N94" s="27" t="s">
        <v>2385</v>
      </c>
      <c r="O94" s="27" t="s">
        <v>46</v>
      </c>
      <c r="P94" s="27" t="s">
        <v>2450</v>
      </c>
      <c r="Q94" s="27" t="n">
        <v>9</v>
      </c>
      <c r="R94" s="27"/>
      <c r="S94" s="27" t="s">
        <v>41</v>
      </c>
      <c r="T94" s="27" t="s">
        <v>42</v>
      </c>
      <c r="U94" s="27" t="s">
        <v>44</v>
      </c>
      <c r="V94" s="27"/>
      <c r="W94" s="27"/>
      <c r="X94" s="27"/>
      <c r="Y94" s="27" t="s">
        <v>2426</v>
      </c>
      <c r="Z94" s="27" t="n">
        <v>-7.219975</v>
      </c>
      <c r="AA94" s="27" t="n">
        <v>-48.2374305</v>
      </c>
      <c r="AB94" s="37" t="s">
        <v>2338</v>
      </c>
      <c r="AC94" s="27" t="s">
        <v>2427</v>
      </c>
    </row>
    <row r="95" customFormat="false" ht="15" hidden="false" customHeight="false" outlineLevel="0" collapsed="false">
      <c r="A95" s="27" t="n">
        <v>94</v>
      </c>
      <c r="B95" s="27" t="s">
        <v>815</v>
      </c>
      <c r="C95" s="27" t="s">
        <v>2454</v>
      </c>
      <c r="D95" s="27" t="s">
        <v>814</v>
      </c>
      <c r="E95" s="27" t="s">
        <v>816</v>
      </c>
      <c r="F95" s="32" t="n">
        <v>98.1205507525147</v>
      </c>
      <c r="G95" s="28" t="n">
        <v>4451.0224686111</v>
      </c>
      <c r="H95" s="28" t="n">
        <v>1365.01861217482</v>
      </c>
      <c r="I95" s="6" t="s">
        <v>23</v>
      </c>
      <c r="J95" s="27" t="s">
        <v>5</v>
      </c>
      <c r="K95" s="27" t="s">
        <v>5</v>
      </c>
      <c r="L95" s="27" t="n">
        <v>3</v>
      </c>
      <c r="M95" s="27" t="s">
        <v>44</v>
      </c>
      <c r="N95" s="27" t="s">
        <v>2385</v>
      </c>
      <c r="O95" s="27" t="s">
        <v>46</v>
      </c>
      <c r="P95" s="27" t="s">
        <v>2450</v>
      </c>
      <c r="Q95" s="27" t="n">
        <v>9</v>
      </c>
      <c r="R95" s="27"/>
      <c r="S95" s="27" t="s">
        <v>41</v>
      </c>
      <c r="T95" s="27" t="s">
        <v>42</v>
      </c>
      <c r="U95" s="27" t="s">
        <v>44</v>
      </c>
      <c r="V95" s="27"/>
      <c r="W95" s="27"/>
      <c r="X95" s="27"/>
      <c r="Y95" s="27" t="s">
        <v>2426</v>
      </c>
      <c r="Z95" s="27" t="n">
        <v>-7.221083</v>
      </c>
      <c r="AA95" s="27" t="n">
        <v>-48.237109</v>
      </c>
      <c r="AB95" s="37" t="s">
        <v>2338</v>
      </c>
      <c r="AC95" s="27" t="s">
        <v>2427</v>
      </c>
    </row>
    <row r="96" customFormat="false" ht="15" hidden="false" customHeight="false" outlineLevel="0" collapsed="false">
      <c r="A96" s="27" t="n">
        <v>95</v>
      </c>
      <c r="B96" s="27" t="s">
        <v>817</v>
      </c>
      <c r="C96" s="27" t="s">
        <v>2455</v>
      </c>
      <c r="D96" s="27" t="s">
        <v>816</v>
      </c>
      <c r="E96" s="27" t="s">
        <v>818</v>
      </c>
      <c r="F96" s="32" t="n">
        <v>25.4595575054037</v>
      </c>
      <c r="G96" s="28" t="n">
        <v>4476.4820261165</v>
      </c>
      <c r="H96" s="28" t="n">
        <v>1390.47816968023</v>
      </c>
      <c r="I96" s="6" t="s">
        <v>23</v>
      </c>
      <c r="J96" s="27" t="s">
        <v>5</v>
      </c>
      <c r="K96" s="27" t="s">
        <v>5</v>
      </c>
      <c r="L96" s="27" t="n">
        <v>3</v>
      </c>
      <c r="M96" s="27" t="s">
        <v>44</v>
      </c>
      <c r="N96" s="27" t="s">
        <v>2385</v>
      </c>
      <c r="O96" s="27" t="s">
        <v>46</v>
      </c>
      <c r="P96" s="27" t="s">
        <v>2456</v>
      </c>
      <c r="Q96" s="27" t="n">
        <v>8</v>
      </c>
      <c r="R96" s="27"/>
      <c r="S96" s="27" t="s">
        <v>41</v>
      </c>
      <c r="T96" s="27" t="s">
        <v>42</v>
      </c>
      <c r="U96" s="27" t="s">
        <v>44</v>
      </c>
      <c r="V96" s="27"/>
      <c r="W96" s="27"/>
      <c r="X96" s="27"/>
      <c r="Y96" s="27" t="s">
        <v>2426</v>
      </c>
      <c r="Z96" s="27" t="n">
        <v>-7.2214775</v>
      </c>
      <c r="AA96" s="27" t="n">
        <v>-48.2368745</v>
      </c>
      <c r="AB96" s="37" t="s">
        <v>2338</v>
      </c>
      <c r="AC96" s="27" t="s">
        <v>2427</v>
      </c>
    </row>
    <row r="97" customFormat="false" ht="15" hidden="false" customHeight="false" outlineLevel="0" collapsed="false">
      <c r="A97" s="27" t="n">
        <v>96</v>
      </c>
      <c r="B97" s="27" t="s">
        <v>819</v>
      </c>
      <c r="C97" s="27" t="s">
        <v>2457</v>
      </c>
      <c r="D97" s="27" t="s">
        <v>818</v>
      </c>
      <c r="E97" s="27" t="s">
        <v>820</v>
      </c>
      <c r="F97" s="32" t="n">
        <v>4.26091004462515</v>
      </c>
      <c r="G97" s="28" t="n">
        <v>4480.74293616113</v>
      </c>
      <c r="H97" s="28" t="n">
        <v>1394.73907972485</v>
      </c>
      <c r="I97" s="6" t="s">
        <v>23</v>
      </c>
      <c r="J97" s="27" t="s">
        <v>5</v>
      </c>
      <c r="K97" s="27" t="s">
        <v>5</v>
      </c>
      <c r="L97" s="27" t="n">
        <v>3</v>
      </c>
      <c r="M97" s="27" t="s">
        <v>44</v>
      </c>
      <c r="N97" s="27" t="s">
        <v>2385</v>
      </c>
      <c r="O97" s="27" t="s">
        <v>46</v>
      </c>
      <c r="P97" s="27" t="s">
        <v>2456</v>
      </c>
      <c r="Q97" s="27" t="n">
        <v>8</v>
      </c>
      <c r="R97" s="27" t="s">
        <v>821</v>
      </c>
      <c r="S97" s="27" t="s">
        <v>41</v>
      </c>
      <c r="T97" s="27" t="s">
        <v>42</v>
      </c>
      <c r="U97" s="27" t="s">
        <v>44</v>
      </c>
      <c r="V97" s="27"/>
      <c r="W97" s="27"/>
      <c r="X97" s="27"/>
      <c r="Y97" s="27" t="s">
        <v>2426</v>
      </c>
      <c r="Z97" s="27" t="n">
        <v>-7.2214425</v>
      </c>
      <c r="AA97" s="27" t="n">
        <v>-48.2367445</v>
      </c>
      <c r="AB97" s="37" t="s">
        <v>2338</v>
      </c>
      <c r="AC97" s="27" t="s">
        <v>2427</v>
      </c>
    </row>
    <row r="98" customFormat="false" ht="15" hidden="false" customHeight="false" outlineLevel="0" collapsed="false">
      <c r="A98" s="27" t="n">
        <v>97</v>
      </c>
      <c r="B98" s="27" t="s">
        <v>822</v>
      </c>
      <c r="C98" s="27" t="s">
        <v>2458</v>
      </c>
      <c r="D98" s="27" t="s">
        <v>820</v>
      </c>
      <c r="E98" s="27" t="s">
        <v>823</v>
      </c>
      <c r="F98" s="32" t="n">
        <v>156.712631728458</v>
      </c>
      <c r="G98" s="28" t="n">
        <v>4637.45556788959</v>
      </c>
      <c r="H98" s="28" t="n">
        <v>1551.45171145331</v>
      </c>
      <c r="I98" s="6" t="s">
        <v>23</v>
      </c>
      <c r="J98" s="27" t="s">
        <v>5</v>
      </c>
      <c r="K98" s="27" t="s">
        <v>5</v>
      </c>
      <c r="L98" s="27" t="n">
        <v>3</v>
      </c>
      <c r="M98" s="27" t="s">
        <v>44</v>
      </c>
      <c r="N98" s="27" t="s">
        <v>2385</v>
      </c>
      <c r="O98" s="27" t="s">
        <v>46</v>
      </c>
      <c r="P98" s="27" t="s">
        <v>2456</v>
      </c>
      <c r="Q98" s="27" t="n">
        <v>8</v>
      </c>
      <c r="R98" s="27"/>
      <c r="S98" s="27" t="s">
        <v>41</v>
      </c>
      <c r="T98" s="27" t="s">
        <v>42</v>
      </c>
      <c r="U98" s="27" t="s">
        <v>44</v>
      </c>
      <c r="V98" s="27"/>
      <c r="W98" s="27"/>
      <c r="X98" s="27"/>
      <c r="Y98" s="27" t="s">
        <v>2426</v>
      </c>
      <c r="Z98" s="27" t="n">
        <v>-7.221235</v>
      </c>
      <c r="AA98" s="27" t="n">
        <v>-48.2360455</v>
      </c>
      <c r="AB98" s="37" t="s">
        <v>2338</v>
      </c>
      <c r="AC98" s="27" t="s">
        <v>2427</v>
      </c>
    </row>
    <row r="99" customFormat="false" ht="15" hidden="false" customHeight="false" outlineLevel="0" collapsed="false">
      <c r="A99" s="27" t="n">
        <v>98</v>
      </c>
      <c r="B99" s="27" t="s">
        <v>824</v>
      </c>
      <c r="C99" s="27" t="s">
        <v>2459</v>
      </c>
      <c r="D99" s="27" t="s">
        <v>823</v>
      </c>
      <c r="E99" s="27" t="s">
        <v>825</v>
      </c>
      <c r="F99" s="32" t="n">
        <v>3.15999652723147</v>
      </c>
      <c r="G99" s="28" t="n">
        <v>4640.61556441682</v>
      </c>
      <c r="H99" s="28" t="n">
        <v>1554.61170798054</v>
      </c>
      <c r="I99" s="6" t="s">
        <v>23</v>
      </c>
      <c r="J99" s="27" t="s">
        <v>5</v>
      </c>
      <c r="K99" s="27" t="s">
        <v>5</v>
      </c>
      <c r="L99" s="27" t="n">
        <v>3</v>
      </c>
      <c r="M99" s="27" t="s">
        <v>44</v>
      </c>
      <c r="N99" s="27" t="s">
        <v>2385</v>
      </c>
      <c r="O99" s="27" t="s">
        <v>46</v>
      </c>
      <c r="P99" s="27" t="s">
        <v>2456</v>
      </c>
      <c r="Q99" s="27" t="n">
        <v>8</v>
      </c>
      <c r="R99" s="27"/>
      <c r="S99" s="27" t="s">
        <v>41</v>
      </c>
      <c r="T99" s="27" t="s">
        <v>42</v>
      </c>
      <c r="U99" s="27" t="s">
        <v>44</v>
      </c>
      <c r="V99" s="27"/>
      <c r="W99" s="27"/>
      <c r="X99" s="27"/>
      <c r="Y99" s="27" t="s">
        <v>2426</v>
      </c>
      <c r="Z99" s="27" t="n">
        <v>-7.22103</v>
      </c>
      <c r="AA99" s="27" t="n">
        <v>-48.235351</v>
      </c>
      <c r="AB99" s="37" t="s">
        <v>2338</v>
      </c>
      <c r="AC99" s="27" t="s">
        <v>2427</v>
      </c>
    </row>
    <row r="100" customFormat="false" ht="15" hidden="false" customHeight="false" outlineLevel="0" collapsed="false">
      <c r="A100" s="27" t="n">
        <v>99</v>
      </c>
      <c r="B100" s="27" t="s">
        <v>826</v>
      </c>
      <c r="C100" s="27" t="s">
        <v>2460</v>
      </c>
      <c r="D100" s="27" t="s">
        <v>825</v>
      </c>
      <c r="E100" s="27" t="s">
        <v>827</v>
      </c>
      <c r="F100" s="32" t="n">
        <v>157.87906976045</v>
      </c>
      <c r="G100" s="28" t="n">
        <v>4798.49463417727</v>
      </c>
      <c r="H100" s="28" t="n">
        <v>1712.49077774099</v>
      </c>
      <c r="I100" s="6" t="s">
        <v>23</v>
      </c>
      <c r="J100" s="27" t="s">
        <v>5</v>
      </c>
      <c r="K100" s="27" t="s">
        <v>5</v>
      </c>
      <c r="L100" s="27" t="n">
        <v>3</v>
      </c>
      <c r="M100" s="27" t="s">
        <v>44</v>
      </c>
      <c r="N100" s="27" t="s">
        <v>2385</v>
      </c>
      <c r="O100" s="27" t="s">
        <v>46</v>
      </c>
      <c r="P100" s="27" t="s">
        <v>2456</v>
      </c>
      <c r="Q100" s="27" t="n">
        <v>8</v>
      </c>
      <c r="R100" s="27"/>
      <c r="S100" s="27" t="s">
        <v>41</v>
      </c>
      <c r="T100" s="27" t="s">
        <v>42</v>
      </c>
      <c r="U100" s="27" t="s">
        <v>44</v>
      </c>
      <c r="V100" s="27"/>
      <c r="W100" s="27"/>
      <c r="X100" s="27"/>
      <c r="Y100" s="27" t="s">
        <v>2426</v>
      </c>
      <c r="Z100" s="27" t="n">
        <v>-7.22082</v>
      </c>
      <c r="AA100" s="27" t="n">
        <v>-48.2346525</v>
      </c>
      <c r="AB100" s="37" t="s">
        <v>2338</v>
      </c>
      <c r="AC100" s="27" t="s">
        <v>2427</v>
      </c>
    </row>
    <row r="101" customFormat="false" ht="15" hidden="false" customHeight="false" outlineLevel="0" collapsed="false">
      <c r="A101" s="27" t="n">
        <v>100</v>
      </c>
      <c r="B101" s="27" t="s">
        <v>828</v>
      </c>
      <c r="C101" s="27" t="s">
        <v>2461</v>
      </c>
      <c r="D101" s="27" t="s">
        <v>827</v>
      </c>
      <c r="E101" s="27" t="s">
        <v>829</v>
      </c>
      <c r="F101" s="32" t="n">
        <v>225.915591207177</v>
      </c>
      <c r="G101" s="28" t="n">
        <v>5024.41022538445</v>
      </c>
      <c r="H101" s="28" t="n">
        <v>1938.40636894817</v>
      </c>
      <c r="I101" s="6" t="s">
        <v>23</v>
      </c>
      <c r="J101" s="27" t="s">
        <v>5</v>
      </c>
      <c r="K101" s="27" t="s">
        <v>5</v>
      </c>
      <c r="L101" s="27" t="n">
        <v>3</v>
      </c>
      <c r="M101" s="27" t="s">
        <v>44</v>
      </c>
      <c r="N101" s="27" t="s">
        <v>2385</v>
      </c>
      <c r="O101" s="27" t="s">
        <v>46</v>
      </c>
      <c r="P101" s="27" t="s">
        <v>2456</v>
      </c>
      <c r="Q101" s="27" t="n">
        <v>8</v>
      </c>
      <c r="R101" s="27"/>
      <c r="S101" s="27" t="s">
        <v>41</v>
      </c>
      <c r="T101" s="27" t="s">
        <v>42</v>
      </c>
      <c r="U101" s="27" t="s">
        <v>44</v>
      </c>
      <c r="V101" s="27"/>
      <c r="W101" s="27"/>
      <c r="X101" s="27"/>
      <c r="Y101" s="27" t="s">
        <v>2426</v>
      </c>
      <c r="Z101" s="27" t="n">
        <v>-7.2203185</v>
      </c>
      <c r="AA101" s="27" t="n">
        <v>-48.232988</v>
      </c>
      <c r="AB101" s="37" t="s">
        <v>2338</v>
      </c>
      <c r="AC101" s="27" t="s">
        <v>2427</v>
      </c>
    </row>
    <row r="102" customFormat="false" ht="15" hidden="false" customHeight="false" outlineLevel="0" collapsed="false">
      <c r="A102" s="27" t="n">
        <v>101</v>
      </c>
      <c r="B102" s="27" t="s">
        <v>830</v>
      </c>
      <c r="C102" s="27" t="s">
        <v>2462</v>
      </c>
      <c r="D102" s="27" t="s">
        <v>829</v>
      </c>
      <c r="E102" s="27" t="s">
        <v>831</v>
      </c>
      <c r="F102" s="32" t="n">
        <v>28.1137657107543</v>
      </c>
      <c r="G102" s="28" t="n">
        <v>5052.5239910952</v>
      </c>
      <c r="H102" s="28" t="n">
        <v>1966.52013465892</v>
      </c>
      <c r="I102" s="6" t="s">
        <v>23</v>
      </c>
      <c r="J102" s="27" t="s">
        <v>5</v>
      </c>
      <c r="K102" s="27" t="s">
        <v>5</v>
      </c>
      <c r="L102" s="27" t="n">
        <v>3</v>
      </c>
      <c r="M102" s="27" t="s">
        <v>44</v>
      </c>
      <c r="N102" s="27" t="s">
        <v>2385</v>
      </c>
      <c r="O102" s="27" t="s">
        <v>46</v>
      </c>
      <c r="P102" s="27" t="s">
        <v>2463</v>
      </c>
      <c r="Q102" s="27" t="n">
        <v>7</v>
      </c>
      <c r="R102" s="27"/>
      <c r="S102" s="27" t="s">
        <v>41</v>
      </c>
      <c r="T102" s="27" t="s">
        <v>42</v>
      </c>
      <c r="U102" s="27" t="s">
        <v>44</v>
      </c>
      <c r="V102" s="27"/>
      <c r="W102" s="27"/>
      <c r="X102" s="27"/>
      <c r="Y102" s="27" t="s">
        <v>2426</v>
      </c>
      <c r="Z102" s="27" t="n">
        <v>-7.2199875</v>
      </c>
      <c r="AA102" s="27" t="n">
        <v>-48.231886</v>
      </c>
      <c r="AB102" s="37" t="s">
        <v>2338</v>
      </c>
      <c r="AC102" s="27" t="s">
        <v>2427</v>
      </c>
    </row>
    <row r="103" customFormat="false" ht="15" hidden="false" customHeight="false" outlineLevel="0" collapsed="false">
      <c r="A103" s="27" t="n">
        <v>102</v>
      </c>
      <c r="B103" s="27" t="s">
        <v>832</v>
      </c>
      <c r="C103" s="27" t="s">
        <v>2464</v>
      </c>
      <c r="D103" s="27" t="s">
        <v>831</v>
      </c>
      <c r="E103" s="27" t="s">
        <v>833</v>
      </c>
      <c r="F103" s="32" t="n">
        <v>3.26791334179845</v>
      </c>
      <c r="G103" s="28" t="n">
        <v>5055.791904437</v>
      </c>
      <c r="H103" s="28" t="n">
        <v>1969.78804800072</v>
      </c>
      <c r="I103" s="6" t="s">
        <v>23</v>
      </c>
      <c r="J103" s="27" t="s">
        <v>5</v>
      </c>
      <c r="K103" s="27" t="s">
        <v>5</v>
      </c>
      <c r="L103" s="27" t="n">
        <v>3</v>
      </c>
      <c r="M103" s="27" t="s">
        <v>44</v>
      </c>
      <c r="N103" s="27" t="s">
        <v>2385</v>
      </c>
      <c r="O103" s="27" t="s">
        <v>46</v>
      </c>
      <c r="P103" s="27" t="s">
        <v>2463</v>
      </c>
      <c r="Q103" s="27" t="n">
        <v>7</v>
      </c>
      <c r="R103" s="27"/>
      <c r="S103" s="27" t="s">
        <v>41</v>
      </c>
      <c r="T103" s="27" t="s">
        <v>42</v>
      </c>
      <c r="U103" s="27" t="s">
        <v>44</v>
      </c>
      <c r="V103" s="27"/>
      <c r="W103" s="27"/>
      <c r="X103" s="27"/>
      <c r="Y103" s="27" t="s">
        <v>2426</v>
      </c>
      <c r="Z103" s="27" t="n">
        <v>-7.219948</v>
      </c>
      <c r="AA103" s="27" t="n">
        <v>-48.2317495</v>
      </c>
      <c r="AB103" s="37" t="s">
        <v>2338</v>
      </c>
      <c r="AC103" s="27" t="s">
        <v>2427</v>
      </c>
    </row>
    <row r="104" customFormat="false" ht="15" hidden="false" customHeight="false" outlineLevel="0" collapsed="false">
      <c r="A104" s="27" t="n">
        <v>103</v>
      </c>
      <c r="B104" s="27" t="s">
        <v>834</v>
      </c>
      <c r="C104" s="27" t="s">
        <v>2465</v>
      </c>
      <c r="D104" s="27" t="s">
        <v>833</v>
      </c>
      <c r="E104" s="27" t="s">
        <v>835</v>
      </c>
      <c r="F104" s="32" t="n">
        <v>26.5547608519413</v>
      </c>
      <c r="G104" s="28" t="n">
        <v>5082.34666528894</v>
      </c>
      <c r="H104" s="28" t="n">
        <v>1996.34280885266</v>
      </c>
      <c r="I104" s="6" t="s">
        <v>23</v>
      </c>
      <c r="J104" s="27" t="s">
        <v>5</v>
      </c>
      <c r="K104" s="27" t="s">
        <v>5</v>
      </c>
      <c r="L104" s="27" t="n">
        <v>3</v>
      </c>
      <c r="M104" s="27" t="s">
        <v>44</v>
      </c>
      <c r="N104" s="27" t="s">
        <v>2385</v>
      </c>
      <c r="O104" s="27" t="s">
        <v>46</v>
      </c>
      <c r="P104" s="27" t="s">
        <v>2463</v>
      </c>
      <c r="Q104" s="27" t="n">
        <v>7</v>
      </c>
      <c r="R104" s="27"/>
      <c r="S104" s="27" t="s">
        <v>41</v>
      </c>
      <c r="T104" s="27" t="s">
        <v>42</v>
      </c>
      <c r="U104" s="27" t="s">
        <v>44</v>
      </c>
      <c r="V104" s="27"/>
      <c r="W104" s="27"/>
      <c r="X104" s="27"/>
      <c r="Y104" s="27" t="s">
        <v>2426</v>
      </c>
      <c r="Z104" s="27" t="n">
        <v>-7.219915</v>
      </c>
      <c r="AA104" s="27" t="n">
        <v>-48.2316185</v>
      </c>
      <c r="AB104" s="37" t="s">
        <v>2338</v>
      </c>
      <c r="AC104" s="27" t="s">
        <v>2427</v>
      </c>
    </row>
    <row r="105" customFormat="false" ht="15" hidden="false" customHeight="false" outlineLevel="0" collapsed="false">
      <c r="A105" s="27" t="n">
        <v>104</v>
      </c>
      <c r="B105" s="27" t="s">
        <v>836</v>
      </c>
      <c r="C105" s="27" t="s">
        <v>2466</v>
      </c>
      <c r="D105" s="27" t="s">
        <v>835</v>
      </c>
      <c r="E105" s="27" t="s">
        <v>837</v>
      </c>
      <c r="F105" s="32" t="n">
        <v>104.359526060331</v>
      </c>
      <c r="G105" s="28" t="n">
        <v>5186.70619134927</v>
      </c>
      <c r="H105" s="28" t="n">
        <v>2100.70233491299</v>
      </c>
      <c r="I105" s="6" t="s">
        <v>23</v>
      </c>
      <c r="J105" s="27" t="s">
        <v>5</v>
      </c>
      <c r="K105" s="27" t="s">
        <v>5</v>
      </c>
      <c r="L105" s="27" t="n">
        <v>3</v>
      </c>
      <c r="M105" s="27" t="s">
        <v>44</v>
      </c>
      <c r="N105" s="27" t="s">
        <v>2385</v>
      </c>
      <c r="O105" s="27" t="s">
        <v>46</v>
      </c>
      <c r="P105" s="27" t="s">
        <v>2463</v>
      </c>
      <c r="Q105" s="27" t="n">
        <v>7</v>
      </c>
      <c r="R105" s="27"/>
      <c r="S105" s="27" t="s">
        <v>41</v>
      </c>
      <c r="T105" s="27" t="s">
        <v>42</v>
      </c>
      <c r="U105" s="27" t="s">
        <v>44</v>
      </c>
      <c r="V105" s="27"/>
      <c r="W105" s="27"/>
      <c r="X105" s="27"/>
      <c r="Y105" s="27" t="s">
        <v>2426</v>
      </c>
      <c r="Z105" s="27" t="n">
        <v>-7.220334</v>
      </c>
      <c r="AA105" s="27" t="n">
        <v>-48.2313645</v>
      </c>
      <c r="AB105" s="37" t="s">
        <v>2338</v>
      </c>
      <c r="AC105" s="27" t="s">
        <v>2427</v>
      </c>
    </row>
    <row r="106" customFormat="false" ht="15" hidden="false" customHeight="false" outlineLevel="0" collapsed="false">
      <c r="A106" s="27" t="n">
        <v>105</v>
      </c>
      <c r="B106" s="27" t="s">
        <v>838</v>
      </c>
      <c r="C106" s="27" t="s">
        <v>2467</v>
      </c>
      <c r="D106" s="27" t="s">
        <v>837</v>
      </c>
      <c r="E106" s="27" t="s">
        <v>839</v>
      </c>
      <c r="F106" s="32" t="n">
        <v>118.604200179243</v>
      </c>
      <c r="G106" s="28" t="n">
        <v>5305.31039152852</v>
      </c>
      <c r="H106" s="28" t="n">
        <v>2219.30653509224</v>
      </c>
      <c r="I106" s="6" t="s">
        <v>23</v>
      </c>
      <c r="J106" s="27" t="s">
        <v>5</v>
      </c>
      <c r="K106" s="27" t="s">
        <v>5</v>
      </c>
      <c r="L106" s="27" t="n">
        <v>3</v>
      </c>
      <c r="M106" s="27" t="s">
        <v>44</v>
      </c>
      <c r="N106" s="27" t="s">
        <v>2385</v>
      </c>
      <c r="O106" s="27" t="s">
        <v>46</v>
      </c>
      <c r="P106" s="27" t="s">
        <v>2463</v>
      </c>
      <c r="Q106" s="27" t="n">
        <v>7</v>
      </c>
      <c r="R106" s="27"/>
      <c r="S106" s="27" t="s">
        <v>41</v>
      </c>
      <c r="T106" s="27" t="s">
        <v>42</v>
      </c>
      <c r="U106" s="27" t="s">
        <v>44</v>
      </c>
      <c r="V106" s="27"/>
      <c r="W106" s="27"/>
      <c r="X106" s="27"/>
      <c r="Y106" s="27" t="s">
        <v>2426</v>
      </c>
      <c r="Z106" s="27" t="n">
        <v>-7.220644</v>
      </c>
      <c r="AA106" s="27" t="n">
        <v>-48.230708</v>
      </c>
      <c r="AB106" s="37" t="s">
        <v>2338</v>
      </c>
      <c r="AC106" s="27" t="s">
        <v>2427</v>
      </c>
    </row>
    <row r="107" customFormat="false" ht="15" hidden="false" customHeight="false" outlineLevel="0" collapsed="false">
      <c r="A107" s="27" t="n">
        <v>106</v>
      </c>
      <c r="B107" s="27" t="s">
        <v>840</v>
      </c>
      <c r="C107" s="27" t="s">
        <v>2468</v>
      </c>
      <c r="D107" s="27" t="s">
        <v>839</v>
      </c>
      <c r="E107" s="27" t="s">
        <v>841</v>
      </c>
      <c r="F107" s="32" t="n">
        <v>2.70526223815417</v>
      </c>
      <c r="G107" s="28" t="n">
        <v>5308.01565376667</v>
      </c>
      <c r="H107" s="28" t="n">
        <v>2222.01179733039</v>
      </c>
      <c r="I107" s="6" t="s">
        <v>23</v>
      </c>
      <c r="J107" s="27" t="s">
        <v>5</v>
      </c>
      <c r="K107" s="27" t="s">
        <v>5</v>
      </c>
      <c r="L107" s="27" t="n">
        <v>3</v>
      </c>
      <c r="M107" s="27" t="s">
        <v>44</v>
      </c>
      <c r="N107" s="27" t="s">
        <v>2385</v>
      </c>
      <c r="O107" s="27" t="s">
        <v>46</v>
      </c>
      <c r="P107" s="27" t="s">
        <v>2463</v>
      </c>
      <c r="Q107" s="27" t="n">
        <v>7</v>
      </c>
      <c r="R107" s="27"/>
      <c r="S107" s="27" t="s">
        <v>41</v>
      </c>
      <c r="T107" s="27" t="s">
        <v>42</v>
      </c>
      <c r="U107" s="27" t="s">
        <v>44</v>
      </c>
      <c r="V107" s="27"/>
      <c r="W107" s="27"/>
      <c r="X107" s="27"/>
      <c r="Y107" s="27" t="s">
        <v>2426</v>
      </c>
      <c r="Z107" s="27" t="n">
        <v>-7.2205025</v>
      </c>
      <c r="AA107" s="27" t="n">
        <v>-48.230177</v>
      </c>
      <c r="AB107" s="37" t="s">
        <v>2338</v>
      </c>
      <c r="AC107" s="27" t="s">
        <v>2427</v>
      </c>
    </row>
    <row r="108" customFormat="false" ht="15" hidden="false" customHeight="false" outlineLevel="0" collapsed="false">
      <c r="A108" s="27" t="n">
        <v>107</v>
      </c>
      <c r="B108" s="27" t="s">
        <v>842</v>
      </c>
      <c r="C108" s="27" t="s">
        <v>2469</v>
      </c>
      <c r="D108" s="27" t="s">
        <v>841</v>
      </c>
      <c r="E108" s="27" t="s">
        <v>843</v>
      </c>
      <c r="F108" s="32" t="n">
        <v>28.2436633008593</v>
      </c>
      <c r="G108" s="28" t="n">
        <v>5336.25931706753</v>
      </c>
      <c r="H108" s="28" t="n">
        <v>2250.25546063125</v>
      </c>
      <c r="I108" s="6" t="s">
        <v>23</v>
      </c>
      <c r="J108" s="27" t="s">
        <v>5</v>
      </c>
      <c r="K108" s="27" t="s">
        <v>5</v>
      </c>
      <c r="L108" s="27" t="n">
        <v>3</v>
      </c>
      <c r="M108" s="27" t="s">
        <v>44</v>
      </c>
      <c r="N108" s="27" t="s">
        <v>2385</v>
      </c>
      <c r="O108" s="27" t="s">
        <v>46</v>
      </c>
      <c r="P108" s="27" t="s">
        <v>2463</v>
      </c>
      <c r="Q108" s="27" t="n">
        <v>7</v>
      </c>
      <c r="R108" s="27"/>
      <c r="S108" s="27" t="s">
        <v>41</v>
      </c>
      <c r="T108" s="27" t="s">
        <v>42</v>
      </c>
      <c r="U108" s="27" t="s">
        <v>44</v>
      </c>
      <c r="V108" s="27"/>
      <c r="W108" s="27"/>
      <c r="X108" s="27"/>
      <c r="Y108" s="27" t="s">
        <v>2426</v>
      </c>
      <c r="Z108" s="27" t="n">
        <v>-7.220498</v>
      </c>
      <c r="AA108" s="27" t="n">
        <v>-48.230037</v>
      </c>
      <c r="AB108" s="37" t="s">
        <v>2338</v>
      </c>
      <c r="AC108" s="27" t="s">
        <v>2427</v>
      </c>
    </row>
    <row r="109" customFormat="false" ht="15" hidden="false" customHeight="false" outlineLevel="0" collapsed="false">
      <c r="A109" s="27" t="n">
        <v>108</v>
      </c>
      <c r="B109" s="27" t="s">
        <v>844</v>
      </c>
      <c r="C109" s="27" t="s">
        <v>2470</v>
      </c>
      <c r="D109" s="27" t="s">
        <v>843</v>
      </c>
      <c r="E109" s="27" t="s">
        <v>845</v>
      </c>
      <c r="F109" s="32" t="n">
        <v>2.75782822518761</v>
      </c>
      <c r="G109" s="28" t="n">
        <v>5339.01714529272</v>
      </c>
      <c r="H109" s="28" t="n">
        <v>2253.01328885644</v>
      </c>
      <c r="I109" s="6" t="s">
        <v>23</v>
      </c>
      <c r="J109" s="27" t="s">
        <v>5</v>
      </c>
      <c r="K109" s="27" t="s">
        <v>5</v>
      </c>
      <c r="L109" s="27" t="n">
        <v>3</v>
      </c>
      <c r="M109" s="27" t="s">
        <v>44</v>
      </c>
      <c r="N109" s="27" t="s">
        <v>2385</v>
      </c>
      <c r="O109" s="27" t="s">
        <v>46</v>
      </c>
      <c r="P109" s="27" t="s">
        <v>2463</v>
      </c>
      <c r="Q109" s="27" t="n">
        <v>7</v>
      </c>
      <c r="R109" s="27"/>
      <c r="S109" s="27" t="s">
        <v>41</v>
      </c>
      <c r="T109" s="27" t="s">
        <v>42</v>
      </c>
      <c r="U109" s="27" t="s">
        <v>44</v>
      </c>
      <c r="V109" s="27"/>
      <c r="W109" s="27"/>
      <c r="X109" s="27"/>
      <c r="Y109" s="27" t="s">
        <v>2426</v>
      </c>
      <c r="Z109" s="27" t="n">
        <v>-7.220496</v>
      </c>
      <c r="AA109" s="27" t="n">
        <v>-48.2298965</v>
      </c>
      <c r="AB109" s="37" t="s">
        <v>2338</v>
      </c>
      <c r="AC109" s="27" t="s">
        <v>2427</v>
      </c>
    </row>
    <row r="110" customFormat="false" ht="15" hidden="false" customHeight="false" outlineLevel="0" collapsed="false">
      <c r="A110" s="27" t="n">
        <v>109</v>
      </c>
      <c r="B110" s="27" t="s">
        <v>846</v>
      </c>
      <c r="C110" s="27" t="s">
        <v>2471</v>
      </c>
      <c r="D110" s="27" t="s">
        <v>845</v>
      </c>
      <c r="E110" s="27" t="s">
        <v>847</v>
      </c>
      <c r="F110" s="32" t="n">
        <v>176.600603869726</v>
      </c>
      <c r="G110" s="28" t="n">
        <v>5515.61774916244</v>
      </c>
      <c r="H110" s="28" t="n">
        <v>2429.61389272616</v>
      </c>
      <c r="I110" s="6" t="s">
        <v>23</v>
      </c>
      <c r="J110" s="27" t="s">
        <v>5</v>
      </c>
      <c r="K110" s="27" t="s">
        <v>5</v>
      </c>
      <c r="L110" s="27" t="n">
        <v>3</v>
      </c>
      <c r="M110" s="27" t="s">
        <v>44</v>
      </c>
      <c r="N110" s="27" t="s">
        <v>2385</v>
      </c>
      <c r="O110" s="27" t="s">
        <v>46</v>
      </c>
      <c r="P110" s="27" t="s">
        <v>2463</v>
      </c>
      <c r="Q110" s="27" t="n">
        <v>7</v>
      </c>
      <c r="R110" s="27"/>
      <c r="S110" s="27" t="s">
        <v>41</v>
      </c>
      <c r="T110" s="27" t="s">
        <v>42</v>
      </c>
      <c r="U110" s="27" t="s">
        <v>44</v>
      </c>
      <c r="V110" s="27"/>
      <c r="W110" s="27"/>
      <c r="X110" s="27"/>
      <c r="Y110" s="27" t="s">
        <v>2426</v>
      </c>
      <c r="Z110" s="27" t="n">
        <v>-7.22067</v>
      </c>
      <c r="AA110" s="27" t="n">
        <v>-48.229103</v>
      </c>
      <c r="AB110" s="37" t="s">
        <v>2338</v>
      </c>
      <c r="AC110" s="27" t="s">
        <v>2427</v>
      </c>
    </row>
    <row r="111" customFormat="false" ht="15" hidden="false" customHeight="false" outlineLevel="0" collapsed="false">
      <c r="A111" s="27" t="n">
        <v>110</v>
      </c>
      <c r="B111" s="27" t="s">
        <v>848</v>
      </c>
      <c r="C111" s="27" t="s">
        <v>2472</v>
      </c>
      <c r="D111" s="27" t="s">
        <v>847</v>
      </c>
      <c r="E111" s="27" t="s">
        <v>849</v>
      </c>
      <c r="F111" s="32" t="n">
        <v>2.76677828797354</v>
      </c>
      <c r="G111" s="28" t="n">
        <v>5518.38452745042</v>
      </c>
      <c r="H111" s="28" t="n">
        <v>2432.38067101414</v>
      </c>
      <c r="I111" s="6" t="s">
        <v>23</v>
      </c>
      <c r="J111" s="27" t="s">
        <v>5</v>
      </c>
      <c r="K111" s="27" t="s">
        <v>5</v>
      </c>
      <c r="L111" s="27" t="n">
        <v>3</v>
      </c>
      <c r="M111" s="27" t="s">
        <v>44</v>
      </c>
      <c r="N111" s="27" t="s">
        <v>2385</v>
      </c>
      <c r="O111" s="27" t="s">
        <v>46</v>
      </c>
      <c r="P111" s="27" t="s">
        <v>2463</v>
      </c>
      <c r="Q111" s="27" t="n">
        <v>7</v>
      </c>
      <c r="R111" s="27" t="s">
        <v>850</v>
      </c>
      <c r="S111" s="27" t="s">
        <v>41</v>
      </c>
      <c r="T111" s="27" t="s">
        <v>42</v>
      </c>
      <c r="U111" s="27" t="s">
        <v>44</v>
      </c>
      <c r="V111" s="27"/>
      <c r="W111" s="27"/>
      <c r="X111" s="27"/>
      <c r="Y111" s="27" t="s">
        <v>2426</v>
      </c>
      <c r="Z111" s="27" t="n">
        <v>-7.220843</v>
      </c>
      <c r="AA111" s="27" t="n">
        <v>-48.2283095</v>
      </c>
      <c r="AB111" s="37" t="s">
        <v>2338</v>
      </c>
      <c r="AC111" s="27" t="s">
        <v>2427</v>
      </c>
    </row>
    <row r="112" customFormat="false" ht="15" hidden="false" customHeight="false" outlineLevel="0" collapsed="false">
      <c r="A112" s="27" t="n">
        <v>111</v>
      </c>
      <c r="B112" s="27" t="s">
        <v>851</v>
      </c>
      <c r="C112" s="27" t="s">
        <v>2473</v>
      </c>
      <c r="D112" s="27" t="s">
        <v>849</v>
      </c>
      <c r="E112" s="27" t="s">
        <v>852</v>
      </c>
      <c r="F112" s="32" t="n">
        <v>26.0387328192893</v>
      </c>
      <c r="G112" s="28" t="n">
        <v>5544.42326026971</v>
      </c>
      <c r="H112" s="28" t="n">
        <v>2458.41940383343</v>
      </c>
      <c r="I112" s="6" t="s">
        <v>23</v>
      </c>
      <c r="J112" s="27" t="s">
        <v>5</v>
      </c>
      <c r="K112" s="27" t="s">
        <v>5</v>
      </c>
      <c r="L112" s="27" t="n">
        <v>3</v>
      </c>
      <c r="M112" s="27" t="s">
        <v>44</v>
      </c>
      <c r="N112" s="27" t="s">
        <v>2385</v>
      </c>
      <c r="O112" s="27" t="s">
        <v>46</v>
      </c>
      <c r="P112" s="27" t="s">
        <v>2463</v>
      </c>
      <c r="Q112" s="27" t="n">
        <v>7</v>
      </c>
      <c r="R112" s="27"/>
      <c r="S112" s="27" t="s">
        <v>41</v>
      </c>
      <c r="T112" s="27" t="s">
        <v>42</v>
      </c>
      <c r="U112" s="27" t="s">
        <v>44</v>
      </c>
      <c r="V112" s="27"/>
      <c r="W112" s="27"/>
      <c r="X112" s="27"/>
      <c r="Y112" s="27" t="s">
        <v>2426</v>
      </c>
      <c r="Z112" s="27" t="n">
        <v>-7.220831</v>
      </c>
      <c r="AA112" s="27" t="n">
        <v>-48.2281795</v>
      </c>
      <c r="AB112" s="37" t="s">
        <v>2338</v>
      </c>
      <c r="AC112" s="27" t="s">
        <v>2427</v>
      </c>
    </row>
    <row r="113" customFormat="false" ht="15" hidden="false" customHeight="false" outlineLevel="0" collapsed="false">
      <c r="A113" s="27" t="n">
        <v>112</v>
      </c>
      <c r="B113" s="27" t="s">
        <v>853</v>
      </c>
      <c r="C113" s="27" t="s">
        <v>2474</v>
      </c>
      <c r="D113" s="27" t="s">
        <v>852</v>
      </c>
      <c r="E113" s="27" t="s">
        <v>854</v>
      </c>
      <c r="F113" s="32" t="n">
        <v>40.030781577744</v>
      </c>
      <c r="G113" s="28" t="n">
        <v>5584.45404184745</v>
      </c>
      <c r="H113" s="28" t="n">
        <v>2498.45018541117</v>
      </c>
      <c r="I113" s="6" t="s">
        <v>23</v>
      </c>
      <c r="J113" s="27" t="s">
        <v>5</v>
      </c>
      <c r="K113" s="27" t="s">
        <v>5</v>
      </c>
      <c r="L113" s="27" t="n">
        <v>3</v>
      </c>
      <c r="M113" s="27" t="s">
        <v>44</v>
      </c>
      <c r="N113" s="27" t="s">
        <v>2385</v>
      </c>
      <c r="O113" s="27" t="s">
        <v>46</v>
      </c>
      <c r="P113" s="27" t="s">
        <v>2463</v>
      </c>
      <c r="Q113" s="27" t="n">
        <v>7</v>
      </c>
      <c r="R113" s="27"/>
      <c r="S113" s="27" t="s">
        <v>41</v>
      </c>
      <c r="T113" s="27" t="s">
        <v>42</v>
      </c>
      <c r="U113" s="27" t="s">
        <v>44</v>
      </c>
      <c r="V113" s="27"/>
      <c r="W113" s="27"/>
      <c r="X113" s="27"/>
      <c r="Y113" s="27" t="s">
        <v>2426</v>
      </c>
      <c r="Z113" s="27" t="n">
        <v>-7.22064</v>
      </c>
      <c r="AA113" s="27" t="n">
        <v>-48.228063</v>
      </c>
      <c r="AB113" s="37" t="s">
        <v>2338</v>
      </c>
      <c r="AC113" s="27" t="s">
        <v>2427</v>
      </c>
    </row>
    <row r="114" customFormat="false" ht="15" hidden="false" customHeight="false" outlineLevel="0" collapsed="false">
      <c r="A114" s="27" t="n">
        <v>113</v>
      </c>
      <c r="B114" s="27" t="s">
        <v>855</v>
      </c>
      <c r="C114" s="27" t="s">
        <v>2475</v>
      </c>
      <c r="D114" s="27" t="s">
        <v>854</v>
      </c>
      <c r="E114" s="27" t="s">
        <v>856</v>
      </c>
      <c r="F114" s="32" t="n">
        <v>4.22684694558944</v>
      </c>
      <c r="G114" s="28" t="n">
        <v>5588.68088879304</v>
      </c>
      <c r="H114" s="28" t="n">
        <v>2502.67703235676</v>
      </c>
      <c r="I114" s="6" t="s">
        <v>23</v>
      </c>
      <c r="J114" s="27" t="s">
        <v>5</v>
      </c>
      <c r="K114" s="27" t="s">
        <v>5</v>
      </c>
      <c r="L114" s="27" t="n">
        <v>3</v>
      </c>
      <c r="M114" s="27" t="s">
        <v>44</v>
      </c>
      <c r="N114" s="27" t="s">
        <v>2385</v>
      </c>
      <c r="O114" s="27" t="s">
        <v>46</v>
      </c>
      <c r="P114" s="27" t="s">
        <v>2463</v>
      </c>
      <c r="Q114" s="27" t="n">
        <v>7</v>
      </c>
      <c r="R114" s="27" t="s">
        <v>857</v>
      </c>
      <c r="S114" s="27" t="s">
        <v>41</v>
      </c>
      <c r="T114" s="27" t="s">
        <v>42</v>
      </c>
      <c r="U114" s="27" t="s">
        <v>44</v>
      </c>
      <c r="V114" s="27"/>
      <c r="W114" s="27"/>
      <c r="X114" s="27"/>
      <c r="Y114" s="27" t="s">
        <v>2426</v>
      </c>
      <c r="Z114" s="27" t="n">
        <v>-7.220441</v>
      </c>
      <c r="AA114" s="27" t="n">
        <v>-48.2280645</v>
      </c>
      <c r="AB114" s="37" t="s">
        <v>2338</v>
      </c>
      <c r="AC114" s="27" t="s">
        <v>2427</v>
      </c>
    </row>
    <row r="115" customFormat="false" ht="15" hidden="false" customHeight="false" outlineLevel="0" collapsed="false">
      <c r="A115" s="27" t="n">
        <v>114</v>
      </c>
      <c r="B115" s="27" t="s">
        <v>858</v>
      </c>
      <c r="C115" s="27" t="s">
        <v>2476</v>
      </c>
      <c r="D115" s="27" t="s">
        <v>856</v>
      </c>
      <c r="E115" s="27" t="s">
        <v>859</v>
      </c>
      <c r="F115" s="32" t="n">
        <v>198.492876071995</v>
      </c>
      <c r="G115" s="28" t="n">
        <v>5787.17376486503</v>
      </c>
      <c r="H115" s="28" t="n">
        <v>2701.16990842876</v>
      </c>
      <c r="I115" s="6" t="s">
        <v>23</v>
      </c>
      <c r="J115" s="27" t="s">
        <v>5</v>
      </c>
      <c r="K115" s="27" t="s">
        <v>5</v>
      </c>
      <c r="L115" s="27" t="n">
        <v>3</v>
      </c>
      <c r="M115" s="27" t="s">
        <v>44</v>
      </c>
      <c r="N115" s="27" t="s">
        <v>2385</v>
      </c>
      <c r="O115" s="27" t="s">
        <v>46</v>
      </c>
      <c r="P115" s="27" t="s">
        <v>2463</v>
      </c>
      <c r="Q115" s="27" t="n">
        <v>7</v>
      </c>
      <c r="R115" s="27"/>
      <c r="S115" s="27" t="s">
        <v>41</v>
      </c>
      <c r="T115" s="27" t="s">
        <v>42</v>
      </c>
      <c r="U115" s="27" t="s">
        <v>44</v>
      </c>
      <c r="V115" s="27"/>
      <c r="W115" s="27"/>
      <c r="X115" s="27"/>
      <c r="Y115" s="27" t="s">
        <v>2426</v>
      </c>
      <c r="Z115" s="27" t="n">
        <v>-7.2195295</v>
      </c>
      <c r="AA115" s="27" t="n">
        <v>-48.228074</v>
      </c>
      <c r="AB115" s="37" t="s">
        <v>2338</v>
      </c>
      <c r="AC115" s="27" t="s">
        <v>2427</v>
      </c>
    </row>
    <row r="116" customFormat="false" ht="15" hidden="false" customHeight="false" outlineLevel="0" collapsed="false">
      <c r="A116" s="27" t="n">
        <v>115</v>
      </c>
      <c r="B116" s="27" t="s">
        <v>860</v>
      </c>
      <c r="C116" s="27" t="s">
        <v>2477</v>
      </c>
      <c r="D116" s="27" t="s">
        <v>859</v>
      </c>
      <c r="E116" s="27" t="s">
        <v>861</v>
      </c>
      <c r="F116" s="32" t="n">
        <v>2.49629385988838</v>
      </c>
      <c r="G116" s="28" t="n">
        <v>5789.67005872492</v>
      </c>
      <c r="H116" s="28" t="n">
        <v>2703.66620228864</v>
      </c>
      <c r="I116" s="6" t="s">
        <v>23</v>
      </c>
      <c r="J116" s="27" t="s">
        <v>5</v>
      </c>
      <c r="K116" s="27" t="s">
        <v>5</v>
      </c>
      <c r="L116" s="27" t="n">
        <v>3</v>
      </c>
      <c r="M116" s="27" t="s">
        <v>44</v>
      </c>
      <c r="N116" s="27" t="s">
        <v>2385</v>
      </c>
      <c r="O116" s="27" t="s">
        <v>46</v>
      </c>
      <c r="P116" s="27" t="s">
        <v>2463</v>
      </c>
      <c r="Q116" s="27" t="n">
        <v>7</v>
      </c>
      <c r="R116" s="27"/>
      <c r="S116" s="27" t="s">
        <v>41</v>
      </c>
      <c r="T116" s="27" t="s">
        <v>42</v>
      </c>
      <c r="U116" s="27" t="s">
        <v>44</v>
      </c>
      <c r="V116" s="27"/>
      <c r="W116" s="27"/>
      <c r="X116" s="27"/>
      <c r="Y116" s="27" t="s">
        <v>2426</v>
      </c>
      <c r="Z116" s="27" t="n">
        <v>-7.2186265</v>
      </c>
      <c r="AA116" s="27" t="n">
        <v>-48.228079</v>
      </c>
      <c r="AB116" s="37" t="s">
        <v>2338</v>
      </c>
      <c r="AC116" s="27" t="s">
        <v>2427</v>
      </c>
    </row>
    <row r="117" customFormat="false" ht="15" hidden="false" customHeight="false" outlineLevel="0" collapsed="false">
      <c r="A117" s="27" t="n">
        <v>116</v>
      </c>
      <c r="B117" s="27" t="s">
        <v>862</v>
      </c>
      <c r="C117" s="27" t="s">
        <v>2478</v>
      </c>
      <c r="D117" s="27" t="s">
        <v>861</v>
      </c>
      <c r="E117" s="27" t="s">
        <v>863</v>
      </c>
      <c r="F117" s="32" t="n">
        <v>105.417465775488</v>
      </c>
      <c r="G117" s="28" t="n">
        <v>5895.08752450041</v>
      </c>
      <c r="H117" s="28" t="n">
        <v>2809.08366806413</v>
      </c>
      <c r="I117" s="6" t="s">
        <v>23</v>
      </c>
      <c r="J117" s="27" t="s">
        <v>5</v>
      </c>
      <c r="K117" s="27" t="s">
        <v>5</v>
      </c>
      <c r="L117" s="27" t="n">
        <v>3</v>
      </c>
      <c r="M117" s="27" t="s">
        <v>44</v>
      </c>
      <c r="N117" s="27" t="s">
        <v>2385</v>
      </c>
      <c r="O117" s="27" t="s">
        <v>46</v>
      </c>
      <c r="P117" s="27" t="s">
        <v>2463</v>
      </c>
      <c r="Q117" s="27" t="n">
        <v>7</v>
      </c>
      <c r="R117" s="27"/>
      <c r="S117" s="27" t="s">
        <v>41</v>
      </c>
      <c r="T117" s="27" t="s">
        <v>42</v>
      </c>
      <c r="U117" s="27" t="s">
        <v>44</v>
      </c>
      <c r="V117" s="27"/>
      <c r="W117" s="27"/>
      <c r="X117" s="27"/>
      <c r="Y117" s="27" t="s">
        <v>2426</v>
      </c>
      <c r="Z117" s="27" t="n">
        <v>-7.218142</v>
      </c>
      <c r="AA117" s="27" t="n">
        <v>-48.2280795</v>
      </c>
      <c r="AB117" s="37" t="s">
        <v>2338</v>
      </c>
      <c r="AC117" s="27" t="s">
        <v>2427</v>
      </c>
    </row>
    <row r="118" customFormat="false" ht="15" hidden="false" customHeight="false" outlineLevel="0" collapsed="false">
      <c r="A118" s="27" t="n">
        <v>117</v>
      </c>
      <c r="B118" s="27" t="s">
        <v>864</v>
      </c>
      <c r="C118" s="27" t="s">
        <v>2479</v>
      </c>
      <c r="D118" s="27" t="s">
        <v>863</v>
      </c>
      <c r="E118" s="27" t="s">
        <v>865</v>
      </c>
      <c r="F118" s="32" t="n">
        <v>3.42806644976404</v>
      </c>
      <c r="G118" s="28" t="n">
        <v>5898.51559095017</v>
      </c>
      <c r="H118" s="28" t="n">
        <v>2812.5117345139</v>
      </c>
      <c r="I118" s="6" t="s">
        <v>23</v>
      </c>
      <c r="J118" s="27" t="s">
        <v>5</v>
      </c>
      <c r="K118" s="27" t="s">
        <v>5</v>
      </c>
      <c r="L118" s="27" t="n">
        <v>3</v>
      </c>
      <c r="M118" s="27" t="s">
        <v>44</v>
      </c>
      <c r="N118" s="27" t="s">
        <v>2385</v>
      </c>
      <c r="O118" s="27" t="s">
        <v>46</v>
      </c>
      <c r="P118" s="27" t="s">
        <v>2463</v>
      </c>
      <c r="Q118" s="27" t="n">
        <v>7</v>
      </c>
      <c r="R118" s="27"/>
      <c r="S118" s="27" t="s">
        <v>41</v>
      </c>
      <c r="T118" s="27" t="s">
        <v>42</v>
      </c>
      <c r="U118" s="27" t="s">
        <v>44</v>
      </c>
      <c r="V118" s="27"/>
      <c r="W118" s="27"/>
      <c r="X118" s="27"/>
      <c r="Y118" s="27" t="s">
        <v>2426</v>
      </c>
      <c r="Z118" s="27" t="n">
        <v>-7.2176545</v>
      </c>
      <c r="AA118" s="27" t="n">
        <v>-48.2280915</v>
      </c>
      <c r="AB118" s="37" t="s">
        <v>2338</v>
      </c>
      <c r="AC118" s="27" t="s">
        <v>2427</v>
      </c>
    </row>
    <row r="119" customFormat="false" ht="15" hidden="false" customHeight="false" outlineLevel="0" collapsed="false">
      <c r="A119" s="27" t="n">
        <v>118</v>
      </c>
      <c r="B119" s="27" t="s">
        <v>866</v>
      </c>
      <c r="C119" s="27" t="s">
        <v>2480</v>
      </c>
      <c r="D119" s="27" t="s">
        <v>865</v>
      </c>
      <c r="E119" s="27" t="s">
        <v>867</v>
      </c>
      <c r="F119" s="32" t="n">
        <v>7.75982256050395</v>
      </c>
      <c r="G119" s="28" t="n">
        <v>5906.27541351068</v>
      </c>
      <c r="H119" s="28" t="n">
        <v>2820.2715570744</v>
      </c>
      <c r="I119" s="6" t="s">
        <v>23</v>
      </c>
      <c r="J119" s="27" t="s">
        <v>5</v>
      </c>
      <c r="K119" s="27" t="s">
        <v>5</v>
      </c>
      <c r="L119" s="27" t="n">
        <v>3</v>
      </c>
      <c r="M119" s="27" t="s">
        <v>44</v>
      </c>
      <c r="N119" s="27" t="s">
        <v>2385</v>
      </c>
      <c r="O119" s="27" t="s">
        <v>46</v>
      </c>
      <c r="P119" s="27" t="s">
        <v>2463</v>
      </c>
      <c r="Q119" s="27" t="n">
        <v>7</v>
      </c>
      <c r="R119" s="27"/>
      <c r="S119" s="27" t="s">
        <v>41</v>
      </c>
      <c r="T119" s="27" t="s">
        <v>42</v>
      </c>
      <c r="U119" s="27" t="s">
        <v>44</v>
      </c>
      <c r="V119" s="27"/>
      <c r="W119" s="27"/>
      <c r="X119" s="27"/>
      <c r="Y119" s="27" t="s">
        <v>2426</v>
      </c>
      <c r="Z119" s="27" t="n">
        <v>-7.217622</v>
      </c>
      <c r="AA119" s="27" t="n">
        <v>-48.2280695</v>
      </c>
      <c r="AB119" s="37" t="s">
        <v>2338</v>
      </c>
      <c r="AC119" s="27" t="s">
        <v>2427</v>
      </c>
    </row>
    <row r="120" customFormat="false" ht="15" hidden="false" customHeight="false" outlineLevel="0" collapsed="false">
      <c r="A120" s="27" t="n">
        <v>119</v>
      </c>
      <c r="B120" s="27" t="s">
        <v>868</v>
      </c>
      <c r="C120" s="27" t="s">
        <v>2481</v>
      </c>
      <c r="D120" s="27" t="s">
        <v>867</v>
      </c>
      <c r="E120" s="27" t="s">
        <v>869</v>
      </c>
      <c r="F120" s="32" t="n">
        <v>1.5443936835618</v>
      </c>
      <c r="G120" s="28" t="n">
        <v>5907.81980719424</v>
      </c>
      <c r="H120" s="28" t="n">
        <v>2821.81595075796</v>
      </c>
      <c r="I120" s="6" t="s">
        <v>23</v>
      </c>
      <c r="J120" s="27" t="s">
        <v>5</v>
      </c>
      <c r="K120" s="27" t="s">
        <v>5</v>
      </c>
      <c r="L120" s="27" t="n">
        <v>3</v>
      </c>
      <c r="M120" s="27" t="s">
        <v>44</v>
      </c>
      <c r="N120" s="27" t="s">
        <v>2385</v>
      </c>
      <c r="O120" s="27" t="s">
        <v>46</v>
      </c>
      <c r="P120" s="27" t="s">
        <v>2463</v>
      </c>
      <c r="Q120" s="27" t="n">
        <v>7</v>
      </c>
      <c r="R120" s="27" t="s">
        <v>870</v>
      </c>
      <c r="S120" s="27" t="s">
        <v>41</v>
      </c>
      <c r="T120" s="27" t="s">
        <v>42</v>
      </c>
      <c r="U120" s="27" t="s">
        <v>44</v>
      </c>
      <c r="V120" s="27"/>
      <c r="W120" s="27"/>
      <c r="X120" s="27"/>
      <c r="Y120" s="27" t="s">
        <v>2426</v>
      </c>
      <c r="Z120" s="27" t="n">
        <v>-7.217603</v>
      </c>
      <c r="AA120" s="27" t="n">
        <v>-48.228033</v>
      </c>
      <c r="AB120" s="37" t="s">
        <v>2338</v>
      </c>
      <c r="AC120" s="27" t="s">
        <v>2427</v>
      </c>
    </row>
    <row r="121" customFormat="false" ht="15" hidden="false" customHeight="false" outlineLevel="0" collapsed="false">
      <c r="A121" s="27" t="n">
        <v>120</v>
      </c>
      <c r="B121" s="27" t="s">
        <v>871</v>
      </c>
      <c r="C121" s="27" t="s">
        <v>2482</v>
      </c>
      <c r="D121" s="27" t="s">
        <v>869</v>
      </c>
      <c r="E121" s="27" t="s">
        <v>872</v>
      </c>
      <c r="F121" s="32" t="n">
        <v>224.054465624709</v>
      </c>
      <c r="G121" s="28" t="n">
        <v>6131.87427281895</v>
      </c>
      <c r="H121" s="28" t="n">
        <v>3045.87041638267</v>
      </c>
      <c r="I121" s="6" t="s">
        <v>23</v>
      </c>
      <c r="J121" s="27" t="s">
        <v>5</v>
      </c>
      <c r="K121" s="27" t="s">
        <v>5</v>
      </c>
      <c r="L121" s="27" t="n">
        <v>3</v>
      </c>
      <c r="M121" s="27" t="s">
        <v>44</v>
      </c>
      <c r="N121" s="27" t="s">
        <v>2385</v>
      </c>
      <c r="O121" s="27" t="s">
        <v>46</v>
      </c>
      <c r="P121" s="27" t="s">
        <v>2463</v>
      </c>
      <c r="Q121" s="27" t="n">
        <v>7</v>
      </c>
      <c r="R121" s="27"/>
      <c r="S121" s="27" t="s">
        <v>41</v>
      </c>
      <c r="T121" s="27" t="s">
        <v>42</v>
      </c>
      <c r="U121" s="27" t="s">
        <v>44</v>
      </c>
      <c r="V121" s="27"/>
      <c r="W121" s="27"/>
      <c r="X121" s="27"/>
      <c r="Y121" s="27" t="s">
        <v>2426</v>
      </c>
      <c r="Z121" s="27" t="n">
        <v>-7.217595</v>
      </c>
      <c r="AA121" s="27" t="n">
        <v>-48.2270105</v>
      </c>
      <c r="AB121" s="37" t="s">
        <v>2338</v>
      </c>
      <c r="AC121" s="27" t="s">
        <v>2427</v>
      </c>
    </row>
    <row r="122" customFormat="false" ht="15" hidden="false" customHeight="false" outlineLevel="0" collapsed="false">
      <c r="A122" s="27" t="n">
        <v>121</v>
      </c>
      <c r="B122" s="27" t="s">
        <v>873</v>
      </c>
      <c r="C122" s="27" t="s">
        <v>2483</v>
      </c>
      <c r="D122" s="27" t="s">
        <v>872</v>
      </c>
      <c r="E122" s="27" t="s">
        <v>874</v>
      </c>
      <c r="F122" s="32" t="n">
        <v>4.19192586032421</v>
      </c>
      <c r="G122" s="28" t="n">
        <v>6136.06619867927</v>
      </c>
      <c r="H122" s="28" t="n">
        <v>3050.062342243</v>
      </c>
      <c r="I122" s="6" t="s">
        <v>23</v>
      </c>
      <c r="J122" s="27" t="s">
        <v>5</v>
      </c>
      <c r="K122" s="27" t="s">
        <v>5</v>
      </c>
      <c r="L122" s="27" t="n">
        <v>3</v>
      </c>
      <c r="M122" s="27" t="s">
        <v>44</v>
      </c>
      <c r="N122" s="27" t="s">
        <v>2385</v>
      </c>
      <c r="O122" s="27" t="s">
        <v>46</v>
      </c>
      <c r="P122" s="27" t="s">
        <v>2463</v>
      </c>
      <c r="Q122" s="27" t="n">
        <v>7</v>
      </c>
      <c r="R122" s="27"/>
      <c r="S122" s="27" t="s">
        <v>41</v>
      </c>
      <c r="T122" s="27" t="s">
        <v>42</v>
      </c>
      <c r="U122" s="27" t="s">
        <v>44</v>
      </c>
      <c r="V122" s="27"/>
      <c r="W122" s="27"/>
      <c r="X122" s="27"/>
      <c r="Y122" s="27" t="s">
        <v>2426</v>
      </c>
      <c r="Z122" s="27" t="n">
        <v>-7.217587</v>
      </c>
      <c r="AA122" s="27" t="n">
        <v>-48.225976</v>
      </c>
      <c r="AB122" s="37" t="s">
        <v>2338</v>
      </c>
      <c r="AC122" s="27" t="s">
        <v>2427</v>
      </c>
    </row>
    <row r="123" customFormat="false" ht="15" hidden="false" customHeight="false" outlineLevel="0" collapsed="false">
      <c r="A123" s="27" t="n">
        <v>122</v>
      </c>
      <c r="B123" s="27" t="s">
        <v>875</v>
      </c>
      <c r="C123" s="27" t="s">
        <v>2484</v>
      </c>
      <c r="D123" s="27" t="s">
        <v>874</v>
      </c>
      <c r="E123" s="27" t="s">
        <v>876</v>
      </c>
      <c r="F123" s="32" t="n">
        <v>209.819309412587</v>
      </c>
      <c r="G123" s="28" t="n">
        <v>6345.88550809186</v>
      </c>
      <c r="H123" s="28" t="n">
        <v>3259.88165165558</v>
      </c>
      <c r="I123" s="6" t="s">
        <v>23</v>
      </c>
      <c r="J123" s="27" t="s">
        <v>5</v>
      </c>
      <c r="K123" s="27" t="s">
        <v>5</v>
      </c>
      <c r="L123" s="27" t="n">
        <v>3</v>
      </c>
      <c r="M123" s="27" t="s">
        <v>44</v>
      </c>
      <c r="N123" s="27" t="s">
        <v>2385</v>
      </c>
      <c r="O123" s="27" t="s">
        <v>46</v>
      </c>
      <c r="P123" s="27" t="s">
        <v>2463</v>
      </c>
      <c r="Q123" s="27" t="n">
        <v>7</v>
      </c>
      <c r="R123" s="27"/>
      <c r="S123" s="27" t="s">
        <v>41</v>
      </c>
      <c r="T123" s="27" t="s">
        <v>42</v>
      </c>
      <c r="U123" s="27" t="s">
        <v>44</v>
      </c>
      <c r="V123" s="27"/>
      <c r="W123" s="27"/>
      <c r="X123" s="27"/>
      <c r="Y123" s="27" t="s">
        <v>2426</v>
      </c>
      <c r="Z123" s="27" t="n">
        <v>-7.2175825</v>
      </c>
      <c r="AA123" s="27" t="n">
        <v>-48.225006</v>
      </c>
      <c r="AB123" s="37" t="s">
        <v>2338</v>
      </c>
      <c r="AC123" s="27" t="s">
        <v>2427</v>
      </c>
    </row>
    <row r="124" customFormat="false" ht="15" hidden="false" customHeight="false" outlineLevel="0" collapsed="false">
      <c r="A124" s="27" t="n">
        <v>123</v>
      </c>
      <c r="B124" s="27" t="s">
        <v>877</v>
      </c>
      <c r="C124" s="27" t="s">
        <v>2485</v>
      </c>
      <c r="D124" s="27" t="s">
        <v>876</v>
      </c>
      <c r="E124" s="27" t="s">
        <v>878</v>
      </c>
      <c r="F124" s="32" t="n">
        <v>2.88749369197931</v>
      </c>
      <c r="G124" s="28" t="n">
        <v>6348.77300178384</v>
      </c>
      <c r="H124" s="28" t="n">
        <v>3262.76914534756</v>
      </c>
      <c r="I124" s="6" t="s">
        <v>23</v>
      </c>
      <c r="J124" s="27" t="s">
        <v>5</v>
      </c>
      <c r="K124" s="27" t="s">
        <v>5</v>
      </c>
      <c r="L124" s="27" t="n">
        <v>3</v>
      </c>
      <c r="M124" s="27" t="s">
        <v>44</v>
      </c>
      <c r="N124" s="27" t="s">
        <v>2385</v>
      </c>
      <c r="O124" s="27" t="s">
        <v>46</v>
      </c>
      <c r="P124" s="27" t="s">
        <v>2463</v>
      </c>
      <c r="Q124" s="27" t="n">
        <v>7</v>
      </c>
      <c r="R124" s="27"/>
      <c r="S124" s="27" t="s">
        <v>41</v>
      </c>
      <c r="T124" s="27" t="s">
        <v>42</v>
      </c>
      <c r="U124" s="27" t="s">
        <v>44</v>
      </c>
      <c r="V124" s="27"/>
      <c r="W124" s="27"/>
      <c r="X124" s="27"/>
      <c r="Y124" s="27" t="s">
        <v>2426</v>
      </c>
      <c r="Z124" s="27" t="n">
        <v>-7.2175765</v>
      </c>
      <c r="AA124" s="27" t="n">
        <v>-48.224042</v>
      </c>
      <c r="AB124" s="37" t="s">
        <v>2338</v>
      </c>
      <c r="AC124" s="27" t="s">
        <v>2427</v>
      </c>
    </row>
    <row r="125" customFormat="false" ht="15" hidden="false" customHeight="false" outlineLevel="0" collapsed="false">
      <c r="A125" s="27" t="n">
        <v>124</v>
      </c>
      <c r="B125" s="27" t="s">
        <v>879</v>
      </c>
      <c r="C125" s="27" t="s">
        <v>2486</v>
      </c>
      <c r="D125" s="27" t="s">
        <v>878</v>
      </c>
      <c r="E125" s="27" t="s">
        <v>880</v>
      </c>
      <c r="F125" s="32" t="n">
        <v>19.4152360807563</v>
      </c>
      <c r="G125" s="28" t="n">
        <v>6368.1882378646</v>
      </c>
      <c r="H125" s="28" t="n">
        <v>3282.18438142832</v>
      </c>
      <c r="I125" s="6" t="s">
        <v>23</v>
      </c>
      <c r="J125" s="27" t="s">
        <v>5</v>
      </c>
      <c r="K125" s="27" t="s">
        <v>5</v>
      </c>
      <c r="L125" s="27" t="n">
        <v>3</v>
      </c>
      <c r="M125" s="27" t="s">
        <v>44</v>
      </c>
      <c r="N125" s="27" t="s">
        <v>2385</v>
      </c>
      <c r="O125" s="27" t="s">
        <v>46</v>
      </c>
      <c r="P125" s="27" t="s">
        <v>2463</v>
      </c>
      <c r="Q125" s="27" t="n">
        <v>7</v>
      </c>
      <c r="R125" s="27"/>
      <c r="S125" s="27" t="s">
        <v>41</v>
      </c>
      <c r="T125" s="27" t="s">
        <v>42</v>
      </c>
      <c r="U125" s="27" t="s">
        <v>44</v>
      </c>
      <c r="V125" s="27"/>
      <c r="W125" s="27"/>
      <c r="X125" s="27"/>
      <c r="Y125" s="27" t="s">
        <v>2426</v>
      </c>
      <c r="Z125" s="27" t="n">
        <v>-7.217575</v>
      </c>
      <c r="AA125" s="27" t="n">
        <v>-48.223941</v>
      </c>
      <c r="AB125" s="37" t="s">
        <v>2338</v>
      </c>
      <c r="AC125" s="27" t="s">
        <v>2427</v>
      </c>
    </row>
    <row r="126" customFormat="false" ht="15" hidden="false" customHeight="false" outlineLevel="0" collapsed="false">
      <c r="A126" s="27" t="n">
        <v>125</v>
      </c>
      <c r="B126" s="27" t="s">
        <v>881</v>
      </c>
      <c r="C126" s="27" t="s">
        <v>2487</v>
      </c>
      <c r="D126" s="27" t="s">
        <v>880</v>
      </c>
      <c r="E126" s="27" t="s">
        <v>882</v>
      </c>
      <c r="F126" s="32" t="n">
        <v>94.4055239517979</v>
      </c>
      <c r="G126" s="28" t="n">
        <v>6462.59376181639</v>
      </c>
      <c r="H126" s="28" t="n">
        <v>3376.58990538012</v>
      </c>
      <c r="I126" s="6" t="s">
        <v>23</v>
      </c>
      <c r="J126" s="27" t="s">
        <v>5</v>
      </c>
      <c r="K126" s="27" t="s">
        <v>5</v>
      </c>
      <c r="L126" s="27" t="n">
        <v>3</v>
      </c>
      <c r="M126" s="27" t="s">
        <v>44</v>
      </c>
      <c r="N126" s="27" t="s">
        <v>2385</v>
      </c>
      <c r="O126" s="27" t="s">
        <v>46</v>
      </c>
      <c r="P126" s="27" t="s">
        <v>2463</v>
      </c>
      <c r="Q126" s="27" t="n">
        <v>7</v>
      </c>
      <c r="R126" s="27"/>
      <c r="S126" s="27" t="s">
        <v>41</v>
      </c>
      <c r="T126" s="27" t="s">
        <v>42</v>
      </c>
      <c r="U126" s="27" t="s">
        <v>44</v>
      </c>
      <c r="V126" s="27"/>
      <c r="W126" s="27"/>
      <c r="X126" s="27"/>
      <c r="Y126" s="27" t="s">
        <v>2426</v>
      </c>
      <c r="Z126" s="27" t="n">
        <v>-7.2171505</v>
      </c>
      <c r="AA126" s="27" t="n">
        <v>-48.223855</v>
      </c>
      <c r="AB126" s="37" t="s">
        <v>2338</v>
      </c>
      <c r="AC126" s="27" t="s">
        <v>2427</v>
      </c>
    </row>
    <row r="127" customFormat="false" ht="15" hidden="false" customHeight="false" outlineLevel="0" collapsed="false">
      <c r="A127" s="27" t="n">
        <v>126</v>
      </c>
      <c r="B127" s="27" t="s">
        <v>883</v>
      </c>
      <c r="C127" s="27" t="s">
        <v>2488</v>
      </c>
      <c r="D127" s="27" t="s">
        <v>882</v>
      </c>
      <c r="E127" s="27" t="s">
        <v>884</v>
      </c>
      <c r="F127" s="32" t="n">
        <v>3.44704272599497</v>
      </c>
      <c r="G127" s="28" t="n">
        <v>6466.04080454239</v>
      </c>
      <c r="H127" s="28" t="n">
        <v>3380.03694810611</v>
      </c>
      <c r="I127" s="6" t="s">
        <v>23</v>
      </c>
      <c r="J127" s="27" t="s">
        <v>5</v>
      </c>
      <c r="K127" s="27" t="s">
        <v>5</v>
      </c>
      <c r="L127" s="27" t="n">
        <v>3</v>
      </c>
      <c r="M127" s="27" t="s">
        <v>44</v>
      </c>
      <c r="N127" s="27" t="s">
        <v>2385</v>
      </c>
      <c r="O127" s="27" t="s">
        <v>46</v>
      </c>
      <c r="P127" s="27" t="s">
        <v>2463</v>
      </c>
      <c r="Q127" s="27" t="n">
        <v>7</v>
      </c>
      <c r="R127" s="27" t="s">
        <v>885</v>
      </c>
      <c r="S127" s="27" t="s">
        <v>41</v>
      </c>
      <c r="T127" s="27" t="s">
        <v>42</v>
      </c>
      <c r="U127" s="27" t="s">
        <v>44</v>
      </c>
      <c r="V127" s="27"/>
      <c r="W127" s="27"/>
      <c r="X127" s="27"/>
      <c r="Y127" s="27" t="s">
        <v>2426</v>
      </c>
      <c r="Z127" s="27" t="n">
        <v>-7.2167415</v>
      </c>
      <c r="AA127" s="27" t="n">
        <v>-48.223857</v>
      </c>
      <c r="AB127" s="37" t="s">
        <v>2338</v>
      </c>
      <c r="AC127" s="27" t="s">
        <v>2427</v>
      </c>
    </row>
    <row r="128" customFormat="false" ht="15" hidden="false" customHeight="false" outlineLevel="0" collapsed="false">
      <c r="A128" s="27" t="n">
        <v>127</v>
      </c>
      <c r="B128" s="27" t="s">
        <v>886</v>
      </c>
      <c r="C128" s="27" t="s">
        <v>2489</v>
      </c>
      <c r="D128" s="27" t="s">
        <v>884</v>
      </c>
      <c r="E128" s="27" t="s">
        <v>887</v>
      </c>
      <c r="F128" s="32" t="n">
        <v>7.23103683711749</v>
      </c>
      <c r="G128" s="28" t="n">
        <v>6473.27184137951</v>
      </c>
      <c r="H128" s="28" t="n">
        <v>3387.26798494323</v>
      </c>
      <c r="I128" s="6" t="s">
        <v>23</v>
      </c>
      <c r="J128" s="27" t="s">
        <v>5</v>
      </c>
      <c r="K128" s="27" t="s">
        <v>5</v>
      </c>
      <c r="L128" s="27" t="n">
        <v>3</v>
      </c>
      <c r="M128" s="27" t="s">
        <v>44</v>
      </c>
      <c r="N128" s="27" t="s">
        <v>2385</v>
      </c>
      <c r="O128" s="27" t="s">
        <v>46</v>
      </c>
      <c r="P128" s="27" t="s">
        <v>2463</v>
      </c>
      <c r="Q128" s="27" t="n">
        <v>7</v>
      </c>
      <c r="R128" s="27"/>
      <c r="S128" s="27" t="s">
        <v>41</v>
      </c>
      <c r="T128" s="27" t="s">
        <v>42</v>
      </c>
      <c r="U128" s="27" t="s">
        <v>44</v>
      </c>
      <c r="V128" s="27"/>
      <c r="W128" s="27"/>
      <c r="X128" s="27"/>
      <c r="Y128" s="27" t="s">
        <v>2426</v>
      </c>
      <c r="Z128" s="27" t="n">
        <v>-7.2167245</v>
      </c>
      <c r="AA128" s="27" t="n">
        <v>-48.223858</v>
      </c>
      <c r="AB128" s="37" t="s">
        <v>2338</v>
      </c>
      <c r="AC128" s="27" t="s">
        <v>2427</v>
      </c>
    </row>
    <row r="129" customFormat="false" ht="15" hidden="false" customHeight="false" outlineLevel="0" collapsed="false">
      <c r="A129" s="27" t="n">
        <v>128</v>
      </c>
      <c r="B129" s="27" t="s">
        <v>888</v>
      </c>
      <c r="C129" s="27" t="s">
        <v>2490</v>
      </c>
      <c r="D129" s="27" t="s">
        <v>887</v>
      </c>
      <c r="E129" s="27" t="s">
        <v>889</v>
      </c>
      <c r="F129" s="32" t="n">
        <v>21.7458037601423</v>
      </c>
      <c r="G129" s="28" t="n">
        <v>6495.01764513965</v>
      </c>
      <c r="H129" s="28" t="n">
        <v>3409.01378870337</v>
      </c>
      <c r="I129" s="6" t="s">
        <v>23</v>
      </c>
      <c r="J129" s="27" t="s">
        <v>5</v>
      </c>
      <c r="K129" s="27" t="s">
        <v>5</v>
      </c>
      <c r="L129" s="27" t="n">
        <v>3</v>
      </c>
      <c r="M129" s="27" t="s">
        <v>44</v>
      </c>
      <c r="N129" s="27" t="s">
        <v>2385</v>
      </c>
      <c r="O129" s="27" t="s">
        <v>46</v>
      </c>
      <c r="P129" s="27" t="s">
        <v>278</v>
      </c>
      <c r="Q129" s="27" t="n">
        <v>1</v>
      </c>
      <c r="R129" s="27"/>
      <c r="S129" s="27" t="s">
        <v>41</v>
      </c>
      <c r="T129" s="27" t="s">
        <v>42</v>
      </c>
      <c r="U129" s="27" t="s">
        <v>44</v>
      </c>
      <c r="V129" s="27"/>
      <c r="W129" s="27"/>
      <c r="X129" s="27"/>
      <c r="Y129" s="27" t="s">
        <v>2426</v>
      </c>
      <c r="Z129" s="27" t="n">
        <v>-7.2166955</v>
      </c>
      <c r="AA129" s="27" t="n">
        <v>-48.2239575</v>
      </c>
      <c r="AB129" s="37" t="s">
        <v>2338</v>
      </c>
      <c r="AC129" s="27" t="s">
        <v>2427</v>
      </c>
    </row>
    <row r="130" customFormat="false" ht="15" hidden="false" customHeight="false" outlineLevel="0" collapsed="false">
      <c r="A130" s="27" t="n">
        <v>129</v>
      </c>
      <c r="B130" s="27" t="s">
        <v>890</v>
      </c>
      <c r="C130" s="27" t="s">
        <v>2491</v>
      </c>
      <c r="D130" s="27" t="s">
        <v>889</v>
      </c>
      <c r="E130" s="27" t="s">
        <v>891</v>
      </c>
      <c r="F130" s="32" t="n">
        <v>4.08313438108551</v>
      </c>
      <c r="G130" s="28" t="n">
        <v>6499.10077952073</v>
      </c>
      <c r="H130" s="28" t="n">
        <v>3413.09692308445</v>
      </c>
      <c r="I130" s="6" t="s">
        <v>23</v>
      </c>
      <c r="J130" s="27" t="s">
        <v>5</v>
      </c>
      <c r="K130" s="27" t="s">
        <v>5</v>
      </c>
      <c r="L130" s="27" t="n">
        <v>3</v>
      </c>
      <c r="M130" s="27" t="s">
        <v>44</v>
      </c>
      <c r="N130" s="27" t="s">
        <v>2385</v>
      </c>
      <c r="O130" s="27" t="s">
        <v>46</v>
      </c>
      <c r="P130" s="27" t="s">
        <v>278</v>
      </c>
      <c r="Q130" s="27" t="n">
        <v>1</v>
      </c>
      <c r="R130" s="27" t="s">
        <v>892</v>
      </c>
      <c r="S130" s="27" t="s">
        <v>41</v>
      </c>
      <c r="T130" s="27" t="s">
        <v>42</v>
      </c>
      <c r="U130" s="27" t="s">
        <v>44</v>
      </c>
      <c r="V130" s="27"/>
      <c r="W130" s="27"/>
      <c r="X130" s="27"/>
      <c r="Y130" s="27" t="s">
        <v>2426</v>
      </c>
      <c r="Z130" s="27" t="n">
        <v>-7.2166995</v>
      </c>
      <c r="AA130" s="27" t="n">
        <v>-48.2240745</v>
      </c>
      <c r="AB130" s="37" t="s">
        <v>2338</v>
      </c>
      <c r="AC130" s="27" t="s">
        <v>2427</v>
      </c>
    </row>
    <row r="131" customFormat="false" ht="15" hidden="false" customHeight="false" outlineLevel="0" collapsed="false">
      <c r="A131" s="27" t="n">
        <v>130</v>
      </c>
      <c r="B131" s="27" t="s">
        <v>893</v>
      </c>
      <c r="C131" s="27" t="s">
        <v>2492</v>
      </c>
      <c r="D131" s="27" t="s">
        <v>891</v>
      </c>
      <c r="E131" s="27" t="s">
        <v>894</v>
      </c>
      <c r="F131" s="32" t="n">
        <v>36.7360946952651</v>
      </c>
      <c r="G131" s="28" t="n">
        <v>6535.836874216</v>
      </c>
      <c r="H131" s="28" t="n">
        <v>3449.83301777972</v>
      </c>
      <c r="I131" s="6" t="s">
        <v>23</v>
      </c>
      <c r="J131" s="27" t="s">
        <v>5</v>
      </c>
      <c r="K131" s="27" t="s">
        <v>5</v>
      </c>
      <c r="L131" s="27" t="n">
        <v>3</v>
      </c>
      <c r="M131" s="27" t="s">
        <v>44</v>
      </c>
      <c r="N131" s="27" t="s">
        <v>2385</v>
      </c>
      <c r="O131" s="27" t="s">
        <v>46</v>
      </c>
      <c r="P131" s="27" t="s">
        <v>278</v>
      </c>
      <c r="Q131" s="27" t="n">
        <v>1</v>
      </c>
      <c r="R131" s="27"/>
      <c r="S131" s="27" t="s">
        <v>41</v>
      </c>
      <c r="T131" s="27" t="s">
        <v>42</v>
      </c>
      <c r="U131" s="27" t="s">
        <v>44</v>
      </c>
      <c r="V131" s="27"/>
      <c r="W131" s="27"/>
      <c r="X131" s="27"/>
      <c r="Y131" s="27" t="s">
        <v>2426</v>
      </c>
      <c r="Z131" s="27" t="n">
        <v>-7.2167015</v>
      </c>
      <c r="AA131" s="27" t="n">
        <v>-48.2242595</v>
      </c>
      <c r="AB131" s="37" t="s">
        <v>2338</v>
      </c>
      <c r="AC131" s="27" t="s">
        <v>2427</v>
      </c>
    </row>
    <row r="132" customFormat="false" ht="15" hidden="false" customHeight="false" outlineLevel="0" collapsed="false">
      <c r="A132" s="27" t="n">
        <v>131</v>
      </c>
      <c r="B132" s="27" t="s">
        <v>895</v>
      </c>
      <c r="C132" s="27" t="s">
        <v>2493</v>
      </c>
      <c r="D132" s="27" t="s">
        <v>894</v>
      </c>
      <c r="E132" s="27" t="s">
        <v>896</v>
      </c>
      <c r="F132" s="32" t="n">
        <v>185.667073776025</v>
      </c>
      <c r="G132" s="28" t="n">
        <v>6721.50394799202</v>
      </c>
      <c r="H132" s="28" t="n">
        <v>3635.50009155574</v>
      </c>
      <c r="I132" s="6" t="s">
        <v>23</v>
      </c>
      <c r="J132" s="27" t="s">
        <v>5</v>
      </c>
      <c r="K132" s="27" t="s">
        <v>5</v>
      </c>
      <c r="L132" s="27" t="n">
        <v>3</v>
      </c>
      <c r="M132" s="27" t="s">
        <v>44</v>
      </c>
      <c r="N132" s="27" t="s">
        <v>2385</v>
      </c>
      <c r="O132" s="27" t="s">
        <v>46</v>
      </c>
      <c r="P132" s="27" t="s">
        <v>278</v>
      </c>
      <c r="Q132" s="27" t="n">
        <v>1</v>
      </c>
      <c r="R132" s="27"/>
      <c r="S132" s="27" t="s">
        <v>41</v>
      </c>
      <c r="T132" s="27" t="s">
        <v>42</v>
      </c>
      <c r="U132" s="27" t="s">
        <v>44</v>
      </c>
      <c r="V132" s="27"/>
      <c r="W132" s="27"/>
      <c r="X132" s="27"/>
      <c r="Y132" s="27" t="s">
        <v>2426</v>
      </c>
      <c r="Z132" s="27" t="n">
        <v>-7.216711</v>
      </c>
      <c r="AA132" s="27" t="n">
        <v>-48.2252675</v>
      </c>
      <c r="AB132" s="37" t="s">
        <v>2338</v>
      </c>
      <c r="AC132" s="27" t="s">
        <v>2427</v>
      </c>
    </row>
    <row r="133" customFormat="false" ht="15" hidden="false" customHeight="false" outlineLevel="0" collapsed="false">
      <c r="A133" s="27" t="n">
        <v>132</v>
      </c>
      <c r="B133" s="27" t="s">
        <v>897</v>
      </c>
      <c r="C133" s="27" t="s">
        <v>2494</v>
      </c>
      <c r="D133" s="27" t="s">
        <v>896</v>
      </c>
      <c r="E133" s="27" t="s">
        <v>898</v>
      </c>
      <c r="F133" s="32" t="n">
        <v>1.24123362792033</v>
      </c>
      <c r="G133" s="28" t="n">
        <v>6722.74518161994</v>
      </c>
      <c r="H133" s="28" t="n">
        <v>3636.74132518367</v>
      </c>
      <c r="I133" s="6" t="s">
        <v>23</v>
      </c>
      <c r="J133" s="27" t="s">
        <v>5</v>
      </c>
      <c r="K133" s="27" t="s">
        <v>5</v>
      </c>
      <c r="L133" s="27" t="n">
        <v>3</v>
      </c>
      <c r="M133" s="27" t="s">
        <v>44</v>
      </c>
      <c r="N133" s="27" t="s">
        <v>2385</v>
      </c>
      <c r="O133" s="27" t="s">
        <v>46</v>
      </c>
      <c r="P133" s="27" t="s">
        <v>278</v>
      </c>
      <c r="Q133" s="27" t="n">
        <v>1</v>
      </c>
      <c r="R133" s="27"/>
      <c r="S133" s="27" t="s">
        <v>41</v>
      </c>
      <c r="T133" s="27" t="s">
        <v>42</v>
      </c>
      <c r="U133" s="27" t="s">
        <v>44</v>
      </c>
      <c r="V133" s="27"/>
      <c r="W133" s="27"/>
      <c r="X133" s="27"/>
      <c r="Y133" s="27" t="s">
        <v>2426</v>
      </c>
      <c r="Z133" s="27" t="n">
        <v>-7.216714</v>
      </c>
      <c r="AA133" s="27" t="n">
        <v>-48.2261115</v>
      </c>
      <c r="AB133" s="37" t="s">
        <v>2338</v>
      </c>
      <c r="AC133" s="27" t="s">
        <v>2427</v>
      </c>
    </row>
    <row r="134" customFormat="false" ht="15" hidden="false" customHeight="false" outlineLevel="0" collapsed="false">
      <c r="A134" s="27" t="n">
        <v>133</v>
      </c>
      <c r="B134" s="27" t="s">
        <v>899</v>
      </c>
      <c r="C134" s="27" t="s">
        <v>2495</v>
      </c>
      <c r="D134" s="27" t="s">
        <v>887</v>
      </c>
      <c r="E134" s="27" t="s">
        <v>900</v>
      </c>
      <c r="F134" s="32" t="n">
        <v>44.3512688297189</v>
      </c>
      <c r="G134" s="28" t="n">
        <v>6517.62311020922</v>
      </c>
      <c r="H134" s="28" t="n">
        <v>3431.61925377295</v>
      </c>
      <c r="I134" s="6" t="s">
        <v>23</v>
      </c>
      <c r="J134" s="27" t="s">
        <v>5</v>
      </c>
      <c r="K134" s="27" t="s">
        <v>5</v>
      </c>
      <c r="L134" s="27" t="n">
        <v>3</v>
      </c>
      <c r="M134" s="27" t="s">
        <v>44</v>
      </c>
      <c r="N134" s="27" t="s">
        <v>2385</v>
      </c>
      <c r="O134" s="27" t="s">
        <v>46</v>
      </c>
      <c r="P134" s="27" t="s">
        <v>2496</v>
      </c>
      <c r="Q134" s="27" t="n">
        <v>6</v>
      </c>
      <c r="R134" s="27"/>
      <c r="S134" s="27" t="s">
        <v>41</v>
      </c>
      <c r="T134" s="27" t="s">
        <v>42</v>
      </c>
      <c r="U134" s="27" t="s">
        <v>44</v>
      </c>
      <c r="V134" s="27"/>
      <c r="W134" s="27"/>
      <c r="X134" s="27"/>
      <c r="Y134" s="27" t="s">
        <v>2426</v>
      </c>
      <c r="Z134" s="27" t="n">
        <v>-7.216695</v>
      </c>
      <c r="AA134" s="27" t="n">
        <v>-48.223658</v>
      </c>
      <c r="AB134" s="37" t="s">
        <v>2338</v>
      </c>
      <c r="AC134" s="27" t="s">
        <v>2427</v>
      </c>
    </row>
    <row r="135" customFormat="false" ht="15" hidden="false" customHeight="false" outlineLevel="0" collapsed="false">
      <c r="A135" s="27" t="n">
        <v>134</v>
      </c>
      <c r="B135" s="27" t="s">
        <v>901</v>
      </c>
      <c r="C135" s="27" t="s">
        <v>2497</v>
      </c>
      <c r="D135" s="27" t="s">
        <v>900</v>
      </c>
      <c r="E135" s="27" t="s">
        <v>902</v>
      </c>
      <c r="F135" s="32" t="n">
        <v>1.89031375282808</v>
      </c>
      <c r="G135" s="28" t="n">
        <v>6519.51342396205</v>
      </c>
      <c r="H135" s="28" t="n">
        <v>3433.50956752577</v>
      </c>
      <c r="I135" s="6" t="s">
        <v>23</v>
      </c>
      <c r="J135" s="27" t="s">
        <v>5</v>
      </c>
      <c r="K135" s="27" t="s">
        <v>5</v>
      </c>
      <c r="L135" s="27" t="n">
        <v>3</v>
      </c>
      <c r="M135" s="27" t="s">
        <v>44</v>
      </c>
      <c r="N135" s="27" t="s">
        <v>2385</v>
      </c>
      <c r="O135" s="27" t="s">
        <v>46</v>
      </c>
      <c r="P135" s="27" t="s">
        <v>272</v>
      </c>
      <c r="Q135" s="27" t="n">
        <v>1</v>
      </c>
      <c r="R135" s="27"/>
      <c r="S135" s="27" t="s">
        <v>41</v>
      </c>
      <c r="T135" s="27" t="s">
        <v>42</v>
      </c>
      <c r="U135" s="27" t="s">
        <v>44</v>
      </c>
      <c r="V135" s="27"/>
      <c r="W135" s="27"/>
      <c r="X135" s="27"/>
      <c r="Y135" s="27" t="s">
        <v>2426</v>
      </c>
      <c r="Z135" s="27" t="n">
        <v>-7.2166895</v>
      </c>
      <c r="AA135" s="27" t="n">
        <v>-48.223457</v>
      </c>
      <c r="AB135" s="37" t="s">
        <v>2338</v>
      </c>
      <c r="AC135" s="27" t="s">
        <v>2427</v>
      </c>
    </row>
    <row r="136" customFormat="false" ht="15" hidden="false" customHeight="false" outlineLevel="0" collapsed="false">
      <c r="A136" s="27" t="n">
        <v>135</v>
      </c>
      <c r="B136" s="27" t="s">
        <v>903</v>
      </c>
      <c r="C136" s="27" t="s">
        <v>2498</v>
      </c>
      <c r="D136" s="27" t="s">
        <v>902</v>
      </c>
      <c r="E136" s="27" t="s">
        <v>904</v>
      </c>
      <c r="F136" s="32" t="n">
        <v>129.209258221465</v>
      </c>
      <c r="G136" s="28" t="n">
        <v>6648.72268218352</v>
      </c>
      <c r="H136" s="28" t="n">
        <v>3562.71882574724</v>
      </c>
      <c r="I136" s="6" t="s">
        <v>23</v>
      </c>
      <c r="J136" s="27" t="s">
        <v>5</v>
      </c>
      <c r="K136" s="27" t="s">
        <v>5</v>
      </c>
      <c r="L136" s="27" t="n">
        <v>3</v>
      </c>
      <c r="M136" s="27" t="s">
        <v>44</v>
      </c>
      <c r="N136" s="27" t="s">
        <v>2385</v>
      </c>
      <c r="O136" s="27" t="s">
        <v>46</v>
      </c>
      <c r="P136" s="27" t="s">
        <v>272</v>
      </c>
      <c r="Q136" s="27" t="n">
        <v>1</v>
      </c>
      <c r="R136" s="27"/>
      <c r="S136" s="27" t="s">
        <v>41</v>
      </c>
      <c r="T136" s="27" t="s">
        <v>42</v>
      </c>
      <c r="U136" s="27" t="s">
        <v>44</v>
      </c>
      <c r="V136" s="27"/>
      <c r="W136" s="27"/>
      <c r="X136" s="27"/>
      <c r="Y136" s="27" t="s">
        <v>2426</v>
      </c>
      <c r="Z136" s="27" t="n">
        <v>-7.2161</v>
      </c>
      <c r="AA136" s="27" t="n">
        <v>-48.223459</v>
      </c>
      <c r="AB136" s="37" t="s">
        <v>2338</v>
      </c>
      <c r="AC136" s="27" t="s">
        <v>2427</v>
      </c>
    </row>
    <row r="137" customFormat="false" ht="15" hidden="false" customHeight="false" outlineLevel="0" collapsed="false">
      <c r="A137" s="27" t="n">
        <v>136</v>
      </c>
      <c r="B137" s="27" t="s">
        <v>905</v>
      </c>
      <c r="C137" s="27" t="s">
        <v>2499</v>
      </c>
      <c r="D137" s="27" t="s">
        <v>904</v>
      </c>
      <c r="E137" s="27" t="s">
        <v>906</v>
      </c>
      <c r="F137" s="32" t="n">
        <v>0.441257370082445</v>
      </c>
      <c r="G137" s="28" t="n">
        <v>6649.1639395536</v>
      </c>
      <c r="H137" s="28" t="n">
        <v>3563.16008311732</v>
      </c>
      <c r="I137" s="6" t="s">
        <v>23</v>
      </c>
      <c r="J137" s="27" t="s">
        <v>5</v>
      </c>
      <c r="K137" s="27" t="s">
        <v>5</v>
      </c>
      <c r="L137" s="27" t="n">
        <v>3</v>
      </c>
      <c r="M137" s="27" t="s">
        <v>44</v>
      </c>
      <c r="N137" s="27" t="s">
        <v>2385</v>
      </c>
      <c r="O137" s="27" t="s">
        <v>46</v>
      </c>
      <c r="P137" s="27" t="s">
        <v>272</v>
      </c>
      <c r="Q137" s="27" t="n">
        <v>1</v>
      </c>
      <c r="R137" s="27"/>
      <c r="S137" s="27" t="s">
        <v>41</v>
      </c>
      <c r="T137" s="27" t="s">
        <v>42</v>
      </c>
      <c r="U137" s="27" t="s">
        <v>44</v>
      </c>
      <c r="V137" s="27"/>
      <c r="W137" s="27"/>
      <c r="X137" s="27"/>
      <c r="Y137" s="27" t="s">
        <v>2426</v>
      </c>
      <c r="Z137" s="27" t="n">
        <v>-7.215519</v>
      </c>
      <c r="AA137" s="27" t="n">
        <v>-48.223459</v>
      </c>
      <c r="AB137" s="37" t="s">
        <v>2338</v>
      </c>
      <c r="AC137" s="27" t="s">
        <v>2427</v>
      </c>
    </row>
    <row r="138" customFormat="false" ht="15" hidden="false" customHeight="false" outlineLevel="0" collapsed="false">
      <c r="A138" s="27" t="n">
        <v>137</v>
      </c>
      <c r="B138" s="27" t="s">
        <v>907</v>
      </c>
      <c r="C138" s="27" t="s">
        <v>2500</v>
      </c>
      <c r="D138" s="27" t="s">
        <v>900</v>
      </c>
      <c r="E138" s="27" t="s">
        <v>908</v>
      </c>
      <c r="F138" s="32" t="n">
        <v>35.6316133680878</v>
      </c>
      <c r="G138" s="28" t="n">
        <v>6553.25472357731</v>
      </c>
      <c r="H138" s="28" t="n">
        <v>3467.25086714103</v>
      </c>
      <c r="I138" s="6" t="s">
        <v>23</v>
      </c>
      <c r="J138" s="27" t="s">
        <v>5</v>
      </c>
      <c r="K138" s="27" t="s">
        <v>5</v>
      </c>
      <c r="L138" s="27" t="n">
        <v>3</v>
      </c>
      <c r="M138" s="27" t="s">
        <v>44</v>
      </c>
      <c r="N138" s="27" t="s">
        <v>2385</v>
      </c>
      <c r="O138" s="27" t="s">
        <v>46</v>
      </c>
      <c r="P138" s="27" t="s">
        <v>2501</v>
      </c>
      <c r="Q138" s="27" t="n">
        <v>5</v>
      </c>
      <c r="R138" s="27"/>
      <c r="S138" s="27" t="s">
        <v>41</v>
      </c>
      <c r="T138" s="27" t="s">
        <v>42</v>
      </c>
      <c r="U138" s="27" t="s">
        <v>44</v>
      </c>
      <c r="V138" s="27"/>
      <c r="W138" s="27"/>
      <c r="X138" s="27"/>
      <c r="Y138" s="27" t="s">
        <v>2426</v>
      </c>
      <c r="Z138" s="27" t="n">
        <v>-7.2166975</v>
      </c>
      <c r="AA138" s="27" t="n">
        <v>-48.2232955</v>
      </c>
      <c r="AB138" s="37" t="s">
        <v>2338</v>
      </c>
      <c r="AC138" s="27" t="s">
        <v>2427</v>
      </c>
    </row>
    <row r="139" customFormat="false" ht="15" hidden="false" customHeight="false" outlineLevel="0" collapsed="false">
      <c r="A139" s="27" t="n">
        <v>138</v>
      </c>
      <c r="B139" s="27" t="s">
        <v>909</v>
      </c>
      <c r="C139" s="27" t="s">
        <v>2502</v>
      </c>
      <c r="D139" s="27" t="s">
        <v>908</v>
      </c>
      <c r="E139" s="27" t="s">
        <v>910</v>
      </c>
      <c r="F139" s="32" t="n">
        <v>3.64036382950496</v>
      </c>
      <c r="G139" s="28" t="n">
        <v>6556.89508740682</v>
      </c>
      <c r="H139" s="28" t="n">
        <v>3470.89123097054</v>
      </c>
      <c r="I139" s="6" t="s">
        <v>23</v>
      </c>
      <c r="J139" s="27" t="s">
        <v>5</v>
      </c>
      <c r="K139" s="27" t="s">
        <v>5</v>
      </c>
      <c r="L139" s="27" t="n">
        <v>3</v>
      </c>
      <c r="M139" s="27" t="s">
        <v>44</v>
      </c>
      <c r="N139" s="27" t="s">
        <v>2385</v>
      </c>
      <c r="O139" s="27" t="s">
        <v>46</v>
      </c>
      <c r="P139" s="27" t="s">
        <v>2501</v>
      </c>
      <c r="Q139" s="27" t="n">
        <v>5</v>
      </c>
      <c r="R139" s="27"/>
      <c r="S139" s="27" t="s">
        <v>41</v>
      </c>
      <c r="T139" s="27" t="s">
        <v>42</v>
      </c>
      <c r="U139" s="27" t="s">
        <v>44</v>
      </c>
      <c r="V139" s="27"/>
      <c r="W139" s="27"/>
      <c r="X139" s="27"/>
      <c r="Y139" s="27" t="s">
        <v>2426</v>
      </c>
      <c r="Z139" s="27" t="n">
        <v>-7.216697</v>
      </c>
      <c r="AA139" s="27" t="n">
        <v>-48.2231175</v>
      </c>
      <c r="AB139" s="37" t="s">
        <v>2338</v>
      </c>
      <c r="AC139" s="27" t="s">
        <v>2427</v>
      </c>
    </row>
    <row r="140" customFormat="false" ht="15" hidden="false" customHeight="false" outlineLevel="0" collapsed="false">
      <c r="A140" s="27" t="n">
        <v>139</v>
      </c>
      <c r="B140" s="27" t="s">
        <v>911</v>
      </c>
      <c r="C140" s="27" t="s">
        <v>2503</v>
      </c>
      <c r="D140" s="27" t="s">
        <v>910</v>
      </c>
      <c r="E140" s="27" t="s">
        <v>912</v>
      </c>
      <c r="F140" s="32" t="n">
        <v>232.223977505869</v>
      </c>
      <c r="G140" s="28" t="n">
        <v>6789.11906491269</v>
      </c>
      <c r="H140" s="28" t="n">
        <v>3703.11520847641</v>
      </c>
      <c r="I140" s="6" t="s">
        <v>23</v>
      </c>
      <c r="J140" s="27" t="s">
        <v>5</v>
      </c>
      <c r="K140" s="27" t="s">
        <v>5</v>
      </c>
      <c r="L140" s="27" t="n">
        <v>3</v>
      </c>
      <c r="M140" s="27" t="s">
        <v>44</v>
      </c>
      <c r="N140" s="27" t="s">
        <v>2385</v>
      </c>
      <c r="O140" s="27" t="s">
        <v>46</v>
      </c>
      <c r="P140" s="27" t="s">
        <v>2501</v>
      </c>
      <c r="Q140" s="27" t="n">
        <v>5</v>
      </c>
      <c r="R140" s="27"/>
      <c r="S140" s="27" t="s">
        <v>41</v>
      </c>
      <c r="T140" s="27" t="s">
        <v>42</v>
      </c>
      <c r="U140" s="27" t="s">
        <v>44</v>
      </c>
      <c r="V140" s="27"/>
      <c r="W140" s="27"/>
      <c r="X140" s="27"/>
      <c r="Y140" s="27" t="s">
        <v>2426</v>
      </c>
      <c r="Z140" s="27" t="n">
        <v>-7.216686</v>
      </c>
      <c r="AA140" s="27" t="n">
        <v>-48.2220485</v>
      </c>
      <c r="AB140" s="37" t="s">
        <v>2338</v>
      </c>
      <c r="AC140" s="27" t="s">
        <v>2427</v>
      </c>
    </row>
    <row r="141" customFormat="false" ht="15" hidden="false" customHeight="false" outlineLevel="0" collapsed="false">
      <c r="A141" s="27" t="n">
        <v>140</v>
      </c>
      <c r="B141" s="27" t="s">
        <v>913</v>
      </c>
      <c r="C141" s="27" t="s">
        <v>2504</v>
      </c>
      <c r="D141" s="27" t="s">
        <v>912</v>
      </c>
      <c r="E141" s="27" t="s">
        <v>914</v>
      </c>
      <c r="F141" s="32" t="n">
        <v>17.7619560275105</v>
      </c>
      <c r="G141" s="28" t="n">
        <v>6806.8810209402</v>
      </c>
      <c r="H141" s="28" t="n">
        <v>3720.87716450392</v>
      </c>
      <c r="I141" s="6" t="s">
        <v>23</v>
      </c>
      <c r="J141" s="27" t="s">
        <v>5</v>
      </c>
      <c r="K141" s="27" t="s">
        <v>5</v>
      </c>
      <c r="L141" s="27" t="n">
        <v>3</v>
      </c>
      <c r="M141" s="27" t="s">
        <v>44</v>
      </c>
      <c r="N141" s="27" t="s">
        <v>2385</v>
      </c>
      <c r="O141" s="27" t="s">
        <v>46</v>
      </c>
      <c r="P141" s="27" t="s">
        <v>2501</v>
      </c>
      <c r="Q141" s="27" t="n">
        <v>5</v>
      </c>
      <c r="R141" s="27"/>
      <c r="S141" s="27" t="s">
        <v>41</v>
      </c>
      <c r="T141" s="27" t="s">
        <v>42</v>
      </c>
      <c r="U141" s="27" t="s">
        <v>44</v>
      </c>
      <c r="V141" s="27"/>
      <c r="W141" s="27"/>
      <c r="X141" s="27"/>
      <c r="Y141" s="27" t="s">
        <v>2426</v>
      </c>
      <c r="Z141" s="27" t="n">
        <v>-7.216676</v>
      </c>
      <c r="AA141" s="27" t="n">
        <v>-48.2209155</v>
      </c>
      <c r="AB141" s="37" t="s">
        <v>2338</v>
      </c>
      <c r="AC141" s="27" t="s">
        <v>2427</v>
      </c>
    </row>
    <row r="142" customFormat="false" ht="15" hidden="false" customHeight="false" outlineLevel="0" collapsed="false">
      <c r="A142" s="27" t="n">
        <v>141</v>
      </c>
      <c r="B142" s="27" t="s">
        <v>915</v>
      </c>
      <c r="C142" s="27" t="s">
        <v>2505</v>
      </c>
      <c r="D142" s="27" t="s">
        <v>914</v>
      </c>
      <c r="E142" s="27" t="s">
        <v>916</v>
      </c>
      <c r="F142" s="32" t="n">
        <v>3.30942180953588</v>
      </c>
      <c r="G142" s="28" t="n">
        <v>6810.19044274973</v>
      </c>
      <c r="H142" s="28" t="n">
        <v>3724.18658631346</v>
      </c>
      <c r="I142" s="6" t="s">
        <v>23</v>
      </c>
      <c r="J142" s="27" t="s">
        <v>5</v>
      </c>
      <c r="K142" s="27" t="s">
        <v>5</v>
      </c>
      <c r="L142" s="27" t="n">
        <v>3</v>
      </c>
      <c r="M142" s="27" t="s">
        <v>44</v>
      </c>
      <c r="N142" s="27" t="s">
        <v>2385</v>
      </c>
      <c r="O142" s="27" t="s">
        <v>46</v>
      </c>
      <c r="P142" s="27" t="s">
        <v>2501</v>
      </c>
      <c r="Q142" s="27" t="n">
        <v>5</v>
      </c>
      <c r="R142" s="27" t="s">
        <v>917</v>
      </c>
      <c r="S142" s="27" t="s">
        <v>41</v>
      </c>
      <c r="T142" s="27" t="s">
        <v>42</v>
      </c>
      <c r="U142" s="27" t="s">
        <v>44</v>
      </c>
      <c r="V142" s="27"/>
      <c r="W142" s="27"/>
      <c r="X142" s="27"/>
      <c r="Y142" s="27" t="s">
        <v>2426</v>
      </c>
      <c r="Z142" s="27" t="n">
        <v>-7.216677</v>
      </c>
      <c r="AA142" s="27" t="n">
        <v>-48.22082</v>
      </c>
      <c r="AB142" s="37" t="s">
        <v>2338</v>
      </c>
      <c r="AC142" s="27" t="s">
        <v>2427</v>
      </c>
    </row>
    <row r="143" customFormat="false" ht="15" hidden="false" customHeight="false" outlineLevel="0" collapsed="false">
      <c r="A143" s="27" t="n">
        <v>142</v>
      </c>
      <c r="B143" s="27" t="s">
        <v>918</v>
      </c>
      <c r="C143" s="27" t="s">
        <v>2506</v>
      </c>
      <c r="D143" s="27" t="s">
        <v>916</v>
      </c>
      <c r="E143" s="27" t="s">
        <v>919</v>
      </c>
      <c r="F143" s="32" t="n">
        <v>29.9002799337847</v>
      </c>
      <c r="G143" s="28" t="n">
        <v>6840.09072268352</v>
      </c>
      <c r="H143" s="28" t="n">
        <v>3754.08686624724</v>
      </c>
      <c r="I143" s="6" t="s">
        <v>23</v>
      </c>
      <c r="J143" s="27" t="s">
        <v>5</v>
      </c>
      <c r="K143" s="27" t="s">
        <v>5</v>
      </c>
      <c r="L143" s="27" t="n">
        <v>3</v>
      </c>
      <c r="M143" s="27" t="s">
        <v>44</v>
      </c>
      <c r="N143" s="27" t="s">
        <v>2385</v>
      </c>
      <c r="O143" s="27" t="s">
        <v>46</v>
      </c>
      <c r="P143" s="27" t="s">
        <v>2501</v>
      </c>
      <c r="Q143" s="27" t="n">
        <v>5</v>
      </c>
      <c r="R143" s="27"/>
      <c r="S143" s="27" t="s">
        <v>41</v>
      </c>
      <c r="T143" s="27" t="s">
        <v>42</v>
      </c>
      <c r="U143" s="27" t="s">
        <v>44</v>
      </c>
      <c r="V143" s="27"/>
      <c r="W143" s="27"/>
      <c r="X143" s="27"/>
      <c r="Y143" s="27" t="s">
        <v>2426</v>
      </c>
      <c r="Z143" s="27" t="n">
        <v>-7.2166745</v>
      </c>
      <c r="AA143" s="27" t="n">
        <v>-48.2206695</v>
      </c>
      <c r="AB143" s="37" t="s">
        <v>2338</v>
      </c>
      <c r="AC143" s="27" t="s">
        <v>2427</v>
      </c>
    </row>
    <row r="144" customFormat="false" ht="15" hidden="false" customHeight="false" outlineLevel="0" collapsed="false">
      <c r="A144" s="27" t="n">
        <v>143</v>
      </c>
      <c r="B144" s="27" t="s">
        <v>920</v>
      </c>
      <c r="C144" s="27" t="s">
        <v>2507</v>
      </c>
      <c r="D144" s="27" t="s">
        <v>919</v>
      </c>
      <c r="E144" s="27" t="s">
        <v>921</v>
      </c>
      <c r="F144" s="32" t="n">
        <v>2.64753747704108</v>
      </c>
      <c r="G144" s="28" t="n">
        <v>6842.73826016056</v>
      </c>
      <c r="H144" s="28" t="n">
        <v>3756.73440372428</v>
      </c>
      <c r="I144" s="6" t="s">
        <v>23</v>
      </c>
      <c r="J144" s="27" t="s">
        <v>5</v>
      </c>
      <c r="K144" s="27" t="s">
        <v>5</v>
      </c>
      <c r="L144" s="27" t="n">
        <v>3</v>
      </c>
      <c r="M144" s="27" t="s">
        <v>44</v>
      </c>
      <c r="N144" s="27" t="s">
        <v>2385</v>
      </c>
      <c r="O144" s="27" t="s">
        <v>46</v>
      </c>
      <c r="P144" s="27" t="s">
        <v>2501</v>
      </c>
      <c r="Q144" s="27" t="n">
        <v>5</v>
      </c>
      <c r="R144" s="27"/>
      <c r="S144" s="27" t="s">
        <v>41</v>
      </c>
      <c r="T144" s="27" t="s">
        <v>42</v>
      </c>
      <c r="U144" s="27" t="s">
        <v>44</v>
      </c>
      <c r="V144" s="27"/>
      <c r="W144" s="27"/>
      <c r="X144" s="27"/>
      <c r="Y144" s="27" t="s">
        <v>2426</v>
      </c>
      <c r="Z144" s="27" t="n">
        <v>-7.216672</v>
      </c>
      <c r="AA144" s="27" t="n">
        <v>-48.220522</v>
      </c>
      <c r="AB144" s="37" t="s">
        <v>2338</v>
      </c>
      <c r="AC144" s="27" t="s">
        <v>2427</v>
      </c>
    </row>
    <row r="145" customFormat="false" ht="15" hidden="false" customHeight="false" outlineLevel="0" collapsed="false">
      <c r="A145" s="27" t="n">
        <v>144</v>
      </c>
      <c r="B145" s="27" t="s">
        <v>922</v>
      </c>
      <c r="C145" s="27" t="s">
        <v>2508</v>
      </c>
      <c r="D145" s="27" t="s">
        <v>921</v>
      </c>
      <c r="E145" s="27" t="s">
        <v>923</v>
      </c>
      <c r="F145" s="32" t="n">
        <v>136.352715574481</v>
      </c>
      <c r="G145" s="28" t="n">
        <v>6979.09097573504</v>
      </c>
      <c r="H145" s="28" t="n">
        <v>3893.08711929876</v>
      </c>
      <c r="I145" s="6" t="s">
        <v>23</v>
      </c>
      <c r="J145" s="27" t="s">
        <v>5</v>
      </c>
      <c r="K145" s="27" t="s">
        <v>5</v>
      </c>
      <c r="L145" s="27" t="n">
        <v>3</v>
      </c>
      <c r="M145" s="27" t="s">
        <v>44</v>
      </c>
      <c r="N145" s="27" t="s">
        <v>2385</v>
      </c>
      <c r="O145" s="27" t="s">
        <v>46</v>
      </c>
      <c r="P145" s="27" t="s">
        <v>293</v>
      </c>
      <c r="Q145" s="27" t="n">
        <v>1</v>
      </c>
      <c r="R145" s="27"/>
      <c r="S145" s="27" t="s">
        <v>41</v>
      </c>
      <c r="T145" s="27" t="s">
        <v>42</v>
      </c>
      <c r="U145" s="27" t="s">
        <v>44</v>
      </c>
      <c r="V145" s="27"/>
      <c r="W145" s="27"/>
      <c r="X145" s="27"/>
      <c r="Y145" s="27" t="s">
        <v>2426</v>
      </c>
      <c r="Z145" s="27" t="n">
        <v>-7.216667</v>
      </c>
      <c r="AA145" s="27" t="n">
        <v>-48.219892</v>
      </c>
      <c r="AB145" s="37" t="s">
        <v>2338</v>
      </c>
      <c r="AC145" s="27" t="s">
        <v>2427</v>
      </c>
    </row>
    <row r="146" customFormat="false" ht="15" hidden="false" customHeight="false" outlineLevel="0" collapsed="false">
      <c r="A146" s="27" t="n">
        <v>145</v>
      </c>
      <c r="B146" s="27" t="s">
        <v>924</v>
      </c>
      <c r="C146" s="27" t="s">
        <v>2509</v>
      </c>
      <c r="D146" s="27" t="s">
        <v>923</v>
      </c>
      <c r="E146" s="27" t="s">
        <v>925</v>
      </c>
      <c r="F146" s="32" t="n">
        <v>36.9567171105517</v>
      </c>
      <c r="G146" s="28" t="n">
        <v>7016.04769284559</v>
      </c>
      <c r="H146" s="28" t="n">
        <v>3930.04383640931</v>
      </c>
      <c r="I146" s="6" t="s">
        <v>23</v>
      </c>
      <c r="J146" s="27" t="s">
        <v>5</v>
      </c>
      <c r="K146" s="27" t="s">
        <v>5</v>
      </c>
      <c r="L146" s="27" t="n">
        <v>3</v>
      </c>
      <c r="M146" s="27" t="s">
        <v>44</v>
      </c>
      <c r="N146" s="27" t="s">
        <v>2385</v>
      </c>
      <c r="O146" s="27" t="s">
        <v>46</v>
      </c>
      <c r="P146" s="27" t="s">
        <v>293</v>
      </c>
      <c r="Q146" s="27" t="n">
        <v>1</v>
      </c>
      <c r="R146" s="27"/>
      <c r="S146" s="27" t="s">
        <v>41</v>
      </c>
      <c r="T146" s="27" t="s">
        <v>42</v>
      </c>
      <c r="U146" s="27" t="s">
        <v>44</v>
      </c>
      <c r="V146" s="27"/>
      <c r="W146" s="27"/>
      <c r="X146" s="27"/>
      <c r="Y146" s="27" t="s">
        <v>2426</v>
      </c>
      <c r="Z146" s="27" t="n">
        <v>-7.2166605</v>
      </c>
      <c r="AA146" s="27" t="n">
        <v>-48.2191065</v>
      </c>
      <c r="AB146" s="37" t="s">
        <v>2338</v>
      </c>
      <c r="AC146" s="27" t="s">
        <v>2427</v>
      </c>
    </row>
    <row r="147" customFormat="false" ht="15" hidden="false" customHeight="false" outlineLevel="0" collapsed="false">
      <c r="A147" s="27" t="n">
        <v>146</v>
      </c>
      <c r="B147" s="27" t="s">
        <v>926</v>
      </c>
      <c r="C147" s="27" t="s">
        <v>2510</v>
      </c>
      <c r="D147" s="27" t="s">
        <v>925</v>
      </c>
      <c r="E147" s="27" t="s">
        <v>927</v>
      </c>
      <c r="F147" s="32" t="n">
        <v>3.64206196789956</v>
      </c>
      <c r="G147" s="28" t="n">
        <v>7019.68975481349</v>
      </c>
      <c r="H147" s="28" t="n">
        <v>3933.68589837721</v>
      </c>
      <c r="I147" s="6" t="s">
        <v>23</v>
      </c>
      <c r="J147" s="27" t="s">
        <v>5</v>
      </c>
      <c r="K147" s="27" t="s">
        <v>5</v>
      </c>
      <c r="L147" s="27" t="n">
        <v>3</v>
      </c>
      <c r="M147" s="27" t="s">
        <v>44</v>
      </c>
      <c r="N147" s="27" t="s">
        <v>2385</v>
      </c>
      <c r="O147" s="27" t="s">
        <v>46</v>
      </c>
      <c r="P147" s="27" t="s">
        <v>293</v>
      </c>
      <c r="Q147" s="27" t="n">
        <v>1</v>
      </c>
      <c r="R147" s="27"/>
      <c r="S147" s="27" t="s">
        <v>41</v>
      </c>
      <c r="T147" s="27" t="s">
        <v>42</v>
      </c>
      <c r="U147" s="27" t="s">
        <v>44</v>
      </c>
      <c r="V147" s="27"/>
      <c r="W147" s="27"/>
      <c r="X147" s="27"/>
      <c r="Y147" s="27" t="s">
        <v>2426</v>
      </c>
      <c r="Z147" s="27" t="n">
        <v>-7.2166585</v>
      </c>
      <c r="AA147" s="27" t="n">
        <v>-48.2189225</v>
      </c>
      <c r="AB147" s="37" t="s">
        <v>2338</v>
      </c>
      <c r="AC147" s="27" t="s">
        <v>2427</v>
      </c>
    </row>
    <row r="148" customFormat="false" ht="15" hidden="false" customHeight="false" outlineLevel="0" collapsed="false">
      <c r="A148" s="27" t="n">
        <v>147</v>
      </c>
      <c r="B148" s="27" t="s">
        <v>928</v>
      </c>
      <c r="C148" s="27" t="s">
        <v>2511</v>
      </c>
      <c r="D148" s="27" t="s">
        <v>927</v>
      </c>
      <c r="E148" s="27" t="s">
        <v>929</v>
      </c>
      <c r="F148" s="32" t="n">
        <v>18.1256458315073</v>
      </c>
      <c r="G148" s="28" t="n">
        <v>7037.815400645</v>
      </c>
      <c r="H148" s="28" t="n">
        <v>3951.81154420872</v>
      </c>
      <c r="I148" s="6" t="s">
        <v>23</v>
      </c>
      <c r="J148" s="27" t="s">
        <v>5</v>
      </c>
      <c r="K148" s="27" t="s">
        <v>5</v>
      </c>
      <c r="L148" s="27" t="n">
        <v>3</v>
      </c>
      <c r="M148" s="27" t="s">
        <v>44</v>
      </c>
      <c r="N148" s="27" t="s">
        <v>2385</v>
      </c>
      <c r="O148" s="27" t="s">
        <v>46</v>
      </c>
      <c r="P148" s="27" t="s">
        <v>293</v>
      </c>
      <c r="Q148" s="27" t="n">
        <v>1</v>
      </c>
      <c r="R148" s="27"/>
      <c r="S148" s="27" t="s">
        <v>41</v>
      </c>
      <c r="T148" s="27" t="s">
        <v>42</v>
      </c>
      <c r="U148" s="27" t="s">
        <v>44</v>
      </c>
      <c r="V148" s="27"/>
      <c r="W148" s="27"/>
      <c r="X148" s="27"/>
      <c r="Y148" s="27" t="s">
        <v>2426</v>
      </c>
      <c r="Z148" s="27" t="n">
        <v>-7.216663</v>
      </c>
      <c r="AA148" s="27" t="n">
        <v>-48.218824</v>
      </c>
      <c r="AB148" s="37" t="s">
        <v>2338</v>
      </c>
      <c r="AC148" s="27" t="s">
        <v>2427</v>
      </c>
    </row>
    <row r="149" customFormat="false" ht="15" hidden="false" customHeight="false" outlineLevel="0" collapsed="false">
      <c r="A149" s="27" t="n">
        <v>148</v>
      </c>
      <c r="B149" s="27" t="s">
        <v>930</v>
      </c>
      <c r="C149" s="27" t="s">
        <v>2512</v>
      </c>
      <c r="D149" s="27" t="s">
        <v>929</v>
      </c>
      <c r="E149" s="27" t="s">
        <v>931</v>
      </c>
      <c r="F149" s="32" t="n">
        <v>3.09678932442022</v>
      </c>
      <c r="G149" s="28" t="n">
        <v>7040.91218996942</v>
      </c>
      <c r="H149" s="28" t="n">
        <v>3954.90833353314</v>
      </c>
      <c r="I149" s="6" t="s">
        <v>23</v>
      </c>
      <c r="J149" s="27" t="s">
        <v>5</v>
      </c>
      <c r="K149" s="27" t="s">
        <v>5</v>
      </c>
      <c r="L149" s="27" t="n">
        <v>3</v>
      </c>
      <c r="M149" s="27" t="s">
        <v>44</v>
      </c>
      <c r="N149" s="27" t="s">
        <v>2385</v>
      </c>
      <c r="O149" s="27" t="s">
        <v>46</v>
      </c>
      <c r="P149" s="27" t="s">
        <v>293</v>
      </c>
      <c r="Q149" s="27" t="n">
        <v>1</v>
      </c>
      <c r="R149" s="27"/>
      <c r="S149" s="27" t="s">
        <v>41</v>
      </c>
      <c r="T149" s="27" t="s">
        <v>42</v>
      </c>
      <c r="U149" s="27" t="s">
        <v>44</v>
      </c>
      <c r="V149" s="27"/>
      <c r="W149" s="27"/>
      <c r="X149" s="27"/>
      <c r="Y149" s="27" t="s">
        <v>2426</v>
      </c>
      <c r="Z149" s="27" t="n">
        <v>-7.216667</v>
      </c>
      <c r="AA149" s="27" t="n">
        <v>-48.218728</v>
      </c>
      <c r="AB149" s="37" t="s">
        <v>2338</v>
      </c>
      <c r="AC149" s="27" t="s">
        <v>2427</v>
      </c>
    </row>
    <row r="150" customFormat="false" ht="15" hidden="false" customHeight="false" outlineLevel="0" collapsed="false">
      <c r="A150" s="27" t="n">
        <v>149</v>
      </c>
      <c r="B150" s="27" t="s">
        <v>932</v>
      </c>
      <c r="C150" s="27" t="s">
        <v>2513</v>
      </c>
      <c r="D150" s="27" t="s">
        <v>931</v>
      </c>
      <c r="E150" s="27" t="s">
        <v>933</v>
      </c>
      <c r="F150" s="32" t="n">
        <v>21.1471100659061</v>
      </c>
      <c r="G150" s="28" t="n">
        <v>7062.05930003533</v>
      </c>
      <c r="H150" s="28" t="n">
        <v>3976.05544359905</v>
      </c>
      <c r="I150" s="6" t="s">
        <v>23</v>
      </c>
      <c r="J150" s="27" t="s">
        <v>5</v>
      </c>
      <c r="K150" s="27" t="s">
        <v>5</v>
      </c>
      <c r="L150" s="27" t="n">
        <v>3</v>
      </c>
      <c r="M150" s="27" t="s">
        <v>44</v>
      </c>
      <c r="N150" s="27" t="s">
        <v>2385</v>
      </c>
      <c r="O150" s="27" t="s">
        <v>46</v>
      </c>
      <c r="P150" s="27" t="s">
        <v>293</v>
      </c>
      <c r="Q150" s="27" t="n">
        <v>1</v>
      </c>
      <c r="R150" s="27"/>
      <c r="S150" s="27" t="s">
        <v>41</v>
      </c>
      <c r="T150" s="27" t="s">
        <v>42</v>
      </c>
      <c r="U150" s="27" t="s">
        <v>44</v>
      </c>
      <c r="V150" s="27"/>
      <c r="W150" s="27"/>
      <c r="X150" s="27"/>
      <c r="Y150" s="27" t="s">
        <v>2426</v>
      </c>
      <c r="Z150" s="27" t="n">
        <v>-7.216734</v>
      </c>
      <c r="AA150" s="27" t="n">
        <v>-48.218647</v>
      </c>
      <c r="AB150" s="37" t="s">
        <v>2338</v>
      </c>
      <c r="AC150" s="27" t="s">
        <v>2427</v>
      </c>
    </row>
    <row r="151" customFormat="false" ht="15" hidden="false" customHeight="false" outlineLevel="0" collapsed="false">
      <c r="A151" s="27" t="n">
        <v>150</v>
      </c>
      <c r="B151" s="27" t="s">
        <v>934</v>
      </c>
      <c r="C151" s="27" t="s">
        <v>2514</v>
      </c>
      <c r="D151" s="27" t="s">
        <v>933</v>
      </c>
      <c r="E151" s="27" t="s">
        <v>935</v>
      </c>
      <c r="F151" s="32" t="n">
        <v>2.73060051834348</v>
      </c>
      <c r="G151" s="28" t="n">
        <v>7064.78990055367</v>
      </c>
      <c r="H151" s="28" t="n">
        <v>3978.78604411739</v>
      </c>
      <c r="I151" s="6" t="s">
        <v>23</v>
      </c>
      <c r="J151" s="27" t="s">
        <v>5</v>
      </c>
      <c r="K151" s="27" t="s">
        <v>5</v>
      </c>
      <c r="L151" s="27" t="n">
        <v>3</v>
      </c>
      <c r="M151" s="27" t="s">
        <v>44</v>
      </c>
      <c r="N151" s="27" t="s">
        <v>2385</v>
      </c>
      <c r="O151" s="27" t="s">
        <v>46</v>
      </c>
      <c r="P151" s="27" t="s">
        <v>293</v>
      </c>
      <c r="Q151" s="27" t="n">
        <v>1</v>
      </c>
      <c r="R151" s="27"/>
      <c r="S151" s="27" t="s">
        <v>41</v>
      </c>
      <c r="T151" s="27" t="s">
        <v>42</v>
      </c>
      <c r="U151" s="27" t="s">
        <v>44</v>
      </c>
      <c r="V151" s="27"/>
      <c r="W151" s="27"/>
      <c r="X151" s="27"/>
      <c r="Y151" s="27" t="s">
        <v>2426</v>
      </c>
      <c r="Z151" s="27" t="n">
        <v>-7.2168085</v>
      </c>
      <c r="AA151" s="27" t="n">
        <v>-48.2185695</v>
      </c>
      <c r="AB151" s="37" t="s">
        <v>2338</v>
      </c>
      <c r="AC151" s="27" t="s">
        <v>2427</v>
      </c>
    </row>
    <row r="152" customFormat="false" ht="15" hidden="false" customHeight="false" outlineLevel="0" collapsed="false">
      <c r="A152" s="27" t="n">
        <v>151</v>
      </c>
      <c r="B152" s="27" t="s">
        <v>936</v>
      </c>
      <c r="C152" s="27" t="s">
        <v>2515</v>
      </c>
      <c r="D152" s="27" t="s">
        <v>935</v>
      </c>
      <c r="E152" s="27" t="s">
        <v>937</v>
      </c>
      <c r="F152" s="32" t="n">
        <v>50.4091070512238</v>
      </c>
      <c r="G152" s="28" t="n">
        <v>7115.19900760489</v>
      </c>
      <c r="H152" s="28" t="n">
        <v>4029.19515116861</v>
      </c>
      <c r="I152" s="6" t="s">
        <v>23</v>
      </c>
      <c r="J152" s="27" t="s">
        <v>5</v>
      </c>
      <c r="K152" s="27" t="s">
        <v>5</v>
      </c>
      <c r="L152" s="27" t="n">
        <v>3</v>
      </c>
      <c r="M152" s="27" t="s">
        <v>44</v>
      </c>
      <c r="N152" s="27" t="s">
        <v>2385</v>
      </c>
      <c r="O152" s="27" t="s">
        <v>46</v>
      </c>
      <c r="P152" s="27" t="s">
        <v>293</v>
      </c>
      <c r="Q152" s="27" t="n">
        <v>1</v>
      </c>
      <c r="R152" s="27"/>
      <c r="S152" s="27" t="s">
        <v>41</v>
      </c>
      <c r="T152" s="27" t="s">
        <v>42</v>
      </c>
      <c r="U152" s="27" t="s">
        <v>44</v>
      </c>
      <c r="V152" s="27"/>
      <c r="W152" s="27"/>
      <c r="X152" s="27"/>
      <c r="Y152" s="27" t="s">
        <v>2426</v>
      </c>
      <c r="Z152" s="27" t="n">
        <v>-7.216605</v>
      </c>
      <c r="AA152" s="27" t="n">
        <v>-48.218473</v>
      </c>
      <c r="AB152" s="37" t="s">
        <v>2338</v>
      </c>
      <c r="AC152" s="27" t="s">
        <v>2427</v>
      </c>
    </row>
    <row r="153" customFormat="false" ht="15" hidden="false" customHeight="false" outlineLevel="0" collapsed="false">
      <c r="A153" s="27" t="n">
        <v>152</v>
      </c>
      <c r="B153" s="27" t="s">
        <v>938</v>
      </c>
      <c r="C153" s="27" t="s">
        <v>2516</v>
      </c>
      <c r="D153" s="27" t="s">
        <v>937</v>
      </c>
      <c r="E153" s="27" t="s">
        <v>939</v>
      </c>
      <c r="F153" s="32" t="n">
        <v>3.00226301942638</v>
      </c>
      <c r="G153" s="28" t="n">
        <v>7118.20127062432</v>
      </c>
      <c r="H153" s="28" t="n">
        <v>4032.19741418804</v>
      </c>
      <c r="I153" s="6" t="s">
        <v>23</v>
      </c>
      <c r="J153" s="27" t="s">
        <v>5</v>
      </c>
      <c r="K153" s="27" t="s">
        <v>5</v>
      </c>
      <c r="L153" s="27" t="n">
        <v>3</v>
      </c>
      <c r="M153" s="27" t="s">
        <v>44</v>
      </c>
      <c r="N153" s="27" t="s">
        <v>2385</v>
      </c>
      <c r="O153" s="27" t="s">
        <v>46</v>
      </c>
      <c r="P153" s="27" t="s">
        <v>293</v>
      </c>
      <c r="Q153" s="27" t="n">
        <v>1</v>
      </c>
      <c r="R153" s="27"/>
      <c r="S153" s="27" t="s">
        <v>41</v>
      </c>
      <c r="T153" s="27" t="s">
        <v>42</v>
      </c>
      <c r="U153" s="27" t="s">
        <v>44</v>
      </c>
      <c r="V153" s="27"/>
      <c r="W153" s="27"/>
      <c r="X153" s="27"/>
      <c r="Y153" s="27" t="s">
        <v>2426</v>
      </c>
      <c r="Z153" s="27" t="n">
        <v>-7.2163815</v>
      </c>
      <c r="AA153" s="27" t="n">
        <v>-48.218387</v>
      </c>
      <c r="AB153" s="37" t="s">
        <v>2338</v>
      </c>
      <c r="AC153" s="27" t="s">
        <v>2427</v>
      </c>
    </row>
    <row r="154" customFormat="false" ht="15" hidden="false" customHeight="false" outlineLevel="0" collapsed="false">
      <c r="A154" s="27" t="n">
        <v>153</v>
      </c>
      <c r="B154" s="27" t="s">
        <v>940</v>
      </c>
      <c r="C154" s="27" t="s">
        <v>2517</v>
      </c>
      <c r="D154" s="27" t="s">
        <v>939</v>
      </c>
      <c r="E154" s="27" t="s">
        <v>941</v>
      </c>
      <c r="F154" s="32" t="n">
        <v>45.2672240972665</v>
      </c>
      <c r="G154" s="28" t="n">
        <v>7163.46849472159</v>
      </c>
      <c r="H154" s="28" t="n">
        <v>4077.46463828531</v>
      </c>
      <c r="I154" s="6" t="s">
        <v>23</v>
      </c>
      <c r="J154" s="27" t="s">
        <v>5</v>
      </c>
      <c r="K154" s="27" t="s">
        <v>5</v>
      </c>
      <c r="L154" s="27" t="n">
        <v>3</v>
      </c>
      <c r="M154" s="27" t="s">
        <v>44</v>
      </c>
      <c r="N154" s="27" t="s">
        <v>2385</v>
      </c>
      <c r="O154" s="27" t="s">
        <v>46</v>
      </c>
      <c r="P154" s="27" t="s">
        <v>293</v>
      </c>
      <c r="Q154" s="27" t="n">
        <v>1</v>
      </c>
      <c r="R154" s="27"/>
      <c r="S154" s="27" t="s">
        <v>41</v>
      </c>
      <c r="T154" s="27" t="s">
        <v>42</v>
      </c>
      <c r="U154" s="27" t="s">
        <v>44</v>
      </c>
      <c r="V154" s="27"/>
      <c r="W154" s="27"/>
      <c r="X154" s="27"/>
      <c r="Y154" s="27" t="s">
        <v>2426</v>
      </c>
      <c r="Z154" s="27" t="n">
        <v>-7.2161645</v>
      </c>
      <c r="AA154" s="27" t="n">
        <v>-48.2183915</v>
      </c>
      <c r="AB154" s="37" t="s">
        <v>2338</v>
      </c>
      <c r="AC154" s="27" t="s">
        <v>2427</v>
      </c>
    </row>
    <row r="155" customFormat="false" ht="15" hidden="false" customHeight="false" outlineLevel="0" collapsed="false">
      <c r="A155" s="27" t="n">
        <v>154</v>
      </c>
      <c r="B155" s="27" t="s">
        <v>942</v>
      </c>
      <c r="C155" s="27" t="s">
        <v>2518</v>
      </c>
      <c r="D155" s="27" t="s">
        <v>941</v>
      </c>
      <c r="E155" s="27" t="s">
        <v>943</v>
      </c>
      <c r="F155" s="32" t="n">
        <v>41.3839254760633</v>
      </c>
      <c r="G155" s="28" t="n">
        <v>7204.85242019765</v>
      </c>
      <c r="H155" s="28" t="n">
        <v>4118.84856376137</v>
      </c>
      <c r="I155" s="6" t="s">
        <v>23</v>
      </c>
      <c r="J155" s="27" t="s">
        <v>5</v>
      </c>
      <c r="K155" s="27" t="s">
        <v>5</v>
      </c>
      <c r="L155" s="27" t="n">
        <v>3</v>
      </c>
      <c r="M155" s="27" t="s">
        <v>44</v>
      </c>
      <c r="N155" s="27" t="s">
        <v>2385</v>
      </c>
      <c r="O155" s="27" t="s">
        <v>46</v>
      </c>
      <c r="P155" s="27" t="s">
        <v>293</v>
      </c>
      <c r="Q155" s="27" t="n">
        <v>1</v>
      </c>
      <c r="R155" s="27"/>
      <c r="S155" s="27" t="s">
        <v>41</v>
      </c>
      <c r="T155" s="27" t="s">
        <v>42</v>
      </c>
      <c r="U155" s="27" t="s">
        <v>44</v>
      </c>
      <c r="V155" s="27"/>
      <c r="W155" s="27"/>
      <c r="X155" s="27"/>
      <c r="Y155" s="27" t="s">
        <v>2426</v>
      </c>
      <c r="Z155" s="27" t="n">
        <v>-7.215787</v>
      </c>
      <c r="AA155" s="27" t="n">
        <v>-48.2183295</v>
      </c>
      <c r="AB155" s="37" t="s">
        <v>2338</v>
      </c>
      <c r="AC155" s="27" t="s">
        <v>2427</v>
      </c>
    </row>
    <row r="156" customFormat="false" ht="15" hidden="false" customHeight="false" outlineLevel="0" collapsed="false">
      <c r="A156" s="27" t="n">
        <v>155</v>
      </c>
      <c r="B156" s="27" t="s">
        <v>944</v>
      </c>
      <c r="C156" s="27" t="s">
        <v>2519</v>
      </c>
      <c r="D156" s="27" t="s">
        <v>943</v>
      </c>
      <c r="E156" s="27" t="s">
        <v>945</v>
      </c>
      <c r="F156" s="32" t="n">
        <v>2.89937120928953</v>
      </c>
      <c r="G156" s="28" t="n">
        <v>7207.75179140694</v>
      </c>
      <c r="H156" s="28" t="n">
        <v>4121.74793497066</v>
      </c>
      <c r="I156" s="6" t="s">
        <v>23</v>
      </c>
      <c r="J156" s="27" t="s">
        <v>5</v>
      </c>
      <c r="K156" s="27" t="s">
        <v>5</v>
      </c>
      <c r="L156" s="27" t="n">
        <v>3</v>
      </c>
      <c r="M156" s="27" t="s">
        <v>44</v>
      </c>
      <c r="N156" s="27" t="s">
        <v>2385</v>
      </c>
      <c r="O156" s="27" t="s">
        <v>46</v>
      </c>
      <c r="P156" s="27" t="s">
        <v>293</v>
      </c>
      <c r="Q156" s="27" t="n">
        <v>1</v>
      </c>
      <c r="R156" s="27"/>
      <c r="S156" s="27" t="s">
        <v>41</v>
      </c>
      <c r="T156" s="27" t="s">
        <v>42</v>
      </c>
      <c r="U156" s="27" t="s">
        <v>44</v>
      </c>
      <c r="V156" s="27"/>
      <c r="W156" s="27"/>
      <c r="X156" s="27"/>
      <c r="Y156" s="27" t="s">
        <v>2426</v>
      </c>
      <c r="Z156" s="27" t="n">
        <v>-7.2156035</v>
      </c>
      <c r="AA156" s="27" t="n">
        <v>-48.218254</v>
      </c>
      <c r="AB156" s="37" t="s">
        <v>2338</v>
      </c>
      <c r="AC156" s="27" t="s">
        <v>2427</v>
      </c>
    </row>
    <row r="157" customFormat="false" ht="15" hidden="false" customHeight="false" outlineLevel="0" collapsed="false">
      <c r="A157" s="27" t="n">
        <v>156</v>
      </c>
      <c r="B157" s="27" t="s">
        <v>946</v>
      </c>
      <c r="C157" s="27" t="s">
        <v>2520</v>
      </c>
      <c r="D157" s="27" t="s">
        <v>945</v>
      </c>
      <c r="E157" s="27" t="s">
        <v>947</v>
      </c>
      <c r="F157" s="32" t="n">
        <v>37.3734991629923</v>
      </c>
      <c r="G157" s="28" t="n">
        <v>7245.12529056993</v>
      </c>
      <c r="H157" s="28" t="n">
        <v>4159.12143413365</v>
      </c>
      <c r="I157" s="6" t="s">
        <v>23</v>
      </c>
      <c r="J157" s="27" t="s">
        <v>5</v>
      </c>
      <c r="K157" s="27" t="s">
        <v>5</v>
      </c>
      <c r="L157" s="27" t="n">
        <v>3</v>
      </c>
      <c r="M157" s="27" t="s">
        <v>44</v>
      </c>
      <c r="N157" s="27" t="s">
        <v>2385</v>
      </c>
      <c r="O157" s="27" t="s">
        <v>46</v>
      </c>
      <c r="P157" s="27" t="s">
        <v>293</v>
      </c>
      <c r="Q157" s="27" t="n">
        <v>1</v>
      </c>
      <c r="R157" s="27"/>
      <c r="S157" s="27" t="s">
        <v>41</v>
      </c>
      <c r="T157" s="27" t="s">
        <v>42</v>
      </c>
      <c r="U157" s="27" t="s">
        <v>44</v>
      </c>
      <c r="V157" s="27"/>
      <c r="W157" s="27"/>
      <c r="X157" s="27"/>
      <c r="Y157" s="27" t="s">
        <v>2426</v>
      </c>
      <c r="Z157" s="27" t="n">
        <v>-7.215472</v>
      </c>
      <c r="AA157" s="27" t="n">
        <v>-48.2181285</v>
      </c>
      <c r="AB157" s="37" t="s">
        <v>2338</v>
      </c>
      <c r="AC157" s="27" t="s">
        <v>2427</v>
      </c>
    </row>
    <row r="158" customFormat="false" ht="15" hidden="false" customHeight="false" outlineLevel="0" collapsed="false">
      <c r="A158" s="27" t="n">
        <v>157</v>
      </c>
      <c r="B158" s="27" t="s">
        <v>948</v>
      </c>
      <c r="C158" s="27" t="s">
        <v>2521</v>
      </c>
      <c r="D158" s="27" t="s">
        <v>947</v>
      </c>
      <c r="E158" s="27" t="s">
        <v>949</v>
      </c>
      <c r="F158" s="32" t="n">
        <v>2.20908795879198</v>
      </c>
      <c r="G158" s="28" t="n">
        <v>7247.33437852872</v>
      </c>
      <c r="H158" s="28" t="n">
        <v>4161.33052209245</v>
      </c>
      <c r="I158" s="6" t="s">
        <v>23</v>
      </c>
      <c r="J158" s="27" t="s">
        <v>5</v>
      </c>
      <c r="K158" s="27" t="s">
        <v>5</v>
      </c>
      <c r="L158" s="27" t="n">
        <v>3</v>
      </c>
      <c r="M158" s="27" t="s">
        <v>44</v>
      </c>
      <c r="N158" s="27" t="s">
        <v>2385</v>
      </c>
      <c r="O158" s="27" t="s">
        <v>46</v>
      </c>
      <c r="P158" s="27" t="s">
        <v>293</v>
      </c>
      <c r="Q158" s="27" t="n">
        <v>1</v>
      </c>
      <c r="R158" s="27"/>
      <c r="S158" s="27" t="s">
        <v>41</v>
      </c>
      <c r="T158" s="27" t="s">
        <v>42</v>
      </c>
      <c r="U158" s="27" t="s">
        <v>44</v>
      </c>
      <c r="V158" s="27"/>
      <c r="W158" s="27"/>
      <c r="X158" s="27"/>
      <c r="Y158" s="27" t="s">
        <v>2426</v>
      </c>
      <c r="Z158" s="27" t="n">
        <v>-7.2153505</v>
      </c>
      <c r="AA158" s="27" t="n">
        <v>-48.218002</v>
      </c>
      <c r="AB158" s="37" t="s">
        <v>2338</v>
      </c>
      <c r="AC158" s="27" t="s">
        <v>2427</v>
      </c>
    </row>
    <row r="159" customFormat="false" ht="15" hidden="false" customHeight="false" outlineLevel="0" collapsed="false">
      <c r="A159" s="27" t="n">
        <v>158</v>
      </c>
      <c r="B159" s="27" t="s">
        <v>950</v>
      </c>
      <c r="C159" s="27" t="s">
        <v>2522</v>
      </c>
      <c r="D159" s="27" t="s">
        <v>949</v>
      </c>
      <c r="E159" s="27" t="s">
        <v>951</v>
      </c>
      <c r="F159" s="32" t="n">
        <v>8.61600985146201</v>
      </c>
      <c r="G159" s="28" t="n">
        <v>7255.95038838018</v>
      </c>
      <c r="H159" s="28" t="n">
        <v>4169.94653194391</v>
      </c>
      <c r="I159" s="6" t="s">
        <v>23</v>
      </c>
      <c r="J159" s="27" t="s">
        <v>5</v>
      </c>
      <c r="K159" s="27" t="s">
        <v>5</v>
      </c>
      <c r="L159" s="27" t="n">
        <v>3</v>
      </c>
      <c r="M159" s="27" t="s">
        <v>44</v>
      </c>
      <c r="N159" s="27" t="s">
        <v>2385</v>
      </c>
      <c r="O159" s="27" t="s">
        <v>46</v>
      </c>
      <c r="P159" s="27" t="s">
        <v>293</v>
      </c>
      <c r="Q159" s="27" t="n">
        <v>1</v>
      </c>
      <c r="R159" s="27"/>
      <c r="S159" s="27" t="s">
        <v>41</v>
      </c>
      <c r="T159" s="27" t="s">
        <v>42</v>
      </c>
      <c r="U159" s="27" t="s">
        <v>44</v>
      </c>
      <c r="V159" s="27"/>
      <c r="W159" s="27"/>
      <c r="X159" s="27"/>
      <c r="Y159" s="27" t="s">
        <v>2426</v>
      </c>
      <c r="Z159" s="27" t="n">
        <v>-7.215353</v>
      </c>
      <c r="AA159" s="27" t="n">
        <v>-48.217953</v>
      </c>
      <c r="AB159" s="37" t="s">
        <v>2338</v>
      </c>
      <c r="AC159" s="27" t="s">
        <v>2427</v>
      </c>
    </row>
    <row r="160" customFormat="false" ht="15" hidden="false" customHeight="false" outlineLevel="0" collapsed="false">
      <c r="A160" s="27" t="n">
        <v>159</v>
      </c>
      <c r="B160" s="27" t="s">
        <v>952</v>
      </c>
      <c r="C160" s="27" t="s">
        <v>2523</v>
      </c>
      <c r="D160" s="27" t="s">
        <v>951</v>
      </c>
      <c r="E160" s="27" t="s">
        <v>953</v>
      </c>
      <c r="F160" s="32" t="n">
        <v>3.1377962340279</v>
      </c>
      <c r="G160" s="28" t="n">
        <v>7259.08818461421</v>
      </c>
      <c r="H160" s="28" t="n">
        <v>4173.08432817793</v>
      </c>
      <c r="I160" s="6" t="s">
        <v>23</v>
      </c>
      <c r="J160" s="27" t="s">
        <v>5</v>
      </c>
      <c r="K160" s="27" t="s">
        <v>5</v>
      </c>
      <c r="L160" s="27" t="n">
        <v>3</v>
      </c>
      <c r="M160" s="27" t="s">
        <v>44</v>
      </c>
      <c r="N160" s="27" t="s">
        <v>2385</v>
      </c>
      <c r="O160" s="27" t="s">
        <v>46</v>
      </c>
      <c r="P160" s="27" t="s">
        <v>293</v>
      </c>
      <c r="Q160" s="27" t="n">
        <v>1</v>
      </c>
      <c r="R160" s="27"/>
      <c r="S160" s="27" t="s">
        <v>41</v>
      </c>
      <c r="T160" s="27" t="s">
        <v>42</v>
      </c>
      <c r="U160" s="27" t="s">
        <v>44</v>
      </c>
      <c r="V160" s="27"/>
      <c r="W160" s="27"/>
      <c r="X160" s="27"/>
      <c r="Y160" s="27" t="s">
        <v>2426</v>
      </c>
      <c r="Z160" s="27" t="n">
        <v>-7.2153655</v>
      </c>
      <c r="AA160" s="27" t="n">
        <v>-48.2179045</v>
      </c>
      <c r="AB160" s="37" t="s">
        <v>2338</v>
      </c>
      <c r="AC160" s="27" t="s">
        <v>2427</v>
      </c>
    </row>
    <row r="161" customFormat="false" ht="15" hidden="false" customHeight="false" outlineLevel="0" collapsed="false">
      <c r="A161" s="27" t="n">
        <v>160</v>
      </c>
      <c r="B161" s="27" t="s">
        <v>954</v>
      </c>
      <c r="C161" s="27" t="s">
        <v>2524</v>
      </c>
      <c r="D161" s="27" t="s">
        <v>953</v>
      </c>
      <c r="E161" s="27" t="s">
        <v>955</v>
      </c>
      <c r="F161" s="32" t="n">
        <v>81.1340277269476</v>
      </c>
      <c r="G161" s="28" t="n">
        <v>7340.22221234116</v>
      </c>
      <c r="H161" s="28" t="n">
        <v>4254.21835590488</v>
      </c>
      <c r="I161" s="6" t="s">
        <v>23</v>
      </c>
      <c r="J161" s="27" t="s">
        <v>5</v>
      </c>
      <c r="K161" s="27" t="s">
        <v>5</v>
      </c>
      <c r="L161" s="27" t="n">
        <v>3</v>
      </c>
      <c r="M161" s="27" t="s">
        <v>44</v>
      </c>
      <c r="N161" s="27" t="s">
        <v>2385</v>
      </c>
      <c r="O161" s="27" t="s">
        <v>46</v>
      </c>
      <c r="P161" s="27" t="s">
        <v>293</v>
      </c>
      <c r="Q161" s="27" t="n">
        <v>1</v>
      </c>
      <c r="R161" s="27"/>
      <c r="S161" s="27" t="s">
        <v>41</v>
      </c>
      <c r="T161" s="27" t="s">
        <v>42</v>
      </c>
      <c r="U161" s="27" t="s">
        <v>44</v>
      </c>
      <c r="V161" s="27"/>
      <c r="W161" s="27"/>
      <c r="X161" s="27"/>
      <c r="Y161" s="27" t="s">
        <v>2426</v>
      </c>
      <c r="Z161" s="27" t="n">
        <v>-7.2156315</v>
      </c>
      <c r="AA161" s="27" t="n">
        <v>-48.2176325</v>
      </c>
      <c r="AB161" s="37" t="s">
        <v>2338</v>
      </c>
      <c r="AC161" s="27" t="s">
        <v>2427</v>
      </c>
    </row>
    <row r="162" customFormat="false" ht="15" hidden="false" customHeight="false" outlineLevel="0" collapsed="false">
      <c r="A162" s="27" t="n">
        <v>161</v>
      </c>
      <c r="B162" s="27" t="s">
        <v>956</v>
      </c>
      <c r="C162" s="27" t="s">
        <v>2525</v>
      </c>
      <c r="D162" s="27" t="s">
        <v>955</v>
      </c>
      <c r="E162" s="27" t="s">
        <v>957</v>
      </c>
      <c r="F162" s="32" t="n">
        <v>4.15210623381101</v>
      </c>
      <c r="G162" s="28" t="n">
        <v>7344.37431857497</v>
      </c>
      <c r="H162" s="28" t="n">
        <v>4258.37046213869</v>
      </c>
      <c r="I162" s="6" t="s">
        <v>23</v>
      </c>
      <c r="J162" s="27" t="s">
        <v>5</v>
      </c>
      <c r="K162" s="27" t="s">
        <v>5</v>
      </c>
      <c r="L162" s="27" t="n">
        <v>3</v>
      </c>
      <c r="M162" s="27" t="s">
        <v>44</v>
      </c>
      <c r="N162" s="27" t="s">
        <v>2385</v>
      </c>
      <c r="O162" s="27" t="s">
        <v>46</v>
      </c>
      <c r="P162" s="27" t="s">
        <v>293</v>
      </c>
      <c r="Q162" s="27" t="n">
        <v>1</v>
      </c>
      <c r="R162" s="27"/>
      <c r="S162" s="27" t="s">
        <v>41</v>
      </c>
      <c r="T162" s="27" t="s">
        <v>42</v>
      </c>
      <c r="U162" s="27" t="s">
        <v>44</v>
      </c>
      <c r="V162" s="27"/>
      <c r="W162" s="27"/>
      <c r="X162" s="27"/>
      <c r="Y162" s="27" t="s">
        <v>2426</v>
      </c>
      <c r="Z162" s="27" t="n">
        <v>-7.2158735</v>
      </c>
      <c r="AA162" s="27" t="n">
        <v>-48.217383</v>
      </c>
      <c r="AB162" s="37" t="s">
        <v>2338</v>
      </c>
      <c r="AC162" s="27" t="s">
        <v>2427</v>
      </c>
    </row>
    <row r="163" customFormat="false" ht="15" hidden="false" customHeight="false" outlineLevel="0" collapsed="false">
      <c r="A163" s="27" t="n">
        <v>162</v>
      </c>
      <c r="B163" s="27" t="s">
        <v>958</v>
      </c>
      <c r="C163" s="27" t="s">
        <v>2526</v>
      </c>
      <c r="D163" s="27" t="s">
        <v>921</v>
      </c>
      <c r="E163" s="27" t="s">
        <v>959</v>
      </c>
      <c r="F163" s="32" t="n">
        <v>4.7695844719844</v>
      </c>
      <c r="G163" s="28" t="n">
        <v>6847.50784463254</v>
      </c>
      <c r="H163" s="28" t="n">
        <v>3761.50398819627</v>
      </c>
      <c r="I163" s="6" t="s">
        <v>23</v>
      </c>
      <c r="J163" s="27" t="s">
        <v>5</v>
      </c>
      <c r="K163" s="27" t="s">
        <v>5</v>
      </c>
      <c r="L163" s="27" t="n">
        <v>3</v>
      </c>
      <c r="M163" s="27" t="s">
        <v>44</v>
      </c>
      <c r="N163" s="27" t="s">
        <v>2385</v>
      </c>
      <c r="O163" s="27" t="s">
        <v>46</v>
      </c>
      <c r="P163" s="27" t="s">
        <v>2527</v>
      </c>
      <c r="Q163" s="27" t="n">
        <v>4</v>
      </c>
      <c r="R163" s="27"/>
      <c r="S163" s="27" t="s">
        <v>41</v>
      </c>
      <c r="T163" s="27" t="s">
        <v>42</v>
      </c>
      <c r="U163" s="27" t="s">
        <v>44</v>
      </c>
      <c r="V163" s="27"/>
      <c r="W163" s="27"/>
      <c r="X163" s="27"/>
      <c r="Y163" s="27" t="s">
        <v>2426</v>
      </c>
      <c r="Z163" s="27" t="n">
        <v>-7.2166915</v>
      </c>
      <c r="AA163" s="27" t="n">
        <v>-48.220501</v>
      </c>
      <c r="AB163" s="37" t="s">
        <v>2338</v>
      </c>
      <c r="AC163" s="27" t="s">
        <v>2427</v>
      </c>
    </row>
    <row r="164" customFormat="false" ht="15" hidden="false" customHeight="false" outlineLevel="0" collapsed="false">
      <c r="A164" s="27" t="n">
        <v>163</v>
      </c>
      <c r="B164" s="27" t="s">
        <v>960</v>
      </c>
      <c r="C164" s="27" t="s">
        <v>2528</v>
      </c>
      <c r="D164" s="27" t="s">
        <v>959</v>
      </c>
      <c r="E164" s="27" t="s">
        <v>961</v>
      </c>
      <c r="F164" s="32" t="n">
        <v>1.88700775682905</v>
      </c>
      <c r="G164" s="28" t="n">
        <v>6849.39485238937</v>
      </c>
      <c r="H164" s="28" t="n">
        <v>3763.39099595309</v>
      </c>
      <c r="I164" s="6" t="s">
        <v>23</v>
      </c>
      <c r="J164" s="27" t="s">
        <v>5</v>
      </c>
      <c r="K164" s="27" t="s">
        <v>5</v>
      </c>
      <c r="L164" s="27" t="n">
        <v>3</v>
      </c>
      <c r="M164" s="27" t="s">
        <v>44</v>
      </c>
      <c r="N164" s="27" t="s">
        <v>2385</v>
      </c>
      <c r="O164" s="27" t="s">
        <v>46</v>
      </c>
      <c r="P164" s="27" t="s">
        <v>2527</v>
      </c>
      <c r="Q164" s="27" t="n">
        <v>4</v>
      </c>
      <c r="R164" s="27"/>
      <c r="S164" s="27" t="s">
        <v>41</v>
      </c>
      <c r="T164" s="27" t="s">
        <v>42</v>
      </c>
      <c r="U164" s="27" t="s">
        <v>44</v>
      </c>
      <c r="V164" s="27"/>
      <c r="W164" s="27"/>
      <c r="X164" s="27"/>
      <c r="Y164" s="27" t="s">
        <v>2426</v>
      </c>
      <c r="Z164" s="27" t="n">
        <v>-7.2167185</v>
      </c>
      <c r="AA164" s="27" t="n">
        <v>-48.220488</v>
      </c>
      <c r="AB164" s="37" t="s">
        <v>2338</v>
      </c>
      <c r="AC164" s="27" t="s">
        <v>2427</v>
      </c>
    </row>
    <row r="165" customFormat="false" ht="15" hidden="false" customHeight="false" outlineLevel="0" collapsed="false">
      <c r="A165" s="27" t="n">
        <v>164</v>
      </c>
      <c r="B165" s="27" t="s">
        <v>962</v>
      </c>
      <c r="C165" s="27" t="s">
        <v>2529</v>
      </c>
      <c r="D165" s="27" t="s">
        <v>961</v>
      </c>
      <c r="E165" s="27" t="s">
        <v>963</v>
      </c>
      <c r="F165" s="32" t="n">
        <v>13.232656095124</v>
      </c>
      <c r="G165" s="28" t="n">
        <v>6862.6275084845</v>
      </c>
      <c r="H165" s="28" t="n">
        <v>3776.62365204822</v>
      </c>
      <c r="I165" s="6" t="s">
        <v>23</v>
      </c>
      <c r="J165" s="27" t="s">
        <v>5</v>
      </c>
      <c r="K165" s="27" t="s">
        <v>5</v>
      </c>
      <c r="L165" s="27" t="n">
        <v>3</v>
      </c>
      <c r="M165" s="27" t="s">
        <v>44</v>
      </c>
      <c r="N165" s="27" t="s">
        <v>2385</v>
      </c>
      <c r="O165" s="27" t="s">
        <v>46</v>
      </c>
      <c r="P165" s="27" t="s">
        <v>2527</v>
      </c>
      <c r="Q165" s="27" t="n">
        <v>4</v>
      </c>
      <c r="R165" s="27"/>
      <c r="S165" s="27" t="s">
        <v>41</v>
      </c>
      <c r="T165" s="27" t="s">
        <v>42</v>
      </c>
      <c r="U165" s="27" t="s">
        <v>44</v>
      </c>
      <c r="V165" s="27"/>
      <c r="W165" s="27"/>
      <c r="X165" s="27"/>
      <c r="Y165" s="27" t="s">
        <v>2426</v>
      </c>
      <c r="Z165" s="27" t="n">
        <v>-7.2167855</v>
      </c>
      <c r="AA165" s="27" t="n">
        <v>-48.2204835</v>
      </c>
      <c r="AB165" s="37" t="s">
        <v>2338</v>
      </c>
      <c r="AC165" s="27" t="s">
        <v>2427</v>
      </c>
    </row>
    <row r="166" customFormat="false" ht="15" hidden="false" customHeight="false" outlineLevel="0" collapsed="false">
      <c r="A166" s="27" t="n">
        <v>165</v>
      </c>
      <c r="B166" s="27" t="s">
        <v>964</v>
      </c>
      <c r="C166" s="27" t="s">
        <v>2530</v>
      </c>
      <c r="D166" s="27" t="s">
        <v>963</v>
      </c>
      <c r="E166" s="27" t="s">
        <v>965</v>
      </c>
      <c r="F166" s="32" t="n">
        <v>1.2231441929752</v>
      </c>
      <c r="G166" s="28" t="n">
        <v>6863.85065267747</v>
      </c>
      <c r="H166" s="28" t="n">
        <v>3777.84679624119</v>
      </c>
      <c r="I166" s="6" t="s">
        <v>23</v>
      </c>
      <c r="J166" s="27" t="s">
        <v>5</v>
      </c>
      <c r="K166" s="27" t="s">
        <v>5</v>
      </c>
      <c r="L166" s="27" t="n">
        <v>3</v>
      </c>
      <c r="M166" s="27" t="s">
        <v>44</v>
      </c>
      <c r="N166" s="27" t="s">
        <v>2385</v>
      </c>
      <c r="O166" s="27" t="s">
        <v>46</v>
      </c>
      <c r="P166" s="27" t="s">
        <v>2527</v>
      </c>
      <c r="Q166" s="27" t="n">
        <v>4</v>
      </c>
      <c r="R166" s="27"/>
      <c r="S166" s="27" t="s">
        <v>41</v>
      </c>
      <c r="T166" s="27" t="s">
        <v>42</v>
      </c>
      <c r="U166" s="27" t="s">
        <v>44</v>
      </c>
      <c r="V166" s="27"/>
      <c r="W166" s="27"/>
      <c r="X166" s="27"/>
      <c r="Y166" s="27" t="s">
        <v>2426</v>
      </c>
      <c r="Z166" s="27" t="n">
        <v>-7.2168395</v>
      </c>
      <c r="AA166" s="27" t="n">
        <v>-48.220483</v>
      </c>
      <c r="AB166" s="37" t="s">
        <v>2338</v>
      </c>
      <c r="AC166" s="27" t="s">
        <v>2427</v>
      </c>
    </row>
    <row r="167" customFormat="false" ht="15" hidden="false" customHeight="false" outlineLevel="0" collapsed="false">
      <c r="A167" s="27" t="n">
        <v>166</v>
      </c>
      <c r="B167" s="27" t="s">
        <v>966</v>
      </c>
      <c r="C167" s="27" t="s">
        <v>2531</v>
      </c>
      <c r="D167" s="27" t="s">
        <v>829</v>
      </c>
      <c r="E167" s="27" t="s">
        <v>967</v>
      </c>
      <c r="F167" s="32" t="n">
        <v>0.676227944706885</v>
      </c>
      <c r="G167" s="28" t="n">
        <v>5025.08645332915</v>
      </c>
      <c r="H167" s="28" t="n">
        <v>1939.08259689288</v>
      </c>
      <c r="I167" s="6" t="s">
        <v>23</v>
      </c>
      <c r="J167" s="27" t="s">
        <v>5</v>
      </c>
      <c r="K167" s="27" t="s">
        <v>5</v>
      </c>
      <c r="L167" s="27" t="n">
        <v>3</v>
      </c>
      <c r="M167" s="27" t="s">
        <v>44</v>
      </c>
      <c r="N167" s="27" t="s">
        <v>2385</v>
      </c>
      <c r="O167" s="27" t="s">
        <v>46</v>
      </c>
      <c r="P167" s="27" t="s">
        <v>251</v>
      </c>
      <c r="Q167" s="27" t="n">
        <v>1</v>
      </c>
      <c r="R167" s="27"/>
      <c r="S167" s="27" t="s">
        <v>41</v>
      </c>
      <c r="T167" s="27" t="s">
        <v>42</v>
      </c>
      <c r="U167" s="27" t="s">
        <v>44</v>
      </c>
      <c r="V167" s="27"/>
      <c r="W167" s="27"/>
      <c r="X167" s="27"/>
      <c r="Y167" s="27" t="s">
        <v>2426</v>
      </c>
      <c r="Z167" s="27" t="n">
        <v>-7.220027</v>
      </c>
      <c r="AA167" s="27" t="n">
        <v>-48.2320075</v>
      </c>
      <c r="AB167" s="37" t="s">
        <v>2338</v>
      </c>
      <c r="AC167" s="27" t="s">
        <v>2427</v>
      </c>
    </row>
    <row r="168" customFormat="false" ht="15" hidden="false" customHeight="false" outlineLevel="0" collapsed="false">
      <c r="A168" s="27" t="n">
        <v>167</v>
      </c>
      <c r="B168" s="27" t="s">
        <v>968</v>
      </c>
      <c r="C168" s="27" t="s">
        <v>2532</v>
      </c>
      <c r="D168" s="27" t="s">
        <v>816</v>
      </c>
      <c r="E168" s="27" t="s">
        <v>969</v>
      </c>
      <c r="F168" s="32" t="n">
        <v>8.54830211656126</v>
      </c>
      <c r="G168" s="28" t="n">
        <v>4459.57077072766</v>
      </c>
      <c r="H168" s="28" t="n">
        <v>1373.56691429138</v>
      </c>
      <c r="I168" s="6" t="s">
        <v>23</v>
      </c>
      <c r="J168" s="27" t="s">
        <v>5</v>
      </c>
      <c r="K168" s="27" t="s">
        <v>5</v>
      </c>
      <c r="L168" s="27" t="n">
        <v>3</v>
      </c>
      <c r="M168" s="27" t="s">
        <v>44</v>
      </c>
      <c r="N168" s="27" t="s">
        <v>2385</v>
      </c>
      <c r="O168" s="27" t="s">
        <v>46</v>
      </c>
      <c r="P168" s="27" t="s">
        <v>248</v>
      </c>
      <c r="Q168" s="27" t="n">
        <v>1</v>
      </c>
      <c r="R168" s="27"/>
      <c r="S168" s="27" t="s">
        <v>41</v>
      </c>
      <c r="T168" s="27" t="s">
        <v>42</v>
      </c>
      <c r="U168" s="27" t="s">
        <v>44</v>
      </c>
      <c r="V168" s="27"/>
      <c r="W168" s="27"/>
      <c r="X168" s="27"/>
      <c r="Y168" s="27" t="s">
        <v>2426</v>
      </c>
      <c r="Z168" s="27" t="n">
        <v>-7.221544</v>
      </c>
      <c r="AA168" s="27" t="n">
        <v>-48.2369755</v>
      </c>
      <c r="AB168" s="37" t="s">
        <v>2338</v>
      </c>
      <c r="AC168" s="27" t="s">
        <v>2427</v>
      </c>
    </row>
    <row r="169" customFormat="false" ht="15" hidden="false" customHeight="false" outlineLevel="0" collapsed="false">
      <c r="A169" s="27" t="n">
        <v>168</v>
      </c>
      <c r="B169" s="27" t="s">
        <v>970</v>
      </c>
      <c r="C169" s="27" t="s">
        <v>2533</v>
      </c>
      <c r="D169" s="27" t="s">
        <v>969</v>
      </c>
      <c r="E169" s="27" t="s">
        <v>971</v>
      </c>
      <c r="F169" s="32" t="n">
        <v>3.72531178691965</v>
      </c>
      <c r="G169" s="28" t="n">
        <v>4463.29608251458</v>
      </c>
      <c r="H169" s="28" t="n">
        <v>1377.2922260783</v>
      </c>
      <c r="I169" s="6" t="s">
        <v>23</v>
      </c>
      <c r="J169" s="27" t="s">
        <v>5</v>
      </c>
      <c r="K169" s="27" t="s">
        <v>5</v>
      </c>
      <c r="L169" s="27" t="n">
        <v>3</v>
      </c>
      <c r="M169" s="27" t="s">
        <v>44</v>
      </c>
      <c r="N169" s="27" t="s">
        <v>2385</v>
      </c>
      <c r="O169" s="27" t="s">
        <v>46</v>
      </c>
      <c r="P169" s="27" t="s">
        <v>248</v>
      </c>
      <c r="Q169" s="27" t="n">
        <v>1</v>
      </c>
      <c r="R169" s="27"/>
      <c r="S169" s="27" t="s">
        <v>41</v>
      </c>
      <c r="T169" s="27" t="s">
        <v>42</v>
      </c>
      <c r="U169" s="27" t="s">
        <v>44</v>
      </c>
      <c r="V169" s="27"/>
      <c r="W169" s="27"/>
      <c r="X169" s="27"/>
      <c r="Y169" s="27" t="s">
        <v>2426</v>
      </c>
      <c r="Z169" s="27" t="n">
        <v>-7.221597</v>
      </c>
      <c r="AA169" s="27" t="n">
        <v>-48.23696</v>
      </c>
      <c r="AB169" s="37" t="s">
        <v>2338</v>
      </c>
      <c r="AC169" s="27" t="s">
        <v>2427</v>
      </c>
    </row>
    <row r="170" customFormat="false" ht="15" hidden="false" customHeight="false" outlineLevel="0" collapsed="false">
      <c r="A170" s="27" t="n">
        <v>169</v>
      </c>
      <c r="B170" s="27" t="s">
        <v>972</v>
      </c>
      <c r="C170" s="27" t="s">
        <v>2534</v>
      </c>
      <c r="D170" s="27" t="s">
        <v>792</v>
      </c>
      <c r="E170" s="27" t="s">
        <v>973</v>
      </c>
      <c r="F170" s="32" t="n">
        <v>2.78861453677332</v>
      </c>
      <c r="G170" s="28" t="n">
        <v>3671.63169164429</v>
      </c>
      <c r="H170" s="28" t="n">
        <v>585.627835208008</v>
      </c>
      <c r="I170" s="6" t="s">
        <v>23</v>
      </c>
      <c r="J170" s="27" t="s">
        <v>5</v>
      </c>
      <c r="K170" s="27" t="s">
        <v>5</v>
      </c>
      <c r="L170" s="27" t="n">
        <v>3</v>
      </c>
      <c r="M170" s="27" t="s">
        <v>44</v>
      </c>
      <c r="N170" s="27" t="s">
        <v>2385</v>
      </c>
      <c r="O170" s="27" t="s">
        <v>46</v>
      </c>
      <c r="P170" s="27" t="s">
        <v>211</v>
      </c>
      <c r="Q170" s="27" t="n">
        <v>1</v>
      </c>
      <c r="R170" s="27"/>
      <c r="S170" s="27" t="s">
        <v>41</v>
      </c>
      <c r="T170" s="27" t="s">
        <v>42</v>
      </c>
      <c r="U170" s="27" t="s">
        <v>44</v>
      </c>
      <c r="V170" s="27"/>
      <c r="W170" s="27"/>
      <c r="X170" s="27"/>
      <c r="Y170" s="27" t="s">
        <v>2426</v>
      </c>
      <c r="Z170" s="27" t="n">
        <v>-7.2192415</v>
      </c>
      <c r="AA170" s="27" t="n">
        <v>-48.241431</v>
      </c>
      <c r="AB170" s="37" t="s">
        <v>2338</v>
      </c>
      <c r="AC170" s="27" t="s">
        <v>2427</v>
      </c>
    </row>
    <row r="171" customFormat="false" ht="15" hidden="false" customHeight="false" outlineLevel="0" collapsed="false">
      <c r="A171" s="27" t="n">
        <v>170</v>
      </c>
      <c r="B171" s="27" t="s">
        <v>974</v>
      </c>
      <c r="C171" s="27" t="s">
        <v>2535</v>
      </c>
      <c r="D171" s="27" t="s">
        <v>774</v>
      </c>
      <c r="E171" s="27" t="s">
        <v>975</v>
      </c>
      <c r="F171" s="32" t="n">
        <v>187.91799027248</v>
      </c>
      <c r="G171" s="28" t="n">
        <v>3482.54649098723</v>
      </c>
      <c r="H171" s="28" t="n">
        <v>396.542634550948</v>
      </c>
      <c r="I171" s="6" t="s">
        <v>23</v>
      </c>
      <c r="J171" s="27" t="s">
        <v>5</v>
      </c>
      <c r="K171" s="27" t="s">
        <v>5</v>
      </c>
      <c r="L171" s="27" t="n">
        <v>3</v>
      </c>
      <c r="M171" s="27" t="s">
        <v>44</v>
      </c>
      <c r="N171" s="27" t="s">
        <v>2385</v>
      </c>
      <c r="O171" s="27" t="s">
        <v>46</v>
      </c>
      <c r="P171" s="27" t="s">
        <v>2536</v>
      </c>
      <c r="Q171" s="27" t="n">
        <v>3</v>
      </c>
      <c r="R171" s="27"/>
      <c r="S171" s="27" t="s">
        <v>41</v>
      </c>
      <c r="T171" s="27" t="s">
        <v>42</v>
      </c>
      <c r="U171" s="27" t="s">
        <v>44</v>
      </c>
      <c r="V171" s="27"/>
      <c r="W171" s="27"/>
      <c r="X171" s="27"/>
      <c r="Y171" s="27" t="s">
        <v>2426</v>
      </c>
      <c r="Z171" s="27" t="n">
        <v>-7.2206385</v>
      </c>
      <c r="AA171" s="27" t="n">
        <v>-48.2450195</v>
      </c>
      <c r="AB171" s="37" t="s">
        <v>2338</v>
      </c>
      <c r="AC171" s="27" t="s">
        <v>2427</v>
      </c>
    </row>
    <row r="172" customFormat="false" ht="15" hidden="false" customHeight="false" outlineLevel="0" collapsed="false">
      <c r="A172" s="27" t="n">
        <v>171</v>
      </c>
      <c r="B172" s="27" t="s">
        <v>976</v>
      </c>
      <c r="C172" s="27" t="s">
        <v>2537</v>
      </c>
      <c r="D172" s="27" t="s">
        <v>975</v>
      </c>
      <c r="E172" s="27" t="s">
        <v>977</v>
      </c>
      <c r="F172" s="32" t="n">
        <v>30.2179824556604</v>
      </c>
      <c r="G172" s="28" t="n">
        <v>3512.76447344289</v>
      </c>
      <c r="H172" s="28" t="n">
        <v>426.760617006608</v>
      </c>
      <c r="I172" s="6" t="s">
        <v>23</v>
      </c>
      <c r="J172" s="27" t="s">
        <v>5</v>
      </c>
      <c r="K172" s="27" t="s">
        <v>5</v>
      </c>
      <c r="L172" s="27" t="n">
        <v>3</v>
      </c>
      <c r="M172" s="27" t="s">
        <v>44</v>
      </c>
      <c r="N172" s="27" t="s">
        <v>2385</v>
      </c>
      <c r="O172" s="27" t="s">
        <v>46</v>
      </c>
      <c r="P172" s="27" t="s">
        <v>2536</v>
      </c>
      <c r="Q172" s="27" t="n">
        <v>3</v>
      </c>
      <c r="R172" s="27"/>
      <c r="S172" s="27" t="s">
        <v>41</v>
      </c>
      <c r="T172" s="27" t="s">
        <v>42</v>
      </c>
      <c r="U172" s="27" t="s">
        <v>44</v>
      </c>
      <c r="V172" s="27"/>
      <c r="W172" s="27"/>
      <c r="X172" s="27"/>
      <c r="Y172" s="27" t="s">
        <v>2426</v>
      </c>
      <c r="Z172" s="27" t="n">
        <v>-7.2215305</v>
      </c>
      <c r="AA172" s="27" t="n">
        <v>-48.2454305</v>
      </c>
      <c r="AB172" s="37" t="s">
        <v>2338</v>
      </c>
      <c r="AC172" s="27" t="s">
        <v>2427</v>
      </c>
    </row>
    <row r="173" customFormat="false" ht="15" hidden="false" customHeight="false" outlineLevel="0" collapsed="false">
      <c r="A173" s="27" t="n">
        <v>172</v>
      </c>
      <c r="B173" s="27" t="s">
        <v>978</v>
      </c>
      <c r="C173" s="27" t="s">
        <v>2538</v>
      </c>
      <c r="D173" s="27" t="s">
        <v>977</v>
      </c>
      <c r="E173" s="27" t="s">
        <v>979</v>
      </c>
      <c r="F173" s="32" t="n">
        <v>4.91689738689914</v>
      </c>
      <c r="G173" s="28" t="n">
        <v>3517.68137082979</v>
      </c>
      <c r="H173" s="28" t="n">
        <v>431.677514393507</v>
      </c>
      <c r="I173" s="6" t="s">
        <v>23</v>
      </c>
      <c r="J173" s="27" t="s">
        <v>5</v>
      </c>
      <c r="K173" s="27" t="s">
        <v>5</v>
      </c>
      <c r="L173" s="27" t="n">
        <v>3</v>
      </c>
      <c r="M173" s="27" t="s">
        <v>44</v>
      </c>
      <c r="N173" s="27" t="s">
        <v>2385</v>
      </c>
      <c r="O173" s="27" t="s">
        <v>46</v>
      </c>
      <c r="P173" s="27" t="s">
        <v>2536</v>
      </c>
      <c r="Q173" s="27" t="n">
        <v>3</v>
      </c>
      <c r="R173" s="27" t="s">
        <v>980</v>
      </c>
      <c r="S173" s="27" t="s">
        <v>41</v>
      </c>
      <c r="T173" s="27" t="s">
        <v>42</v>
      </c>
      <c r="U173" s="27" t="s">
        <v>44</v>
      </c>
      <c r="V173" s="27"/>
      <c r="W173" s="27"/>
      <c r="X173" s="27"/>
      <c r="Y173" s="27" t="s">
        <v>2426</v>
      </c>
      <c r="Z173" s="27" t="n">
        <v>-7.221676</v>
      </c>
      <c r="AA173" s="27" t="n">
        <v>-48.2454925</v>
      </c>
      <c r="AB173" s="37" t="s">
        <v>2338</v>
      </c>
      <c r="AC173" s="27" t="s">
        <v>2427</v>
      </c>
    </row>
    <row r="174" customFormat="false" ht="15" hidden="false" customHeight="false" outlineLevel="0" collapsed="false">
      <c r="A174" s="27" t="n">
        <v>173</v>
      </c>
      <c r="B174" s="27" t="s">
        <v>981</v>
      </c>
      <c r="C174" s="27" t="s">
        <v>2539</v>
      </c>
      <c r="D174" s="27" t="s">
        <v>979</v>
      </c>
      <c r="E174" s="27" t="s">
        <v>982</v>
      </c>
      <c r="F174" s="32" t="n">
        <v>237.567585371999</v>
      </c>
      <c r="G174" s="28" t="n">
        <v>3755.24895620178</v>
      </c>
      <c r="H174" s="28" t="n">
        <v>669.245099765506</v>
      </c>
      <c r="I174" s="6" t="s">
        <v>23</v>
      </c>
      <c r="J174" s="27" t="s">
        <v>5</v>
      </c>
      <c r="K174" s="27" t="s">
        <v>5</v>
      </c>
      <c r="L174" s="27" t="n">
        <v>3</v>
      </c>
      <c r="M174" s="27" t="s">
        <v>44</v>
      </c>
      <c r="N174" s="27" t="s">
        <v>2385</v>
      </c>
      <c r="O174" s="27" t="s">
        <v>46</v>
      </c>
      <c r="P174" s="27" t="s">
        <v>2536</v>
      </c>
      <c r="Q174" s="27" t="n">
        <v>3</v>
      </c>
      <c r="R174" s="27"/>
      <c r="S174" s="27" t="s">
        <v>41</v>
      </c>
      <c r="T174" s="27" t="s">
        <v>42</v>
      </c>
      <c r="U174" s="27" t="s">
        <v>44</v>
      </c>
      <c r="V174" s="27"/>
      <c r="W174" s="27"/>
      <c r="X174" s="27"/>
      <c r="Y174" s="27" t="s">
        <v>2426</v>
      </c>
      <c r="Z174" s="27" t="n">
        <v>-7.2226635</v>
      </c>
      <c r="AA174" s="27" t="n">
        <v>-48.2459585</v>
      </c>
      <c r="AB174" s="37" t="s">
        <v>2338</v>
      </c>
      <c r="AC174" s="27" t="s">
        <v>2427</v>
      </c>
    </row>
    <row r="175" customFormat="false" ht="15" hidden="false" customHeight="false" outlineLevel="0" collapsed="false">
      <c r="A175" s="27" t="n">
        <v>174</v>
      </c>
      <c r="B175" s="27" t="s">
        <v>983</v>
      </c>
      <c r="C175" s="27" t="s">
        <v>2540</v>
      </c>
      <c r="D175" s="27" t="s">
        <v>982</v>
      </c>
      <c r="E175" s="27" t="s">
        <v>984</v>
      </c>
      <c r="F175" s="32" t="n">
        <v>3.67608531941469</v>
      </c>
      <c r="G175" s="28" t="n">
        <v>3758.9250415212</v>
      </c>
      <c r="H175" s="28" t="n">
        <v>672.921185084921</v>
      </c>
      <c r="I175" s="6" t="s">
        <v>23</v>
      </c>
      <c r="J175" s="27" t="s">
        <v>5</v>
      </c>
      <c r="K175" s="27" t="s">
        <v>5</v>
      </c>
      <c r="L175" s="27" t="n">
        <v>3</v>
      </c>
      <c r="M175" s="27" t="s">
        <v>44</v>
      </c>
      <c r="N175" s="27" t="s">
        <v>2385</v>
      </c>
      <c r="O175" s="27" t="s">
        <v>46</v>
      </c>
      <c r="P175" s="27" t="s">
        <v>2536</v>
      </c>
      <c r="Q175" s="27" t="n">
        <v>3</v>
      </c>
      <c r="R175" s="27"/>
      <c r="S175" s="27" t="s">
        <v>41</v>
      </c>
      <c r="T175" s="27" t="s">
        <v>42</v>
      </c>
      <c r="U175" s="27" t="s">
        <v>44</v>
      </c>
      <c r="V175" s="27"/>
      <c r="W175" s="27"/>
      <c r="X175" s="27"/>
      <c r="Y175" s="27" t="s">
        <v>2426</v>
      </c>
      <c r="Z175" s="27" t="n">
        <v>-7.2236455</v>
      </c>
      <c r="AA175" s="27" t="n">
        <v>-48.246423</v>
      </c>
      <c r="AB175" s="37" t="s">
        <v>2338</v>
      </c>
      <c r="AC175" s="27" t="s">
        <v>2427</v>
      </c>
    </row>
    <row r="176" customFormat="false" ht="15" hidden="false" customHeight="false" outlineLevel="0" collapsed="false">
      <c r="A176" s="27" t="n">
        <v>175</v>
      </c>
      <c r="B176" s="27" t="s">
        <v>985</v>
      </c>
      <c r="C176" s="27" t="s">
        <v>2541</v>
      </c>
      <c r="D176" s="27" t="s">
        <v>984</v>
      </c>
      <c r="E176" s="27" t="s">
        <v>986</v>
      </c>
      <c r="F176" s="32" t="n">
        <v>22.5903826183174</v>
      </c>
      <c r="G176" s="28" t="n">
        <v>3781.51542413952</v>
      </c>
      <c r="H176" s="28" t="n">
        <v>695.511567703238</v>
      </c>
      <c r="I176" s="6" t="s">
        <v>23</v>
      </c>
      <c r="J176" s="27" t="s">
        <v>5</v>
      </c>
      <c r="K176" s="27" t="s">
        <v>5</v>
      </c>
      <c r="L176" s="27" t="n">
        <v>3</v>
      </c>
      <c r="M176" s="27" t="s">
        <v>44</v>
      </c>
      <c r="N176" s="27" t="s">
        <v>2385</v>
      </c>
      <c r="O176" s="27" t="s">
        <v>46</v>
      </c>
      <c r="P176" s="27" t="s">
        <v>2536</v>
      </c>
      <c r="Q176" s="27" t="n">
        <v>3</v>
      </c>
      <c r="R176" s="27"/>
      <c r="S176" s="27" t="s">
        <v>41</v>
      </c>
      <c r="T176" s="27" t="s">
        <v>42</v>
      </c>
      <c r="U176" s="27" t="s">
        <v>44</v>
      </c>
      <c r="V176" s="27"/>
      <c r="W176" s="27"/>
      <c r="X176" s="27"/>
      <c r="Y176" s="27" t="s">
        <v>2426</v>
      </c>
      <c r="Z176" s="27" t="n">
        <v>-7.223751</v>
      </c>
      <c r="AA176" s="27" t="n">
        <v>-48.2464765</v>
      </c>
      <c r="AB176" s="37" t="s">
        <v>2338</v>
      </c>
      <c r="AC176" s="27" t="s">
        <v>2427</v>
      </c>
    </row>
    <row r="177" customFormat="false" ht="15" hidden="false" customHeight="false" outlineLevel="0" collapsed="false">
      <c r="A177" s="27" t="n">
        <v>176</v>
      </c>
      <c r="B177" s="27" t="s">
        <v>987</v>
      </c>
      <c r="C177" s="27" t="s">
        <v>2542</v>
      </c>
      <c r="D177" s="27" t="s">
        <v>986</v>
      </c>
      <c r="E177" s="27" t="s">
        <v>988</v>
      </c>
      <c r="F177" s="32" t="n">
        <v>39.1893381487575</v>
      </c>
      <c r="G177" s="28" t="n">
        <v>3820.70476228827</v>
      </c>
      <c r="H177" s="28" t="n">
        <v>734.700905851996</v>
      </c>
      <c r="I177" s="6" t="s">
        <v>23</v>
      </c>
      <c r="J177" s="27" t="s">
        <v>5</v>
      </c>
      <c r="K177" s="27" t="s">
        <v>5</v>
      </c>
      <c r="L177" s="27" t="n">
        <v>3</v>
      </c>
      <c r="M177" s="27" t="s">
        <v>44</v>
      </c>
      <c r="N177" s="27" t="s">
        <v>2385</v>
      </c>
      <c r="O177" s="27" t="s">
        <v>46</v>
      </c>
      <c r="P177" s="27" t="s">
        <v>229</v>
      </c>
      <c r="Q177" s="27" t="n">
        <v>1</v>
      </c>
      <c r="R177" s="27"/>
      <c r="S177" s="27" t="s">
        <v>41</v>
      </c>
      <c r="T177" s="27" t="s">
        <v>42</v>
      </c>
      <c r="U177" s="27" t="s">
        <v>44</v>
      </c>
      <c r="V177" s="27"/>
      <c r="W177" s="27"/>
      <c r="X177" s="27"/>
      <c r="Y177" s="27" t="s">
        <v>2426</v>
      </c>
      <c r="Z177" s="27" t="n">
        <v>-7.2239175</v>
      </c>
      <c r="AA177" s="27" t="n">
        <v>-48.2463615</v>
      </c>
      <c r="AB177" s="37" t="s">
        <v>2338</v>
      </c>
      <c r="AC177" s="27" t="s">
        <v>2427</v>
      </c>
    </row>
    <row r="178" customFormat="false" ht="15" hidden="false" customHeight="false" outlineLevel="0" collapsed="false">
      <c r="A178" s="27" t="n">
        <v>177</v>
      </c>
      <c r="B178" s="27" t="s">
        <v>989</v>
      </c>
      <c r="C178" s="27" t="s">
        <v>2543</v>
      </c>
      <c r="D178" s="27" t="s">
        <v>988</v>
      </c>
      <c r="E178" s="27" t="s">
        <v>990</v>
      </c>
      <c r="F178" s="32" t="n">
        <v>125.22613836922</v>
      </c>
      <c r="G178" s="28" t="n">
        <v>3945.93090065749</v>
      </c>
      <c r="H178" s="28" t="n">
        <v>859.927044221215</v>
      </c>
      <c r="I178" s="6" t="s">
        <v>23</v>
      </c>
      <c r="J178" s="27" t="s">
        <v>5</v>
      </c>
      <c r="K178" s="27" t="s">
        <v>5</v>
      </c>
      <c r="L178" s="27" t="n">
        <v>3</v>
      </c>
      <c r="M178" s="27" t="s">
        <v>44</v>
      </c>
      <c r="N178" s="27" t="s">
        <v>2385</v>
      </c>
      <c r="O178" s="27" t="s">
        <v>46</v>
      </c>
      <c r="P178" s="27" t="s">
        <v>229</v>
      </c>
      <c r="Q178" s="27" t="n">
        <v>1</v>
      </c>
      <c r="R178" s="27"/>
      <c r="S178" s="27" t="s">
        <v>41</v>
      </c>
      <c r="T178" s="27" t="s">
        <v>42</v>
      </c>
      <c r="U178" s="27" t="s">
        <v>44</v>
      </c>
      <c r="V178" s="27"/>
      <c r="W178" s="27"/>
      <c r="X178" s="27"/>
      <c r="Y178" s="27" t="s">
        <v>2426</v>
      </c>
      <c r="Z178" s="27" t="n">
        <v>-7.2244995</v>
      </c>
      <c r="AA178" s="27" t="n">
        <v>-48.246449</v>
      </c>
      <c r="AB178" s="37" t="s">
        <v>2338</v>
      </c>
      <c r="AC178" s="27" t="s">
        <v>2427</v>
      </c>
    </row>
    <row r="179" customFormat="false" ht="15" hidden="false" customHeight="false" outlineLevel="0" collapsed="false">
      <c r="A179" s="27" t="n">
        <v>178</v>
      </c>
      <c r="B179" s="27" t="s">
        <v>991</v>
      </c>
      <c r="C179" s="27" t="s">
        <v>2544</v>
      </c>
      <c r="D179" s="27" t="s">
        <v>990</v>
      </c>
      <c r="E179" s="27" t="s">
        <v>992</v>
      </c>
      <c r="F179" s="32" t="n">
        <v>0.797435736958807</v>
      </c>
      <c r="G179" s="28" t="n">
        <v>3946.72833639445</v>
      </c>
      <c r="H179" s="28" t="n">
        <v>860.724479958174</v>
      </c>
      <c r="I179" s="6" t="s">
        <v>23</v>
      </c>
      <c r="J179" s="27" t="s">
        <v>5</v>
      </c>
      <c r="K179" s="27" t="s">
        <v>5</v>
      </c>
      <c r="L179" s="27" t="n">
        <v>3</v>
      </c>
      <c r="M179" s="27" t="s">
        <v>44</v>
      </c>
      <c r="N179" s="27" t="s">
        <v>2385</v>
      </c>
      <c r="O179" s="27" t="s">
        <v>46</v>
      </c>
      <c r="P179" s="27" t="s">
        <v>229</v>
      </c>
      <c r="Q179" s="27" t="n">
        <v>1</v>
      </c>
      <c r="R179" s="27"/>
      <c r="S179" s="27" t="s">
        <v>41</v>
      </c>
      <c r="T179" s="27" t="s">
        <v>42</v>
      </c>
      <c r="U179" s="27" t="s">
        <v>44</v>
      </c>
      <c r="V179" s="27"/>
      <c r="W179" s="27"/>
      <c r="X179" s="27"/>
      <c r="Y179" s="27" t="s">
        <v>2426</v>
      </c>
      <c r="Z179" s="27" t="n">
        <v>-7.225008</v>
      </c>
      <c r="AA179" s="27" t="n">
        <v>-48.246694</v>
      </c>
      <c r="AB179" s="37" t="s">
        <v>2338</v>
      </c>
      <c r="AC179" s="27" t="s">
        <v>2427</v>
      </c>
    </row>
    <row r="180" customFormat="false" ht="15" hidden="false" customHeight="false" outlineLevel="0" collapsed="false">
      <c r="A180" s="27" t="n">
        <v>179</v>
      </c>
      <c r="B180" s="27" t="s">
        <v>993</v>
      </c>
      <c r="C180" s="27" t="s">
        <v>2545</v>
      </c>
      <c r="D180" s="27" t="s">
        <v>986</v>
      </c>
      <c r="E180" s="27" t="s">
        <v>994</v>
      </c>
      <c r="F180" s="32" t="n">
        <v>39.9503095641828</v>
      </c>
      <c r="G180" s="28" t="n">
        <v>3821.4657337037</v>
      </c>
      <c r="H180" s="28" t="n">
        <v>735.461877267421</v>
      </c>
      <c r="I180" s="6" t="s">
        <v>23</v>
      </c>
      <c r="J180" s="27" t="s">
        <v>5</v>
      </c>
      <c r="K180" s="27" t="s">
        <v>5</v>
      </c>
      <c r="L180" s="27" t="n">
        <v>3</v>
      </c>
      <c r="M180" s="27" t="s">
        <v>44</v>
      </c>
      <c r="N180" s="27" t="s">
        <v>2385</v>
      </c>
      <c r="O180" s="27" t="s">
        <v>46</v>
      </c>
      <c r="P180" s="27" t="s">
        <v>2546</v>
      </c>
      <c r="Q180" s="27" t="n">
        <v>2</v>
      </c>
      <c r="R180" s="27"/>
      <c r="S180" s="27" t="s">
        <v>41</v>
      </c>
      <c r="T180" s="27" t="s">
        <v>42</v>
      </c>
      <c r="U180" s="27" t="s">
        <v>44</v>
      </c>
      <c r="V180" s="27"/>
      <c r="W180" s="27"/>
      <c r="X180" s="27"/>
      <c r="Y180" s="27" t="s">
        <v>2426</v>
      </c>
      <c r="Z180" s="27" t="n">
        <v>-7.2237815</v>
      </c>
      <c r="AA180" s="27" t="n">
        <v>-48.2466925</v>
      </c>
      <c r="AB180" s="37" t="s">
        <v>2338</v>
      </c>
      <c r="AC180" s="27" t="s">
        <v>2427</v>
      </c>
    </row>
    <row r="181" customFormat="false" ht="15" hidden="false" customHeight="false" outlineLevel="0" collapsed="false">
      <c r="A181" s="27" t="n">
        <v>180</v>
      </c>
      <c r="B181" s="27" t="s">
        <v>995</v>
      </c>
      <c r="C181" s="27" t="s">
        <v>2547</v>
      </c>
      <c r="D181" s="27" t="s">
        <v>994</v>
      </c>
      <c r="E181" s="27" t="s">
        <v>996</v>
      </c>
      <c r="F181" s="32" t="n">
        <v>57.7886606955077</v>
      </c>
      <c r="G181" s="28" t="n">
        <v>3879.25439439921</v>
      </c>
      <c r="H181" s="28" t="n">
        <v>793.250537962928</v>
      </c>
      <c r="I181" s="6" t="s">
        <v>23</v>
      </c>
      <c r="J181" s="27" t="s">
        <v>5</v>
      </c>
      <c r="K181" s="27" t="s">
        <v>5</v>
      </c>
      <c r="L181" s="27" t="n">
        <v>3</v>
      </c>
      <c r="M181" s="27" t="s">
        <v>44</v>
      </c>
      <c r="N181" s="27" t="s">
        <v>2385</v>
      </c>
      <c r="O181" s="27" t="s">
        <v>46</v>
      </c>
      <c r="P181" s="27" t="s">
        <v>232</v>
      </c>
      <c r="Q181" s="27" t="n">
        <v>1</v>
      </c>
      <c r="R181" s="27"/>
      <c r="S181" s="27" t="s">
        <v>41</v>
      </c>
      <c r="T181" s="27" t="s">
        <v>42</v>
      </c>
      <c r="U181" s="27" t="s">
        <v>44</v>
      </c>
      <c r="V181" s="27"/>
      <c r="W181" s="27"/>
      <c r="X181" s="27"/>
      <c r="Y181" s="27" t="s">
        <v>2426</v>
      </c>
      <c r="Z181" s="27" t="n">
        <v>-7.2235985</v>
      </c>
      <c r="AA181" s="27" t="n">
        <v>-48.247094</v>
      </c>
      <c r="AB181" s="37" t="s">
        <v>2338</v>
      </c>
      <c r="AC181" s="27" t="s">
        <v>2427</v>
      </c>
    </row>
    <row r="182" customFormat="false" ht="15" hidden="false" customHeight="false" outlineLevel="0" collapsed="false">
      <c r="A182" s="27" t="n">
        <v>181</v>
      </c>
      <c r="B182" s="27" t="s">
        <v>997</v>
      </c>
      <c r="C182" s="27" t="s">
        <v>2548</v>
      </c>
      <c r="D182" s="27" t="s">
        <v>996</v>
      </c>
      <c r="E182" s="27" t="s">
        <v>998</v>
      </c>
      <c r="F182" s="32" t="n">
        <v>3.65723240442055</v>
      </c>
      <c r="G182" s="28" t="n">
        <v>3882.91162680363</v>
      </c>
      <c r="H182" s="28" t="n">
        <v>796.907770367349</v>
      </c>
      <c r="I182" s="6" t="s">
        <v>23</v>
      </c>
      <c r="J182" s="27" t="s">
        <v>5</v>
      </c>
      <c r="K182" s="27" t="s">
        <v>5</v>
      </c>
      <c r="L182" s="27" t="n">
        <v>3</v>
      </c>
      <c r="M182" s="27" t="s">
        <v>44</v>
      </c>
      <c r="N182" s="27" t="s">
        <v>2385</v>
      </c>
      <c r="O182" s="27" t="s">
        <v>46</v>
      </c>
      <c r="P182" s="27" t="s">
        <v>232</v>
      </c>
      <c r="Q182" s="27" t="n">
        <v>1</v>
      </c>
      <c r="R182" s="27"/>
      <c r="S182" s="27" t="s">
        <v>41</v>
      </c>
      <c r="T182" s="27" t="s">
        <v>42</v>
      </c>
      <c r="U182" s="27" t="s">
        <v>44</v>
      </c>
      <c r="V182" s="27"/>
      <c r="W182" s="27"/>
      <c r="X182" s="27"/>
      <c r="Y182" s="27" t="s">
        <v>2426</v>
      </c>
      <c r="Z182" s="27" t="n">
        <v>-7.223469</v>
      </c>
      <c r="AA182" s="27" t="n">
        <v>-48.24734</v>
      </c>
      <c r="AB182" s="37" t="s">
        <v>2338</v>
      </c>
      <c r="AC182" s="27" t="s">
        <v>2427</v>
      </c>
    </row>
    <row r="183" customFormat="false" ht="15" hidden="false" customHeight="false" outlineLevel="0" collapsed="false">
      <c r="A183" s="27" t="n">
        <v>182</v>
      </c>
      <c r="B183" s="27" t="s">
        <v>999</v>
      </c>
      <c r="C183" s="27" t="s">
        <v>2549</v>
      </c>
      <c r="D183" s="27" t="s">
        <v>998</v>
      </c>
      <c r="E183" s="27" t="s">
        <v>1000</v>
      </c>
      <c r="F183" s="32" t="n">
        <v>8.25170302757163</v>
      </c>
      <c r="G183" s="28" t="n">
        <v>3891.1633298312</v>
      </c>
      <c r="H183" s="28" t="n">
        <v>805.159473394921</v>
      </c>
      <c r="I183" s="6" t="s">
        <v>23</v>
      </c>
      <c r="J183" s="27" t="s">
        <v>5</v>
      </c>
      <c r="K183" s="27" t="s">
        <v>5</v>
      </c>
      <c r="L183" s="27" t="n">
        <v>3</v>
      </c>
      <c r="M183" s="27" t="s">
        <v>44</v>
      </c>
      <c r="N183" s="27" t="s">
        <v>2385</v>
      </c>
      <c r="O183" s="27" t="s">
        <v>46</v>
      </c>
      <c r="P183" s="27" t="s">
        <v>232</v>
      </c>
      <c r="Q183" s="27" t="n">
        <v>1</v>
      </c>
      <c r="R183" s="27"/>
      <c r="S183" s="27" t="s">
        <v>41</v>
      </c>
      <c r="T183" s="27" t="s">
        <v>42</v>
      </c>
      <c r="U183" s="27" t="s">
        <v>44</v>
      </c>
      <c r="V183" s="27"/>
      <c r="W183" s="27"/>
      <c r="X183" s="27"/>
      <c r="Y183" s="27" t="s">
        <v>2426</v>
      </c>
      <c r="Z183" s="27" t="n">
        <v>-7.2234455</v>
      </c>
      <c r="AA183" s="27" t="n">
        <v>-48.2473885</v>
      </c>
      <c r="AB183" s="37" t="s">
        <v>2338</v>
      </c>
      <c r="AC183" s="27" t="s">
        <v>2427</v>
      </c>
    </row>
    <row r="184" customFormat="false" ht="15" hidden="false" customHeight="false" outlineLevel="0" collapsed="false">
      <c r="A184" s="27" t="n">
        <v>183</v>
      </c>
      <c r="B184" s="27" t="s">
        <v>1001</v>
      </c>
      <c r="C184" s="27" t="s">
        <v>2550</v>
      </c>
      <c r="D184" s="27" t="s">
        <v>1000</v>
      </c>
      <c r="E184" s="27" t="s">
        <v>1002</v>
      </c>
      <c r="F184" s="32" t="n">
        <v>38.336502499776</v>
      </c>
      <c r="G184" s="28" t="n">
        <v>3929.49983233098</v>
      </c>
      <c r="H184" s="28" t="n">
        <v>843.495975894697</v>
      </c>
      <c r="I184" s="6" t="s">
        <v>23</v>
      </c>
      <c r="J184" s="27" t="s">
        <v>5</v>
      </c>
      <c r="K184" s="27" t="s">
        <v>5</v>
      </c>
      <c r="L184" s="27" t="n">
        <v>3</v>
      </c>
      <c r="M184" s="27" t="s">
        <v>44</v>
      </c>
      <c r="N184" s="27" t="s">
        <v>2385</v>
      </c>
      <c r="O184" s="27" t="s">
        <v>46</v>
      </c>
      <c r="P184" s="27" t="s">
        <v>232</v>
      </c>
      <c r="Q184" s="27" t="n">
        <v>1</v>
      </c>
      <c r="R184" s="27"/>
      <c r="S184" s="27" t="s">
        <v>41</v>
      </c>
      <c r="T184" s="27" t="s">
        <v>42</v>
      </c>
      <c r="U184" s="27" t="s">
        <v>44</v>
      </c>
      <c r="V184" s="27"/>
      <c r="W184" s="27"/>
      <c r="X184" s="27"/>
      <c r="Y184" s="27" t="s">
        <v>2426</v>
      </c>
      <c r="Z184" s="27" t="n">
        <v>-7.2232735</v>
      </c>
      <c r="AA184" s="27" t="n">
        <v>-48.247347</v>
      </c>
      <c r="AB184" s="37" t="s">
        <v>2338</v>
      </c>
      <c r="AC184" s="27" t="s">
        <v>2427</v>
      </c>
    </row>
    <row r="185" customFormat="false" ht="15" hidden="false" customHeight="false" outlineLevel="0" collapsed="false">
      <c r="A185" s="27" t="n">
        <v>184</v>
      </c>
      <c r="B185" s="27" t="s">
        <v>1003</v>
      </c>
      <c r="C185" s="27" t="s">
        <v>2551</v>
      </c>
      <c r="D185" s="27" t="s">
        <v>1002</v>
      </c>
      <c r="E185" s="27" t="s">
        <v>1004</v>
      </c>
      <c r="F185" s="32" t="n">
        <v>51.6837812413516</v>
      </c>
      <c r="G185" s="28" t="n">
        <v>3981.18361357233</v>
      </c>
      <c r="H185" s="28" t="n">
        <v>895.179757136048</v>
      </c>
      <c r="I185" s="6" t="s">
        <v>23</v>
      </c>
      <c r="J185" s="27" t="s">
        <v>5</v>
      </c>
      <c r="K185" s="27" t="s">
        <v>5</v>
      </c>
      <c r="L185" s="27" t="n">
        <v>3</v>
      </c>
      <c r="M185" s="27" t="s">
        <v>44</v>
      </c>
      <c r="N185" s="27" t="s">
        <v>2385</v>
      </c>
      <c r="O185" s="27" t="s">
        <v>46</v>
      </c>
      <c r="P185" s="27" t="s">
        <v>232</v>
      </c>
      <c r="Q185" s="27" t="n">
        <v>1</v>
      </c>
      <c r="R185" s="27"/>
      <c r="S185" s="27" t="s">
        <v>41</v>
      </c>
      <c r="T185" s="27" t="s">
        <v>42</v>
      </c>
      <c r="U185" s="27" t="s">
        <v>44</v>
      </c>
      <c r="V185" s="27"/>
      <c r="W185" s="27"/>
      <c r="X185" s="27"/>
      <c r="Y185" s="27" t="s">
        <v>2426</v>
      </c>
      <c r="Z185" s="27" t="n">
        <v>-7.2229105</v>
      </c>
      <c r="AA185" s="27" t="n">
        <v>-48.2471665</v>
      </c>
      <c r="AB185" s="37" t="s">
        <v>2338</v>
      </c>
      <c r="AC185" s="27" t="s">
        <v>2427</v>
      </c>
    </row>
    <row r="186" customFormat="false" ht="15" hidden="false" customHeight="false" outlineLevel="0" collapsed="false">
      <c r="A186" s="27" t="n">
        <v>185</v>
      </c>
      <c r="B186" s="27" t="s">
        <v>1005</v>
      </c>
      <c r="C186" s="27" t="s">
        <v>2552</v>
      </c>
      <c r="D186" s="27" t="s">
        <v>1004</v>
      </c>
      <c r="E186" s="27" t="s">
        <v>1006</v>
      </c>
      <c r="F186" s="32" t="n">
        <v>0.110312591084485</v>
      </c>
      <c r="G186" s="28" t="n">
        <v>3981.29392616341</v>
      </c>
      <c r="H186" s="28" t="n">
        <v>895.290069727133</v>
      </c>
      <c r="I186" s="6" t="s">
        <v>23</v>
      </c>
      <c r="J186" s="27" t="s">
        <v>5</v>
      </c>
      <c r="K186" s="27" t="s">
        <v>5</v>
      </c>
      <c r="L186" s="27" t="n">
        <v>3</v>
      </c>
      <c r="M186" s="27" t="s">
        <v>44</v>
      </c>
      <c r="N186" s="27" t="s">
        <v>2385</v>
      </c>
      <c r="O186" s="27" t="s">
        <v>46</v>
      </c>
      <c r="P186" s="27" t="s">
        <v>232</v>
      </c>
      <c r="Q186" s="27" t="n">
        <v>1</v>
      </c>
      <c r="R186" s="27"/>
      <c r="S186" s="27" t="s">
        <v>41</v>
      </c>
      <c r="T186" s="27" t="s">
        <v>42</v>
      </c>
      <c r="U186" s="27" t="s">
        <v>44</v>
      </c>
      <c r="V186" s="27"/>
      <c r="W186" s="27"/>
      <c r="X186" s="27"/>
      <c r="Y186" s="27" t="s">
        <v>2426</v>
      </c>
      <c r="Z186" s="27" t="n">
        <v>-7.222703</v>
      </c>
      <c r="AA186" s="27" t="n">
        <v>-48.2470605</v>
      </c>
      <c r="AB186" s="37" t="s">
        <v>2338</v>
      </c>
      <c r="AC186" s="27" t="s">
        <v>2427</v>
      </c>
    </row>
    <row r="187" customFormat="false" ht="15" hidden="false" customHeight="false" outlineLevel="0" collapsed="false">
      <c r="A187" s="27" t="n">
        <v>186</v>
      </c>
      <c r="B187" s="27" t="s">
        <v>1007</v>
      </c>
      <c r="C187" s="27" t="s">
        <v>2553</v>
      </c>
      <c r="D187" s="27" t="s">
        <v>994</v>
      </c>
      <c r="E187" s="27" t="s">
        <v>1008</v>
      </c>
      <c r="F187" s="32" t="n">
        <v>0.667169559852882</v>
      </c>
      <c r="G187" s="28" t="n">
        <v>3822.13290326355</v>
      </c>
      <c r="H187" s="28" t="n">
        <v>736.129046827274</v>
      </c>
      <c r="I187" s="6" t="s">
        <v>23</v>
      </c>
      <c r="J187" s="27" t="s">
        <v>5</v>
      </c>
      <c r="K187" s="27" t="s">
        <v>5</v>
      </c>
      <c r="L187" s="27" t="n">
        <v>3</v>
      </c>
      <c r="M187" s="27" t="s">
        <v>44</v>
      </c>
      <c r="N187" s="27" t="s">
        <v>2385</v>
      </c>
      <c r="O187" s="27" t="s">
        <v>46</v>
      </c>
      <c r="P187" s="27" t="s">
        <v>220</v>
      </c>
      <c r="Q187" s="27" t="n">
        <v>1</v>
      </c>
      <c r="R187" s="27"/>
      <c r="S187" s="27" t="s">
        <v>41</v>
      </c>
      <c r="T187" s="27" t="s">
        <v>42</v>
      </c>
      <c r="U187" s="27" t="s">
        <v>44</v>
      </c>
      <c r="V187" s="27"/>
      <c r="W187" s="27"/>
      <c r="X187" s="27"/>
      <c r="Y187" s="27" t="s">
        <v>2426</v>
      </c>
      <c r="Z187" s="27" t="n">
        <v>-7.223724</v>
      </c>
      <c r="AA187" s="27" t="n">
        <v>-48.246863</v>
      </c>
      <c r="AB187" s="37" t="s">
        <v>2338</v>
      </c>
      <c r="AC187" s="27" t="s">
        <v>2427</v>
      </c>
    </row>
    <row r="188" customFormat="false" ht="15" hidden="false" customHeight="false" outlineLevel="0" collapsed="false">
      <c r="A188" s="27" t="n">
        <v>187</v>
      </c>
      <c r="B188" s="27" t="s">
        <v>1009</v>
      </c>
      <c r="C188" s="27" t="s">
        <v>2554</v>
      </c>
      <c r="D188" s="27" t="s">
        <v>645</v>
      </c>
      <c r="E188" s="27" t="s">
        <v>1010</v>
      </c>
      <c r="F188" s="32" t="n">
        <v>39.9373075068267</v>
      </c>
      <c r="G188" s="28" t="n">
        <v>336.800835771046</v>
      </c>
      <c r="H188" s="28" t="n">
        <v>336.800835771046</v>
      </c>
      <c r="I188" s="5" t="s">
        <v>22</v>
      </c>
      <c r="J188" s="27" t="s">
        <v>303</v>
      </c>
      <c r="K188" s="27" t="s">
        <v>446</v>
      </c>
      <c r="L188" s="27" t="n">
        <v>4</v>
      </c>
      <c r="M188" s="27" t="s">
        <v>41</v>
      </c>
      <c r="N188" s="27" t="s">
        <v>2336</v>
      </c>
      <c r="O188" s="27" t="s">
        <v>50</v>
      </c>
      <c r="P188" s="27" t="s">
        <v>2555</v>
      </c>
      <c r="Q188" s="27" t="n">
        <v>10</v>
      </c>
      <c r="R188" s="27"/>
      <c r="S188" s="27" t="s">
        <v>41</v>
      </c>
      <c r="T188" s="27"/>
      <c r="U188" s="27"/>
      <c r="V188" s="27"/>
      <c r="W188" s="27"/>
      <c r="X188" s="27"/>
      <c r="Y188" s="27" t="s">
        <v>41</v>
      </c>
      <c r="Z188" s="27" t="n">
        <v>-7.197101</v>
      </c>
      <c r="AA188" s="27" t="n">
        <v>-48.238086</v>
      </c>
      <c r="AB188" s="37" t="s">
        <v>2338</v>
      </c>
      <c r="AC188" s="27" t="s">
        <v>2339</v>
      </c>
    </row>
    <row r="189" customFormat="false" ht="15" hidden="false" customHeight="false" outlineLevel="0" collapsed="false">
      <c r="A189" s="27" t="n">
        <v>188</v>
      </c>
      <c r="B189" s="27" t="s">
        <v>1011</v>
      </c>
      <c r="C189" s="27" t="s">
        <v>2556</v>
      </c>
      <c r="D189" s="27" t="s">
        <v>1010</v>
      </c>
      <c r="E189" s="27" t="s">
        <v>1012</v>
      </c>
      <c r="F189" s="32" t="n">
        <v>3.6114804659488</v>
      </c>
      <c r="G189" s="28" t="n">
        <v>340.412316236995</v>
      </c>
      <c r="H189" s="28" t="n">
        <v>340.412316236995</v>
      </c>
      <c r="I189" s="5" t="s">
        <v>22</v>
      </c>
      <c r="J189" s="27" t="s">
        <v>303</v>
      </c>
      <c r="K189" s="27" t="s">
        <v>446</v>
      </c>
      <c r="L189" s="27" t="n">
        <v>4</v>
      </c>
      <c r="M189" s="27" t="s">
        <v>41</v>
      </c>
      <c r="N189" s="27" t="s">
        <v>2336</v>
      </c>
      <c r="O189" s="27" t="s">
        <v>50</v>
      </c>
      <c r="P189" s="27" t="s">
        <v>2555</v>
      </c>
      <c r="Q189" s="27" t="n">
        <v>10</v>
      </c>
      <c r="R189" s="27" t="s">
        <v>1013</v>
      </c>
      <c r="S189" s="27" t="s">
        <v>41</v>
      </c>
      <c r="T189" s="27"/>
      <c r="U189" s="27"/>
      <c r="V189" s="27"/>
      <c r="W189" s="27"/>
      <c r="X189" s="27"/>
      <c r="Y189" s="27" t="s">
        <v>41</v>
      </c>
      <c r="Z189" s="27" t="n">
        <v>-7.1970315</v>
      </c>
      <c r="AA189" s="27" t="n">
        <v>-48.238235</v>
      </c>
      <c r="AB189" s="37" t="s">
        <v>2338</v>
      </c>
      <c r="AC189" s="27" t="s">
        <v>2339</v>
      </c>
    </row>
    <row r="190" customFormat="false" ht="15" hidden="false" customHeight="false" outlineLevel="0" collapsed="false">
      <c r="A190" s="27" t="n">
        <v>189</v>
      </c>
      <c r="B190" s="27" t="s">
        <v>1014</v>
      </c>
      <c r="C190" s="27" t="s">
        <v>2557</v>
      </c>
      <c r="D190" s="27" t="s">
        <v>1012</v>
      </c>
      <c r="E190" s="27" t="s">
        <v>1015</v>
      </c>
      <c r="F190" s="32" t="n">
        <v>49.375005307214</v>
      </c>
      <c r="G190" s="28" t="n">
        <v>389.787321544209</v>
      </c>
      <c r="H190" s="28" t="n">
        <v>389.787321544209</v>
      </c>
      <c r="I190" s="5" t="s">
        <v>22</v>
      </c>
      <c r="J190" s="27" t="s">
        <v>303</v>
      </c>
      <c r="K190" s="27" t="s">
        <v>446</v>
      </c>
      <c r="L190" s="27" t="n">
        <v>4</v>
      </c>
      <c r="M190" s="27" t="s">
        <v>41</v>
      </c>
      <c r="N190" s="27" t="s">
        <v>2336</v>
      </c>
      <c r="O190" s="27" t="s">
        <v>50</v>
      </c>
      <c r="P190" s="27" t="s">
        <v>2555</v>
      </c>
      <c r="Q190" s="27" t="n">
        <v>10</v>
      </c>
      <c r="R190" s="27"/>
      <c r="S190" s="27" t="s">
        <v>41</v>
      </c>
      <c r="T190" s="27"/>
      <c r="U190" s="27"/>
      <c r="V190" s="27"/>
      <c r="W190" s="27"/>
      <c r="X190" s="27"/>
      <c r="Y190" s="27" t="s">
        <v>41</v>
      </c>
      <c r="Z190" s="27" t="n">
        <v>-7.1969435</v>
      </c>
      <c r="AA190" s="27" t="n">
        <v>-48.2384225</v>
      </c>
      <c r="AB190" s="37" t="s">
        <v>2338</v>
      </c>
      <c r="AC190" s="27" t="s">
        <v>2339</v>
      </c>
    </row>
    <row r="191" customFormat="false" ht="15" hidden="false" customHeight="false" outlineLevel="0" collapsed="false">
      <c r="A191" s="27" t="n">
        <v>190</v>
      </c>
      <c r="B191" s="27" t="s">
        <v>1016</v>
      </c>
      <c r="C191" s="27" t="s">
        <v>2558</v>
      </c>
      <c r="D191" s="27" t="s">
        <v>1015</v>
      </c>
      <c r="E191" s="27" t="s">
        <v>1017</v>
      </c>
      <c r="F191" s="32" t="n">
        <v>1.48947471407959</v>
      </c>
      <c r="G191" s="28" t="n">
        <v>391.276796258288</v>
      </c>
      <c r="H191" s="28" t="n">
        <v>391.276796258288</v>
      </c>
      <c r="I191" s="5" t="s">
        <v>22</v>
      </c>
      <c r="J191" s="27" t="s">
        <v>303</v>
      </c>
      <c r="K191" s="27" t="s">
        <v>446</v>
      </c>
      <c r="L191" s="27" t="n">
        <v>4</v>
      </c>
      <c r="M191" s="27" t="s">
        <v>41</v>
      </c>
      <c r="N191" s="27" t="s">
        <v>2336</v>
      </c>
      <c r="O191" s="27" t="s">
        <v>50</v>
      </c>
      <c r="P191" s="27" t="s">
        <v>2555</v>
      </c>
      <c r="Q191" s="27" t="n">
        <v>10</v>
      </c>
      <c r="R191" s="27"/>
      <c r="S191" s="27" t="s">
        <v>41</v>
      </c>
      <c r="T191" s="27"/>
      <c r="U191" s="27"/>
      <c r="V191" s="27"/>
      <c r="W191" s="27"/>
      <c r="X191" s="27"/>
      <c r="Y191" s="27" t="s">
        <v>41</v>
      </c>
      <c r="Z191" s="27" t="n">
        <v>-7.1968535</v>
      </c>
      <c r="AA191" s="27" t="n">
        <v>-48.23863</v>
      </c>
      <c r="AB191" s="37" t="s">
        <v>2338</v>
      </c>
      <c r="AC191" s="27" t="s">
        <v>2339</v>
      </c>
    </row>
    <row r="192" customFormat="false" ht="15" hidden="false" customHeight="false" outlineLevel="0" collapsed="false">
      <c r="A192" s="27" t="n">
        <v>191</v>
      </c>
      <c r="B192" s="27" t="s">
        <v>1018</v>
      </c>
      <c r="C192" s="27" t="s">
        <v>2559</v>
      </c>
      <c r="D192" s="27" t="s">
        <v>1017</v>
      </c>
      <c r="E192" s="27" t="s">
        <v>1019</v>
      </c>
      <c r="F192" s="32" t="n">
        <v>69.877166445664</v>
      </c>
      <c r="G192" s="28" t="n">
        <v>461.153962703952</v>
      </c>
      <c r="H192" s="28" t="n">
        <v>461.153962703952</v>
      </c>
      <c r="I192" s="5" t="s">
        <v>22</v>
      </c>
      <c r="J192" s="27" t="s">
        <v>303</v>
      </c>
      <c r="K192" s="27" t="s">
        <v>446</v>
      </c>
      <c r="L192" s="27" t="n">
        <v>4</v>
      </c>
      <c r="M192" s="27" t="s">
        <v>41</v>
      </c>
      <c r="N192" s="27" t="s">
        <v>2336</v>
      </c>
      <c r="O192" s="27" t="s">
        <v>50</v>
      </c>
      <c r="P192" s="27" t="s">
        <v>2555</v>
      </c>
      <c r="Q192" s="27" t="n">
        <v>10</v>
      </c>
      <c r="R192" s="27"/>
      <c r="S192" s="27" t="s">
        <v>41</v>
      </c>
      <c r="T192" s="27"/>
      <c r="U192" s="27"/>
      <c r="V192" s="27"/>
      <c r="W192" s="27"/>
      <c r="X192" s="27"/>
      <c r="Y192" s="27" t="s">
        <v>41</v>
      </c>
      <c r="Z192" s="27" t="n">
        <v>-7.197142</v>
      </c>
      <c r="AA192" s="27" t="n">
        <v>-48.2387705</v>
      </c>
      <c r="AB192" s="37" t="s">
        <v>2338</v>
      </c>
      <c r="AC192" s="27" t="s">
        <v>2339</v>
      </c>
    </row>
    <row r="193" customFormat="false" ht="15" hidden="false" customHeight="false" outlineLevel="0" collapsed="false">
      <c r="A193" s="27" t="n">
        <v>192</v>
      </c>
      <c r="B193" s="27" t="s">
        <v>1020</v>
      </c>
      <c r="C193" s="27" t="s">
        <v>2560</v>
      </c>
      <c r="D193" s="27" t="s">
        <v>1019</v>
      </c>
      <c r="E193" s="27" t="s">
        <v>1021</v>
      </c>
      <c r="F193" s="32" t="n">
        <v>3.28117291246067</v>
      </c>
      <c r="G193" s="28" t="n">
        <v>464.435135616413</v>
      </c>
      <c r="H193" s="28" t="n">
        <v>464.435135616413</v>
      </c>
      <c r="I193" s="5" t="s">
        <v>22</v>
      </c>
      <c r="J193" s="27" t="s">
        <v>303</v>
      </c>
      <c r="K193" s="27" t="s">
        <v>446</v>
      </c>
      <c r="L193" s="27" t="n">
        <v>4</v>
      </c>
      <c r="M193" s="27" t="s">
        <v>41</v>
      </c>
      <c r="N193" s="27" t="s">
        <v>2336</v>
      </c>
      <c r="O193" s="27" t="s">
        <v>50</v>
      </c>
      <c r="P193" s="27" t="s">
        <v>2555</v>
      </c>
      <c r="Q193" s="27" t="n">
        <v>10</v>
      </c>
      <c r="R193" s="27"/>
      <c r="S193" s="27" t="s">
        <v>41</v>
      </c>
      <c r="T193" s="27"/>
      <c r="U193" s="27"/>
      <c r="V193" s="27"/>
      <c r="W193" s="27"/>
      <c r="X193" s="27"/>
      <c r="Y193" s="27" t="s">
        <v>41</v>
      </c>
      <c r="Z193" s="27" t="n">
        <v>-7.1974395</v>
      </c>
      <c r="AA193" s="27" t="n">
        <v>-48.238912</v>
      </c>
      <c r="AB193" s="37" t="s">
        <v>2338</v>
      </c>
      <c r="AC193" s="27" t="s">
        <v>2339</v>
      </c>
    </row>
    <row r="194" customFormat="false" ht="15" hidden="false" customHeight="false" outlineLevel="0" collapsed="false">
      <c r="A194" s="27" t="n">
        <v>193</v>
      </c>
      <c r="B194" s="27" t="s">
        <v>1022</v>
      </c>
      <c r="C194" s="27" t="s">
        <v>2561</v>
      </c>
      <c r="D194" s="27" t="s">
        <v>1021</v>
      </c>
      <c r="E194" s="27" t="s">
        <v>1023</v>
      </c>
      <c r="F194" s="32" t="n">
        <v>265.27174333376</v>
      </c>
      <c r="G194" s="28" t="n">
        <v>729.706878950172</v>
      </c>
      <c r="H194" s="28" t="n">
        <v>729.706878950172</v>
      </c>
      <c r="I194" s="5" t="s">
        <v>22</v>
      </c>
      <c r="J194" s="27" t="s">
        <v>303</v>
      </c>
      <c r="K194" s="27" t="s">
        <v>446</v>
      </c>
      <c r="L194" s="27" t="n">
        <v>4</v>
      </c>
      <c r="M194" s="27" t="s">
        <v>41</v>
      </c>
      <c r="N194" s="27" t="s">
        <v>2336</v>
      </c>
      <c r="O194" s="27" t="s">
        <v>50</v>
      </c>
      <c r="P194" s="27" t="s">
        <v>2555</v>
      </c>
      <c r="Q194" s="27" t="n">
        <v>10</v>
      </c>
      <c r="R194" s="27"/>
      <c r="S194" s="27" t="s">
        <v>41</v>
      </c>
      <c r="T194" s="27"/>
      <c r="U194" s="27"/>
      <c r="V194" s="27"/>
      <c r="W194" s="27"/>
      <c r="X194" s="27"/>
      <c r="Y194" s="27" t="s">
        <v>41</v>
      </c>
      <c r="Z194" s="27" t="n">
        <v>-7.1985355</v>
      </c>
      <c r="AA194" s="27" t="n">
        <v>-48.239423</v>
      </c>
      <c r="AB194" s="37" t="s">
        <v>2338</v>
      </c>
      <c r="AC194" s="27" t="s">
        <v>2339</v>
      </c>
    </row>
    <row r="195" customFormat="false" ht="15" hidden="false" customHeight="false" outlineLevel="0" collapsed="false">
      <c r="A195" s="27" t="n">
        <v>194</v>
      </c>
      <c r="B195" s="27" t="s">
        <v>1024</v>
      </c>
      <c r="C195" s="27" t="s">
        <v>2562</v>
      </c>
      <c r="D195" s="27" t="s">
        <v>1023</v>
      </c>
      <c r="E195" s="27" t="s">
        <v>1025</v>
      </c>
      <c r="F195" s="32" t="n">
        <v>86.8421367558457</v>
      </c>
      <c r="G195" s="28" t="n">
        <v>816.549015706018</v>
      </c>
      <c r="H195" s="28" t="n">
        <v>816.549015706018</v>
      </c>
      <c r="I195" s="5" t="s">
        <v>22</v>
      </c>
      <c r="J195" s="27" t="s">
        <v>303</v>
      </c>
      <c r="K195" s="27" t="s">
        <v>446</v>
      </c>
      <c r="L195" s="27" t="n">
        <v>4</v>
      </c>
      <c r="M195" s="27" t="s">
        <v>41</v>
      </c>
      <c r="N195" s="27" t="s">
        <v>2336</v>
      </c>
      <c r="O195" s="27" t="s">
        <v>50</v>
      </c>
      <c r="P195" s="27" t="s">
        <v>2563</v>
      </c>
      <c r="Q195" s="27" t="n">
        <v>2</v>
      </c>
      <c r="R195" s="27"/>
      <c r="S195" s="27" t="s">
        <v>41</v>
      </c>
      <c r="T195" s="27"/>
      <c r="U195" s="27"/>
      <c r="V195" s="27"/>
      <c r="W195" s="27"/>
      <c r="X195" s="27"/>
      <c r="Y195" s="27" t="s">
        <v>41</v>
      </c>
      <c r="Z195" s="27" t="n">
        <v>-7.1994525</v>
      </c>
      <c r="AA195" s="27" t="n">
        <v>-48.2402845</v>
      </c>
      <c r="AB195" s="37" t="s">
        <v>2338</v>
      </c>
      <c r="AC195" s="27" t="s">
        <v>2339</v>
      </c>
    </row>
    <row r="196" customFormat="false" ht="15" hidden="false" customHeight="false" outlineLevel="0" collapsed="false">
      <c r="A196" s="27" t="n">
        <v>195</v>
      </c>
      <c r="B196" s="27" t="s">
        <v>1026</v>
      </c>
      <c r="C196" s="27" t="s">
        <v>2564</v>
      </c>
      <c r="D196" s="27" t="s">
        <v>1025</v>
      </c>
      <c r="E196" s="27" t="s">
        <v>1027</v>
      </c>
      <c r="F196" s="32" t="n">
        <v>8.13972973404363</v>
      </c>
      <c r="G196" s="28" t="n">
        <v>824.688745440062</v>
      </c>
      <c r="H196" s="28" t="n">
        <v>824.688745440062</v>
      </c>
      <c r="I196" s="5" t="s">
        <v>22</v>
      </c>
      <c r="J196" s="27" t="s">
        <v>303</v>
      </c>
      <c r="K196" s="27" t="s">
        <v>446</v>
      </c>
      <c r="L196" s="27" t="n">
        <v>4</v>
      </c>
      <c r="M196" s="27" t="s">
        <v>41</v>
      </c>
      <c r="N196" s="27" t="s">
        <v>2336</v>
      </c>
      <c r="O196" s="27" t="s">
        <v>50</v>
      </c>
      <c r="P196" s="27" t="s">
        <v>2563</v>
      </c>
      <c r="Q196" s="27" t="n">
        <v>2</v>
      </c>
      <c r="R196" s="27" t="s">
        <v>1028</v>
      </c>
      <c r="S196" s="27" t="s">
        <v>41</v>
      </c>
      <c r="T196" s="27"/>
      <c r="U196" s="27"/>
      <c r="V196" s="27"/>
      <c r="W196" s="27"/>
      <c r="X196" s="27"/>
      <c r="Y196" s="27" t="s">
        <v>41</v>
      </c>
      <c r="Z196" s="27" t="n">
        <v>-7.199279</v>
      </c>
      <c r="AA196" s="27" t="n">
        <v>-48.240677</v>
      </c>
      <c r="AB196" s="37" t="s">
        <v>2338</v>
      </c>
      <c r="AC196" s="27" t="s">
        <v>2339</v>
      </c>
    </row>
    <row r="197" customFormat="false" ht="15" hidden="false" customHeight="false" outlineLevel="0" collapsed="false">
      <c r="A197" s="27" t="n">
        <v>196</v>
      </c>
      <c r="B197" s="27" t="s">
        <v>1029</v>
      </c>
      <c r="C197" s="27" t="s">
        <v>2565</v>
      </c>
      <c r="D197" s="27" t="s">
        <v>1027</v>
      </c>
      <c r="E197" s="27" t="s">
        <v>1030</v>
      </c>
      <c r="F197" s="32" t="n">
        <v>129.533426695517</v>
      </c>
      <c r="G197" s="28" t="n">
        <v>954.222172135578</v>
      </c>
      <c r="H197" s="28" t="n">
        <v>954.222172135578</v>
      </c>
      <c r="I197" s="5" t="s">
        <v>22</v>
      </c>
      <c r="J197" s="27" t="s">
        <v>303</v>
      </c>
      <c r="K197" s="27" t="s">
        <v>446</v>
      </c>
      <c r="L197" s="27" t="n">
        <v>4</v>
      </c>
      <c r="M197" s="27" t="s">
        <v>41</v>
      </c>
      <c r="N197" s="27" t="s">
        <v>2336</v>
      </c>
      <c r="O197" s="27" t="s">
        <v>50</v>
      </c>
      <c r="P197" s="27" t="s">
        <v>2563</v>
      </c>
      <c r="Q197" s="27" t="n">
        <v>2</v>
      </c>
      <c r="R197" s="27"/>
      <c r="S197" s="27" t="s">
        <v>41</v>
      </c>
      <c r="T197" s="27"/>
      <c r="U197" s="27"/>
      <c r="V197" s="27"/>
      <c r="W197" s="27"/>
      <c r="X197" s="27"/>
      <c r="Y197" s="27" t="s">
        <v>41</v>
      </c>
      <c r="Z197" s="27" t="n">
        <v>-7.1990215</v>
      </c>
      <c r="AA197" s="27" t="n">
        <v>-48.2412435</v>
      </c>
      <c r="AB197" s="37" t="s">
        <v>2338</v>
      </c>
      <c r="AC197" s="27" t="s">
        <v>2339</v>
      </c>
    </row>
    <row r="198" customFormat="false" ht="15" hidden="false" customHeight="false" outlineLevel="0" collapsed="false">
      <c r="A198" s="27" t="n">
        <v>197</v>
      </c>
      <c r="B198" s="27" t="s">
        <v>1031</v>
      </c>
      <c r="C198" s="27" t="s">
        <v>2566</v>
      </c>
      <c r="D198" s="27" t="s">
        <v>1030</v>
      </c>
      <c r="E198" s="27" t="s">
        <v>1032</v>
      </c>
      <c r="F198" s="32" t="n">
        <v>3.49135644803889</v>
      </c>
      <c r="G198" s="28" t="n">
        <v>957.713528583617</v>
      </c>
      <c r="H198" s="28" t="n">
        <v>957.713528583617</v>
      </c>
      <c r="I198" s="5" t="s">
        <v>22</v>
      </c>
      <c r="J198" s="27" t="s">
        <v>303</v>
      </c>
      <c r="K198" s="27" t="s">
        <v>446</v>
      </c>
      <c r="L198" s="27" t="n">
        <v>4</v>
      </c>
      <c r="M198" s="27" t="s">
        <v>41</v>
      </c>
      <c r="N198" s="27" t="s">
        <v>2336</v>
      </c>
      <c r="O198" s="27" t="s">
        <v>50</v>
      </c>
      <c r="P198" s="27" t="s">
        <v>2563</v>
      </c>
      <c r="Q198" s="27" t="n">
        <v>2</v>
      </c>
      <c r="R198" s="27"/>
      <c r="S198" s="27" t="s">
        <v>41</v>
      </c>
      <c r="T198" s="27"/>
      <c r="U198" s="27"/>
      <c r="V198" s="27"/>
      <c r="W198" s="27"/>
      <c r="X198" s="27"/>
      <c r="Y198" s="27" t="s">
        <v>41</v>
      </c>
      <c r="Z198" s="27" t="n">
        <v>-7.198767</v>
      </c>
      <c r="AA198" s="27" t="n">
        <v>-48.241789</v>
      </c>
      <c r="AB198" s="37" t="s">
        <v>2338</v>
      </c>
      <c r="AC198" s="27" t="s">
        <v>2339</v>
      </c>
    </row>
    <row r="199" customFormat="false" ht="15" hidden="false" customHeight="false" outlineLevel="0" collapsed="false">
      <c r="A199" s="27" t="n">
        <v>198</v>
      </c>
      <c r="B199" s="27" t="s">
        <v>1033</v>
      </c>
      <c r="C199" s="27" t="s">
        <v>2567</v>
      </c>
      <c r="D199" s="27" t="s">
        <v>1032</v>
      </c>
      <c r="E199" s="27" t="s">
        <v>1034</v>
      </c>
      <c r="F199" s="32" t="n">
        <v>444.760936599612</v>
      </c>
      <c r="G199" s="28" t="n">
        <v>1402.47446518323</v>
      </c>
      <c r="H199" s="28" t="n">
        <v>1402.47446518323</v>
      </c>
      <c r="I199" s="5" t="s">
        <v>22</v>
      </c>
      <c r="J199" s="27" t="s">
        <v>303</v>
      </c>
      <c r="K199" s="27" t="s">
        <v>446</v>
      </c>
      <c r="L199" s="27" t="n">
        <v>4</v>
      </c>
      <c r="M199" s="27" t="s">
        <v>41</v>
      </c>
      <c r="N199" s="27" t="s">
        <v>2336</v>
      </c>
      <c r="O199" s="27" t="s">
        <v>50</v>
      </c>
      <c r="P199" s="27" t="s">
        <v>2563</v>
      </c>
      <c r="Q199" s="27" t="n">
        <v>2</v>
      </c>
      <c r="R199" s="27"/>
      <c r="S199" s="27" t="s">
        <v>41</v>
      </c>
      <c r="T199" s="27"/>
      <c r="U199" s="27"/>
      <c r="V199" s="27"/>
      <c r="W199" s="27"/>
      <c r="X199" s="27"/>
      <c r="Y199" s="27" t="s">
        <v>41</v>
      </c>
      <c r="Z199" s="27" t="n">
        <v>-7.198624</v>
      </c>
      <c r="AA199" s="27" t="n">
        <v>-48.243815</v>
      </c>
      <c r="AB199" s="37" t="s">
        <v>2338</v>
      </c>
      <c r="AC199" s="27" t="s">
        <v>2339</v>
      </c>
    </row>
    <row r="200" customFormat="false" ht="15" hidden="false" customHeight="false" outlineLevel="0" collapsed="false">
      <c r="A200" s="27" t="n">
        <v>199</v>
      </c>
      <c r="B200" s="27" t="s">
        <v>1035</v>
      </c>
      <c r="C200" s="27" t="s">
        <v>2568</v>
      </c>
      <c r="D200" s="27" t="s">
        <v>1034</v>
      </c>
      <c r="E200" s="27" t="s">
        <v>1036</v>
      </c>
      <c r="F200" s="32" t="n">
        <v>3.65576163200302</v>
      </c>
      <c r="G200" s="28" t="n">
        <v>1406.13022681523</v>
      </c>
      <c r="H200" s="28" t="n">
        <v>1406.13022681523</v>
      </c>
      <c r="I200" s="5" t="s">
        <v>22</v>
      </c>
      <c r="J200" s="27" t="s">
        <v>303</v>
      </c>
      <c r="K200" s="27" t="s">
        <v>446</v>
      </c>
      <c r="L200" s="27" t="n">
        <v>4</v>
      </c>
      <c r="M200" s="27" t="s">
        <v>41</v>
      </c>
      <c r="N200" s="27" t="s">
        <v>2336</v>
      </c>
      <c r="O200" s="27" t="s">
        <v>50</v>
      </c>
      <c r="P200" s="27" t="s">
        <v>2563</v>
      </c>
      <c r="Q200" s="27" t="n">
        <v>2</v>
      </c>
      <c r="R200" s="27"/>
      <c r="S200" s="27" t="s">
        <v>41</v>
      </c>
      <c r="T200" s="27"/>
      <c r="U200" s="27"/>
      <c r="V200" s="27"/>
      <c r="W200" s="27"/>
      <c r="X200" s="27"/>
      <c r="Y200" s="27" t="s">
        <v>41</v>
      </c>
      <c r="Z200" s="27" t="n">
        <v>-7.1984845</v>
      </c>
      <c r="AA200" s="27" t="n">
        <v>-48.2458425</v>
      </c>
      <c r="AB200" s="37" t="s">
        <v>2338</v>
      </c>
      <c r="AC200" s="27" t="s">
        <v>2339</v>
      </c>
    </row>
    <row r="201" customFormat="false" ht="15" hidden="false" customHeight="false" outlineLevel="0" collapsed="false">
      <c r="A201" s="27" t="n">
        <v>200</v>
      </c>
      <c r="B201" s="27" t="s">
        <v>1037</v>
      </c>
      <c r="C201" s="27" t="s">
        <v>2569</v>
      </c>
      <c r="D201" s="27" t="s">
        <v>1036</v>
      </c>
      <c r="E201" s="27" t="s">
        <v>1038</v>
      </c>
      <c r="F201" s="32" t="n">
        <v>429.82070690787</v>
      </c>
      <c r="G201" s="28" t="n">
        <v>1835.9509337231</v>
      </c>
      <c r="H201" s="28" t="n">
        <v>1835.9509337231</v>
      </c>
      <c r="I201" s="5" t="s">
        <v>22</v>
      </c>
      <c r="J201" s="27" t="s">
        <v>303</v>
      </c>
      <c r="K201" s="27" t="s">
        <v>446</v>
      </c>
      <c r="L201" s="27" t="n">
        <v>4</v>
      </c>
      <c r="M201" s="27" t="s">
        <v>41</v>
      </c>
      <c r="N201" s="27" t="s">
        <v>2336</v>
      </c>
      <c r="O201" s="27" t="s">
        <v>50</v>
      </c>
      <c r="P201" s="27" t="s">
        <v>2563</v>
      </c>
      <c r="Q201" s="27" t="n">
        <v>2</v>
      </c>
      <c r="R201" s="27"/>
      <c r="S201" s="27" t="s">
        <v>41</v>
      </c>
      <c r="T201" s="27"/>
      <c r="U201" s="27"/>
      <c r="V201" s="27"/>
      <c r="W201" s="27"/>
      <c r="X201" s="27"/>
      <c r="Y201" s="27" t="s">
        <v>41</v>
      </c>
      <c r="Z201" s="27" t="n">
        <v>-7.198698</v>
      </c>
      <c r="AA201" s="27" t="n">
        <v>-48.247795</v>
      </c>
      <c r="AB201" s="37" t="s">
        <v>2338</v>
      </c>
      <c r="AC201" s="27" t="s">
        <v>2339</v>
      </c>
    </row>
    <row r="202" customFormat="false" ht="15" hidden="false" customHeight="false" outlineLevel="0" collapsed="false">
      <c r="A202" s="27" t="n">
        <v>201</v>
      </c>
      <c r="B202" s="27" t="s">
        <v>1039</v>
      </c>
      <c r="C202" s="27" t="s">
        <v>2570</v>
      </c>
      <c r="D202" s="27" t="s">
        <v>1038</v>
      </c>
      <c r="E202" s="27" t="s">
        <v>1040</v>
      </c>
      <c r="F202" s="32" t="n">
        <v>5.09410033543197</v>
      </c>
      <c r="G202" s="28" t="n">
        <v>1841.04503405853</v>
      </c>
      <c r="H202" s="28" t="n">
        <v>1841.04503405853</v>
      </c>
      <c r="I202" s="5" t="s">
        <v>22</v>
      </c>
      <c r="J202" s="27" t="s">
        <v>303</v>
      </c>
      <c r="K202" s="27" t="s">
        <v>446</v>
      </c>
      <c r="L202" s="27" t="n">
        <v>4</v>
      </c>
      <c r="M202" s="27" t="s">
        <v>41</v>
      </c>
      <c r="N202" s="27" t="s">
        <v>2336</v>
      </c>
      <c r="O202" s="27" t="s">
        <v>50</v>
      </c>
      <c r="P202" s="27" t="s">
        <v>2563</v>
      </c>
      <c r="Q202" s="27" t="n">
        <v>2</v>
      </c>
      <c r="R202" s="27"/>
      <c r="S202" s="27" t="s">
        <v>41</v>
      </c>
      <c r="T202" s="27"/>
      <c r="U202" s="27"/>
      <c r="V202" s="27"/>
      <c r="W202" s="27"/>
      <c r="X202" s="27"/>
      <c r="Y202" s="27" t="s">
        <v>41</v>
      </c>
      <c r="Z202" s="27" t="n">
        <v>-7.198915</v>
      </c>
      <c r="AA202" s="27" t="n">
        <v>-48.249754</v>
      </c>
      <c r="AB202" s="37" t="s">
        <v>2338</v>
      </c>
      <c r="AC202" s="27" t="s">
        <v>2339</v>
      </c>
    </row>
    <row r="203" customFormat="false" ht="15" hidden="false" customHeight="false" outlineLevel="0" collapsed="false">
      <c r="A203" s="27" t="n">
        <v>202</v>
      </c>
      <c r="B203" s="27" t="s">
        <v>1041</v>
      </c>
      <c r="C203" s="27" t="s">
        <v>2571</v>
      </c>
      <c r="D203" s="27" t="s">
        <v>1040</v>
      </c>
      <c r="E203" s="27" t="s">
        <v>1042</v>
      </c>
      <c r="F203" s="32" t="n">
        <v>1.63887333781121</v>
      </c>
      <c r="G203" s="28" t="n">
        <v>1842.68390739635</v>
      </c>
      <c r="H203" s="28" t="n">
        <v>1842.68390739635</v>
      </c>
      <c r="I203" s="5" t="s">
        <v>22</v>
      </c>
      <c r="J203" s="27" t="s">
        <v>303</v>
      </c>
      <c r="K203" s="27" t="s">
        <v>446</v>
      </c>
      <c r="L203" s="27" t="n">
        <v>4</v>
      </c>
      <c r="M203" s="27" t="s">
        <v>41</v>
      </c>
      <c r="N203" s="27" t="s">
        <v>2336</v>
      </c>
      <c r="O203" s="27" t="s">
        <v>50</v>
      </c>
      <c r="P203" s="27" t="s">
        <v>2563</v>
      </c>
      <c r="Q203" s="27" t="n">
        <v>2</v>
      </c>
      <c r="R203" s="27" t="s">
        <v>1043</v>
      </c>
      <c r="S203" s="27" t="s">
        <v>41</v>
      </c>
      <c r="T203" s="27"/>
      <c r="U203" s="27"/>
      <c r="V203" s="27"/>
      <c r="W203" s="27"/>
      <c r="X203" s="27"/>
      <c r="Y203" s="27" t="s">
        <v>41</v>
      </c>
      <c r="Z203" s="27" t="n">
        <v>-7.1989235</v>
      </c>
      <c r="AA203" s="27" t="n">
        <v>-48.2497805</v>
      </c>
      <c r="AB203" s="37" t="s">
        <v>2338</v>
      </c>
      <c r="AC203" s="27" t="s">
        <v>2339</v>
      </c>
    </row>
    <row r="204" customFormat="false" ht="15" hidden="false" customHeight="false" outlineLevel="0" collapsed="false">
      <c r="A204" s="27" t="n">
        <v>203</v>
      </c>
      <c r="B204" s="27" t="s">
        <v>1044</v>
      </c>
      <c r="C204" s="27" t="s">
        <v>2572</v>
      </c>
      <c r="D204" s="27" t="s">
        <v>1042</v>
      </c>
      <c r="E204" s="27" t="s">
        <v>1045</v>
      </c>
      <c r="F204" s="32" t="n">
        <v>14.2193385113207</v>
      </c>
      <c r="G204" s="28" t="n">
        <v>1856.90324590767</v>
      </c>
      <c r="H204" s="28" t="n">
        <v>1856.90324590767</v>
      </c>
      <c r="I204" s="5" t="s">
        <v>22</v>
      </c>
      <c r="J204" s="27" t="s">
        <v>303</v>
      </c>
      <c r="K204" s="27" t="s">
        <v>446</v>
      </c>
      <c r="L204" s="27" t="n">
        <v>4</v>
      </c>
      <c r="M204" s="27" t="s">
        <v>41</v>
      </c>
      <c r="N204" s="27" t="s">
        <v>2336</v>
      </c>
      <c r="O204" s="27" t="s">
        <v>50</v>
      </c>
      <c r="P204" s="27" t="s">
        <v>2563</v>
      </c>
      <c r="Q204" s="27" t="n">
        <v>2</v>
      </c>
      <c r="R204" s="27"/>
      <c r="S204" s="27" t="s">
        <v>41</v>
      </c>
      <c r="T204" s="27"/>
      <c r="U204" s="27"/>
      <c r="V204" s="27"/>
      <c r="W204" s="27"/>
      <c r="X204" s="27"/>
      <c r="Y204" s="27" t="s">
        <v>41</v>
      </c>
      <c r="Z204" s="27" t="n">
        <v>-7.1989855</v>
      </c>
      <c r="AA204" s="27" t="n">
        <v>-48.249816</v>
      </c>
      <c r="AB204" s="37" t="s">
        <v>2338</v>
      </c>
      <c r="AC204" s="27" t="s">
        <v>2339</v>
      </c>
    </row>
    <row r="205" customFormat="false" ht="15" hidden="false" customHeight="false" outlineLevel="0" collapsed="false">
      <c r="A205" s="27" t="n">
        <v>204</v>
      </c>
      <c r="B205" s="27" t="s">
        <v>1046</v>
      </c>
      <c r="C205" s="27" t="s">
        <v>2573</v>
      </c>
      <c r="D205" s="27" t="s">
        <v>1045</v>
      </c>
      <c r="E205" s="27" t="s">
        <v>1047</v>
      </c>
      <c r="F205" s="32" t="n">
        <v>130.784828788619</v>
      </c>
      <c r="G205" s="28" t="n">
        <v>1987.68807469629</v>
      </c>
      <c r="H205" s="28" t="n">
        <v>1987.68807469629</v>
      </c>
      <c r="I205" s="5" t="s">
        <v>22</v>
      </c>
      <c r="J205" s="27" t="s">
        <v>303</v>
      </c>
      <c r="K205" s="27" t="s">
        <v>446</v>
      </c>
      <c r="L205" s="27" t="n">
        <v>4</v>
      </c>
      <c r="M205" s="27" t="s">
        <v>41</v>
      </c>
      <c r="N205" s="27" t="s">
        <v>2336</v>
      </c>
      <c r="O205" s="27" t="s">
        <v>50</v>
      </c>
      <c r="P205" s="27" t="s">
        <v>52</v>
      </c>
      <c r="Q205" s="27" t="n">
        <v>1</v>
      </c>
      <c r="R205" s="27"/>
      <c r="S205" s="27" t="s">
        <v>41</v>
      </c>
      <c r="T205" s="27"/>
      <c r="U205" s="27"/>
      <c r="V205" s="27"/>
      <c r="W205" s="27"/>
      <c r="X205" s="27"/>
      <c r="Y205" s="27" t="s">
        <v>41</v>
      </c>
      <c r="Z205" s="27" t="n">
        <v>-7.1995485</v>
      </c>
      <c r="AA205" s="27" t="n">
        <v>-48.2501475</v>
      </c>
      <c r="AB205" s="37" t="s">
        <v>2338</v>
      </c>
      <c r="AC205" s="27" t="s">
        <v>2339</v>
      </c>
    </row>
    <row r="206" customFormat="false" ht="15" hidden="false" customHeight="false" outlineLevel="0" collapsed="false">
      <c r="A206" s="27" t="n">
        <v>205</v>
      </c>
      <c r="B206" s="27" t="s">
        <v>1048</v>
      </c>
      <c r="C206" s="27" t="s">
        <v>2574</v>
      </c>
      <c r="D206" s="27" t="s">
        <v>1047</v>
      </c>
      <c r="E206" s="27" t="s">
        <v>1049</v>
      </c>
      <c r="F206" s="32" t="n">
        <v>2.34057390704863</v>
      </c>
      <c r="G206" s="28" t="n">
        <v>1990.02864860333</v>
      </c>
      <c r="H206" s="28" t="n">
        <v>1990.02864860333</v>
      </c>
      <c r="I206" s="5" t="s">
        <v>22</v>
      </c>
      <c r="J206" s="27" t="s">
        <v>303</v>
      </c>
      <c r="K206" s="27" t="s">
        <v>446</v>
      </c>
      <c r="L206" s="27" t="n">
        <v>4</v>
      </c>
      <c r="M206" s="27" t="s">
        <v>41</v>
      </c>
      <c r="N206" s="27" t="s">
        <v>2336</v>
      </c>
      <c r="O206" s="27" t="s">
        <v>50</v>
      </c>
      <c r="P206" s="27" t="s">
        <v>52</v>
      </c>
      <c r="Q206" s="27" t="n">
        <v>1</v>
      </c>
      <c r="R206" s="27"/>
      <c r="S206" s="27" t="s">
        <v>41</v>
      </c>
      <c r="T206" s="27"/>
      <c r="U206" s="27"/>
      <c r="V206" s="27"/>
      <c r="W206" s="27"/>
      <c r="X206" s="27"/>
      <c r="Y206" s="27" t="s">
        <v>41</v>
      </c>
      <c r="Z206" s="27" t="n">
        <v>-7.2000575</v>
      </c>
      <c r="AA206" s="27" t="n">
        <v>-48.2504575</v>
      </c>
      <c r="AB206" s="37" t="s">
        <v>2338</v>
      </c>
      <c r="AC206" s="27" t="s">
        <v>2339</v>
      </c>
    </row>
    <row r="207" customFormat="false" ht="15" hidden="false" customHeight="false" outlineLevel="0" collapsed="false">
      <c r="A207" s="27" t="n">
        <v>206</v>
      </c>
      <c r="B207" s="27" t="s">
        <v>1050</v>
      </c>
      <c r="C207" s="27" t="s">
        <v>2575</v>
      </c>
      <c r="D207" s="27" t="s">
        <v>1049</v>
      </c>
      <c r="E207" s="27" t="s">
        <v>1051</v>
      </c>
      <c r="F207" s="32" t="n">
        <v>7.23980060219545</v>
      </c>
      <c r="G207" s="28" t="n">
        <v>1997.26844920553</v>
      </c>
      <c r="H207" s="28" t="n">
        <v>1997.26844920553</v>
      </c>
      <c r="I207" s="5" t="s">
        <v>22</v>
      </c>
      <c r="J207" s="27" t="s">
        <v>303</v>
      </c>
      <c r="K207" s="27" t="s">
        <v>446</v>
      </c>
      <c r="L207" s="27" t="n">
        <v>4</v>
      </c>
      <c r="M207" s="27" t="s">
        <v>41</v>
      </c>
      <c r="N207" s="27" t="s">
        <v>2336</v>
      </c>
      <c r="O207" s="27" t="s">
        <v>50</v>
      </c>
      <c r="P207" s="27" t="s">
        <v>52</v>
      </c>
      <c r="Q207" s="27" t="n">
        <v>1</v>
      </c>
      <c r="R207" s="27"/>
      <c r="S207" s="27" t="s">
        <v>41</v>
      </c>
      <c r="T207" s="27"/>
      <c r="U207" s="27"/>
      <c r="V207" s="27"/>
      <c r="W207" s="27"/>
      <c r="X207" s="27"/>
      <c r="Y207" s="27" t="s">
        <v>41</v>
      </c>
      <c r="Z207" s="27" t="n">
        <v>-7.2000405</v>
      </c>
      <c r="AA207" s="27" t="n">
        <v>-48.250495</v>
      </c>
      <c r="AB207" s="37" t="s">
        <v>2338</v>
      </c>
      <c r="AC207" s="27" t="s">
        <v>2339</v>
      </c>
    </row>
    <row r="208" customFormat="false" ht="15" hidden="false" customHeight="false" outlineLevel="0" collapsed="false">
      <c r="A208" s="27" t="n">
        <v>207</v>
      </c>
      <c r="B208" s="27" t="s">
        <v>1052</v>
      </c>
      <c r="C208" s="27" t="s">
        <v>2576</v>
      </c>
      <c r="D208" s="27" t="s">
        <v>1051</v>
      </c>
      <c r="E208" s="27" t="s">
        <v>1053</v>
      </c>
      <c r="F208" s="32" t="n">
        <v>0.783173006507248</v>
      </c>
      <c r="G208" s="28" t="n">
        <v>1998.05162221204</v>
      </c>
      <c r="H208" s="28" t="n">
        <v>1998.05162221204</v>
      </c>
      <c r="I208" s="5" t="s">
        <v>22</v>
      </c>
      <c r="J208" s="27" t="s">
        <v>303</v>
      </c>
      <c r="K208" s="27" t="s">
        <v>446</v>
      </c>
      <c r="L208" s="27" t="n">
        <v>4</v>
      </c>
      <c r="M208" s="27" t="s">
        <v>41</v>
      </c>
      <c r="N208" s="27" t="s">
        <v>2336</v>
      </c>
      <c r="O208" s="27" t="s">
        <v>50</v>
      </c>
      <c r="P208" s="27" t="s">
        <v>52</v>
      </c>
      <c r="Q208" s="27" t="n">
        <v>1</v>
      </c>
      <c r="R208" s="27"/>
      <c r="S208" s="27" t="s">
        <v>41</v>
      </c>
      <c r="T208" s="27"/>
      <c r="U208" s="27"/>
      <c r="V208" s="27"/>
      <c r="W208" s="27"/>
      <c r="X208" s="27"/>
      <c r="Y208" s="27" t="s">
        <v>41</v>
      </c>
      <c r="Z208" s="27" t="n">
        <v>-7.2000245</v>
      </c>
      <c r="AA208" s="27" t="n">
        <v>-48.2505245</v>
      </c>
      <c r="AB208" s="37" t="s">
        <v>2338</v>
      </c>
      <c r="AC208" s="27" t="s">
        <v>2339</v>
      </c>
    </row>
    <row r="209" customFormat="false" ht="15" hidden="false" customHeight="false" outlineLevel="0" collapsed="false">
      <c r="A209" s="27" t="n">
        <v>208</v>
      </c>
      <c r="B209" s="27" t="s">
        <v>1054</v>
      </c>
      <c r="C209" s="27" t="s">
        <v>2577</v>
      </c>
      <c r="D209" s="27" t="s">
        <v>1045</v>
      </c>
      <c r="E209" s="27" t="s">
        <v>1055</v>
      </c>
      <c r="F209" s="32" t="n">
        <v>1.93385380887881</v>
      </c>
      <c r="G209" s="28" t="n">
        <v>1858.83709971655</v>
      </c>
      <c r="H209" s="28" t="n">
        <v>1858.83709971655</v>
      </c>
      <c r="I209" s="5" t="s">
        <v>22</v>
      </c>
      <c r="J209" s="27" t="s">
        <v>303</v>
      </c>
      <c r="K209" s="27" t="s">
        <v>446</v>
      </c>
      <c r="L209" s="27" t="n">
        <v>4</v>
      </c>
      <c r="M209" s="27" t="s">
        <v>41</v>
      </c>
      <c r="N209" s="27" t="s">
        <v>2336</v>
      </c>
      <c r="O209" s="27" t="s">
        <v>50</v>
      </c>
      <c r="P209" s="27" t="s">
        <v>55</v>
      </c>
      <c r="Q209" s="27" t="n">
        <v>1</v>
      </c>
      <c r="R209" s="27"/>
      <c r="S209" s="27" t="s">
        <v>41</v>
      </c>
      <c r="T209" s="27"/>
      <c r="U209" s="27"/>
      <c r="V209" s="27"/>
      <c r="W209" s="27"/>
      <c r="X209" s="27"/>
      <c r="Y209" s="27" t="s">
        <v>41</v>
      </c>
      <c r="Z209" s="27" t="n">
        <v>-7.1990455</v>
      </c>
      <c r="AA209" s="27" t="n">
        <v>-48.2498405</v>
      </c>
      <c r="AB209" s="37" t="s">
        <v>2338</v>
      </c>
      <c r="AC209" s="27" t="s">
        <v>2339</v>
      </c>
    </row>
    <row r="210" customFormat="false" ht="15" hidden="false" customHeight="false" outlineLevel="0" collapsed="false">
      <c r="A210" s="27" t="n">
        <v>209</v>
      </c>
      <c r="B210" s="27" t="s">
        <v>1056</v>
      </c>
      <c r="C210" s="27" t="s">
        <v>2578</v>
      </c>
      <c r="D210" s="27" t="s">
        <v>1036</v>
      </c>
      <c r="E210" s="27" t="s">
        <v>1057</v>
      </c>
      <c r="F210" s="32" t="n">
        <v>6.11136630729821</v>
      </c>
      <c r="G210" s="28" t="n">
        <v>1412.24159312253</v>
      </c>
      <c r="H210" s="28" t="n">
        <v>1412.24159312253</v>
      </c>
      <c r="I210" s="5" t="s">
        <v>22</v>
      </c>
      <c r="J210" s="27" t="s">
        <v>303</v>
      </c>
      <c r="K210" s="27" t="s">
        <v>446</v>
      </c>
      <c r="L210" s="27" t="n">
        <v>4</v>
      </c>
      <c r="M210" s="27" t="s">
        <v>41</v>
      </c>
      <c r="N210" s="27" t="s">
        <v>2336</v>
      </c>
      <c r="O210" s="27" t="s">
        <v>50</v>
      </c>
      <c r="P210" s="27" t="s">
        <v>54</v>
      </c>
      <c r="Q210" s="27" t="n">
        <v>0</v>
      </c>
      <c r="R210" s="27"/>
      <c r="S210" s="27" t="s">
        <v>41</v>
      </c>
      <c r="T210" s="27"/>
      <c r="U210" s="27"/>
      <c r="V210" s="27"/>
      <c r="W210" s="27"/>
      <c r="X210" s="27"/>
      <c r="Y210" s="27" t="s">
        <v>41</v>
      </c>
      <c r="Z210" s="27" t="n">
        <v>-7.198508</v>
      </c>
      <c r="AA210" s="27" t="n">
        <v>-48.2458475</v>
      </c>
      <c r="AB210" s="37" t="s">
        <v>2338</v>
      </c>
      <c r="AC210" s="27" t="s">
        <v>2339</v>
      </c>
    </row>
    <row r="211" customFormat="false" ht="15" hidden="false" customHeight="false" outlineLevel="0" collapsed="false">
      <c r="A211" s="27" t="n">
        <v>210</v>
      </c>
      <c r="B211" s="27" t="s">
        <v>1058</v>
      </c>
      <c r="C211" s="27" t="s">
        <v>2579</v>
      </c>
      <c r="D211" s="27" t="s">
        <v>1023</v>
      </c>
      <c r="E211" s="27" t="s">
        <v>1059</v>
      </c>
      <c r="F211" s="32" t="n">
        <v>18.3703939988078</v>
      </c>
      <c r="G211" s="28" t="n">
        <v>748.07727294898</v>
      </c>
      <c r="H211" s="28" t="n">
        <v>748.07727294898</v>
      </c>
      <c r="I211" s="5" t="s">
        <v>22</v>
      </c>
      <c r="J211" s="27" t="s">
        <v>303</v>
      </c>
      <c r="K211" s="27" t="s">
        <v>446</v>
      </c>
      <c r="L211" s="27" t="n">
        <v>4</v>
      </c>
      <c r="M211" s="27" t="s">
        <v>41</v>
      </c>
      <c r="N211" s="27" t="s">
        <v>2336</v>
      </c>
      <c r="O211" s="27" t="s">
        <v>50</v>
      </c>
      <c r="P211" s="27" t="s">
        <v>2580</v>
      </c>
      <c r="Q211" s="27" t="n">
        <v>8</v>
      </c>
      <c r="R211" s="27"/>
      <c r="S211" s="27" t="s">
        <v>41</v>
      </c>
      <c r="T211" s="27"/>
      <c r="U211" s="27"/>
      <c r="V211" s="27"/>
      <c r="W211" s="27"/>
      <c r="X211" s="27"/>
      <c r="Y211" s="27" t="s">
        <v>41</v>
      </c>
      <c r="Z211" s="27" t="n">
        <v>-7.199692</v>
      </c>
      <c r="AA211" s="27" t="n">
        <v>-48.239965</v>
      </c>
      <c r="AB211" s="37" t="s">
        <v>2338</v>
      </c>
      <c r="AC211" s="27" t="s">
        <v>2339</v>
      </c>
    </row>
    <row r="212" customFormat="false" ht="15" hidden="false" customHeight="false" outlineLevel="0" collapsed="false">
      <c r="A212" s="27" t="n">
        <v>211</v>
      </c>
      <c r="B212" s="27" t="s">
        <v>1060</v>
      </c>
      <c r="C212" s="27" t="s">
        <v>2581</v>
      </c>
      <c r="D212" s="27" t="s">
        <v>1059</v>
      </c>
      <c r="E212" s="27" t="s">
        <v>1061</v>
      </c>
      <c r="F212" s="32" t="n">
        <v>3.57543363649353</v>
      </c>
      <c r="G212" s="28" t="n">
        <v>751.652706585474</v>
      </c>
      <c r="H212" s="28" t="n">
        <v>751.652706585474</v>
      </c>
      <c r="I212" s="5" t="s">
        <v>22</v>
      </c>
      <c r="J212" s="27" t="s">
        <v>303</v>
      </c>
      <c r="K212" s="27" t="s">
        <v>446</v>
      </c>
      <c r="L212" s="27" t="n">
        <v>4</v>
      </c>
      <c r="M212" s="27" t="s">
        <v>41</v>
      </c>
      <c r="N212" s="27" t="s">
        <v>2336</v>
      </c>
      <c r="O212" s="27" t="s">
        <v>50</v>
      </c>
      <c r="P212" s="27" t="s">
        <v>2580</v>
      </c>
      <c r="Q212" s="27" t="n">
        <v>8</v>
      </c>
      <c r="R212" s="27" t="s">
        <v>1062</v>
      </c>
      <c r="S212" s="27" t="s">
        <v>41</v>
      </c>
      <c r="T212" s="27"/>
      <c r="U212" s="27"/>
      <c r="V212" s="27"/>
      <c r="W212" s="27"/>
      <c r="X212" s="27"/>
      <c r="Y212" s="27" t="s">
        <v>41</v>
      </c>
      <c r="Z212" s="27" t="n">
        <v>-7.1997805</v>
      </c>
      <c r="AA212" s="27" t="n">
        <v>-48.240009</v>
      </c>
      <c r="AB212" s="37" t="s">
        <v>2338</v>
      </c>
      <c r="AC212" s="27" t="s">
        <v>2339</v>
      </c>
    </row>
    <row r="213" customFormat="false" ht="15" hidden="false" customHeight="false" outlineLevel="0" collapsed="false">
      <c r="A213" s="27" t="n">
        <v>212</v>
      </c>
      <c r="B213" s="27" t="s">
        <v>1063</v>
      </c>
      <c r="C213" s="27" t="s">
        <v>2582</v>
      </c>
      <c r="D213" s="27" t="s">
        <v>1061</v>
      </c>
      <c r="E213" s="27" t="s">
        <v>1064</v>
      </c>
      <c r="F213" s="32" t="n">
        <v>166.848203468298</v>
      </c>
      <c r="G213" s="28" t="n">
        <v>918.500910053772</v>
      </c>
      <c r="H213" s="28" t="n">
        <v>918.500910053772</v>
      </c>
      <c r="I213" s="5" t="s">
        <v>22</v>
      </c>
      <c r="J213" s="27" t="s">
        <v>303</v>
      </c>
      <c r="K213" s="27" t="s">
        <v>446</v>
      </c>
      <c r="L213" s="27" t="n">
        <v>4</v>
      </c>
      <c r="M213" s="27" t="s">
        <v>41</v>
      </c>
      <c r="N213" s="27" t="s">
        <v>2336</v>
      </c>
      <c r="O213" s="27" t="s">
        <v>50</v>
      </c>
      <c r="P213" s="27" t="s">
        <v>2580</v>
      </c>
      <c r="Q213" s="27" t="n">
        <v>8</v>
      </c>
      <c r="R213" s="27"/>
      <c r="S213" s="27" t="s">
        <v>41</v>
      </c>
      <c r="T213" s="27"/>
      <c r="U213" s="27"/>
      <c r="V213" s="27"/>
      <c r="W213" s="27"/>
      <c r="X213" s="27"/>
      <c r="Y213" s="27" t="s">
        <v>41</v>
      </c>
      <c r="Z213" s="27" t="n">
        <v>-7.200475</v>
      </c>
      <c r="AA213" s="27" t="n">
        <v>-48.2403355</v>
      </c>
      <c r="AB213" s="37" t="s">
        <v>2338</v>
      </c>
      <c r="AC213" s="27" t="s">
        <v>2339</v>
      </c>
    </row>
    <row r="214" customFormat="false" ht="15" hidden="false" customHeight="false" outlineLevel="0" collapsed="false">
      <c r="A214" s="27" t="n">
        <v>213</v>
      </c>
      <c r="B214" s="27" t="s">
        <v>1065</v>
      </c>
      <c r="C214" s="27" t="s">
        <v>2583</v>
      </c>
      <c r="D214" s="27" t="s">
        <v>1064</v>
      </c>
      <c r="E214" s="27" t="s">
        <v>1066</v>
      </c>
      <c r="F214" s="32" t="n">
        <v>30.3086818908264</v>
      </c>
      <c r="G214" s="28" t="n">
        <v>948.809591944598</v>
      </c>
      <c r="H214" s="28" t="n">
        <v>948.809591944598</v>
      </c>
      <c r="I214" s="5" t="s">
        <v>22</v>
      </c>
      <c r="J214" s="27" t="s">
        <v>303</v>
      </c>
      <c r="K214" s="27" t="s">
        <v>446</v>
      </c>
      <c r="L214" s="27" t="n">
        <v>4</v>
      </c>
      <c r="M214" s="27" t="s">
        <v>41</v>
      </c>
      <c r="N214" s="27" t="s">
        <v>2336</v>
      </c>
      <c r="O214" s="27" t="s">
        <v>50</v>
      </c>
      <c r="P214" s="27" t="s">
        <v>2580</v>
      </c>
      <c r="Q214" s="27" t="n">
        <v>8</v>
      </c>
      <c r="R214" s="27"/>
      <c r="S214" s="27" t="s">
        <v>41</v>
      </c>
      <c r="T214" s="27"/>
      <c r="U214" s="27"/>
      <c r="V214" s="27"/>
      <c r="W214" s="27"/>
      <c r="X214" s="27"/>
      <c r="Y214" s="27" t="s">
        <v>41</v>
      </c>
      <c r="Z214" s="27" t="n">
        <v>-7.201279</v>
      </c>
      <c r="AA214" s="27" t="n">
        <v>-48.240712</v>
      </c>
      <c r="AB214" s="37" t="s">
        <v>2338</v>
      </c>
      <c r="AC214" s="27" t="s">
        <v>2339</v>
      </c>
    </row>
    <row r="215" customFormat="false" ht="15" hidden="false" customHeight="false" outlineLevel="0" collapsed="false">
      <c r="A215" s="27" t="n">
        <v>214</v>
      </c>
      <c r="B215" s="27" t="s">
        <v>1067</v>
      </c>
      <c r="C215" s="27" t="s">
        <v>2584</v>
      </c>
      <c r="D215" s="27" t="s">
        <v>1066</v>
      </c>
      <c r="E215" s="27" t="s">
        <v>1068</v>
      </c>
      <c r="F215" s="32" t="n">
        <v>132.181764625207</v>
      </c>
      <c r="G215" s="28" t="n">
        <v>1080.99135656981</v>
      </c>
      <c r="H215" s="28" t="n">
        <v>1080.99135656981</v>
      </c>
      <c r="I215" s="5" t="s">
        <v>22</v>
      </c>
      <c r="J215" s="27" t="s">
        <v>303</v>
      </c>
      <c r="K215" s="27" t="s">
        <v>446</v>
      </c>
      <c r="L215" s="27" t="n">
        <v>4</v>
      </c>
      <c r="M215" s="27" t="s">
        <v>41</v>
      </c>
      <c r="N215" s="27" t="s">
        <v>2336</v>
      </c>
      <c r="O215" s="27" t="s">
        <v>50</v>
      </c>
      <c r="P215" s="27" t="s">
        <v>2580</v>
      </c>
      <c r="Q215" s="27" t="n">
        <v>8</v>
      </c>
      <c r="R215" s="27"/>
      <c r="S215" s="27" t="s">
        <v>41</v>
      </c>
      <c r="T215" s="27"/>
      <c r="U215" s="27"/>
      <c r="V215" s="27"/>
      <c r="W215" s="27"/>
      <c r="X215" s="27"/>
      <c r="Y215" s="27" t="s">
        <v>41</v>
      </c>
      <c r="Z215" s="27" t="n">
        <v>-7.201942</v>
      </c>
      <c r="AA215" s="27" t="n">
        <v>-48.2410215</v>
      </c>
      <c r="AB215" s="37" t="s">
        <v>2338</v>
      </c>
      <c r="AC215" s="27" t="s">
        <v>2339</v>
      </c>
    </row>
    <row r="216" customFormat="false" ht="15" hidden="false" customHeight="false" outlineLevel="0" collapsed="false">
      <c r="A216" s="27" t="n">
        <v>215</v>
      </c>
      <c r="B216" s="27" t="s">
        <v>1069</v>
      </c>
      <c r="C216" s="27" t="s">
        <v>2585</v>
      </c>
      <c r="D216" s="27" t="s">
        <v>1068</v>
      </c>
      <c r="E216" s="27" t="s">
        <v>1070</v>
      </c>
      <c r="F216" s="32" t="n">
        <v>131.047435842845</v>
      </c>
      <c r="G216" s="28" t="n">
        <v>1212.03879241265</v>
      </c>
      <c r="H216" s="28" t="n">
        <v>1212.03879241265</v>
      </c>
      <c r="I216" s="5" t="s">
        <v>22</v>
      </c>
      <c r="J216" s="27" t="s">
        <v>303</v>
      </c>
      <c r="K216" s="27" t="s">
        <v>446</v>
      </c>
      <c r="L216" s="27" t="n">
        <v>4</v>
      </c>
      <c r="M216" s="27" t="s">
        <v>41</v>
      </c>
      <c r="N216" s="27" t="s">
        <v>2336</v>
      </c>
      <c r="O216" s="27" t="s">
        <v>50</v>
      </c>
      <c r="P216" s="27" t="s">
        <v>57</v>
      </c>
      <c r="Q216" s="27" t="n">
        <v>1</v>
      </c>
      <c r="R216" s="27"/>
      <c r="S216" s="27" t="s">
        <v>41</v>
      </c>
      <c r="T216" s="27"/>
      <c r="U216" s="27"/>
      <c r="V216" s="27"/>
      <c r="W216" s="27"/>
      <c r="X216" s="27"/>
      <c r="Y216" s="27" t="s">
        <v>41</v>
      </c>
      <c r="Z216" s="27" t="n">
        <v>-7.202223</v>
      </c>
      <c r="AA216" s="27" t="n">
        <v>-48.241808</v>
      </c>
      <c r="AB216" s="37" t="s">
        <v>2338</v>
      </c>
      <c r="AC216" s="27" t="s">
        <v>2339</v>
      </c>
    </row>
    <row r="217" customFormat="false" ht="15" hidden="false" customHeight="false" outlineLevel="0" collapsed="false">
      <c r="A217" s="27" t="n">
        <v>216</v>
      </c>
      <c r="B217" s="27" t="s">
        <v>1071</v>
      </c>
      <c r="C217" s="27" t="s">
        <v>2586</v>
      </c>
      <c r="D217" s="27" t="s">
        <v>1070</v>
      </c>
      <c r="E217" s="27" t="s">
        <v>1072</v>
      </c>
      <c r="F217" s="32" t="n">
        <v>112.9648566467</v>
      </c>
      <c r="G217" s="28" t="n">
        <v>1325.00364905935</v>
      </c>
      <c r="H217" s="28" t="n">
        <v>1325.00364905935</v>
      </c>
      <c r="I217" s="5" t="s">
        <v>22</v>
      </c>
      <c r="J217" s="27" t="s">
        <v>303</v>
      </c>
      <c r="K217" s="27" t="s">
        <v>446</v>
      </c>
      <c r="L217" s="27" t="n">
        <v>4</v>
      </c>
      <c r="M217" s="27" t="s">
        <v>41</v>
      </c>
      <c r="N217" s="27" t="s">
        <v>2336</v>
      </c>
      <c r="O217" s="27" t="s">
        <v>50</v>
      </c>
      <c r="P217" s="27" t="s">
        <v>57</v>
      </c>
      <c r="Q217" s="27" t="n">
        <v>1</v>
      </c>
      <c r="R217" s="27"/>
      <c r="S217" s="27" t="s">
        <v>41</v>
      </c>
      <c r="T217" s="27"/>
      <c r="U217" s="27"/>
      <c r="V217" s="27"/>
      <c r="W217" s="27"/>
      <c r="X217" s="27"/>
      <c r="Y217" s="27" t="s">
        <v>41</v>
      </c>
      <c r="Z217" s="27" t="n">
        <v>-7.201744</v>
      </c>
      <c r="AA217" s="27" t="n">
        <v>-48.242803</v>
      </c>
      <c r="AB217" s="37" t="s">
        <v>2338</v>
      </c>
      <c r="AC217" s="27" t="s">
        <v>2339</v>
      </c>
    </row>
    <row r="218" customFormat="false" ht="15" hidden="false" customHeight="false" outlineLevel="0" collapsed="false">
      <c r="A218" s="27" t="n">
        <v>217</v>
      </c>
      <c r="B218" s="27" t="s">
        <v>1073</v>
      </c>
      <c r="C218" s="27" t="s">
        <v>2587</v>
      </c>
      <c r="D218" s="27" t="s">
        <v>1072</v>
      </c>
      <c r="E218" s="27" t="s">
        <v>1074</v>
      </c>
      <c r="F218" s="32" t="n">
        <v>3.56462466055017</v>
      </c>
      <c r="G218" s="28" t="n">
        <v>1328.5682737199</v>
      </c>
      <c r="H218" s="28" t="n">
        <v>1328.5682737199</v>
      </c>
      <c r="I218" s="5" t="s">
        <v>22</v>
      </c>
      <c r="J218" s="27" t="s">
        <v>303</v>
      </c>
      <c r="K218" s="27" t="s">
        <v>446</v>
      </c>
      <c r="L218" s="27" t="n">
        <v>4</v>
      </c>
      <c r="M218" s="27" t="s">
        <v>41</v>
      </c>
      <c r="N218" s="27" t="s">
        <v>2336</v>
      </c>
      <c r="O218" s="27" t="s">
        <v>50</v>
      </c>
      <c r="P218" s="27" t="s">
        <v>57</v>
      </c>
      <c r="Q218" s="27" t="n">
        <v>1</v>
      </c>
      <c r="R218" s="27"/>
      <c r="S218" s="27" t="s">
        <v>41</v>
      </c>
      <c r="T218" s="27"/>
      <c r="U218" s="27"/>
      <c r="V218" s="27"/>
      <c r="W218" s="27"/>
      <c r="X218" s="27"/>
      <c r="Y218" s="27" t="s">
        <v>41</v>
      </c>
      <c r="Z218" s="27" t="n">
        <v>-7.201515</v>
      </c>
      <c r="AA218" s="27" t="n">
        <v>-48.243278</v>
      </c>
      <c r="AB218" s="37" t="s">
        <v>2338</v>
      </c>
      <c r="AC218" s="27" t="s">
        <v>2339</v>
      </c>
    </row>
    <row r="219" customFormat="false" ht="15" hidden="false" customHeight="false" outlineLevel="0" collapsed="false">
      <c r="A219" s="27" t="n">
        <v>218</v>
      </c>
      <c r="B219" s="27" t="s">
        <v>1075</v>
      </c>
      <c r="C219" s="27" t="s">
        <v>2588</v>
      </c>
      <c r="D219" s="27" t="s">
        <v>1074</v>
      </c>
      <c r="E219" s="27" t="s">
        <v>1076</v>
      </c>
      <c r="F219" s="32" t="n">
        <v>54.920197396388</v>
      </c>
      <c r="G219" s="28" t="n">
        <v>1383.48847111629</v>
      </c>
      <c r="H219" s="28" t="n">
        <v>1383.48847111629</v>
      </c>
      <c r="I219" s="5" t="s">
        <v>22</v>
      </c>
      <c r="J219" s="27" t="s">
        <v>303</v>
      </c>
      <c r="K219" s="27" t="s">
        <v>446</v>
      </c>
      <c r="L219" s="27" t="n">
        <v>4</v>
      </c>
      <c r="M219" s="27" t="s">
        <v>41</v>
      </c>
      <c r="N219" s="27" t="s">
        <v>2336</v>
      </c>
      <c r="O219" s="27" t="s">
        <v>50</v>
      </c>
      <c r="P219" s="27" t="s">
        <v>57</v>
      </c>
      <c r="Q219" s="27" t="n">
        <v>1</v>
      </c>
      <c r="R219" s="27"/>
      <c r="S219" s="27" t="s">
        <v>41</v>
      </c>
      <c r="T219" s="27"/>
      <c r="U219" s="27"/>
      <c r="V219" s="27"/>
      <c r="W219" s="27"/>
      <c r="X219" s="27"/>
      <c r="Y219" s="27" t="s">
        <v>41</v>
      </c>
      <c r="Z219" s="27" t="n">
        <v>-7.2014315</v>
      </c>
      <c r="AA219" s="27" t="n">
        <v>-48.243529</v>
      </c>
      <c r="AB219" s="37" t="s">
        <v>2338</v>
      </c>
      <c r="AC219" s="27" t="s">
        <v>2339</v>
      </c>
    </row>
    <row r="220" customFormat="false" ht="15" hidden="false" customHeight="false" outlineLevel="0" collapsed="false">
      <c r="A220" s="27" t="n">
        <v>219</v>
      </c>
      <c r="B220" s="27" t="s">
        <v>1077</v>
      </c>
      <c r="C220" s="27" t="s">
        <v>2589</v>
      </c>
      <c r="D220" s="27" t="s">
        <v>1076</v>
      </c>
      <c r="E220" s="27" t="s">
        <v>1078</v>
      </c>
      <c r="F220" s="32" t="n">
        <v>3.65573866747775</v>
      </c>
      <c r="G220" s="28" t="n">
        <v>1387.14420978377</v>
      </c>
      <c r="H220" s="28" t="n">
        <v>1387.14420978377</v>
      </c>
      <c r="I220" s="5" t="s">
        <v>22</v>
      </c>
      <c r="J220" s="27" t="s">
        <v>303</v>
      </c>
      <c r="K220" s="27" t="s">
        <v>446</v>
      </c>
      <c r="L220" s="27" t="n">
        <v>4</v>
      </c>
      <c r="M220" s="27" t="s">
        <v>41</v>
      </c>
      <c r="N220" s="27" t="s">
        <v>2336</v>
      </c>
      <c r="O220" s="27" t="s">
        <v>50</v>
      </c>
      <c r="P220" s="27" t="s">
        <v>57</v>
      </c>
      <c r="Q220" s="27" t="n">
        <v>1</v>
      </c>
      <c r="R220" s="27"/>
      <c r="S220" s="27" t="s">
        <v>41</v>
      </c>
      <c r="T220" s="27"/>
      <c r="U220" s="27"/>
      <c r="V220" s="27"/>
      <c r="W220" s="27"/>
      <c r="X220" s="27"/>
      <c r="Y220" s="27" t="s">
        <v>41</v>
      </c>
      <c r="Z220" s="27" t="n">
        <v>-7.2013575</v>
      </c>
      <c r="AA220" s="27" t="n">
        <v>-48.2437825</v>
      </c>
      <c r="AB220" s="37" t="s">
        <v>2338</v>
      </c>
      <c r="AC220" s="27" t="s">
        <v>2339</v>
      </c>
    </row>
    <row r="221" customFormat="false" ht="15" hidden="false" customHeight="false" outlineLevel="0" collapsed="false">
      <c r="A221" s="27" t="n">
        <v>220</v>
      </c>
      <c r="B221" s="27" t="s">
        <v>1079</v>
      </c>
      <c r="C221" s="27" t="s">
        <v>2590</v>
      </c>
      <c r="D221" s="27" t="s">
        <v>1068</v>
      </c>
      <c r="E221" s="27" t="s">
        <v>1080</v>
      </c>
      <c r="F221" s="32" t="n">
        <v>16.9998412713517</v>
      </c>
      <c r="G221" s="28" t="n">
        <v>1097.99119784116</v>
      </c>
      <c r="H221" s="28" t="n">
        <v>1097.99119784116</v>
      </c>
      <c r="I221" s="5" t="s">
        <v>22</v>
      </c>
      <c r="J221" s="27" t="s">
        <v>303</v>
      </c>
      <c r="K221" s="27" t="s">
        <v>446</v>
      </c>
      <c r="L221" s="27" t="n">
        <v>4</v>
      </c>
      <c r="M221" s="27" t="s">
        <v>41</v>
      </c>
      <c r="N221" s="27" t="s">
        <v>2336</v>
      </c>
      <c r="O221" s="27" t="s">
        <v>50</v>
      </c>
      <c r="P221" s="27" t="s">
        <v>54</v>
      </c>
      <c r="Q221" s="27" t="n">
        <v>0</v>
      </c>
      <c r="R221" s="27"/>
      <c r="S221" s="27" t="s">
        <v>41</v>
      </c>
      <c r="T221" s="27"/>
      <c r="U221" s="27"/>
      <c r="V221" s="27"/>
      <c r="W221" s="27"/>
      <c r="X221" s="27"/>
      <c r="Y221" s="27" t="s">
        <v>41</v>
      </c>
      <c r="Z221" s="27" t="n">
        <v>-7.202514</v>
      </c>
      <c r="AA221" s="27" t="n">
        <v>-48.2412045</v>
      </c>
      <c r="AB221" s="37" t="s">
        <v>2338</v>
      </c>
      <c r="AC221" s="27" t="s">
        <v>2339</v>
      </c>
    </row>
    <row r="222" customFormat="false" ht="15" hidden="false" customHeight="false" outlineLevel="0" collapsed="false">
      <c r="A222" s="27" t="n">
        <v>221</v>
      </c>
      <c r="B222" s="27" t="s">
        <v>1081</v>
      </c>
      <c r="C222" s="27" t="s">
        <v>2591</v>
      </c>
      <c r="D222" s="27" t="s">
        <v>1068</v>
      </c>
      <c r="E222" s="27" t="s">
        <v>1082</v>
      </c>
      <c r="F222" s="32" t="n">
        <v>49.525509250194</v>
      </c>
      <c r="G222" s="28" t="n">
        <v>1130.51686582</v>
      </c>
      <c r="H222" s="28" t="n">
        <v>1130.51686582</v>
      </c>
      <c r="I222" s="5" t="s">
        <v>22</v>
      </c>
      <c r="J222" s="27" t="s">
        <v>303</v>
      </c>
      <c r="K222" s="27" t="s">
        <v>446</v>
      </c>
      <c r="L222" s="27" t="n">
        <v>4</v>
      </c>
      <c r="M222" s="27" t="s">
        <v>41</v>
      </c>
      <c r="N222" s="27" t="s">
        <v>2336</v>
      </c>
      <c r="O222" s="27" t="s">
        <v>50</v>
      </c>
      <c r="P222" s="27" t="s">
        <v>2592</v>
      </c>
      <c r="Q222" s="27" t="n">
        <v>7</v>
      </c>
      <c r="R222" s="27"/>
      <c r="S222" s="27" t="s">
        <v>41</v>
      </c>
      <c r="T222" s="27"/>
      <c r="U222" s="27"/>
      <c r="V222" s="27"/>
      <c r="W222" s="27"/>
      <c r="X222" s="27"/>
      <c r="Y222" s="27" t="s">
        <v>41</v>
      </c>
      <c r="Z222" s="27" t="n">
        <v>-7.202683</v>
      </c>
      <c r="AA222" s="27" t="n">
        <v>-48.2413685</v>
      </c>
      <c r="AB222" s="37" t="s">
        <v>2338</v>
      </c>
      <c r="AC222" s="27" t="s">
        <v>2339</v>
      </c>
    </row>
    <row r="223" customFormat="false" ht="15" hidden="false" customHeight="false" outlineLevel="0" collapsed="false">
      <c r="A223" s="27" t="n">
        <v>222</v>
      </c>
      <c r="B223" s="27" t="s">
        <v>1083</v>
      </c>
      <c r="C223" s="27" t="s">
        <v>2593</v>
      </c>
      <c r="D223" s="27" t="s">
        <v>1082</v>
      </c>
      <c r="E223" s="27" t="s">
        <v>1084</v>
      </c>
      <c r="F223" s="32" t="n">
        <v>3.07898767162758</v>
      </c>
      <c r="G223" s="28" t="n">
        <v>1133.59585349163</v>
      </c>
      <c r="H223" s="28" t="n">
        <v>1133.59585349163</v>
      </c>
      <c r="I223" s="5" t="s">
        <v>22</v>
      </c>
      <c r="J223" s="27" t="s">
        <v>303</v>
      </c>
      <c r="K223" s="27" t="s">
        <v>446</v>
      </c>
      <c r="L223" s="27" t="n">
        <v>4</v>
      </c>
      <c r="M223" s="27" t="s">
        <v>41</v>
      </c>
      <c r="N223" s="27" t="s">
        <v>2336</v>
      </c>
      <c r="O223" s="27" t="s">
        <v>50</v>
      </c>
      <c r="P223" s="27" t="s">
        <v>2592</v>
      </c>
      <c r="Q223" s="27" t="n">
        <v>7</v>
      </c>
      <c r="R223" s="27" t="s">
        <v>1085</v>
      </c>
      <c r="S223" s="27" t="s">
        <v>41</v>
      </c>
      <c r="T223" s="27"/>
      <c r="U223" s="27"/>
      <c r="V223" s="27"/>
      <c r="W223" s="27"/>
      <c r="X223" s="27"/>
      <c r="Y223" s="27" t="s">
        <v>41</v>
      </c>
      <c r="Z223" s="27" t="n">
        <v>-7.2028975</v>
      </c>
      <c r="AA223" s="27" t="n">
        <v>-48.241469</v>
      </c>
      <c r="AB223" s="37" t="s">
        <v>2338</v>
      </c>
      <c r="AC223" s="27" t="s">
        <v>2339</v>
      </c>
    </row>
    <row r="224" customFormat="false" ht="15" hidden="false" customHeight="false" outlineLevel="0" collapsed="false">
      <c r="A224" s="27" t="n">
        <v>223</v>
      </c>
      <c r="B224" s="27" t="s">
        <v>1086</v>
      </c>
      <c r="C224" s="27" t="s">
        <v>2594</v>
      </c>
      <c r="D224" s="27" t="s">
        <v>1084</v>
      </c>
      <c r="E224" s="27" t="s">
        <v>1087</v>
      </c>
      <c r="F224" s="32" t="n">
        <v>113.258771418034</v>
      </c>
      <c r="G224" s="28" t="n">
        <v>1246.85462490966</v>
      </c>
      <c r="H224" s="28" t="n">
        <v>1246.85462490966</v>
      </c>
      <c r="I224" s="5" t="s">
        <v>22</v>
      </c>
      <c r="J224" s="27" t="s">
        <v>303</v>
      </c>
      <c r="K224" s="27" t="s">
        <v>446</v>
      </c>
      <c r="L224" s="27" t="n">
        <v>4</v>
      </c>
      <c r="M224" s="27" t="s">
        <v>41</v>
      </c>
      <c r="N224" s="27" t="s">
        <v>2336</v>
      </c>
      <c r="O224" s="27" t="s">
        <v>50</v>
      </c>
      <c r="P224" s="27" t="s">
        <v>2592</v>
      </c>
      <c r="Q224" s="27" t="n">
        <v>7</v>
      </c>
      <c r="R224" s="27"/>
      <c r="S224" s="27" t="s">
        <v>41</v>
      </c>
      <c r="T224" s="27"/>
      <c r="U224" s="27"/>
      <c r="V224" s="27"/>
      <c r="W224" s="27"/>
      <c r="X224" s="27"/>
      <c r="Y224" s="27" t="s">
        <v>41</v>
      </c>
      <c r="Z224" s="27" t="n">
        <v>-7.203372</v>
      </c>
      <c r="AA224" s="27" t="n">
        <v>-48.241691</v>
      </c>
      <c r="AB224" s="37" t="s">
        <v>2338</v>
      </c>
      <c r="AC224" s="27" t="s">
        <v>2339</v>
      </c>
    </row>
    <row r="225" customFormat="false" ht="15" hidden="false" customHeight="false" outlineLevel="0" collapsed="false">
      <c r="A225" s="27" t="n">
        <v>224</v>
      </c>
      <c r="B225" s="27" t="s">
        <v>1088</v>
      </c>
      <c r="C225" s="27" t="s">
        <v>2595</v>
      </c>
      <c r="D225" s="27" t="s">
        <v>1087</v>
      </c>
      <c r="E225" s="27" t="s">
        <v>1089</v>
      </c>
      <c r="F225" s="32" t="n">
        <v>108.489184165814</v>
      </c>
      <c r="G225" s="28" t="n">
        <v>1355.34380907547</v>
      </c>
      <c r="H225" s="28" t="n">
        <v>1355.34380907547</v>
      </c>
      <c r="I225" s="5" t="s">
        <v>22</v>
      </c>
      <c r="J225" s="27" t="s">
        <v>303</v>
      </c>
      <c r="K225" s="27" t="s">
        <v>446</v>
      </c>
      <c r="L225" s="27" t="n">
        <v>4</v>
      </c>
      <c r="M225" s="27" t="s">
        <v>41</v>
      </c>
      <c r="N225" s="27" t="s">
        <v>2336</v>
      </c>
      <c r="O225" s="27" t="s">
        <v>50</v>
      </c>
      <c r="P225" s="27" t="s">
        <v>2592</v>
      </c>
      <c r="Q225" s="27" t="n">
        <v>7</v>
      </c>
      <c r="R225" s="27"/>
      <c r="S225" s="27" t="s">
        <v>41</v>
      </c>
      <c r="T225" s="27"/>
      <c r="U225" s="27"/>
      <c r="V225" s="27"/>
      <c r="W225" s="27"/>
      <c r="X225" s="27"/>
      <c r="Y225" s="27" t="s">
        <v>41</v>
      </c>
      <c r="Z225" s="27" t="n">
        <v>-7.2042765</v>
      </c>
      <c r="AA225" s="27" t="n">
        <v>-48.242114</v>
      </c>
      <c r="AB225" s="37" t="s">
        <v>2338</v>
      </c>
      <c r="AC225" s="27" t="s">
        <v>2339</v>
      </c>
    </row>
    <row r="226" customFormat="false" ht="15" hidden="false" customHeight="false" outlineLevel="0" collapsed="false">
      <c r="A226" s="27" t="n">
        <v>225</v>
      </c>
      <c r="B226" s="27" t="s">
        <v>1090</v>
      </c>
      <c r="C226" s="27" t="s">
        <v>2596</v>
      </c>
      <c r="D226" s="27" t="s">
        <v>1089</v>
      </c>
      <c r="E226" s="27" t="s">
        <v>1091</v>
      </c>
      <c r="F226" s="32" t="n">
        <v>3.28116432304295</v>
      </c>
      <c r="G226" s="28" t="n">
        <v>1358.62497339852</v>
      </c>
      <c r="H226" s="28" t="n">
        <v>1358.62497339852</v>
      </c>
      <c r="I226" s="5" t="s">
        <v>22</v>
      </c>
      <c r="J226" s="27" t="s">
        <v>303</v>
      </c>
      <c r="K226" s="27" t="s">
        <v>446</v>
      </c>
      <c r="L226" s="27" t="n">
        <v>4</v>
      </c>
      <c r="M226" s="27" t="s">
        <v>41</v>
      </c>
      <c r="N226" s="27" t="s">
        <v>2336</v>
      </c>
      <c r="O226" s="27" t="s">
        <v>50</v>
      </c>
      <c r="P226" s="27" t="s">
        <v>2592</v>
      </c>
      <c r="Q226" s="27" t="n">
        <v>7</v>
      </c>
      <c r="R226" s="27" t="s">
        <v>1092</v>
      </c>
      <c r="S226" s="27" t="s">
        <v>41</v>
      </c>
      <c r="T226" s="27"/>
      <c r="U226" s="27"/>
      <c r="V226" s="27"/>
      <c r="W226" s="27"/>
      <c r="X226" s="27"/>
      <c r="Y226" s="27" t="s">
        <v>41</v>
      </c>
      <c r="Z226" s="27" t="n">
        <v>-7.2047325</v>
      </c>
      <c r="AA226" s="27" t="n">
        <v>-48.242327</v>
      </c>
      <c r="AB226" s="37" t="s">
        <v>2338</v>
      </c>
      <c r="AC226" s="27" t="s">
        <v>2339</v>
      </c>
    </row>
    <row r="227" customFormat="false" ht="15" hidden="false" customHeight="false" outlineLevel="0" collapsed="false">
      <c r="A227" s="27" t="n">
        <v>226</v>
      </c>
      <c r="B227" s="27" t="s">
        <v>1093</v>
      </c>
      <c r="C227" s="27" t="s">
        <v>2597</v>
      </c>
      <c r="D227" s="27" t="s">
        <v>1091</v>
      </c>
      <c r="E227" s="27" t="s">
        <v>1094</v>
      </c>
      <c r="F227" s="32" t="n">
        <v>28.9668903465827</v>
      </c>
      <c r="G227" s="28" t="n">
        <v>1387.5918637451</v>
      </c>
      <c r="H227" s="28" t="n">
        <v>1387.5918637451</v>
      </c>
      <c r="I227" s="5" t="s">
        <v>22</v>
      </c>
      <c r="J227" s="27" t="s">
        <v>303</v>
      </c>
      <c r="K227" s="27" t="s">
        <v>446</v>
      </c>
      <c r="L227" s="27" t="n">
        <v>4</v>
      </c>
      <c r="M227" s="27" t="s">
        <v>41</v>
      </c>
      <c r="N227" s="27" t="s">
        <v>2336</v>
      </c>
      <c r="O227" s="27" t="s">
        <v>50</v>
      </c>
      <c r="P227" s="27" t="s">
        <v>2592</v>
      </c>
      <c r="Q227" s="27" t="n">
        <v>7</v>
      </c>
      <c r="R227" s="27"/>
      <c r="S227" s="27" t="s">
        <v>41</v>
      </c>
      <c r="T227" s="27"/>
      <c r="U227" s="27"/>
      <c r="V227" s="27"/>
      <c r="W227" s="27"/>
      <c r="X227" s="27"/>
      <c r="Y227" s="27" t="s">
        <v>41</v>
      </c>
      <c r="Z227" s="27" t="n">
        <v>-7.2048645</v>
      </c>
      <c r="AA227" s="27" t="n">
        <v>-48.2423875</v>
      </c>
      <c r="AB227" s="37" t="s">
        <v>2338</v>
      </c>
      <c r="AC227" s="27" t="s">
        <v>2339</v>
      </c>
    </row>
    <row r="228" customFormat="false" ht="15" hidden="false" customHeight="false" outlineLevel="0" collapsed="false">
      <c r="A228" s="27" t="n">
        <v>227</v>
      </c>
      <c r="B228" s="27" t="s">
        <v>1095</v>
      </c>
      <c r="C228" s="27" t="s">
        <v>2598</v>
      </c>
      <c r="D228" s="27" t="s">
        <v>1094</v>
      </c>
      <c r="E228" s="27" t="s">
        <v>1096</v>
      </c>
      <c r="F228" s="32" t="n">
        <v>2.93213581548948</v>
      </c>
      <c r="G228" s="28" t="n">
        <v>1390.52399956059</v>
      </c>
      <c r="H228" s="28" t="n">
        <v>1390.52399956059</v>
      </c>
      <c r="I228" s="5" t="s">
        <v>22</v>
      </c>
      <c r="J228" s="27" t="s">
        <v>303</v>
      </c>
      <c r="K228" s="27" t="s">
        <v>446</v>
      </c>
      <c r="L228" s="27" t="n">
        <v>4</v>
      </c>
      <c r="M228" s="27" t="s">
        <v>41</v>
      </c>
      <c r="N228" s="27" t="s">
        <v>2336</v>
      </c>
      <c r="O228" s="27" t="s">
        <v>50</v>
      </c>
      <c r="P228" s="27" t="s">
        <v>2592</v>
      </c>
      <c r="Q228" s="27" t="n">
        <v>7</v>
      </c>
      <c r="R228" s="27"/>
      <c r="S228" s="27" t="s">
        <v>41</v>
      </c>
      <c r="T228" s="27"/>
      <c r="U228" s="27"/>
      <c r="V228" s="27"/>
      <c r="W228" s="27"/>
      <c r="X228" s="27"/>
      <c r="Y228" s="27" t="s">
        <v>41</v>
      </c>
      <c r="Z228" s="27" t="n">
        <v>-7.2049945</v>
      </c>
      <c r="AA228" s="27" t="n">
        <v>-48.2424485</v>
      </c>
      <c r="AB228" s="37" t="s">
        <v>2338</v>
      </c>
      <c r="AC228" s="27" t="s">
        <v>2339</v>
      </c>
    </row>
    <row r="229" customFormat="false" ht="15" hidden="false" customHeight="false" outlineLevel="0" collapsed="false">
      <c r="A229" s="27" t="n">
        <v>228</v>
      </c>
      <c r="B229" s="27" t="s">
        <v>1097</v>
      </c>
      <c r="C229" s="27" t="s">
        <v>2599</v>
      </c>
      <c r="D229" s="27" t="s">
        <v>1096</v>
      </c>
      <c r="E229" s="27" t="s">
        <v>1098</v>
      </c>
      <c r="F229" s="32" t="n">
        <v>24.8275945054901</v>
      </c>
      <c r="G229" s="28" t="n">
        <v>1415.35159406608</v>
      </c>
      <c r="H229" s="28" t="n">
        <v>1415.35159406608</v>
      </c>
      <c r="I229" s="5" t="s">
        <v>22</v>
      </c>
      <c r="J229" s="27" t="s">
        <v>303</v>
      </c>
      <c r="K229" s="27" t="s">
        <v>446</v>
      </c>
      <c r="L229" s="27" t="n">
        <v>4</v>
      </c>
      <c r="M229" s="27" t="s">
        <v>41</v>
      </c>
      <c r="N229" s="27" t="s">
        <v>2336</v>
      </c>
      <c r="O229" s="27" t="s">
        <v>50</v>
      </c>
      <c r="P229" s="27" t="s">
        <v>2592</v>
      </c>
      <c r="Q229" s="27" t="n">
        <v>7</v>
      </c>
      <c r="R229" s="27"/>
      <c r="S229" s="27" t="s">
        <v>41</v>
      </c>
      <c r="T229" s="27"/>
      <c r="U229" s="27"/>
      <c r="V229" s="27"/>
      <c r="W229" s="27"/>
      <c r="X229" s="27"/>
      <c r="Y229" s="27" t="s">
        <v>41</v>
      </c>
      <c r="Z229" s="27" t="n">
        <v>-7.2051065</v>
      </c>
      <c r="AA229" s="27" t="n">
        <v>-48.242504</v>
      </c>
      <c r="AB229" s="37" t="s">
        <v>2338</v>
      </c>
      <c r="AC229" s="27" t="s">
        <v>2339</v>
      </c>
    </row>
    <row r="230" customFormat="false" ht="15" hidden="false" customHeight="false" outlineLevel="0" collapsed="false">
      <c r="A230" s="27" t="n">
        <v>229</v>
      </c>
      <c r="B230" s="27" t="s">
        <v>1099</v>
      </c>
      <c r="C230" s="27" t="s">
        <v>2600</v>
      </c>
      <c r="D230" s="27" t="s">
        <v>1098</v>
      </c>
      <c r="E230" s="27" t="s">
        <v>1100</v>
      </c>
      <c r="F230" s="32" t="n">
        <v>42.5224483693702</v>
      </c>
      <c r="G230" s="28" t="n">
        <v>1457.87404243545</v>
      </c>
      <c r="H230" s="28" t="n">
        <v>1457.87404243545</v>
      </c>
      <c r="I230" s="5" t="s">
        <v>22</v>
      </c>
      <c r="J230" s="27" t="s">
        <v>303</v>
      </c>
      <c r="K230" s="27" t="s">
        <v>446</v>
      </c>
      <c r="L230" s="27" t="n">
        <v>4</v>
      </c>
      <c r="M230" s="27" t="s">
        <v>41</v>
      </c>
      <c r="N230" s="27" t="s">
        <v>2336</v>
      </c>
      <c r="O230" s="27" t="s">
        <v>50</v>
      </c>
      <c r="P230" s="27" t="s">
        <v>2601</v>
      </c>
      <c r="Q230" s="27" t="n">
        <v>6</v>
      </c>
      <c r="R230" s="27"/>
      <c r="S230" s="27" t="s">
        <v>41</v>
      </c>
      <c r="T230" s="27"/>
      <c r="U230" s="27"/>
      <c r="V230" s="27"/>
      <c r="W230" s="27"/>
      <c r="X230" s="27"/>
      <c r="Y230" s="27" t="s">
        <v>41</v>
      </c>
      <c r="Z230" s="27" t="n">
        <v>-7.2053805</v>
      </c>
      <c r="AA230" s="27" t="n">
        <v>-48.242634</v>
      </c>
      <c r="AB230" s="37" t="s">
        <v>2338</v>
      </c>
      <c r="AC230" s="27" t="s">
        <v>2339</v>
      </c>
    </row>
    <row r="231" customFormat="false" ht="15" hidden="false" customHeight="false" outlineLevel="0" collapsed="false">
      <c r="A231" s="27" t="n">
        <v>230</v>
      </c>
      <c r="B231" s="27" t="s">
        <v>1101</v>
      </c>
      <c r="C231" s="27" t="s">
        <v>2602</v>
      </c>
      <c r="D231" s="27" t="s">
        <v>1100</v>
      </c>
      <c r="E231" s="27" t="s">
        <v>1102</v>
      </c>
      <c r="F231" s="32" t="n">
        <v>36.9541673251599</v>
      </c>
      <c r="G231" s="28" t="n">
        <v>1494.82820976061</v>
      </c>
      <c r="H231" s="28" t="n">
        <v>1494.82820976061</v>
      </c>
      <c r="I231" s="5" t="s">
        <v>22</v>
      </c>
      <c r="J231" s="27" t="s">
        <v>303</v>
      </c>
      <c r="K231" s="27" t="s">
        <v>446</v>
      </c>
      <c r="L231" s="27" t="n">
        <v>4</v>
      </c>
      <c r="M231" s="27" t="s">
        <v>41</v>
      </c>
      <c r="N231" s="27" t="s">
        <v>2336</v>
      </c>
      <c r="O231" s="27" t="s">
        <v>50</v>
      </c>
      <c r="P231" s="27" t="s">
        <v>2601</v>
      </c>
      <c r="Q231" s="27" t="n">
        <v>6</v>
      </c>
      <c r="R231" s="27"/>
      <c r="S231" s="27" t="s">
        <v>41</v>
      </c>
      <c r="T231" s="27"/>
      <c r="U231" s="27"/>
      <c r="V231" s="27"/>
      <c r="W231" s="27"/>
      <c r="X231" s="27"/>
      <c r="Y231" s="27" t="s">
        <v>41</v>
      </c>
      <c r="Z231" s="27" t="n">
        <v>-7.2057045</v>
      </c>
      <c r="AA231" s="27" t="n">
        <v>-48.242786</v>
      </c>
      <c r="AB231" s="37" t="s">
        <v>2338</v>
      </c>
      <c r="AC231" s="27" t="s">
        <v>2339</v>
      </c>
    </row>
    <row r="232" customFormat="false" ht="15" hidden="false" customHeight="false" outlineLevel="0" collapsed="false">
      <c r="A232" s="27" t="n">
        <v>231</v>
      </c>
      <c r="B232" s="27" t="s">
        <v>1103</v>
      </c>
      <c r="C232" s="27" t="s">
        <v>2603</v>
      </c>
      <c r="D232" s="27" t="s">
        <v>1102</v>
      </c>
      <c r="E232" s="27" t="s">
        <v>1104</v>
      </c>
      <c r="F232" s="32" t="n">
        <v>3.23822879868005</v>
      </c>
      <c r="G232" s="28" t="n">
        <v>1498.06643855929</v>
      </c>
      <c r="H232" s="28" t="n">
        <v>1498.06643855929</v>
      </c>
      <c r="I232" s="5" t="s">
        <v>22</v>
      </c>
      <c r="J232" s="27" t="s">
        <v>303</v>
      </c>
      <c r="K232" s="27" t="s">
        <v>446</v>
      </c>
      <c r="L232" s="27" t="n">
        <v>4</v>
      </c>
      <c r="M232" s="27" t="s">
        <v>41</v>
      </c>
      <c r="N232" s="27" t="s">
        <v>2336</v>
      </c>
      <c r="O232" s="27" t="s">
        <v>50</v>
      </c>
      <c r="P232" s="27" t="s">
        <v>2601</v>
      </c>
      <c r="Q232" s="27" t="n">
        <v>6</v>
      </c>
      <c r="R232" s="27"/>
      <c r="S232" s="27" t="s">
        <v>41</v>
      </c>
      <c r="T232" s="27"/>
      <c r="U232" s="27"/>
      <c r="V232" s="27"/>
      <c r="W232" s="27"/>
      <c r="X232" s="27"/>
      <c r="Y232" s="27" t="s">
        <v>41</v>
      </c>
      <c r="Z232" s="27" t="n">
        <v>-7.2058685</v>
      </c>
      <c r="AA232" s="27" t="n">
        <v>-48.2428625</v>
      </c>
      <c r="AB232" s="37" t="s">
        <v>2338</v>
      </c>
      <c r="AC232" s="27" t="s">
        <v>2339</v>
      </c>
    </row>
    <row r="233" customFormat="false" ht="15" hidden="false" customHeight="false" outlineLevel="0" collapsed="false">
      <c r="A233" s="27" t="n">
        <v>232</v>
      </c>
      <c r="B233" s="27" t="s">
        <v>1105</v>
      </c>
      <c r="C233" s="27" t="s">
        <v>2604</v>
      </c>
      <c r="D233" s="27" t="s">
        <v>1104</v>
      </c>
      <c r="E233" s="27" t="s">
        <v>1106</v>
      </c>
      <c r="F233" s="32" t="n">
        <v>57.8326096728754</v>
      </c>
      <c r="G233" s="28" t="n">
        <v>1555.89904823217</v>
      </c>
      <c r="H233" s="28" t="n">
        <v>1555.89904823217</v>
      </c>
      <c r="I233" s="5" t="s">
        <v>22</v>
      </c>
      <c r="J233" s="27" t="s">
        <v>303</v>
      </c>
      <c r="K233" s="27" t="s">
        <v>446</v>
      </c>
      <c r="L233" s="27" t="n">
        <v>4</v>
      </c>
      <c r="M233" s="27" t="s">
        <v>41</v>
      </c>
      <c r="N233" s="27" t="s">
        <v>2336</v>
      </c>
      <c r="O233" s="27" t="s">
        <v>50</v>
      </c>
      <c r="P233" s="27" t="s">
        <v>2601</v>
      </c>
      <c r="Q233" s="27" t="n">
        <v>6</v>
      </c>
      <c r="R233" s="27"/>
      <c r="S233" s="27" t="s">
        <v>41</v>
      </c>
      <c r="T233" s="27"/>
      <c r="U233" s="27"/>
      <c r="V233" s="27"/>
      <c r="W233" s="27"/>
      <c r="X233" s="27"/>
      <c r="Y233" s="27" t="s">
        <v>41</v>
      </c>
      <c r="Z233" s="27" t="n">
        <v>-7.2061185</v>
      </c>
      <c r="AA233" s="27" t="n">
        <v>-48.242977</v>
      </c>
      <c r="AB233" s="37" t="s">
        <v>2338</v>
      </c>
      <c r="AC233" s="27" t="s">
        <v>2339</v>
      </c>
    </row>
    <row r="234" customFormat="false" ht="15" hidden="false" customHeight="false" outlineLevel="0" collapsed="false">
      <c r="A234" s="27" t="n">
        <v>233</v>
      </c>
      <c r="B234" s="27" t="s">
        <v>1107</v>
      </c>
      <c r="C234" s="27" t="s">
        <v>2605</v>
      </c>
      <c r="D234" s="27" t="s">
        <v>1106</v>
      </c>
      <c r="E234" s="27" t="s">
        <v>1108</v>
      </c>
      <c r="F234" s="32" t="n">
        <v>20.0749315331934</v>
      </c>
      <c r="G234" s="28" t="n">
        <v>1575.97397976536</v>
      </c>
      <c r="H234" s="28" t="n">
        <v>1575.97397976536</v>
      </c>
      <c r="I234" s="5" t="s">
        <v>22</v>
      </c>
      <c r="J234" s="27" t="s">
        <v>303</v>
      </c>
      <c r="K234" s="27" t="s">
        <v>446</v>
      </c>
      <c r="L234" s="27" t="n">
        <v>4</v>
      </c>
      <c r="M234" s="27" t="s">
        <v>41</v>
      </c>
      <c r="N234" s="27" t="s">
        <v>2336</v>
      </c>
      <c r="O234" s="27" t="s">
        <v>50</v>
      </c>
      <c r="P234" s="27" t="s">
        <v>2601</v>
      </c>
      <c r="Q234" s="27" t="n">
        <v>6</v>
      </c>
      <c r="R234" s="27"/>
      <c r="S234" s="27" t="s">
        <v>41</v>
      </c>
      <c r="T234" s="27"/>
      <c r="U234" s="27"/>
      <c r="V234" s="27"/>
      <c r="W234" s="27"/>
      <c r="X234" s="27"/>
      <c r="Y234" s="27" t="s">
        <v>41</v>
      </c>
      <c r="Z234" s="27" t="n">
        <v>-7.206327</v>
      </c>
      <c r="AA234" s="27" t="n">
        <v>-48.2431725</v>
      </c>
      <c r="AB234" s="37" t="s">
        <v>2338</v>
      </c>
      <c r="AC234" s="27" t="s">
        <v>2339</v>
      </c>
    </row>
    <row r="235" customFormat="false" ht="15" hidden="false" customHeight="false" outlineLevel="0" collapsed="false">
      <c r="A235" s="27" t="n">
        <v>234</v>
      </c>
      <c r="B235" s="27" t="s">
        <v>1109</v>
      </c>
      <c r="C235" s="27" t="s">
        <v>2606</v>
      </c>
      <c r="D235" s="27" t="s">
        <v>1108</v>
      </c>
      <c r="E235" s="27" t="s">
        <v>1110</v>
      </c>
      <c r="F235" s="32" t="n">
        <v>3.80647985813095</v>
      </c>
      <c r="G235" s="28" t="n">
        <v>1579.78045962349</v>
      </c>
      <c r="H235" s="28" t="n">
        <v>1579.78045962349</v>
      </c>
      <c r="I235" s="5" t="s">
        <v>22</v>
      </c>
      <c r="J235" s="27" t="s">
        <v>303</v>
      </c>
      <c r="K235" s="27" t="s">
        <v>446</v>
      </c>
      <c r="L235" s="27" t="n">
        <v>4</v>
      </c>
      <c r="M235" s="27" t="s">
        <v>41</v>
      </c>
      <c r="N235" s="27" t="s">
        <v>2336</v>
      </c>
      <c r="O235" s="27" t="s">
        <v>50</v>
      </c>
      <c r="P235" s="27" t="s">
        <v>2601</v>
      </c>
      <c r="Q235" s="27" t="n">
        <v>6</v>
      </c>
      <c r="R235" s="27" t="s">
        <v>1111</v>
      </c>
      <c r="S235" s="27" t="s">
        <v>41</v>
      </c>
      <c r="T235" s="27"/>
      <c r="U235" s="27"/>
      <c r="V235" s="27"/>
      <c r="W235" s="27"/>
      <c r="X235" s="27"/>
      <c r="Y235" s="27" t="s">
        <v>41</v>
      </c>
      <c r="Z235" s="27" t="n">
        <v>-7.206294</v>
      </c>
      <c r="AA235" s="27" t="n">
        <v>-48.2432755</v>
      </c>
      <c r="AB235" s="37" t="s">
        <v>2338</v>
      </c>
      <c r="AC235" s="27" t="s">
        <v>2339</v>
      </c>
    </row>
    <row r="236" customFormat="false" ht="15" hidden="false" customHeight="false" outlineLevel="0" collapsed="false">
      <c r="A236" s="27" t="n">
        <v>235</v>
      </c>
      <c r="B236" s="27" t="s">
        <v>1112</v>
      </c>
      <c r="C236" s="27" t="s">
        <v>2607</v>
      </c>
      <c r="D236" s="27" t="s">
        <v>1110</v>
      </c>
      <c r="E236" s="27" t="s">
        <v>1113</v>
      </c>
      <c r="F236" s="32" t="n">
        <v>34.075736385367</v>
      </c>
      <c r="G236" s="28" t="n">
        <v>1613.85619600886</v>
      </c>
      <c r="H236" s="28" t="n">
        <v>1613.85619600886</v>
      </c>
      <c r="I236" s="5" t="s">
        <v>22</v>
      </c>
      <c r="J236" s="27" t="s">
        <v>303</v>
      </c>
      <c r="K236" s="27" t="s">
        <v>446</v>
      </c>
      <c r="L236" s="27" t="n">
        <v>4</v>
      </c>
      <c r="M236" s="27" t="s">
        <v>41</v>
      </c>
      <c r="N236" s="27" t="s">
        <v>2336</v>
      </c>
      <c r="O236" s="27" t="s">
        <v>50</v>
      </c>
      <c r="P236" s="27" t="s">
        <v>2601</v>
      </c>
      <c r="Q236" s="27" t="n">
        <v>6</v>
      </c>
      <c r="R236" s="27"/>
      <c r="S236" s="27" t="s">
        <v>41</v>
      </c>
      <c r="T236" s="27"/>
      <c r="U236" s="27"/>
      <c r="V236" s="27"/>
      <c r="W236" s="27"/>
      <c r="X236" s="27"/>
      <c r="Y236" s="27" t="s">
        <v>41</v>
      </c>
      <c r="Z236" s="27" t="n">
        <v>-7.206242</v>
      </c>
      <c r="AA236" s="27" t="n">
        <v>-48.243439</v>
      </c>
      <c r="AB236" s="37" t="s">
        <v>2338</v>
      </c>
      <c r="AC236" s="27" t="s">
        <v>2339</v>
      </c>
    </row>
    <row r="237" customFormat="false" ht="15" hidden="false" customHeight="false" outlineLevel="0" collapsed="false">
      <c r="A237" s="27" t="n">
        <v>236</v>
      </c>
      <c r="B237" s="27" t="s">
        <v>1114</v>
      </c>
      <c r="C237" s="27" t="s">
        <v>2608</v>
      </c>
      <c r="D237" s="27" t="s">
        <v>1113</v>
      </c>
      <c r="E237" s="27" t="s">
        <v>1115</v>
      </c>
      <c r="F237" s="32" t="n">
        <v>251.423592854095</v>
      </c>
      <c r="G237" s="28" t="n">
        <v>1865.27978886295</v>
      </c>
      <c r="H237" s="28" t="n">
        <v>1865.27978886295</v>
      </c>
      <c r="I237" s="5" t="s">
        <v>22</v>
      </c>
      <c r="J237" s="27" t="s">
        <v>303</v>
      </c>
      <c r="K237" s="27" t="s">
        <v>446</v>
      </c>
      <c r="L237" s="27" t="n">
        <v>4</v>
      </c>
      <c r="M237" s="27" t="s">
        <v>41</v>
      </c>
      <c r="N237" s="27" t="s">
        <v>2336</v>
      </c>
      <c r="O237" s="27" t="s">
        <v>50</v>
      </c>
      <c r="P237" s="27" t="s">
        <v>2601</v>
      </c>
      <c r="Q237" s="27" t="n">
        <v>6</v>
      </c>
      <c r="R237" s="27"/>
      <c r="S237" s="27" t="s">
        <v>41</v>
      </c>
      <c r="T237" s="27"/>
      <c r="U237" s="27"/>
      <c r="V237" s="27"/>
      <c r="W237" s="27"/>
      <c r="X237" s="27"/>
      <c r="Y237" s="27" t="s">
        <v>41</v>
      </c>
      <c r="Z237" s="27" t="n">
        <v>-7.205862</v>
      </c>
      <c r="AA237" s="27" t="n">
        <v>-48.244675</v>
      </c>
      <c r="AB237" s="37" t="s">
        <v>2338</v>
      </c>
      <c r="AC237" s="27" t="s">
        <v>2339</v>
      </c>
    </row>
    <row r="238" customFormat="false" ht="15" hidden="false" customHeight="false" outlineLevel="0" collapsed="false">
      <c r="A238" s="27" t="n">
        <v>237</v>
      </c>
      <c r="B238" s="27" t="s">
        <v>1116</v>
      </c>
      <c r="C238" s="27" t="s">
        <v>2609</v>
      </c>
      <c r="D238" s="27" t="s">
        <v>1115</v>
      </c>
      <c r="E238" s="27" t="s">
        <v>1117</v>
      </c>
      <c r="F238" s="32" t="n">
        <v>185.108057537156</v>
      </c>
      <c r="G238" s="28" t="n">
        <v>2050.38784640011</v>
      </c>
      <c r="H238" s="28" t="n">
        <v>2050.38784640011</v>
      </c>
      <c r="I238" s="5" t="s">
        <v>22</v>
      </c>
      <c r="J238" s="27" t="s">
        <v>303</v>
      </c>
      <c r="K238" s="27" t="s">
        <v>446</v>
      </c>
      <c r="L238" s="27" t="n">
        <v>4</v>
      </c>
      <c r="M238" s="27" t="s">
        <v>41</v>
      </c>
      <c r="N238" s="27" t="s">
        <v>2336</v>
      </c>
      <c r="O238" s="27" t="s">
        <v>50</v>
      </c>
      <c r="P238" s="27" t="s">
        <v>2610</v>
      </c>
      <c r="Q238" s="27" t="n">
        <v>5</v>
      </c>
      <c r="R238" s="27"/>
      <c r="S238" s="27" t="s">
        <v>41</v>
      </c>
      <c r="T238" s="27"/>
      <c r="U238" s="27"/>
      <c r="V238" s="27"/>
      <c r="W238" s="27"/>
      <c r="X238" s="27"/>
      <c r="Y238" s="27" t="s">
        <v>41</v>
      </c>
      <c r="Z238" s="27" t="n">
        <v>-7.205047</v>
      </c>
      <c r="AA238" s="27" t="n">
        <v>-48.246448</v>
      </c>
      <c r="AB238" s="37" t="s">
        <v>2338</v>
      </c>
      <c r="AC238" s="27" t="s">
        <v>2339</v>
      </c>
    </row>
    <row r="239" customFormat="false" ht="15" hidden="false" customHeight="false" outlineLevel="0" collapsed="false">
      <c r="A239" s="27" t="n">
        <v>238</v>
      </c>
      <c r="B239" s="27" t="s">
        <v>1118</v>
      </c>
      <c r="C239" s="27" t="s">
        <v>2611</v>
      </c>
      <c r="D239" s="27" t="s">
        <v>1117</v>
      </c>
      <c r="E239" s="27" t="s">
        <v>1119</v>
      </c>
      <c r="F239" s="32" t="n">
        <v>4.33786389202479</v>
      </c>
      <c r="G239" s="28" t="n">
        <v>2054.72571029213</v>
      </c>
      <c r="H239" s="28" t="n">
        <v>2054.72571029213</v>
      </c>
      <c r="I239" s="5" t="s">
        <v>22</v>
      </c>
      <c r="J239" s="27" t="s">
        <v>303</v>
      </c>
      <c r="K239" s="27" t="s">
        <v>446</v>
      </c>
      <c r="L239" s="27" t="n">
        <v>4</v>
      </c>
      <c r="M239" s="27" t="s">
        <v>41</v>
      </c>
      <c r="N239" s="27" t="s">
        <v>2336</v>
      </c>
      <c r="O239" s="27" t="s">
        <v>50</v>
      </c>
      <c r="P239" s="27" t="s">
        <v>59</v>
      </c>
      <c r="Q239" s="27" t="n">
        <v>1</v>
      </c>
      <c r="R239" s="27"/>
      <c r="S239" s="27" t="s">
        <v>41</v>
      </c>
      <c r="T239" s="27"/>
      <c r="U239" s="27"/>
      <c r="V239" s="27"/>
      <c r="W239" s="27"/>
      <c r="X239" s="27"/>
      <c r="Y239" s="27" t="s">
        <v>41</v>
      </c>
      <c r="Z239" s="27" t="n">
        <v>-7.204553</v>
      </c>
      <c r="AA239" s="27" t="n">
        <v>-48.2471475</v>
      </c>
      <c r="AB239" s="37" t="s">
        <v>2338</v>
      </c>
      <c r="AC239" s="27" t="s">
        <v>2339</v>
      </c>
    </row>
    <row r="240" customFormat="false" ht="15" hidden="false" customHeight="false" outlineLevel="0" collapsed="false">
      <c r="A240" s="27" t="n">
        <v>239</v>
      </c>
      <c r="B240" s="27" t="s">
        <v>1120</v>
      </c>
      <c r="C240" s="27" t="s">
        <v>2612</v>
      </c>
      <c r="D240" s="27" t="s">
        <v>1119</v>
      </c>
      <c r="E240" s="27" t="s">
        <v>1121</v>
      </c>
      <c r="F240" s="32" t="n">
        <v>29.7497869869379</v>
      </c>
      <c r="G240" s="28" t="n">
        <v>2084.47549727907</v>
      </c>
      <c r="H240" s="28" t="n">
        <v>2084.47549727907</v>
      </c>
      <c r="I240" s="5" t="s">
        <v>22</v>
      </c>
      <c r="J240" s="27" t="s">
        <v>303</v>
      </c>
      <c r="K240" s="27" t="s">
        <v>446</v>
      </c>
      <c r="L240" s="27" t="n">
        <v>4</v>
      </c>
      <c r="M240" s="27" t="s">
        <v>41</v>
      </c>
      <c r="N240" s="27" t="s">
        <v>2336</v>
      </c>
      <c r="O240" s="27" t="s">
        <v>50</v>
      </c>
      <c r="P240" s="27" t="s">
        <v>59</v>
      </c>
      <c r="Q240" s="27" t="n">
        <v>1</v>
      </c>
      <c r="R240" s="27"/>
      <c r="S240" s="27" t="s">
        <v>41</v>
      </c>
      <c r="T240" s="27"/>
      <c r="U240" s="27"/>
      <c r="V240" s="27"/>
      <c r="W240" s="27"/>
      <c r="X240" s="27"/>
      <c r="Y240" s="27" t="s">
        <v>41</v>
      </c>
      <c r="Z240" s="27" t="n">
        <v>-7.20442</v>
      </c>
      <c r="AA240" s="27" t="n">
        <v>-48.2472205</v>
      </c>
      <c r="AB240" s="37" t="s">
        <v>2338</v>
      </c>
      <c r="AC240" s="27" t="s">
        <v>2339</v>
      </c>
    </row>
    <row r="241" customFormat="false" ht="15" hidden="false" customHeight="false" outlineLevel="0" collapsed="false">
      <c r="A241" s="27" t="n">
        <v>240</v>
      </c>
      <c r="B241" s="27" t="s">
        <v>1122</v>
      </c>
      <c r="C241" s="27" t="s">
        <v>2613</v>
      </c>
      <c r="D241" s="27" t="s">
        <v>1121</v>
      </c>
      <c r="E241" s="27" t="s">
        <v>1123</v>
      </c>
      <c r="F241" s="32" t="n">
        <v>3.32720441436337</v>
      </c>
      <c r="G241" s="28" t="n">
        <v>2087.80270169343</v>
      </c>
      <c r="H241" s="28" t="n">
        <v>2087.80270169343</v>
      </c>
      <c r="I241" s="5" t="s">
        <v>22</v>
      </c>
      <c r="J241" s="27" t="s">
        <v>303</v>
      </c>
      <c r="K241" s="27" t="s">
        <v>446</v>
      </c>
      <c r="L241" s="27" t="n">
        <v>4</v>
      </c>
      <c r="M241" s="27" t="s">
        <v>41</v>
      </c>
      <c r="N241" s="27" t="s">
        <v>2336</v>
      </c>
      <c r="O241" s="27" t="s">
        <v>50</v>
      </c>
      <c r="P241" s="27" t="s">
        <v>59</v>
      </c>
      <c r="Q241" s="27" t="n">
        <v>1</v>
      </c>
      <c r="R241" s="27"/>
      <c r="S241" s="27" t="s">
        <v>41</v>
      </c>
      <c r="T241" s="27"/>
      <c r="U241" s="27"/>
      <c r="V241" s="27"/>
      <c r="W241" s="27"/>
      <c r="X241" s="27"/>
      <c r="Y241" s="27" t="s">
        <v>41</v>
      </c>
      <c r="Z241" s="27" t="n">
        <v>-7.2042855</v>
      </c>
      <c r="AA241" s="27" t="n">
        <v>-48.2472845</v>
      </c>
      <c r="AB241" s="37" t="s">
        <v>2338</v>
      </c>
      <c r="AC241" s="27" t="s">
        <v>2339</v>
      </c>
    </row>
    <row r="242" customFormat="false" ht="15" hidden="false" customHeight="false" outlineLevel="0" collapsed="false">
      <c r="A242" s="27" t="n">
        <v>241</v>
      </c>
      <c r="B242" s="27" t="s">
        <v>1124</v>
      </c>
      <c r="C242" s="27" t="s">
        <v>2614</v>
      </c>
      <c r="D242" s="27" t="s">
        <v>1117</v>
      </c>
      <c r="E242" s="27" t="s">
        <v>1125</v>
      </c>
      <c r="F242" s="32" t="n">
        <v>9.30583837006032</v>
      </c>
      <c r="G242" s="28" t="n">
        <v>2059.69368477017</v>
      </c>
      <c r="H242" s="28" t="n">
        <v>2059.69368477017</v>
      </c>
      <c r="I242" s="5" t="s">
        <v>22</v>
      </c>
      <c r="J242" s="27" t="s">
        <v>303</v>
      </c>
      <c r="K242" s="27" t="s">
        <v>446</v>
      </c>
      <c r="L242" s="27" t="n">
        <v>4</v>
      </c>
      <c r="M242" s="27" t="s">
        <v>41</v>
      </c>
      <c r="N242" s="27" t="s">
        <v>2336</v>
      </c>
      <c r="O242" s="27" t="s">
        <v>50</v>
      </c>
      <c r="P242" s="27" t="s">
        <v>2615</v>
      </c>
      <c r="Q242" s="27" t="n">
        <v>4</v>
      </c>
      <c r="R242" s="27"/>
      <c r="S242" s="27" t="s">
        <v>41</v>
      </c>
      <c r="T242" s="27"/>
      <c r="U242" s="27"/>
      <c r="V242" s="27"/>
      <c r="W242" s="27"/>
      <c r="X242" s="27"/>
      <c r="Y242" s="27" t="s">
        <v>41</v>
      </c>
      <c r="Z242" s="27" t="n">
        <v>-7.204601</v>
      </c>
      <c r="AA242" s="27" t="n">
        <v>-48.2471535</v>
      </c>
      <c r="AB242" s="37" t="s">
        <v>2338</v>
      </c>
      <c r="AC242" s="27" t="s">
        <v>2339</v>
      </c>
    </row>
    <row r="243" customFormat="false" ht="15" hidden="false" customHeight="false" outlineLevel="0" collapsed="false">
      <c r="A243" s="27" t="n">
        <v>242</v>
      </c>
      <c r="B243" s="27" t="s">
        <v>1126</v>
      </c>
      <c r="C243" s="27" t="s">
        <v>2616</v>
      </c>
      <c r="D243" s="27" t="s">
        <v>1115</v>
      </c>
      <c r="E243" s="27" t="s">
        <v>1127</v>
      </c>
      <c r="F243" s="32" t="n">
        <v>0.949128056142474</v>
      </c>
      <c r="G243" s="28" t="n">
        <v>1866.22891691909</v>
      </c>
      <c r="H243" s="28" t="n">
        <v>1866.22891691909</v>
      </c>
      <c r="I243" s="5" t="s">
        <v>22</v>
      </c>
      <c r="J243" s="27" t="s">
        <v>303</v>
      </c>
      <c r="K243" s="27" t="s">
        <v>446</v>
      </c>
      <c r="L243" s="27" t="n">
        <v>4</v>
      </c>
      <c r="M243" s="27" t="s">
        <v>41</v>
      </c>
      <c r="N243" s="27" t="s">
        <v>2336</v>
      </c>
      <c r="O243" s="27" t="s">
        <v>50</v>
      </c>
      <c r="P243" s="27" t="s">
        <v>68</v>
      </c>
      <c r="Q243" s="27" t="n">
        <v>1</v>
      </c>
      <c r="R243" s="27"/>
      <c r="S243" s="27" t="s">
        <v>41</v>
      </c>
      <c r="T243" s="27"/>
      <c r="U243" s="27"/>
      <c r="V243" s="27"/>
      <c r="W243" s="27"/>
      <c r="X243" s="27"/>
      <c r="Y243" s="27" t="s">
        <v>41</v>
      </c>
      <c r="Z243" s="27" t="n">
        <v>-7.205533</v>
      </c>
      <c r="AA243" s="27" t="n">
        <v>-48.2457655</v>
      </c>
      <c r="AB243" s="37" t="s">
        <v>2338</v>
      </c>
      <c r="AC243" s="27" t="s">
        <v>2339</v>
      </c>
    </row>
    <row r="244" customFormat="false" ht="15" hidden="false" customHeight="false" outlineLevel="0" collapsed="false">
      <c r="A244" s="27" t="n">
        <v>243</v>
      </c>
      <c r="B244" s="27" t="s">
        <v>1128</v>
      </c>
      <c r="C244" s="27" t="s">
        <v>2617</v>
      </c>
      <c r="D244" s="27" t="s">
        <v>1106</v>
      </c>
      <c r="E244" s="27" t="s">
        <v>1129</v>
      </c>
      <c r="F244" s="32" t="n">
        <v>13.5644457334015</v>
      </c>
      <c r="G244" s="28" t="n">
        <v>1569.46349396557</v>
      </c>
      <c r="H244" s="28" t="n">
        <v>1569.46349396557</v>
      </c>
      <c r="I244" s="5" t="s">
        <v>22</v>
      </c>
      <c r="J244" s="27" t="s">
        <v>303</v>
      </c>
      <c r="K244" s="27" t="s">
        <v>446</v>
      </c>
      <c r="L244" s="27" t="n">
        <v>4</v>
      </c>
      <c r="M244" s="27" t="s">
        <v>41</v>
      </c>
      <c r="N244" s="27" t="s">
        <v>2336</v>
      </c>
      <c r="O244" s="27" t="s">
        <v>50</v>
      </c>
      <c r="P244" s="27" t="s">
        <v>54</v>
      </c>
      <c r="Q244" s="27" t="n">
        <v>0</v>
      </c>
      <c r="R244" s="27"/>
      <c r="S244" s="27" t="s">
        <v>41</v>
      </c>
      <c r="T244" s="27"/>
      <c r="U244" s="27"/>
      <c r="V244" s="27"/>
      <c r="W244" s="27"/>
      <c r="X244" s="27"/>
      <c r="Y244" s="27" t="s">
        <v>41</v>
      </c>
      <c r="Z244" s="27" t="n">
        <v>-7.2064105</v>
      </c>
      <c r="AA244" s="27" t="n">
        <v>-48.2431115</v>
      </c>
      <c r="AB244" s="37" t="s">
        <v>2338</v>
      </c>
      <c r="AC244" s="27" t="s">
        <v>2339</v>
      </c>
    </row>
    <row r="245" customFormat="false" ht="15" hidden="false" customHeight="false" outlineLevel="0" collapsed="false">
      <c r="A245" s="27" t="n">
        <v>244</v>
      </c>
      <c r="B245" s="27" t="s">
        <v>1130</v>
      </c>
      <c r="C245" s="27" t="s">
        <v>2618</v>
      </c>
      <c r="D245" s="27" t="s">
        <v>1106</v>
      </c>
      <c r="E245" s="27" t="s">
        <v>1131</v>
      </c>
      <c r="F245" s="32" t="n">
        <v>58.5206708337037</v>
      </c>
      <c r="G245" s="28" t="n">
        <v>1614.41971906587</v>
      </c>
      <c r="H245" s="28" t="n">
        <v>1614.41971906587</v>
      </c>
      <c r="I245" s="5" t="s">
        <v>22</v>
      </c>
      <c r="J245" s="27" t="s">
        <v>303</v>
      </c>
      <c r="K245" s="27" t="s">
        <v>446</v>
      </c>
      <c r="L245" s="27" t="n">
        <v>4</v>
      </c>
      <c r="M245" s="27" t="s">
        <v>41</v>
      </c>
      <c r="N245" s="27" t="s">
        <v>2336</v>
      </c>
      <c r="O245" s="27" t="s">
        <v>50</v>
      </c>
      <c r="P245" s="27" t="s">
        <v>54</v>
      </c>
      <c r="Q245" s="27" t="n">
        <v>0</v>
      </c>
      <c r="R245" s="27"/>
      <c r="S245" s="27" t="s">
        <v>41</v>
      </c>
      <c r="T245" s="27"/>
      <c r="U245" s="27"/>
      <c r="V245" s="27"/>
      <c r="W245" s="27"/>
      <c r="X245" s="27"/>
      <c r="Y245" s="27" t="s">
        <v>41</v>
      </c>
      <c r="Z245" s="27" t="n">
        <v>-7.2064415</v>
      </c>
      <c r="AA245" s="27" t="n">
        <v>-48.2428355</v>
      </c>
      <c r="AB245" s="37" t="s">
        <v>2338</v>
      </c>
      <c r="AC245" s="27" t="s">
        <v>2339</v>
      </c>
    </row>
    <row r="246" customFormat="false" ht="15" hidden="false" customHeight="false" outlineLevel="0" collapsed="false">
      <c r="A246" s="27" t="n">
        <v>245</v>
      </c>
      <c r="B246" s="27" t="s">
        <v>1132</v>
      </c>
      <c r="C246" s="27" t="s">
        <v>2619</v>
      </c>
      <c r="D246" s="27" t="s">
        <v>1131</v>
      </c>
      <c r="E246" s="27" t="s">
        <v>1133</v>
      </c>
      <c r="F246" s="32" t="n">
        <v>3.21440350964108</v>
      </c>
      <c r="G246" s="28" t="n">
        <v>1617.63412257551</v>
      </c>
      <c r="H246" s="28" t="n">
        <v>1617.63412257551</v>
      </c>
      <c r="I246" s="5" t="s">
        <v>22</v>
      </c>
      <c r="J246" s="27" t="s">
        <v>303</v>
      </c>
      <c r="K246" s="27" t="s">
        <v>446</v>
      </c>
      <c r="L246" s="27" t="n">
        <v>4</v>
      </c>
      <c r="M246" s="27" t="s">
        <v>41</v>
      </c>
      <c r="N246" s="27" t="s">
        <v>2336</v>
      </c>
      <c r="O246" s="27" t="s">
        <v>50</v>
      </c>
      <c r="P246" s="27" t="s">
        <v>54</v>
      </c>
      <c r="Q246" s="27" t="n">
        <v>0</v>
      </c>
      <c r="R246" s="27"/>
      <c r="S246" s="27" t="s">
        <v>41</v>
      </c>
      <c r="T246" s="27"/>
      <c r="U246" s="27"/>
      <c r="V246" s="27"/>
      <c r="W246" s="27"/>
      <c r="X246" s="27"/>
      <c r="Y246" s="27" t="s">
        <v>41</v>
      </c>
      <c r="Z246" s="27" t="n">
        <v>-7.206532</v>
      </c>
      <c r="AA246" s="27" t="n">
        <v>-48.242571</v>
      </c>
      <c r="AB246" s="37" t="s">
        <v>2338</v>
      </c>
      <c r="AC246" s="27" t="s">
        <v>2339</v>
      </c>
    </row>
    <row r="247" customFormat="false" ht="15" hidden="false" customHeight="false" outlineLevel="0" collapsed="false">
      <c r="A247" s="27" t="n">
        <v>246</v>
      </c>
      <c r="B247" s="27" t="s">
        <v>1134</v>
      </c>
      <c r="C247" s="27" t="s">
        <v>2620</v>
      </c>
      <c r="D247" s="27" t="s">
        <v>1133</v>
      </c>
      <c r="E247" s="27" t="s">
        <v>1135</v>
      </c>
      <c r="F247" s="32" t="n">
        <v>70.7486793515429</v>
      </c>
      <c r="G247" s="28" t="n">
        <v>1688.38280192705</v>
      </c>
      <c r="H247" s="28" t="n">
        <v>1688.38280192705</v>
      </c>
      <c r="I247" s="5" t="s">
        <v>22</v>
      </c>
      <c r="J247" s="27" t="s">
        <v>303</v>
      </c>
      <c r="K247" s="27" t="s">
        <v>446</v>
      </c>
      <c r="L247" s="27" t="n">
        <v>4</v>
      </c>
      <c r="M247" s="27" t="s">
        <v>41</v>
      </c>
      <c r="N247" s="27" t="s">
        <v>2336</v>
      </c>
      <c r="O247" s="27" t="s">
        <v>50</v>
      </c>
      <c r="P247" s="27" t="s">
        <v>54</v>
      </c>
      <c r="Q247" s="27" t="n">
        <v>0</v>
      </c>
      <c r="R247" s="27"/>
      <c r="S247" s="27" t="s">
        <v>41</v>
      </c>
      <c r="T247" s="27"/>
      <c r="U247" s="27"/>
      <c r="V247" s="27"/>
      <c r="W247" s="27"/>
      <c r="X247" s="27"/>
      <c r="Y247" s="27" t="s">
        <v>41</v>
      </c>
      <c r="Z247" s="27" t="n">
        <v>-7.2066295</v>
      </c>
      <c r="AA247" s="27" t="n">
        <v>-48.2422505</v>
      </c>
      <c r="AB247" s="37" t="s">
        <v>2338</v>
      </c>
      <c r="AC247" s="27" t="s">
        <v>2339</v>
      </c>
    </row>
    <row r="248" customFormat="false" ht="15" hidden="false" customHeight="false" outlineLevel="0" collapsed="false">
      <c r="A248" s="27" t="n">
        <v>247</v>
      </c>
      <c r="B248" s="27" t="s">
        <v>1136</v>
      </c>
      <c r="C248" s="27" t="s">
        <v>2621</v>
      </c>
      <c r="D248" s="27" t="s">
        <v>1098</v>
      </c>
      <c r="E248" s="27" t="s">
        <v>1137</v>
      </c>
      <c r="F248" s="32" t="n">
        <v>7.12189441804431</v>
      </c>
      <c r="G248" s="28" t="n">
        <v>1422.47348848412</v>
      </c>
      <c r="H248" s="28" t="n">
        <v>1422.47348848412</v>
      </c>
      <c r="I248" s="5" t="s">
        <v>22</v>
      </c>
      <c r="J248" s="27" t="s">
        <v>303</v>
      </c>
      <c r="K248" s="27" t="s">
        <v>446</v>
      </c>
      <c r="L248" s="27" t="n">
        <v>4</v>
      </c>
      <c r="M248" s="27" t="s">
        <v>41</v>
      </c>
      <c r="N248" s="27" t="s">
        <v>2336</v>
      </c>
      <c r="O248" s="27" t="s">
        <v>50</v>
      </c>
      <c r="P248" s="27" t="s">
        <v>70</v>
      </c>
      <c r="Q248" s="27" t="n">
        <v>1</v>
      </c>
      <c r="R248" s="27"/>
      <c r="S248" s="27" t="s">
        <v>41</v>
      </c>
      <c r="T248" s="27"/>
      <c r="U248" s="27"/>
      <c r="V248" s="27"/>
      <c r="W248" s="27"/>
      <c r="X248" s="27"/>
      <c r="Y248" s="27" t="s">
        <v>41</v>
      </c>
      <c r="Z248" s="27" t="n">
        <v>-7.205194</v>
      </c>
      <c r="AA248" s="27" t="n">
        <v>-48.2425825</v>
      </c>
      <c r="AB248" s="37" t="s">
        <v>2338</v>
      </c>
      <c r="AC248" s="27" t="s">
        <v>2339</v>
      </c>
    </row>
    <row r="249" customFormat="false" ht="15" hidden="false" customHeight="false" outlineLevel="0" collapsed="false">
      <c r="A249" s="27" t="n">
        <v>248</v>
      </c>
      <c r="B249" s="27" t="s">
        <v>1138</v>
      </c>
      <c r="C249" s="27" t="s">
        <v>2622</v>
      </c>
      <c r="D249" s="27" t="s">
        <v>1137</v>
      </c>
      <c r="E249" s="27" t="s">
        <v>1139</v>
      </c>
      <c r="F249" s="32" t="n">
        <v>24.6610002882323</v>
      </c>
      <c r="G249" s="28" t="n">
        <v>1447.13448877236</v>
      </c>
      <c r="H249" s="28" t="n">
        <v>1447.13448877236</v>
      </c>
      <c r="I249" s="5" t="s">
        <v>22</v>
      </c>
      <c r="J249" s="27" t="s">
        <v>303</v>
      </c>
      <c r="K249" s="27" t="s">
        <v>446</v>
      </c>
      <c r="L249" s="27" t="n">
        <v>4</v>
      </c>
      <c r="M249" s="27" t="s">
        <v>41</v>
      </c>
      <c r="N249" s="27" t="s">
        <v>2336</v>
      </c>
      <c r="O249" s="27" t="s">
        <v>50</v>
      </c>
      <c r="P249" s="27" t="s">
        <v>70</v>
      </c>
      <c r="Q249" s="27" t="n">
        <v>1</v>
      </c>
      <c r="R249" s="27"/>
      <c r="S249" s="27" t="s">
        <v>41</v>
      </c>
      <c r="T249" s="27"/>
      <c r="U249" s="27"/>
      <c r="V249" s="27"/>
      <c r="W249" s="27"/>
      <c r="X249" s="27"/>
      <c r="Y249" s="27" t="s">
        <v>41</v>
      </c>
      <c r="Z249" s="27" t="n">
        <v>-7.2051335</v>
      </c>
      <c r="AA249" s="27" t="n">
        <v>-48.242713</v>
      </c>
      <c r="AB249" s="37" t="s">
        <v>2338</v>
      </c>
      <c r="AC249" s="27" t="s">
        <v>2339</v>
      </c>
    </row>
    <row r="250" customFormat="false" ht="15" hidden="false" customHeight="false" outlineLevel="0" collapsed="false">
      <c r="A250" s="27" t="n">
        <v>249</v>
      </c>
      <c r="B250" s="27" t="s">
        <v>1140</v>
      </c>
      <c r="C250" s="27" t="s">
        <v>2623</v>
      </c>
      <c r="D250" s="27" t="s">
        <v>1139</v>
      </c>
      <c r="E250" s="27" t="s">
        <v>1141</v>
      </c>
      <c r="F250" s="32" t="n">
        <v>12.9006498716003</v>
      </c>
      <c r="G250" s="28" t="n">
        <v>1460.03513864396</v>
      </c>
      <c r="H250" s="28" t="n">
        <v>1460.03513864396</v>
      </c>
      <c r="I250" s="5" t="s">
        <v>22</v>
      </c>
      <c r="J250" s="27" t="s">
        <v>303</v>
      </c>
      <c r="K250" s="27" t="s">
        <v>446</v>
      </c>
      <c r="L250" s="27" t="n">
        <v>4</v>
      </c>
      <c r="M250" s="27" t="s">
        <v>41</v>
      </c>
      <c r="N250" s="27" t="s">
        <v>2336</v>
      </c>
      <c r="O250" s="27" t="s">
        <v>50</v>
      </c>
      <c r="P250" s="27" t="s">
        <v>54</v>
      </c>
      <c r="Q250" s="27" t="n">
        <v>0</v>
      </c>
      <c r="R250" s="27"/>
      <c r="S250" s="27" t="s">
        <v>41</v>
      </c>
      <c r="T250" s="27"/>
      <c r="U250" s="27"/>
      <c r="V250" s="27"/>
      <c r="W250" s="27"/>
      <c r="X250" s="27"/>
      <c r="Y250" s="27" t="s">
        <v>41</v>
      </c>
      <c r="Z250" s="27" t="n">
        <v>-7.2050615</v>
      </c>
      <c r="AA250" s="27" t="n">
        <v>-48.242867</v>
      </c>
      <c r="AB250" s="37" t="s">
        <v>2338</v>
      </c>
      <c r="AC250" s="27" t="s">
        <v>2339</v>
      </c>
    </row>
    <row r="251" customFormat="false" ht="15" hidden="false" customHeight="false" outlineLevel="0" collapsed="false">
      <c r="A251" s="27" t="n">
        <v>250</v>
      </c>
      <c r="B251" s="27" t="s">
        <v>1142</v>
      </c>
      <c r="C251" s="27" t="s">
        <v>2624</v>
      </c>
      <c r="D251" s="27" t="s">
        <v>1139</v>
      </c>
      <c r="E251" s="27" t="s">
        <v>1143</v>
      </c>
      <c r="F251" s="32" t="n">
        <v>0.744743951953938</v>
      </c>
      <c r="G251" s="28" t="n">
        <v>1447.87923272431</v>
      </c>
      <c r="H251" s="28" t="n">
        <v>1447.87923272431</v>
      </c>
      <c r="I251" s="5" t="s">
        <v>22</v>
      </c>
      <c r="J251" s="27" t="s">
        <v>303</v>
      </c>
      <c r="K251" s="27" t="s">
        <v>446</v>
      </c>
      <c r="L251" s="27" t="n">
        <v>4</v>
      </c>
      <c r="M251" s="27" t="s">
        <v>41</v>
      </c>
      <c r="N251" s="27" t="s">
        <v>2336</v>
      </c>
      <c r="O251" s="27" t="s">
        <v>50</v>
      </c>
      <c r="P251" s="27" t="s">
        <v>70</v>
      </c>
      <c r="Q251" s="27" t="n">
        <v>1</v>
      </c>
      <c r="R251" s="27"/>
      <c r="S251" s="27" t="s">
        <v>41</v>
      </c>
      <c r="T251" s="27"/>
      <c r="U251" s="27"/>
      <c r="V251" s="27"/>
      <c r="W251" s="27"/>
      <c r="X251" s="27"/>
      <c r="Y251" s="27" t="s">
        <v>41</v>
      </c>
      <c r="Z251" s="27" t="n">
        <v>-7.205089</v>
      </c>
      <c r="AA251" s="27" t="n">
        <v>-48.2428155</v>
      </c>
      <c r="AB251" s="37" t="s">
        <v>2338</v>
      </c>
      <c r="AC251" s="27" t="s">
        <v>2339</v>
      </c>
    </row>
    <row r="252" customFormat="false" ht="15" hidden="false" customHeight="false" outlineLevel="0" collapsed="false">
      <c r="A252" s="27" t="n">
        <v>251</v>
      </c>
      <c r="B252" s="27" t="s">
        <v>1144</v>
      </c>
      <c r="C252" s="27" t="s">
        <v>2625</v>
      </c>
      <c r="D252" s="27" t="s">
        <v>1098</v>
      </c>
      <c r="E252" s="27" t="s">
        <v>1145</v>
      </c>
      <c r="F252" s="32" t="n">
        <v>28.8601352367615</v>
      </c>
      <c r="G252" s="28" t="n">
        <v>1444.21172930284</v>
      </c>
      <c r="H252" s="28" t="n">
        <v>1444.21172930284</v>
      </c>
      <c r="I252" s="5" t="s">
        <v>22</v>
      </c>
      <c r="J252" s="27" t="s">
        <v>303</v>
      </c>
      <c r="K252" s="27" t="s">
        <v>446</v>
      </c>
      <c r="L252" s="27" t="n">
        <v>4</v>
      </c>
      <c r="M252" s="27" t="s">
        <v>41</v>
      </c>
      <c r="N252" s="27" t="s">
        <v>2336</v>
      </c>
      <c r="O252" s="27" t="s">
        <v>50</v>
      </c>
      <c r="P252" s="27" t="s">
        <v>54</v>
      </c>
      <c r="Q252" s="27" t="n">
        <v>0</v>
      </c>
      <c r="R252" s="27"/>
      <c r="S252" s="27" t="s">
        <v>41</v>
      </c>
      <c r="T252" s="27"/>
      <c r="U252" s="27"/>
      <c r="V252" s="27"/>
      <c r="W252" s="27"/>
      <c r="X252" s="27"/>
      <c r="Y252" s="27" t="s">
        <v>41</v>
      </c>
      <c r="Z252" s="27" t="n">
        <v>-7.205263</v>
      </c>
      <c r="AA252" s="27" t="n">
        <v>-48.242435</v>
      </c>
      <c r="AB252" s="37" t="s">
        <v>2338</v>
      </c>
      <c r="AC252" s="27" t="s">
        <v>2339</v>
      </c>
    </row>
    <row r="253" customFormat="false" ht="15" hidden="false" customHeight="false" outlineLevel="0" collapsed="false">
      <c r="A253" s="27" t="n">
        <v>252</v>
      </c>
      <c r="B253" s="27" t="s">
        <v>1146</v>
      </c>
      <c r="C253" s="27" t="s">
        <v>2626</v>
      </c>
      <c r="D253" s="27" t="s">
        <v>1066</v>
      </c>
      <c r="E253" s="27" t="s">
        <v>1147</v>
      </c>
      <c r="F253" s="32" t="n">
        <v>2.24629863469536</v>
      </c>
      <c r="G253" s="28" t="n">
        <v>951.055890579293</v>
      </c>
      <c r="H253" s="28" t="n">
        <v>951.055890579293</v>
      </c>
      <c r="I253" s="5" t="s">
        <v>22</v>
      </c>
      <c r="J253" s="27" t="s">
        <v>303</v>
      </c>
      <c r="K253" s="27" t="s">
        <v>446</v>
      </c>
      <c r="L253" s="27" t="n">
        <v>4</v>
      </c>
      <c r="M253" s="27" t="s">
        <v>41</v>
      </c>
      <c r="N253" s="27" t="s">
        <v>2336</v>
      </c>
      <c r="O253" s="27" t="s">
        <v>50</v>
      </c>
      <c r="P253" s="27" t="s">
        <v>54</v>
      </c>
      <c r="Q253" s="27" t="n">
        <v>0</v>
      </c>
      <c r="R253" s="27"/>
      <c r="S253" s="27" t="s">
        <v>41</v>
      </c>
      <c r="T253" s="27"/>
      <c r="U253" s="27"/>
      <c r="V253" s="27"/>
      <c r="W253" s="27"/>
      <c r="X253" s="27"/>
      <c r="Y253" s="27" t="s">
        <v>41</v>
      </c>
      <c r="Z253" s="27" t="n">
        <v>-7.2014115</v>
      </c>
      <c r="AA253" s="27" t="n">
        <v>-48.2407745</v>
      </c>
      <c r="AB253" s="37" t="s">
        <v>2338</v>
      </c>
      <c r="AC253" s="27" t="s">
        <v>2339</v>
      </c>
    </row>
    <row r="254" customFormat="false" ht="15" hidden="false" customHeight="false" outlineLevel="0" collapsed="false">
      <c r="A254" s="27" t="n">
        <v>253</v>
      </c>
      <c r="B254" s="27" t="s">
        <v>1148</v>
      </c>
      <c r="C254" s="27" t="s">
        <v>2627</v>
      </c>
      <c r="D254" s="27" t="s">
        <v>1147</v>
      </c>
      <c r="E254" s="27" t="s">
        <v>1149</v>
      </c>
      <c r="F254" s="32" t="n">
        <v>15.0460299639741</v>
      </c>
      <c r="G254" s="28" t="n">
        <v>966.101920543267</v>
      </c>
      <c r="H254" s="28" t="n">
        <v>966.101920543267</v>
      </c>
      <c r="I254" s="5" t="s">
        <v>22</v>
      </c>
      <c r="J254" s="27" t="s">
        <v>303</v>
      </c>
      <c r="K254" s="27" t="s">
        <v>446</v>
      </c>
      <c r="L254" s="27" t="n">
        <v>4</v>
      </c>
      <c r="M254" s="27" t="s">
        <v>41</v>
      </c>
      <c r="N254" s="27" t="s">
        <v>2336</v>
      </c>
      <c r="O254" s="27" t="s">
        <v>50</v>
      </c>
      <c r="P254" s="27" t="s">
        <v>54</v>
      </c>
      <c r="Q254" s="27" t="n">
        <v>0</v>
      </c>
      <c r="R254" s="27"/>
      <c r="S254" s="27" t="s">
        <v>41</v>
      </c>
      <c r="T254" s="27"/>
      <c r="U254" s="27"/>
      <c r="V254" s="27"/>
      <c r="W254" s="27"/>
      <c r="X254" s="27"/>
      <c r="Y254" s="27" t="s">
        <v>41</v>
      </c>
      <c r="Z254" s="27" t="n">
        <v>-7.2014755</v>
      </c>
      <c r="AA254" s="27" t="n">
        <v>-48.240819</v>
      </c>
      <c r="AB254" s="37" t="s">
        <v>2338</v>
      </c>
      <c r="AC254" s="27" t="s">
        <v>2339</v>
      </c>
    </row>
    <row r="255" customFormat="false" ht="15" hidden="false" customHeight="false" outlineLevel="0" collapsed="false">
      <c r="A255" s="27" t="n">
        <v>254</v>
      </c>
      <c r="B255" s="27" t="s">
        <v>1150</v>
      </c>
      <c r="C255" s="27" t="s">
        <v>2628</v>
      </c>
      <c r="D255" s="27" t="s">
        <v>1149</v>
      </c>
      <c r="E255" s="27" t="s">
        <v>1151</v>
      </c>
      <c r="F255" s="32" t="n">
        <v>2.59750667023872</v>
      </c>
      <c r="G255" s="28" t="n">
        <v>968.699427213506</v>
      </c>
      <c r="H255" s="28" t="n">
        <v>968.699427213506</v>
      </c>
      <c r="I255" s="5" t="s">
        <v>22</v>
      </c>
      <c r="J255" s="27" t="s">
        <v>303</v>
      </c>
      <c r="K255" s="27" t="s">
        <v>446</v>
      </c>
      <c r="L255" s="27" t="n">
        <v>4</v>
      </c>
      <c r="M255" s="27" t="s">
        <v>41</v>
      </c>
      <c r="N255" s="27" t="s">
        <v>2336</v>
      </c>
      <c r="O255" s="27" t="s">
        <v>50</v>
      </c>
      <c r="P255" s="27" t="s">
        <v>54</v>
      </c>
      <c r="Q255" s="27" t="n">
        <v>0</v>
      </c>
      <c r="R255" s="27"/>
      <c r="S255" s="27" t="s">
        <v>41</v>
      </c>
      <c r="T255" s="27"/>
      <c r="U255" s="27"/>
      <c r="V255" s="27"/>
      <c r="W255" s="27"/>
      <c r="X255" s="27"/>
      <c r="Y255" s="27" t="s">
        <v>41</v>
      </c>
      <c r="Z255" s="27" t="n">
        <v>-7.2015285</v>
      </c>
      <c r="AA255" s="27" t="n">
        <v>-48.2408695</v>
      </c>
      <c r="AB255" s="37" t="s">
        <v>2338</v>
      </c>
      <c r="AC255" s="27" t="s">
        <v>2339</v>
      </c>
    </row>
    <row r="256" customFormat="false" ht="15" hidden="false" customHeight="false" outlineLevel="0" collapsed="false">
      <c r="A256" s="27" t="n">
        <v>255</v>
      </c>
      <c r="B256" s="27" t="s">
        <v>1152</v>
      </c>
      <c r="C256" s="27" t="s">
        <v>2629</v>
      </c>
      <c r="D256" s="27" t="s">
        <v>1151</v>
      </c>
      <c r="E256" s="27" t="s">
        <v>1153</v>
      </c>
      <c r="F256" s="32" t="n">
        <v>130.221952202127</v>
      </c>
      <c r="G256" s="28" t="n">
        <v>1098.92137941563</v>
      </c>
      <c r="H256" s="28" t="n">
        <v>1098.92137941563</v>
      </c>
      <c r="I256" s="5" t="s">
        <v>22</v>
      </c>
      <c r="J256" s="27" t="s">
        <v>303</v>
      </c>
      <c r="K256" s="27" t="s">
        <v>446</v>
      </c>
      <c r="L256" s="27" t="n">
        <v>4</v>
      </c>
      <c r="M256" s="27" t="s">
        <v>41</v>
      </c>
      <c r="N256" s="27" t="s">
        <v>2336</v>
      </c>
      <c r="O256" s="27" t="s">
        <v>50</v>
      </c>
      <c r="P256" s="27" t="s">
        <v>54</v>
      </c>
      <c r="Q256" s="27" t="n">
        <v>0</v>
      </c>
      <c r="R256" s="27"/>
      <c r="S256" s="27" t="s">
        <v>41</v>
      </c>
      <c r="T256" s="27"/>
      <c r="U256" s="27"/>
      <c r="V256" s="27"/>
      <c r="W256" s="27"/>
      <c r="X256" s="27"/>
      <c r="Y256" s="27" t="s">
        <v>41</v>
      </c>
      <c r="Z256" s="27" t="n">
        <v>-7.2012745</v>
      </c>
      <c r="AA256" s="27" t="n">
        <v>-48.241414</v>
      </c>
      <c r="AB256" s="37" t="s">
        <v>2338</v>
      </c>
      <c r="AC256" s="27" t="s">
        <v>2339</v>
      </c>
    </row>
    <row r="257" customFormat="false" ht="15" hidden="false" customHeight="false" outlineLevel="0" collapsed="false">
      <c r="A257" s="27" t="n">
        <v>256</v>
      </c>
      <c r="B257" s="27" t="s">
        <v>1154</v>
      </c>
      <c r="C257" s="27" t="s">
        <v>2630</v>
      </c>
      <c r="D257" s="27" t="s">
        <v>1153</v>
      </c>
      <c r="E257" s="27" t="s">
        <v>1155</v>
      </c>
      <c r="F257" s="32" t="n">
        <v>32.9164315468673</v>
      </c>
      <c r="G257" s="28" t="n">
        <v>1131.8378109625</v>
      </c>
      <c r="H257" s="28" t="n">
        <v>1131.8378109625</v>
      </c>
      <c r="I257" s="5" t="s">
        <v>22</v>
      </c>
      <c r="J257" s="27" t="s">
        <v>303</v>
      </c>
      <c r="K257" s="27" t="s">
        <v>446</v>
      </c>
      <c r="L257" s="27" t="n">
        <v>4</v>
      </c>
      <c r="M257" s="27" t="s">
        <v>41</v>
      </c>
      <c r="N257" s="27" t="s">
        <v>2336</v>
      </c>
      <c r="O257" s="27" t="s">
        <v>50</v>
      </c>
      <c r="P257" s="27" t="s">
        <v>54</v>
      </c>
      <c r="Q257" s="27" t="n">
        <v>0</v>
      </c>
      <c r="R257" s="27"/>
      <c r="S257" s="27" t="s">
        <v>41</v>
      </c>
      <c r="T257" s="27"/>
      <c r="U257" s="27"/>
      <c r="V257" s="27"/>
      <c r="W257" s="27"/>
      <c r="X257" s="27"/>
      <c r="Y257" s="27" t="s">
        <v>41</v>
      </c>
      <c r="Z257" s="27" t="n">
        <v>-7.20096</v>
      </c>
      <c r="AA257" s="27" t="n">
        <v>-48.242082</v>
      </c>
      <c r="AB257" s="37" t="s">
        <v>2338</v>
      </c>
      <c r="AC257" s="27" t="s">
        <v>2339</v>
      </c>
    </row>
    <row r="258" customFormat="false" ht="15" hidden="false" customHeight="false" outlineLevel="0" collapsed="false">
      <c r="A258" s="27" t="n">
        <v>257</v>
      </c>
      <c r="B258" s="27" t="s">
        <v>1156</v>
      </c>
      <c r="C258" s="27" t="s">
        <v>2631</v>
      </c>
      <c r="D258" s="27" t="s">
        <v>1023</v>
      </c>
      <c r="E258" s="27" t="s">
        <v>1157</v>
      </c>
      <c r="F258" s="32" t="n">
        <v>11.9673108297483</v>
      </c>
      <c r="G258" s="28" t="n">
        <v>741.674189779921</v>
      </c>
      <c r="H258" s="28" t="n">
        <v>741.674189779921</v>
      </c>
      <c r="I258" s="5" t="s">
        <v>22</v>
      </c>
      <c r="J258" s="27" t="s">
        <v>303</v>
      </c>
      <c r="K258" s="27" t="s">
        <v>446</v>
      </c>
      <c r="L258" s="27" t="n">
        <v>4</v>
      </c>
      <c r="M258" s="27" t="s">
        <v>41</v>
      </c>
      <c r="N258" s="27" t="s">
        <v>2336</v>
      </c>
      <c r="O258" s="27" t="s">
        <v>50</v>
      </c>
      <c r="P258" s="27" t="s">
        <v>54</v>
      </c>
      <c r="Q258" s="27" t="n">
        <v>0</v>
      </c>
      <c r="R258" s="27"/>
      <c r="S258" s="27" t="s">
        <v>41</v>
      </c>
      <c r="T258" s="27"/>
      <c r="U258" s="27"/>
      <c r="V258" s="27"/>
      <c r="W258" s="27"/>
      <c r="X258" s="27"/>
      <c r="Y258" s="27" t="s">
        <v>41</v>
      </c>
      <c r="Z258" s="27" t="n">
        <v>-7.19964</v>
      </c>
      <c r="AA258" s="27" t="n">
        <v>-48.2398785</v>
      </c>
      <c r="AB258" s="37" t="s">
        <v>2338</v>
      </c>
      <c r="AC258" s="27" t="s">
        <v>2339</v>
      </c>
    </row>
    <row r="259" customFormat="false" ht="15" hidden="false" customHeight="false" outlineLevel="0" collapsed="false">
      <c r="A259" s="27" t="n">
        <v>258</v>
      </c>
      <c r="B259" s="27" t="s">
        <v>1158</v>
      </c>
      <c r="C259" s="27" t="s">
        <v>2632</v>
      </c>
      <c r="D259" s="27" t="s">
        <v>1015</v>
      </c>
      <c r="E259" s="27" t="s">
        <v>1159</v>
      </c>
      <c r="F259" s="32" t="n">
        <v>21.4572515308698</v>
      </c>
      <c r="G259" s="28" t="n">
        <v>411.244573075078</v>
      </c>
      <c r="H259" s="28" t="n">
        <v>411.244573075078</v>
      </c>
      <c r="I259" s="5" t="s">
        <v>22</v>
      </c>
      <c r="J259" s="27" t="s">
        <v>303</v>
      </c>
      <c r="K259" s="27" t="s">
        <v>446</v>
      </c>
      <c r="L259" s="27" t="n">
        <v>4</v>
      </c>
      <c r="M259" s="27" t="s">
        <v>41</v>
      </c>
      <c r="N259" s="27" t="s">
        <v>2336</v>
      </c>
      <c r="O259" s="27" t="s">
        <v>50</v>
      </c>
      <c r="P259" s="27" t="s">
        <v>54</v>
      </c>
      <c r="Q259" s="27" t="n">
        <v>0</v>
      </c>
      <c r="R259" s="27"/>
      <c r="S259" s="27" t="s">
        <v>41</v>
      </c>
      <c r="T259" s="27"/>
      <c r="U259" s="27"/>
      <c r="V259" s="27"/>
      <c r="W259" s="27"/>
      <c r="X259" s="27"/>
      <c r="Y259" s="27" t="s">
        <v>41</v>
      </c>
      <c r="Z259" s="27" t="n">
        <v>-7.196809</v>
      </c>
      <c r="AA259" s="27" t="n">
        <v>-48.2387135</v>
      </c>
      <c r="AB259" s="37" t="s">
        <v>2338</v>
      </c>
      <c r="AC259" s="27" t="s">
        <v>2339</v>
      </c>
    </row>
    <row r="260" customFormat="false" ht="15" hidden="false" customHeight="false" outlineLevel="0" collapsed="false">
      <c r="A260" s="27" t="n">
        <v>259</v>
      </c>
      <c r="B260" s="27" t="s">
        <v>1160</v>
      </c>
      <c r="C260" s="27" t="s">
        <v>2633</v>
      </c>
      <c r="D260" s="27" t="s">
        <v>645</v>
      </c>
      <c r="E260" s="27" t="s">
        <v>1161</v>
      </c>
      <c r="F260" s="32" t="n">
        <v>140.807039062121</v>
      </c>
      <c r="G260" s="28" t="n">
        <v>437.67056732634</v>
      </c>
      <c r="H260" s="28" t="n">
        <v>437.67056732634</v>
      </c>
      <c r="I260" s="5" t="s">
        <v>22</v>
      </c>
      <c r="J260" s="27" t="s">
        <v>303</v>
      </c>
      <c r="K260" s="27" t="s">
        <v>446</v>
      </c>
      <c r="L260" s="27" t="n">
        <v>4</v>
      </c>
      <c r="M260" s="27" t="s">
        <v>41</v>
      </c>
      <c r="N260" s="27" t="s">
        <v>2336</v>
      </c>
      <c r="O260" s="27" t="s">
        <v>50</v>
      </c>
      <c r="P260" s="27" t="s">
        <v>54</v>
      </c>
      <c r="Q260" s="27" t="n">
        <v>0</v>
      </c>
      <c r="R260" s="27"/>
      <c r="S260" s="27" t="s">
        <v>41</v>
      </c>
      <c r="T260" s="27"/>
      <c r="U260" s="27"/>
      <c r="V260" s="27"/>
      <c r="W260" s="27"/>
      <c r="X260" s="27"/>
      <c r="Y260" s="27" t="s">
        <v>41</v>
      </c>
      <c r="Z260" s="27" t="n">
        <v>-7.19775</v>
      </c>
      <c r="AA260" s="27" t="n">
        <v>-48.2381935</v>
      </c>
      <c r="AB260" s="37" t="s">
        <v>2338</v>
      </c>
      <c r="AC260" s="27" t="s">
        <v>2339</v>
      </c>
    </row>
    <row r="261" customFormat="false" ht="15" hidden="false" customHeight="false" outlineLevel="0" collapsed="false">
      <c r="A261" s="27" t="n">
        <v>260</v>
      </c>
      <c r="B261" s="27" t="s">
        <v>1162</v>
      </c>
      <c r="C261" s="27" t="s">
        <v>2634</v>
      </c>
      <c r="D261" s="27" t="s">
        <v>1053</v>
      </c>
      <c r="E261" s="27" t="s">
        <v>1163</v>
      </c>
      <c r="F261" s="32" t="n">
        <v>7.21678510133748</v>
      </c>
      <c r="G261" s="28" t="n">
        <v>2005.26840731337</v>
      </c>
      <c r="H261" s="28" t="n">
        <v>7.21678510133756</v>
      </c>
      <c r="I261" s="7" t="s">
        <v>24</v>
      </c>
      <c r="J261" s="27" t="s">
        <v>303</v>
      </c>
      <c r="K261" s="27" t="s">
        <v>446</v>
      </c>
      <c r="L261" s="27" t="n">
        <v>5</v>
      </c>
      <c r="M261" s="27" t="s">
        <v>52</v>
      </c>
      <c r="N261" s="27" t="s">
        <v>2635</v>
      </c>
      <c r="O261" s="27" t="s">
        <v>53</v>
      </c>
      <c r="P261" s="27" t="s">
        <v>54</v>
      </c>
      <c r="Q261" s="27" t="n">
        <v>0</v>
      </c>
      <c r="R261" s="27"/>
      <c r="S261" s="27" t="s">
        <v>41</v>
      </c>
      <c r="T261" s="27" t="s">
        <v>52</v>
      </c>
      <c r="U261" s="27"/>
      <c r="V261" s="27"/>
      <c r="W261" s="27"/>
      <c r="X261" s="27"/>
      <c r="Y261" s="27" t="s">
        <v>2636</v>
      </c>
      <c r="Z261" s="27" t="n">
        <v>-7.2000485</v>
      </c>
      <c r="AA261" s="27" t="n">
        <v>-48.2505515</v>
      </c>
      <c r="AB261" s="37" t="s">
        <v>2338</v>
      </c>
      <c r="AC261" s="27" t="s">
        <v>2637</v>
      </c>
    </row>
    <row r="262" customFormat="false" ht="15" hidden="false" customHeight="false" outlineLevel="0" collapsed="false">
      <c r="A262" s="27" t="n">
        <v>261</v>
      </c>
      <c r="B262" s="27" t="s">
        <v>1164</v>
      </c>
      <c r="C262" s="27" t="s">
        <v>2638</v>
      </c>
      <c r="D262" s="27" t="s">
        <v>1163</v>
      </c>
      <c r="E262" s="27" t="s">
        <v>1165</v>
      </c>
      <c r="F262" s="32" t="n">
        <v>19.0384653735348</v>
      </c>
      <c r="G262" s="28" t="n">
        <v>2024.30687268691</v>
      </c>
      <c r="H262" s="28" t="n">
        <v>26.2552504748724</v>
      </c>
      <c r="I262" s="7" t="s">
        <v>24</v>
      </c>
      <c r="J262" s="27" t="s">
        <v>303</v>
      </c>
      <c r="K262" s="27" t="s">
        <v>446</v>
      </c>
      <c r="L262" s="27" t="n">
        <v>5</v>
      </c>
      <c r="M262" s="27" t="s">
        <v>52</v>
      </c>
      <c r="N262" s="27" t="s">
        <v>2635</v>
      </c>
      <c r="O262" s="27" t="s">
        <v>53</v>
      </c>
      <c r="P262" s="27" t="s">
        <v>54</v>
      </c>
      <c r="Q262" s="27" t="n">
        <v>0</v>
      </c>
      <c r="R262" s="27"/>
      <c r="S262" s="27" t="s">
        <v>41</v>
      </c>
      <c r="T262" s="27" t="s">
        <v>52</v>
      </c>
      <c r="U262" s="27"/>
      <c r="V262" s="27"/>
      <c r="W262" s="27"/>
      <c r="X262" s="27"/>
      <c r="Y262" s="27" t="s">
        <v>2636</v>
      </c>
      <c r="Z262" s="27" t="n">
        <v>-7.200077</v>
      </c>
      <c r="AA262" s="27" t="n">
        <v>-48.25049</v>
      </c>
      <c r="AB262" s="37" t="s">
        <v>2338</v>
      </c>
      <c r="AC262" s="27" t="s">
        <v>2637</v>
      </c>
    </row>
    <row r="263" customFormat="false" ht="15" hidden="false" customHeight="false" outlineLevel="0" collapsed="false">
      <c r="A263" s="27" t="n">
        <v>262</v>
      </c>
      <c r="B263" s="27" t="s">
        <v>1166</v>
      </c>
      <c r="C263" s="27" t="s">
        <v>2639</v>
      </c>
      <c r="D263" s="27" t="s">
        <v>1055</v>
      </c>
      <c r="E263" s="27" t="s">
        <v>1167</v>
      </c>
      <c r="F263" s="32" t="n">
        <v>51.3692915554897</v>
      </c>
      <c r="G263" s="28" t="n">
        <v>1910.20639127204</v>
      </c>
      <c r="H263" s="28" t="n">
        <v>51.3692915554898</v>
      </c>
      <c r="I263" s="7" t="s">
        <v>24</v>
      </c>
      <c r="J263" s="27" t="s">
        <v>303</v>
      </c>
      <c r="K263" s="27" t="s">
        <v>446</v>
      </c>
      <c r="L263" s="27" t="n">
        <v>6</v>
      </c>
      <c r="M263" s="27" t="s">
        <v>55</v>
      </c>
      <c r="N263" s="27" t="s">
        <v>2640</v>
      </c>
      <c r="O263" s="27" t="s">
        <v>56</v>
      </c>
      <c r="P263" s="27" t="s">
        <v>54</v>
      </c>
      <c r="Q263" s="27" t="n">
        <v>0</v>
      </c>
      <c r="R263" s="27"/>
      <c r="S263" s="27" t="s">
        <v>41</v>
      </c>
      <c r="T263" s="27" t="s">
        <v>55</v>
      </c>
      <c r="U263" s="27"/>
      <c r="V263" s="27"/>
      <c r="W263" s="27"/>
      <c r="X263" s="27"/>
      <c r="Y263" s="27" t="s">
        <v>2641</v>
      </c>
      <c r="Z263" s="27" t="n">
        <v>-7.1991595</v>
      </c>
      <c r="AA263" s="27" t="n">
        <v>-48.249628</v>
      </c>
      <c r="AB263" s="37" t="s">
        <v>2338</v>
      </c>
      <c r="AC263" s="27" t="s">
        <v>2642</v>
      </c>
    </row>
    <row r="264" customFormat="false" ht="15" hidden="false" customHeight="false" outlineLevel="0" collapsed="false">
      <c r="A264" s="27" t="n">
        <v>263</v>
      </c>
      <c r="B264" s="27" t="s">
        <v>1168</v>
      </c>
      <c r="C264" s="27" t="s">
        <v>2643</v>
      </c>
      <c r="D264" s="27" t="s">
        <v>1167</v>
      </c>
      <c r="E264" s="27" t="s">
        <v>1169</v>
      </c>
      <c r="F264" s="32" t="n">
        <v>34.8671698747218</v>
      </c>
      <c r="G264" s="28" t="n">
        <v>1945.07356114676</v>
      </c>
      <c r="H264" s="28" t="n">
        <v>86.2364614302117</v>
      </c>
      <c r="I264" s="7" t="s">
        <v>24</v>
      </c>
      <c r="J264" s="27" t="s">
        <v>303</v>
      </c>
      <c r="K264" s="27" t="s">
        <v>446</v>
      </c>
      <c r="L264" s="27" t="n">
        <v>6</v>
      </c>
      <c r="M264" s="27" t="s">
        <v>55</v>
      </c>
      <c r="N264" s="27" t="s">
        <v>2640</v>
      </c>
      <c r="O264" s="27" t="s">
        <v>56</v>
      </c>
      <c r="P264" s="27" t="s">
        <v>54</v>
      </c>
      <c r="Q264" s="27" t="n">
        <v>0</v>
      </c>
      <c r="R264" s="27"/>
      <c r="S264" s="27" t="s">
        <v>41</v>
      </c>
      <c r="T264" s="27" t="s">
        <v>55</v>
      </c>
      <c r="U264" s="27"/>
      <c r="V264" s="27"/>
      <c r="W264" s="27"/>
      <c r="X264" s="27"/>
      <c r="Y264" s="27" t="s">
        <v>2641</v>
      </c>
      <c r="Z264" s="27" t="n">
        <v>-7.199329</v>
      </c>
      <c r="AA264" s="27" t="n">
        <v>-48.249277</v>
      </c>
      <c r="AB264" s="37" t="s">
        <v>2338</v>
      </c>
      <c r="AC264" s="27" t="s">
        <v>2642</v>
      </c>
    </row>
    <row r="265" customFormat="false" ht="15" hidden="false" customHeight="false" outlineLevel="0" collapsed="false">
      <c r="A265" s="27" t="n">
        <v>264</v>
      </c>
      <c r="B265" s="27" t="s">
        <v>1170</v>
      </c>
      <c r="C265" s="27" t="s">
        <v>2644</v>
      </c>
      <c r="D265" s="27" t="s">
        <v>1078</v>
      </c>
      <c r="E265" s="27" t="s">
        <v>1171</v>
      </c>
      <c r="F265" s="32" t="n">
        <v>132.45468034443</v>
      </c>
      <c r="G265" s="28" t="n">
        <v>1519.5988901282</v>
      </c>
      <c r="H265" s="28" t="n">
        <v>132.45468034443</v>
      </c>
      <c r="I265" s="7" t="s">
        <v>24</v>
      </c>
      <c r="J265" s="27" t="s">
        <v>303</v>
      </c>
      <c r="K265" s="27" t="s">
        <v>446</v>
      </c>
      <c r="L265" s="27" t="n">
        <v>7</v>
      </c>
      <c r="M265" s="27" t="s">
        <v>57</v>
      </c>
      <c r="N265" s="27" t="s">
        <v>2640</v>
      </c>
      <c r="O265" s="27" t="s">
        <v>58</v>
      </c>
      <c r="P265" s="27" t="s">
        <v>54</v>
      </c>
      <c r="Q265" s="27" t="n">
        <v>0</v>
      </c>
      <c r="R265" s="27"/>
      <c r="S265" s="27" t="s">
        <v>41</v>
      </c>
      <c r="T265" s="27" t="s">
        <v>57</v>
      </c>
      <c r="U265" s="27"/>
      <c r="V265" s="27"/>
      <c r="W265" s="27"/>
      <c r="X265" s="27"/>
      <c r="Y265" s="27" t="s">
        <v>2645</v>
      </c>
      <c r="Z265" s="27" t="n">
        <v>-7.2014055</v>
      </c>
      <c r="AA265" s="27" t="n">
        <v>-48.2443975</v>
      </c>
      <c r="AB265" s="37" t="s">
        <v>2338</v>
      </c>
      <c r="AC265" s="27" t="s">
        <v>2646</v>
      </c>
    </row>
    <row r="266" customFormat="false" ht="15" hidden="false" customHeight="false" outlineLevel="0" collapsed="false">
      <c r="A266" s="27" t="n">
        <v>265</v>
      </c>
      <c r="B266" s="27" t="s">
        <v>1172</v>
      </c>
      <c r="C266" s="27" t="s">
        <v>2647</v>
      </c>
      <c r="D266" s="27" t="s">
        <v>1171</v>
      </c>
      <c r="E266" s="27" t="s">
        <v>1173</v>
      </c>
      <c r="F266" s="32" t="n">
        <v>32.1217219959527</v>
      </c>
      <c r="G266" s="28" t="n">
        <v>1551.72061212415</v>
      </c>
      <c r="H266" s="28" t="n">
        <v>164.576402340383</v>
      </c>
      <c r="I266" s="7" t="s">
        <v>24</v>
      </c>
      <c r="J266" s="27" t="s">
        <v>303</v>
      </c>
      <c r="K266" s="27" t="s">
        <v>446</v>
      </c>
      <c r="L266" s="27" t="n">
        <v>7</v>
      </c>
      <c r="M266" s="27" t="s">
        <v>57</v>
      </c>
      <c r="N266" s="27" t="s">
        <v>2640</v>
      </c>
      <c r="O266" s="27" t="s">
        <v>58</v>
      </c>
      <c r="P266" s="27" t="s">
        <v>54</v>
      </c>
      <c r="Q266" s="27" t="n">
        <v>0</v>
      </c>
      <c r="R266" s="27"/>
      <c r="S266" s="27" t="s">
        <v>41</v>
      </c>
      <c r="T266" s="27" t="s">
        <v>57</v>
      </c>
      <c r="U266" s="27"/>
      <c r="V266" s="27"/>
      <c r="W266" s="27"/>
      <c r="X266" s="27"/>
      <c r="Y266" s="27" t="s">
        <v>2645</v>
      </c>
      <c r="Z266" s="27" t="n">
        <v>-7.201457</v>
      </c>
      <c r="AA266" s="27" t="n">
        <v>-48.2451415</v>
      </c>
      <c r="AB266" s="37" t="s">
        <v>2338</v>
      </c>
      <c r="AC266" s="27" t="s">
        <v>2646</v>
      </c>
    </row>
    <row r="267" customFormat="false" ht="15" hidden="false" customHeight="false" outlineLevel="0" collapsed="false">
      <c r="A267" s="27" t="n">
        <v>266</v>
      </c>
      <c r="B267" s="27" t="s">
        <v>1174</v>
      </c>
      <c r="C267" s="27" t="s">
        <v>2648</v>
      </c>
      <c r="D267" s="27" t="s">
        <v>1123</v>
      </c>
      <c r="E267" s="27" t="s">
        <v>1175</v>
      </c>
      <c r="F267" s="32" t="n">
        <v>30.051859797363</v>
      </c>
      <c r="G267" s="28" t="n">
        <v>2117.8545614908</v>
      </c>
      <c r="H267" s="28" t="n">
        <v>30.0518597973628</v>
      </c>
      <c r="I267" s="7" t="s">
        <v>24</v>
      </c>
      <c r="J267" s="27" t="s">
        <v>303</v>
      </c>
      <c r="K267" s="27" t="s">
        <v>446</v>
      </c>
      <c r="L267" s="27" t="n">
        <v>8</v>
      </c>
      <c r="M267" s="27" t="s">
        <v>59</v>
      </c>
      <c r="N267" s="27" t="s">
        <v>2640</v>
      </c>
      <c r="O267" s="27" t="s">
        <v>60</v>
      </c>
      <c r="P267" s="27" t="s">
        <v>54</v>
      </c>
      <c r="Q267" s="27" t="n">
        <v>0</v>
      </c>
      <c r="R267" s="27"/>
      <c r="S267" s="27" t="s">
        <v>41</v>
      </c>
      <c r="T267" s="27" t="s">
        <v>59</v>
      </c>
      <c r="U267" s="27"/>
      <c r="V267" s="27"/>
      <c r="W267" s="27"/>
      <c r="X267" s="27"/>
      <c r="Y267" s="27" t="s">
        <v>2649</v>
      </c>
      <c r="Z267" s="27" t="n">
        <v>-7.2041495</v>
      </c>
      <c r="AA267" s="27" t="n">
        <v>-48.2473485</v>
      </c>
      <c r="AB267" s="37" t="s">
        <v>2338</v>
      </c>
      <c r="AC267" s="27" t="s">
        <v>2650</v>
      </c>
    </row>
    <row r="268" customFormat="false" ht="15" hidden="false" customHeight="false" outlineLevel="0" collapsed="false">
      <c r="A268" s="27" t="n">
        <v>267</v>
      </c>
      <c r="B268" s="27" t="s">
        <v>1176</v>
      </c>
      <c r="C268" s="27" t="s">
        <v>2651</v>
      </c>
      <c r="D268" s="27" t="s">
        <v>1175</v>
      </c>
      <c r="E268" s="27" t="s">
        <v>1177</v>
      </c>
      <c r="F268" s="32" t="n">
        <v>4.91660777518391</v>
      </c>
      <c r="G268" s="28" t="n">
        <v>2122.77116926598</v>
      </c>
      <c r="H268" s="28" t="n">
        <v>34.9684675725466</v>
      </c>
      <c r="I268" s="7" t="s">
        <v>24</v>
      </c>
      <c r="J268" s="27" t="s">
        <v>303</v>
      </c>
      <c r="K268" s="27" t="s">
        <v>446</v>
      </c>
      <c r="L268" s="27" t="n">
        <v>8</v>
      </c>
      <c r="M268" s="27" t="s">
        <v>59</v>
      </c>
      <c r="N268" s="27" t="s">
        <v>2640</v>
      </c>
      <c r="O268" s="27" t="s">
        <v>60</v>
      </c>
      <c r="P268" s="27" t="s">
        <v>54</v>
      </c>
      <c r="Q268" s="27" t="n">
        <v>0</v>
      </c>
      <c r="R268" s="27"/>
      <c r="S268" s="27" t="s">
        <v>41</v>
      </c>
      <c r="T268" s="27" t="s">
        <v>59</v>
      </c>
      <c r="U268" s="27"/>
      <c r="V268" s="27"/>
      <c r="W268" s="27"/>
      <c r="X268" s="27"/>
      <c r="Y268" s="27" t="s">
        <v>2649</v>
      </c>
      <c r="Z268" s="27" t="n">
        <v>-7.2040075</v>
      </c>
      <c r="AA268" s="27" t="n">
        <v>-48.2474165</v>
      </c>
      <c r="AB268" s="37" t="s">
        <v>2338</v>
      </c>
      <c r="AC268" s="27" t="s">
        <v>2650</v>
      </c>
    </row>
    <row r="269" customFormat="false" ht="15" hidden="false" customHeight="false" outlineLevel="0" collapsed="false">
      <c r="A269" s="27" t="n">
        <v>268</v>
      </c>
      <c r="B269" s="27" t="s">
        <v>1178</v>
      </c>
      <c r="C269" s="27" t="s">
        <v>2652</v>
      </c>
      <c r="D269" s="27" t="s">
        <v>1177</v>
      </c>
      <c r="E269" s="27" t="s">
        <v>1179</v>
      </c>
      <c r="F269" s="32" t="n">
        <v>170.777907070573</v>
      </c>
      <c r="G269" s="28" t="n">
        <v>2293.54907633655</v>
      </c>
      <c r="H269" s="28" t="n">
        <v>205.74637464312</v>
      </c>
      <c r="I269" s="7" t="s">
        <v>24</v>
      </c>
      <c r="J269" s="27" t="s">
        <v>303</v>
      </c>
      <c r="K269" s="27" t="s">
        <v>446</v>
      </c>
      <c r="L269" s="27" t="n">
        <v>8</v>
      </c>
      <c r="M269" s="27" t="s">
        <v>59</v>
      </c>
      <c r="N269" s="27" t="s">
        <v>2640</v>
      </c>
      <c r="O269" s="27" t="s">
        <v>60</v>
      </c>
      <c r="P269" s="27" t="s">
        <v>54</v>
      </c>
      <c r="Q269" s="27" t="n">
        <v>0</v>
      </c>
      <c r="R269" s="27"/>
      <c r="S269" s="27" t="s">
        <v>41</v>
      </c>
      <c r="T269" s="27" t="s">
        <v>59</v>
      </c>
      <c r="U269" s="27"/>
      <c r="V269" s="27"/>
      <c r="W269" s="27"/>
      <c r="X269" s="27"/>
      <c r="Y269" s="27" t="s">
        <v>2649</v>
      </c>
      <c r="Z269" s="27" t="n">
        <v>-7.2032315</v>
      </c>
      <c r="AA269" s="27" t="n">
        <v>-48.247294</v>
      </c>
      <c r="AB269" s="37" t="s">
        <v>2338</v>
      </c>
      <c r="AC269" s="27" t="s">
        <v>2650</v>
      </c>
    </row>
    <row r="270" customFormat="false" ht="15" hidden="false" customHeight="false" outlineLevel="0" collapsed="false">
      <c r="A270" s="27" t="n">
        <v>269</v>
      </c>
      <c r="B270" s="27" t="s">
        <v>1180</v>
      </c>
      <c r="C270" s="27" t="s">
        <v>2653</v>
      </c>
      <c r="D270" s="27" t="s">
        <v>1179</v>
      </c>
      <c r="E270" s="27" t="s">
        <v>1181</v>
      </c>
      <c r="F270" s="32" t="n">
        <v>36.3659782177196</v>
      </c>
      <c r="G270" s="28" t="n">
        <v>2329.91505455427</v>
      </c>
      <c r="H270" s="28" t="n">
        <v>242.112352860839</v>
      </c>
      <c r="I270" s="7" t="s">
        <v>24</v>
      </c>
      <c r="J270" s="27" t="s">
        <v>303</v>
      </c>
      <c r="K270" s="27" t="s">
        <v>446</v>
      </c>
      <c r="L270" s="27" t="n">
        <v>8</v>
      </c>
      <c r="M270" s="27" t="s">
        <v>59</v>
      </c>
      <c r="N270" s="27" t="s">
        <v>2640</v>
      </c>
      <c r="O270" s="27" t="s">
        <v>60</v>
      </c>
      <c r="P270" s="27" t="s">
        <v>54</v>
      </c>
      <c r="Q270" s="27" t="n">
        <v>0</v>
      </c>
      <c r="R270" s="27"/>
      <c r="S270" s="27" t="s">
        <v>41</v>
      </c>
      <c r="T270" s="27" t="s">
        <v>59</v>
      </c>
      <c r="U270" s="27"/>
      <c r="V270" s="27"/>
      <c r="W270" s="27"/>
      <c r="X270" s="27"/>
      <c r="Y270" s="27" t="s">
        <v>2649</v>
      </c>
      <c r="Z270" s="27" t="n">
        <v>-7.202316</v>
      </c>
      <c r="AA270" s="27" t="n">
        <v>-48.2471225</v>
      </c>
      <c r="AB270" s="37" t="s">
        <v>2338</v>
      </c>
      <c r="AC270" s="27" t="s">
        <v>2650</v>
      </c>
    </row>
    <row r="271" customFormat="false" ht="15" hidden="false" customHeight="false" outlineLevel="0" collapsed="false">
      <c r="A271" s="27" t="n">
        <v>270</v>
      </c>
      <c r="B271" s="27" t="s">
        <v>1182</v>
      </c>
      <c r="C271" s="27" t="s">
        <v>2654</v>
      </c>
      <c r="D271" s="27" t="s">
        <v>1125</v>
      </c>
      <c r="E271" s="27" t="s">
        <v>1183</v>
      </c>
      <c r="F271" s="32" t="n">
        <v>83.184925537787</v>
      </c>
      <c r="G271" s="28" t="n">
        <v>2142.87861030796</v>
      </c>
      <c r="H271" s="28" t="n">
        <v>83.184925537787</v>
      </c>
      <c r="I271" s="7" t="s">
        <v>24</v>
      </c>
      <c r="J271" s="27" t="s">
        <v>303</v>
      </c>
      <c r="K271" s="27" t="s">
        <v>446</v>
      </c>
      <c r="L271" s="27" t="n">
        <v>9</v>
      </c>
      <c r="M271" s="27" t="s">
        <v>61</v>
      </c>
      <c r="N271" s="27" t="s">
        <v>2655</v>
      </c>
      <c r="O271" s="27" t="s">
        <v>62</v>
      </c>
      <c r="P271" s="27" t="s">
        <v>2656</v>
      </c>
      <c r="Q271" s="27" t="n">
        <v>3</v>
      </c>
      <c r="R271" s="27"/>
      <c r="S271" s="27" t="s">
        <v>41</v>
      </c>
      <c r="T271" s="27" t="s">
        <v>61</v>
      </c>
      <c r="U271" s="27"/>
      <c r="V271" s="27"/>
      <c r="W271" s="27"/>
      <c r="X271" s="27"/>
      <c r="Y271" s="27" t="s">
        <v>2657</v>
      </c>
      <c r="Z271" s="27" t="n">
        <v>-7.2049595</v>
      </c>
      <c r="AA271" s="27" t="n">
        <v>-48.247366</v>
      </c>
      <c r="AB271" s="37" t="s">
        <v>2338</v>
      </c>
      <c r="AC271" s="27" t="s">
        <v>2658</v>
      </c>
    </row>
    <row r="272" customFormat="false" ht="15" hidden="false" customHeight="false" outlineLevel="0" collapsed="false">
      <c r="A272" s="27" t="n">
        <v>271</v>
      </c>
      <c r="B272" s="27" t="s">
        <v>1184</v>
      </c>
      <c r="C272" s="27" t="s">
        <v>2659</v>
      </c>
      <c r="D272" s="27" t="s">
        <v>1183</v>
      </c>
      <c r="E272" s="27" t="s">
        <v>1185</v>
      </c>
      <c r="F272" s="32" t="n">
        <v>3.57897891901085</v>
      </c>
      <c r="G272" s="28" t="n">
        <v>2146.45758922697</v>
      </c>
      <c r="H272" s="28" t="n">
        <v>86.7639044567977</v>
      </c>
      <c r="I272" s="7" t="s">
        <v>24</v>
      </c>
      <c r="J272" s="27" t="s">
        <v>303</v>
      </c>
      <c r="K272" s="27" t="s">
        <v>446</v>
      </c>
      <c r="L272" s="27" t="n">
        <v>9</v>
      </c>
      <c r="M272" s="27" t="s">
        <v>61</v>
      </c>
      <c r="N272" s="27" t="s">
        <v>2655</v>
      </c>
      <c r="O272" s="27" t="s">
        <v>62</v>
      </c>
      <c r="P272" s="27" t="s">
        <v>2656</v>
      </c>
      <c r="Q272" s="27" t="n">
        <v>3</v>
      </c>
      <c r="R272" s="27"/>
      <c r="S272" s="27" t="s">
        <v>41</v>
      </c>
      <c r="T272" s="27" t="s">
        <v>61</v>
      </c>
      <c r="U272" s="27"/>
      <c r="V272" s="27"/>
      <c r="W272" s="27"/>
      <c r="X272" s="27"/>
      <c r="Y272" s="27" t="s">
        <v>2657</v>
      </c>
      <c r="Z272" s="27" t="n">
        <v>-7.205296</v>
      </c>
      <c r="AA272" s="27" t="n">
        <v>-48.247565</v>
      </c>
      <c r="AB272" s="37" t="s">
        <v>2338</v>
      </c>
      <c r="AC272" s="27" t="s">
        <v>2658</v>
      </c>
    </row>
    <row r="273" customFormat="false" ht="15" hidden="false" customHeight="false" outlineLevel="0" collapsed="false">
      <c r="A273" s="27" t="n">
        <v>272</v>
      </c>
      <c r="B273" s="27" t="s">
        <v>1186</v>
      </c>
      <c r="C273" s="27" t="s">
        <v>2660</v>
      </c>
      <c r="D273" s="27" t="s">
        <v>1185</v>
      </c>
      <c r="E273" s="27" t="s">
        <v>1187</v>
      </c>
      <c r="F273" s="32" t="n">
        <v>21.8831620866655</v>
      </c>
      <c r="G273" s="28" t="n">
        <v>2168.34075131363</v>
      </c>
      <c r="H273" s="28" t="n">
        <v>108.647066543463</v>
      </c>
      <c r="I273" s="7" t="s">
        <v>24</v>
      </c>
      <c r="J273" s="27" t="s">
        <v>303</v>
      </c>
      <c r="K273" s="27" t="s">
        <v>446</v>
      </c>
      <c r="L273" s="27" t="n">
        <v>9</v>
      </c>
      <c r="M273" s="27" t="s">
        <v>61</v>
      </c>
      <c r="N273" s="27" t="s">
        <v>2655</v>
      </c>
      <c r="O273" s="27" t="s">
        <v>62</v>
      </c>
      <c r="P273" s="27" t="s">
        <v>2656</v>
      </c>
      <c r="Q273" s="27" t="n">
        <v>3</v>
      </c>
      <c r="R273" s="27"/>
      <c r="S273" s="27" t="s">
        <v>41</v>
      </c>
      <c r="T273" s="27" t="s">
        <v>61</v>
      </c>
      <c r="U273" s="27"/>
      <c r="V273" s="27"/>
      <c r="W273" s="27"/>
      <c r="X273" s="27"/>
      <c r="Y273" s="27" t="s">
        <v>2657</v>
      </c>
      <c r="Z273" s="27" t="n">
        <v>-7.205386</v>
      </c>
      <c r="AA273" s="27" t="n">
        <v>-48.247636</v>
      </c>
      <c r="AB273" s="37" t="s">
        <v>2338</v>
      </c>
      <c r="AC273" s="27" t="s">
        <v>2658</v>
      </c>
    </row>
    <row r="274" customFormat="false" ht="15" hidden="false" customHeight="false" outlineLevel="0" collapsed="false">
      <c r="A274" s="27" t="n">
        <v>273</v>
      </c>
      <c r="B274" s="27" t="s">
        <v>1188</v>
      </c>
      <c r="C274" s="27" t="s">
        <v>2661</v>
      </c>
      <c r="D274" s="27" t="s">
        <v>1187</v>
      </c>
      <c r="E274" s="27" t="s">
        <v>1189</v>
      </c>
      <c r="F274" s="32" t="n">
        <v>3.68234498571059</v>
      </c>
      <c r="G274" s="28" t="n">
        <v>2172.02309629934</v>
      </c>
      <c r="H274" s="28" t="n">
        <v>112.329411529174</v>
      </c>
      <c r="I274" s="7" t="s">
        <v>24</v>
      </c>
      <c r="J274" s="27" t="s">
        <v>303</v>
      </c>
      <c r="K274" s="27" t="s">
        <v>446</v>
      </c>
      <c r="L274" s="27" t="n">
        <v>9</v>
      </c>
      <c r="M274" s="27" t="s">
        <v>61</v>
      </c>
      <c r="N274" s="27" t="s">
        <v>2655</v>
      </c>
      <c r="O274" s="27" t="s">
        <v>62</v>
      </c>
      <c r="P274" s="27" t="s">
        <v>2656</v>
      </c>
      <c r="Q274" s="27" t="n">
        <v>3</v>
      </c>
      <c r="R274" s="27"/>
      <c r="S274" s="27" t="s">
        <v>41</v>
      </c>
      <c r="T274" s="27" t="s">
        <v>61</v>
      </c>
      <c r="U274" s="27"/>
      <c r="V274" s="27"/>
      <c r="W274" s="27"/>
      <c r="X274" s="27"/>
      <c r="Y274" s="27" t="s">
        <v>2657</v>
      </c>
      <c r="Z274" s="27" t="n">
        <v>-7.205474</v>
      </c>
      <c r="AA274" s="27" t="n">
        <v>-48.2477105</v>
      </c>
      <c r="AB274" s="37" t="s">
        <v>2338</v>
      </c>
      <c r="AC274" s="27" t="s">
        <v>2658</v>
      </c>
    </row>
    <row r="275" customFormat="false" ht="15" hidden="false" customHeight="false" outlineLevel="0" collapsed="false">
      <c r="A275" s="27" t="n">
        <v>274</v>
      </c>
      <c r="B275" s="27" t="s">
        <v>1190</v>
      </c>
      <c r="C275" s="27" t="s">
        <v>2662</v>
      </c>
      <c r="D275" s="27" t="s">
        <v>1189</v>
      </c>
      <c r="E275" s="27" t="s">
        <v>1191</v>
      </c>
      <c r="F275" s="32" t="n">
        <v>298.095030913715</v>
      </c>
      <c r="G275" s="28" t="n">
        <v>2470.11812721306</v>
      </c>
      <c r="H275" s="28" t="n">
        <v>410.424442442888</v>
      </c>
      <c r="I275" s="7" t="s">
        <v>24</v>
      </c>
      <c r="J275" s="27" t="s">
        <v>303</v>
      </c>
      <c r="K275" s="27" t="s">
        <v>446</v>
      </c>
      <c r="L275" s="27" t="n">
        <v>9</v>
      </c>
      <c r="M275" s="27" t="s">
        <v>61</v>
      </c>
      <c r="N275" s="27" t="s">
        <v>2655</v>
      </c>
      <c r="O275" s="27" t="s">
        <v>62</v>
      </c>
      <c r="P275" s="27" t="s">
        <v>2656</v>
      </c>
      <c r="Q275" s="27" t="n">
        <v>3</v>
      </c>
      <c r="R275" s="27"/>
      <c r="S275" s="27" t="s">
        <v>41</v>
      </c>
      <c r="T275" s="27" t="s">
        <v>61</v>
      </c>
      <c r="U275" s="27"/>
      <c r="V275" s="27"/>
      <c r="W275" s="27"/>
      <c r="X275" s="27"/>
      <c r="Y275" s="27" t="s">
        <v>2657</v>
      </c>
      <c r="Z275" s="27" t="n">
        <v>-7.206324</v>
      </c>
      <c r="AA275" s="27" t="n">
        <v>-48.2487765</v>
      </c>
      <c r="AB275" s="37" t="s">
        <v>2338</v>
      </c>
      <c r="AC275" s="27" t="s">
        <v>2658</v>
      </c>
    </row>
    <row r="276" customFormat="false" ht="15" hidden="false" customHeight="false" outlineLevel="0" collapsed="false">
      <c r="A276" s="27" t="n">
        <v>275</v>
      </c>
      <c r="B276" s="27" t="s">
        <v>1192</v>
      </c>
      <c r="C276" s="27" t="s">
        <v>2663</v>
      </c>
      <c r="D276" s="27" t="s">
        <v>1191</v>
      </c>
      <c r="E276" s="27" t="s">
        <v>1193</v>
      </c>
      <c r="F276" s="32" t="n">
        <v>9.190056448778</v>
      </c>
      <c r="G276" s="28" t="n">
        <v>2479.30818366183</v>
      </c>
      <c r="H276" s="28" t="n">
        <v>419.614498891666</v>
      </c>
      <c r="I276" s="7" t="s">
        <v>24</v>
      </c>
      <c r="J276" s="27" t="s">
        <v>303</v>
      </c>
      <c r="K276" s="27" t="s">
        <v>446</v>
      </c>
      <c r="L276" s="27" t="n">
        <v>9</v>
      </c>
      <c r="M276" s="27" t="s">
        <v>61</v>
      </c>
      <c r="N276" s="27" t="s">
        <v>2655</v>
      </c>
      <c r="O276" s="27" t="s">
        <v>62</v>
      </c>
      <c r="P276" s="27" t="s">
        <v>2656</v>
      </c>
      <c r="Q276" s="27" t="n">
        <v>3</v>
      </c>
      <c r="R276" s="27"/>
      <c r="S276" s="27" t="s">
        <v>41</v>
      </c>
      <c r="T276" s="27" t="s">
        <v>61</v>
      </c>
      <c r="U276" s="27"/>
      <c r="V276" s="27"/>
      <c r="W276" s="27"/>
      <c r="X276" s="27"/>
      <c r="Y276" s="27" t="s">
        <v>2657</v>
      </c>
      <c r="Z276" s="27" t="n">
        <v>-7.2071995</v>
      </c>
      <c r="AA276" s="27" t="n">
        <v>-48.2498485</v>
      </c>
      <c r="AB276" s="37" t="s">
        <v>2338</v>
      </c>
      <c r="AC276" s="27" t="s">
        <v>2658</v>
      </c>
    </row>
    <row r="277" customFormat="false" ht="15" hidden="false" customHeight="false" outlineLevel="0" collapsed="false">
      <c r="A277" s="27" t="n">
        <v>276</v>
      </c>
      <c r="B277" s="27" t="s">
        <v>1194</v>
      </c>
      <c r="C277" s="27" t="s">
        <v>2664</v>
      </c>
      <c r="D277" s="27" t="s">
        <v>1193</v>
      </c>
      <c r="E277" s="27" t="s">
        <v>1195</v>
      </c>
      <c r="F277" s="32" t="n">
        <v>266.140177077461</v>
      </c>
      <c r="G277" s="28" t="n">
        <v>2745.4483607393</v>
      </c>
      <c r="H277" s="28" t="n">
        <v>266.140177077461</v>
      </c>
      <c r="I277" s="7" t="s">
        <v>24</v>
      </c>
      <c r="J277" s="27" t="s">
        <v>303</v>
      </c>
      <c r="K277" s="27" t="s">
        <v>446</v>
      </c>
      <c r="L277" s="27" t="n">
        <v>10</v>
      </c>
      <c r="M277" s="27" t="s">
        <v>62</v>
      </c>
      <c r="N277" s="27" t="s">
        <v>2640</v>
      </c>
      <c r="O277" s="27" t="s">
        <v>63</v>
      </c>
      <c r="P277" s="27" t="s">
        <v>2665</v>
      </c>
      <c r="Q277" s="27" t="n">
        <v>2</v>
      </c>
      <c r="R277" s="27"/>
      <c r="S277" s="27" t="s">
        <v>41</v>
      </c>
      <c r="T277" s="27" t="s">
        <v>61</v>
      </c>
      <c r="U277" s="27" t="s">
        <v>62</v>
      </c>
      <c r="V277" s="27"/>
      <c r="W277" s="27"/>
      <c r="X277" s="27"/>
      <c r="Y277" s="27" t="s">
        <v>2666</v>
      </c>
      <c r="Z277" s="27" t="n">
        <v>-7.2083795</v>
      </c>
      <c r="AA277" s="27" t="n">
        <v>-48.250225</v>
      </c>
      <c r="AB277" s="37" t="s">
        <v>2338</v>
      </c>
      <c r="AC277" s="27" t="s">
        <v>2667</v>
      </c>
    </row>
    <row r="278" customFormat="false" ht="15" hidden="false" customHeight="false" outlineLevel="0" collapsed="false">
      <c r="A278" s="27" t="n">
        <v>277</v>
      </c>
      <c r="B278" s="27" t="s">
        <v>1196</v>
      </c>
      <c r="C278" s="27" t="s">
        <v>2668</v>
      </c>
      <c r="D278" s="27" t="s">
        <v>1195</v>
      </c>
      <c r="E278" s="27" t="s">
        <v>1197</v>
      </c>
      <c r="F278" s="32" t="n">
        <v>1.87866227219636</v>
      </c>
      <c r="G278" s="28" t="n">
        <v>2747.32702301149</v>
      </c>
      <c r="H278" s="28" t="n">
        <v>268.018839349658</v>
      </c>
      <c r="I278" s="7" t="s">
        <v>24</v>
      </c>
      <c r="J278" s="27" t="s">
        <v>303</v>
      </c>
      <c r="K278" s="27" t="s">
        <v>446</v>
      </c>
      <c r="L278" s="27" t="n">
        <v>10</v>
      </c>
      <c r="M278" s="27" t="s">
        <v>62</v>
      </c>
      <c r="N278" s="27" t="s">
        <v>2640</v>
      </c>
      <c r="O278" s="27" t="s">
        <v>63</v>
      </c>
      <c r="P278" s="27" t="s">
        <v>2665</v>
      </c>
      <c r="Q278" s="27" t="n">
        <v>2</v>
      </c>
      <c r="R278" s="27"/>
      <c r="S278" s="27" t="s">
        <v>41</v>
      </c>
      <c r="T278" s="27" t="s">
        <v>61</v>
      </c>
      <c r="U278" s="27" t="s">
        <v>62</v>
      </c>
      <c r="V278" s="27"/>
      <c r="W278" s="27"/>
      <c r="X278" s="27"/>
      <c r="Y278" s="27" t="s">
        <v>2666</v>
      </c>
      <c r="Z278" s="27" t="n">
        <v>-7.2095225</v>
      </c>
      <c r="AA278" s="27" t="n">
        <v>-48.2505925</v>
      </c>
      <c r="AB278" s="37" t="s">
        <v>2338</v>
      </c>
      <c r="AC278" s="27" t="s">
        <v>2667</v>
      </c>
    </row>
    <row r="279" customFormat="false" ht="15" hidden="false" customHeight="false" outlineLevel="0" collapsed="false">
      <c r="A279" s="27" t="n">
        <v>278</v>
      </c>
      <c r="B279" s="27" t="s">
        <v>1198</v>
      </c>
      <c r="C279" s="27" t="s">
        <v>2669</v>
      </c>
      <c r="D279" s="27" t="s">
        <v>1197</v>
      </c>
      <c r="E279" s="27" t="s">
        <v>1199</v>
      </c>
      <c r="F279" s="32" t="n">
        <v>144.942481366585</v>
      </c>
      <c r="G279" s="28" t="n">
        <v>2892.26950437808</v>
      </c>
      <c r="H279" s="28" t="n">
        <v>412.961320716243</v>
      </c>
      <c r="I279" s="7" t="s">
        <v>24</v>
      </c>
      <c r="J279" s="27" t="s">
        <v>303</v>
      </c>
      <c r="K279" s="27" t="s">
        <v>446</v>
      </c>
      <c r="L279" s="27" t="n">
        <v>10</v>
      </c>
      <c r="M279" s="27" t="s">
        <v>62</v>
      </c>
      <c r="N279" s="27" t="s">
        <v>2640</v>
      </c>
      <c r="O279" s="27" t="s">
        <v>63</v>
      </c>
      <c r="P279" s="27" t="s">
        <v>2665</v>
      </c>
      <c r="Q279" s="27" t="n">
        <v>2</v>
      </c>
      <c r="R279" s="27"/>
      <c r="S279" s="27" t="s">
        <v>41</v>
      </c>
      <c r="T279" s="27" t="s">
        <v>61</v>
      </c>
      <c r="U279" s="27" t="s">
        <v>62</v>
      </c>
      <c r="V279" s="27"/>
      <c r="W279" s="27"/>
      <c r="X279" s="27"/>
      <c r="Y279" s="27" t="s">
        <v>2666</v>
      </c>
      <c r="Z279" s="27" t="n">
        <v>-7.2098725</v>
      </c>
      <c r="AA279" s="27" t="n">
        <v>-48.2511555</v>
      </c>
      <c r="AB279" s="37" t="s">
        <v>2338</v>
      </c>
      <c r="AC279" s="27" t="s">
        <v>2667</v>
      </c>
    </row>
    <row r="280" customFormat="false" ht="15" hidden="false" customHeight="false" outlineLevel="0" collapsed="false">
      <c r="A280" s="27" t="n">
        <v>279</v>
      </c>
      <c r="B280" s="27" t="s">
        <v>1200</v>
      </c>
      <c r="C280" s="27" t="s">
        <v>2670</v>
      </c>
      <c r="D280" s="27" t="s">
        <v>1199</v>
      </c>
      <c r="E280" s="27" t="s">
        <v>1201</v>
      </c>
      <c r="F280" s="32" t="n">
        <v>23.130986664252</v>
      </c>
      <c r="G280" s="28" t="n">
        <v>2915.40049104233</v>
      </c>
      <c r="H280" s="28" t="n">
        <v>436.092307380495</v>
      </c>
      <c r="I280" s="7" t="s">
        <v>24</v>
      </c>
      <c r="J280" s="27" t="s">
        <v>303</v>
      </c>
      <c r="K280" s="27" t="s">
        <v>446</v>
      </c>
      <c r="L280" s="27" t="n">
        <v>10</v>
      </c>
      <c r="M280" s="27" t="s">
        <v>62</v>
      </c>
      <c r="N280" s="27" t="s">
        <v>2640</v>
      </c>
      <c r="O280" s="27" t="s">
        <v>63</v>
      </c>
      <c r="P280" s="27" t="s">
        <v>64</v>
      </c>
      <c r="Q280" s="27" t="n">
        <v>1</v>
      </c>
      <c r="R280" s="27"/>
      <c r="S280" s="27" t="s">
        <v>41</v>
      </c>
      <c r="T280" s="27" t="s">
        <v>61</v>
      </c>
      <c r="U280" s="27" t="s">
        <v>62</v>
      </c>
      <c r="V280" s="27"/>
      <c r="W280" s="27"/>
      <c r="X280" s="27"/>
      <c r="Y280" s="27" t="s">
        <v>2666</v>
      </c>
      <c r="Z280" s="27" t="n">
        <v>-7.210302</v>
      </c>
      <c r="AA280" s="27" t="n">
        <v>-48.251777</v>
      </c>
      <c r="AB280" s="37" t="s">
        <v>2338</v>
      </c>
      <c r="AC280" s="27" t="s">
        <v>2667</v>
      </c>
    </row>
    <row r="281" customFormat="false" ht="15" hidden="false" customHeight="false" outlineLevel="0" collapsed="false">
      <c r="A281" s="27" t="n">
        <v>280</v>
      </c>
      <c r="B281" s="27" t="s">
        <v>1202</v>
      </c>
      <c r="C281" s="27" t="s">
        <v>2671</v>
      </c>
      <c r="D281" s="27" t="s">
        <v>1201</v>
      </c>
      <c r="E281" s="27" t="s">
        <v>1203</v>
      </c>
      <c r="F281" s="32" t="n">
        <v>15.1668599870598</v>
      </c>
      <c r="G281" s="28" t="n">
        <v>2930.56735102939</v>
      </c>
      <c r="H281" s="28" t="n">
        <v>451.259167367555</v>
      </c>
      <c r="I281" s="7" t="s">
        <v>24</v>
      </c>
      <c r="J281" s="27" t="s">
        <v>303</v>
      </c>
      <c r="K281" s="27" t="s">
        <v>446</v>
      </c>
      <c r="L281" s="27" t="n">
        <v>10</v>
      </c>
      <c r="M281" s="27" t="s">
        <v>62</v>
      </c>
      <c r="N281" s="27" t="s">
        <v>2640</v>
      </c>
      <c r="O281" s="27" t="s">
        <v>63</v>
      </c>
      <c r="P281" s="27" t="s">
        <v>64</v>
      </c>
      <c r="Q281" s="27" t="n">
        <v>1</v>
      </c>
      <c r="R281" s="27"/>
      <c r="S281" s="27" t="s">
        <v>41</v>
      </c>
      <c r="T281" s="27" t="s">
        <v>61</v>
      </c>
      <c r="U281" s="27" t="s">
        <v>62</v>
      </c>
      <c r="V281" s="27"/>
      <c r="W281" s="27"/>
      <c r="X281" s="27"/>
      <c r="Y281" s="27" t="s">
        <v>2666</v>
      </c>
      <c r="Z281" s="27" t="n">
        <v>-7.210417</v>
      </c>
      <c r="AA281" s="27" t="n">
        <v>-48.251903</v>
      </c>
      <c r="AB281" s="37" t="s">
        <v>2338</v>
      </c>
      <c r="AC281" s="27" t="s">
        <v>2667</v>
      </c>
    </row>
    <row r="282" customFormat="false" ht="15" hidden="false" customHeight="false" outlineLevel="0" collapsed="false">
      <c r="A282" s="27" t="n">
        <v>281</v>
      </c>
      <c r="B282" s="27" t="s">
        <v>1204</v>
      </c>
      <c r="C282" s="27" t="s">
        <v>2672</v>
      </c>
      <c r="D282" s="27" t="s">
        <v>1199</v>
      </c>
      <c r="E282" s="27" t="s">
        <v>1205</v>
      </c>
      <c r="F282" s="32" t="n">
        <v>5.93324434720822</v>
      </c>
      <c r="G282" s="28" t="n">
        <v>2898.20274872529</v>
      </c>
      <c r="H282" s="28" t="n">
        <v>418.894565063451</v>
      </c>
      <c r="I282" s="7" t="s">
        <v>24</v>
      </c>
      <c r="J282" s="27" t="s">
        <v>303</v>
      </c>
      <c r="K282" s="27" t="s">
        <v>446</v>
      </c>
      <c r="L282" s="27" t="n">
        <v>10</v>
      </c>
      <c r="M282" s="27" t="s">
        <v>62</v>
      </c>
      <c r="N282" s="27" t="s">
        <v>2640</v>
      </c>
      <c r="O282" s="27" t="s">
        <v>63</v>
      </c>
      <c r="P282" s="27" t="s">
        <v>66</v>
      </c>
      <c r="Q282" s="27" t="n">
        <v>1</v>
      </c>
      <c r="R282" s="27"/>
      <c r="S282" s="27" t="s">
        <v>41</v>
      </c>
      <c r="T282" s="27" t="s">
        <v>61</v>
      </c>
      <c r="U282" s="27" t="s">
        <v>62</v>
      </c>
      <c r="V282" s="27"/>
      <c r="W282" s="27"/>
      <c r="X282" s="27"/>
      <c r="Y282" s="27" t="s">
        <v>2666</v>
      </c>
      <c r="Z282" s="27" t="n">
        <v>-7.210233</v>
      </c>
      <c r="AA282" s="27" t="n">
        <v>-48.2516855</v>
      </c>
      <c r="AB282" s="37" t="s">
        <v>2338</v>
      </c>
      <c r="AC282" s="27" t="s">
        <v>2667</v>
      </c>
    </row>
    <row r="283" customFormat="false" ht="15" hidden="false" customHeight="false" outlineLevel="0" collapsed="false">
      <c r="A283" s="27" t="n">
        <v>282</v>
      </c>
      <c r="B283" s="27" t="s">
        <v>1206</v>
      </c>
      <c r="C283" s="27" t="s">
        <v>2673</v>
      </c>
      <c r="D283" s="27" t="s">
        <v>1195</v>
      </c>
      <c r="E283" s="27" t="s">
        <v>1207</v>
      </c>
      <c r="F283" s="32" t="n">
        <v>48.1847926386256</v>
      </c>
      <c r="G283" s="28" t="n">
        <v>2793.63315337792</v>
      </c>
      <c r="H283" s="28" t="n">
        <v>314.324969716087</v>
      </c>
      <c r="I283" s="7" t="s">
        <v>24</v>
      </c>
      <c r="J283" s="27" t="s">
        <v>303</v>
      </c>
      <c r="K283" s="27" t="s">
        <v>446</v>
      </c>
      <c r="L283" s="27" t="n">
        <v>10</v>
      </c>
      <c r="M283" s="27" t="s">
        <v>62</v>
      </c>
      <c r="N283" s="27" t="s">
        <v>2640</v>
      </c>
      <c r="O283" s="27" t="s">
        <v>63</v>
      </c>
      <c r="P283" s="27" t="s">
        <v>54</v>
      </c>
      <c r="Q283" s="27" t="n">
        <v>0</v>
      </c>
      <c r="R283" s="27"/>
      <c r="S283" s="27" t="s">
        <v>41</v>
      </c>
      <c r="T283" s="27" t="s">
        <v>61</v>
      </c>
      <c r="U283" s="27" t="s">
        <v>62</v>
      </c>
      <c r="V283" s="27"/>
      <c r="W283" s="27"/>
      <c r="X283" s="27"/>
      <c r="Y283" s="27" t="s">
        <v>2666</v>
      </c>
      <c r="Z283" s="27" t="n">
        <v>-7.209704</v>
      </c>
      <c r="AA283" s="27" t="n">
        <v>-48.2507025</v>
      </c>
      <c r="AB283" s="37" t="s">
        <v>2338</v>
      </c>
      <c r="AC283" s="27" t="s">
        <v>2667</v>
      </c>
    </row>
    <row r="284" customFormat="false" ht="15" hidden="false" customHeight="false" outlineLevel="0" collapsed="false">
      <c r="A284" s="27" t="n">
        <v>283</v>
      </c>
      <c r="B284" s="27" t="s">
        <v>1208</v>
      </c>
      <c r="C284" s="27" t="s">
        <v>2674</v>
      </c>
      <c r="D284" s="27" t="s">
        <v>1203</v>
      </c>
      <c r="E284" s="27" t="s">
        <v>1209</v>
      </c>
      <c r="F284" s="32" t="n">
        <v>122.547958825086</v>
      </c>
      <c r="G284" s="28" t="n">
        <v>3053.11530985448</v>
      </c>
      <c r="H284" s="28" t="n">
        <v>122.547958825086</v>
      </c>
      <c r="I284" s="7" t="s">
        <v>24</v>
      </c>
      <c r="J284" s="27" t="s">
        <v>303</v>
      </c>
      <c r="K284" s="27" t="s">
        <v>446</v>
      </c>
      <c r="L284" s="27" t="n">
        <v>11</v>
      </c>
      <c r="M284" s="27" t="s">
        <v>64</v>
      </c>
      <c r="N284" s="27" t="s">
        <v>2640</v>
      </c>
      <c r="O284" s="27" t="s">
        <v>65</v>
      </c>
      <c r="P284" s="27" t="s">
        <v>54</v>
      </c>
      <c r="Q284" s="27" t="n">
        <v>0</v>
      </c>
      <c r="R284" s="27"/>
      <c r="S284" s="27" t="s">
        <v>41</v>
      </c>
      <c r="T284" s="27" t="s">
        <v>61</v>
      </c>
      <c r="U284" s="27" t="s">
        <v>62</v>
      </c>
      <c r="V284" s="27" t="s">
        <v>64</v>
      </c>
      <c r="W284" s="27"/>
      <c r="X284" s="27"/>
      <c r="Y284" s="27" t="s">
        <v>2675</v>
      </c>
      <c r="Z284" s="27" t="n">
        <v>-7.2107335</v>
      </c>
      <c r="AA284" s="27" t="n">
        <v>-48.2524395</v>
      </c>
      <c r="AB284" s="37" t="s">
        <v>2338</v>
      </c>
      <c r="AC284" s="27" t="s">
        <v>2676</v>
      </c>
    </row>
    <row r="285" customFormat="false" ht="15" hidden="false" customHeight="false" outlineLevel="0" collapsed="false">
      <c r="A285" s="27" t="n">
        <v>284</v>
      </c>
      <c r="B285" s="27" t="s">
        <v>1210</v>
      </c>
      <c r="C285" s="27" t="s">
        <v>2677</v>
      </c>
      <c r="D285" s="27" t="s">
        <v>1205</v>
      </c>
      <c r="E285" s="27" t="s">
        <v>1211</v>
      </c>
      <c r="F285" s="32" t="n">
        <v>53.3864724625481</v>
      </c>
      <c r="G285" s="28" t="n">
        <v>2951.58922118783</v>
      </c>
      <c r="H285" s="28" t="n">
        <v>53.3864724625482</v>
      </c>
      <c r="I285" s="7" t="s">
        <v>24</v>
      </c>
      <c r="J285" s="27" t="s">
        <v>303</v>
      </c>
      <c r="K285" s="27" t="s">
        <v>446</v>
      </c>
      <c r="L285" s="27" t="n">
        <v>12</v>
      </c>
      <c r="M285" s="27" t="s">
        <v>66</v>
      </c>
      <c r="N285" s="27" t="s">
        <v>2640</v>
      </c>
      <c r="O285" s="27" t="s">
        <v>67</v>
      </c>
      <c r="P285" s="27" t="s">
        <v>54</v>
      </c>
      <c r="Q285" s="27" t="n">
        <v>0</v>
      </c>
      <c r="R285" s="27"/>
      <c r="S285" s="27" t="s">
        <v>41</v>
      </c>
      <c r="T285" s="27" t="s">
        <v>61</v>
      </c>
      <c r="U285" s="27" t="s">
        <v>62</v>
      </c>
      <c r="V285" s="27" t="s">
        <v>66</v>
      </c>
      <c r="W285" s="27"/>
      <c r="X285" s="27"/>
      <c r="Y285" s="27" t="s">
        <v>2678</v>
      </c>
      <c r="Z285" s="27" t="n">
        <v>-7.2103395</v>
      </c>
      <c r="AA285" s="27" t="n">
        <v>-48.251439</v>
      </c>
      <c r="AB285" s="37" t="s">
        <v>2338</v>
      </c>
      <c r="AC285" s="27" t="s">
        <v>2679</v>
      </c>
    </row>
    <row r="286" customFormat="false" ht="15" hidden="false" customHeight="false" outlineLevel="0" collapsed="false">
      <c r="A286" s="27" t="n">
        <v>285</v>
      </c>
      <c r="B286" s="27" t="s">
        <v>1212</v>
      </c>
      <c r="C286" s="27" t="s">
        <v>2680</v>
      </c>
      <c r="D286" s="27" t="s">
        <v>1127</v>
      </c>
      <c r="E286" s="27" t="s">
        <v>1213</v>
      </c>
      <c r="F286" s="32" t="n">
        <v>7.07460017034729</v>
      </c>
      <c r="G286" s="28" t="n">
        <v>1873.30351708944</v>
      </c>
      <c r="H286" s="28" t="n">
        <v>7.07460017034737</v>
      </c>
      <c r="I286" s="7" t="s">
        <v>24</v>
      </c>
      <c r="J286" s="27" t="s">
        <v>303</v>
      </c>
      <c r="K286" s="27" t="s">
        <v>446</v>
      </c>
      <c r="L286" s="27" t="n">
        <v>13</v>
      </c>
      <c r="M286" s="27" t="s">
        <v>68</v>
      </c>
      <c r="N286" s="27" t="s">
        <v>2635</v>
      </c>
      <c r="O286" s="27" t="s">
        <v>69</v>
      </c>
      <c r="P286" s="27" t="s">
        <v>54</v>
      </c>
      <c r="Q286" s="27" t="n">
        <v>0</v>
      </c>
      <c r="R286" s="27"/>
      <c r="S286" s="27" t="s">
        <v>41</v>
      </c>
      <c r="T286" s="27" t="s">
        <v>68</v>
      </c>
      <c r="U286" s="27"/>
      <c r="V286" s="27"/>
      <c r="W286" s="27"/>
      <c r="X286" s="27"/>
      <c r="Y286" s="27" t="s">
        <v>2681</v>
      </c>
      <c r="Z286" s="27" t="n">
        <v>-7.2055665</v>
      </c>
      <c r="AA286" s="27" t="n">
        <v>-48.245779</v>
      </c>
      <c r="AB286" s="37" t="s">
        <v>2338</v>
      </c>
      <c r="AC286" s="27" t="s">
        <v>2682</v>
      </c>
    </row>
    <row r="287" customFormat="false" ht="15" hidden="false" customHeight="false" outlineLevel="0" collapsed="false">
      <c r="A287" s="27" t="n">
        <v>286</v>
      </c>
      <c r="B287" s="27" t="s">
        <v>1214</v>
      </c>
      <c r="C287" s="27" t="s">
        <v>2683</v>
      </c>
      <c r="D287" s="27" t="s">
        <v>1213</v>
      </c>
      <c r="E287" s="27" t="s">
        <v>1215</v>
      </c>
      <c r="F287" s="32" t="n">
        <v>6.55283217788563</v>
      </c>
      <c r="G287" s="28" t="n">
        <v>1879.85634926733</v>
      </c>
      <c r="H287" s="28" t="n">
        <v>13.627432348233</v>
      </c>
      <c r="I287" s="7" t="s">
        <v>24</v>
      </c>
      <c r="J287" s="27" t="s">
        <v>303</v>
      </c>
      <c r="K287" s="27" t="s">
        <v>446</v>
      </c>
      <c r="L287" s="27" t="n">
        <v>13</v>
      </c>
      <c r="M287" s="27" t="s">
        <v>68</v>
      </c>
      <c r="N287" s="27" t="s">
        <v>2635</v>
      </c>
      <c r="O287" s="27" t="s">
        <v>69</v>
      </c>
      <c r="P287" s="27" t="s">
        <v>54</v>
      </c>
      <c r="Q287" s="27" t="n">
        <v>0</v>
      </c>
      <c r="R287" s="27"/>
      <c r="S287" s="27" t="s">
        <v>41</v>
      </c>
      <c r="T287" s="27" t="s">
        <v>68</v>
      </c>
      <c r="U287" s="27"/>
      <c r="V287" s="27"/>
      <c r="W287" s="27"/>
      <c r="X287" s="27"/>
      <c r="Y287" s="27" t="s">
        <v>2681</v>
      </c>
      <c r="Z287" s="27" t="n">
        <v>-7.2056205</v>
      </c>
      <c r="AA287" s="27" t="n">
        <v>-48.2457745</v>
      </c>
      <c r="AB287" s="37" t="s">
        <v>2338</v>
      </c>
      <c r="AC287" s="27" t="s">
        <v>2682</v>
      </c>
    </row>
    <row r="288" customFormat="false" ht="15" hidden="false" customHeight="false" outlineLevel="0" collapsed="false">
      <c r="A288" s="27" t="n">
        <v>287</v>
      </c>
      <c r="B288" s="27" t="s">
        <v>1216</v>
      </c>
      <c r="C288" s="27" t="s">
        <v>2684</v>
      </c>
      <c r="D288" s="27" t="s">
        <v>1213</v>
      </c>
      <c r="E288" s="27" t="s">
        <v>1217</v>
      </c>
      <c r="F288" s="32" t="n">
        <v>4.00435627100595</v>
      </c>
      <c r="G288" s="28" t="n">
        <v>1877.30787336045</v>
      </c>
      <c r="H288" s="28" t="n">
        <v>11.0789564413533</v>
      </c>
      <c r="I288" s="7" t="s">
        <v>24</v>
      </c>
      <c r="J288" s="27" t="s">
        <v>303</v>
      </c>
      <c r="K288" s="27" t="s">
        <v>446</v>
      </c>
      <c r="L288" s="27" t="n">
        <v>13</v>
      </c>
      <c r="M288" s="27" t="s">
        <v>68</v>
      </c>
      <c r="N288" s="27" t="s">
        <v>2635</v>
      </c>
      <c r="O288" s="27" t="s">
        <v>69</v>
      </c>
      <c r="P288" s="27" t="s">
        <v>54</v>
      </c>
      <c r="Q288" s="27" t="n">
        <v>0</v>
      </c>
      <c r="R288" s="27"/>
      <c r="S288" s="27" t="s">
        <v>41</v>
      </c>
      <c r="T288" s="27" t="s">
        <v>68</v>
      </c>
      <c r="U288" s="27"/>
      <c r="V288" s="27"/>
      <c r="W288" s="27"/>
      <c r="X288" s="27"/>
      <c r="Y288" s="27" t="s">
        <v>2681</v>
      </c>
      <c r="Z288" s="27" t="n">
        <v>-7.2055885</v>
      </c>
      <c r="AA288" s="27" t="n">
        <v>-48.2458075</v>
      </c>
      <c r="AB288" s="37" t="s">
        <v>2338</v>
      </c>
      <c r="AC288" s="27" t="s">
        <v>2682</v>
      </c>
    </row>
    <row r="289" customFormat="false" ht="15" hidden="false" customHeight="false" outlineLevel="0" collapsed="false">
      <c r="A289" s="27" t="n">
        <v>288</v>
      </c>
      <c r="B289" s="27" t="s">
        <v>1218</v>
      </c>
      <c r="C289" s="27" t="s">
        <v>2685</v>
      </c>
      <c r="D289" s="27" t="s">
        <v>1143</v>
      </c>
      <c r="E289" s="27" t="s">
        <v>1219</v>
      </c>
      <c r="F289" s="32" t="n">
        <v>5.16474565625425</v>
      </c>
      <c r="G289" s="28" t="n">
        <v>1453.04397838057</v>
      </c>
      <c r="H289" s="28" t="n">
        <v>5.16474565625435</v>
      </c>
      <c r="I289" s="7" t="s">
        <v>24</v>
      </c>
      <c r="J289" s="27" t="s">
        <v>303</v>
      </c>
      <c r="K289" s="27" t="s">
        <v>446</v>
      </c>
      <c r="L289" s="27" t="n">
        <v>14</v>
      </c>
      <c r="M289" s="27" t="s">
        <v>70</v>
      </c>
      <c r="N289" s="27" t="s">
        <v>2640</v>
      </c>
      <c r="O289" s="27" t="s">
        <v>71</v>
      </c>
      <c r="P289" s="27" t="s">
        <v>54</v>
      </c>
      <c r="Q289" s="27" t="n">
        <v>0</v>
      </c>
      <c r="R289" s="27"/>
      <c r="S289" s="27" t="s">
        <v>41</v>
      </c>
      <c r="T289" s="27" t="s">
        <v>70</v>
      </c>
      <c r="U289" s="27"/>
      <c r="V289" s="27"/>
      <c r="W289" s="27"/>
      <c r="X289" s="27"/>
      <c r="Y289" s="27" t="s">
        <v>2686</v>
      </c>
      <c r="Z289" s="27" t="n">
        <v>-7.2051125</v>
      </c>
      <c r="AA289" s="27" t="n">
        <v>-48.242828</v>
      </c>
      <c r="AB289" s="37" t="s">
        <v>2338</v>
      </c>
      <c r="AC289" s="27" t="s">
        <v>2687</v>
      </c>
    </row>
    <row r="290" customFormat="false" ht="15" hidden="false" customHeight="false" outlineLevel="0" collapsed="false">
      <c r="A290" s="27" t="n">
        <v>289</v>
      </c>
      <c r="B290" s="27" t="s">
        <v>1220</v>
      </c>
      <c r="C290" s="27" t="s">
        <v>2688</v>
      </c>
      <c r="D290" s="27" t="s">
        <v>664</v>
      </c>
      <c r="E290" s="27" t="s">
        <v>1221</v>
      </c>
      <c r="F290" s="32" t="n">
        <v>81.2375187442398</v>
      </c>
      <c r="G290" s="28" t="n">
        <v>464.2162623491</v>
      </c>
      <c r="H290" s="28" t="n">
        <v>464.2162623491</v>
      </c>
      <c r="I290" s="5" t="s">
        <v>22</v>
      </c>
      <c r="J290" s="27" t="s">
        <v>303</v>
      </c>
      <c r="K290" s="27" t="s">
        <v>460</v>
      </c>
      <c r="L290" s="27" t="n">
        <v>15</v>
      </c>
      <c r="M290" s="27" t="s">
        <v>41</v>
      </c>
      <c r="N290" s="27" t="s">
        <v>2336</v>
      </c>
      <c r="O290" s="27" t="s">
        <v>74</v>
      </c>
      <c r="P290" s="27" t="s">
        <v>54</v>
      </c>
      <c r="Q290" s="27" t="n">
        <v>0</v>
      </c>
      <c r="R290" s="27"/>
      <c r="S290" s="27" t="s">
        <v>41</v>
      </c>
      <c r="T290" s="27"/>
      <c r="U290" s="27"/>
      <c r="V290" s="27"/>
      <c r="W290" s="27"/>
      <c r="X290" s="27"/>
      <c r="Y290" s="27" t="s">
        <v>41</v>
      </c>
      <c r="Z290" s="27" t="n">
        <v>-7.197162</v>
      </c>
      <c r="AA290" s="27" t="n">
        <v>-48.237072</v>
      </c>
      <c r="AB290" s="37" t="s">
        <v>2338</v>
      </c>
      <c r="AC290" s="27" t="s">
        <v>2339</v>
      </c>
    </row>
    <row r="291" customFormat="false" ht="15" hidden="false" customHeight="false" outlineLevel="0" collapsed="false">
      <c r="A291" s="27" t="n">
        <v>290</v>
      </c>
      <c r="B291" s="27" t="s">
        <v>1222</v>
      </c>
      <c r="C291" s="27" t="s">
        <v>2689</v>
      </c>
      <c r="D291" s="27" t="s">
        <v>689</v>
      </c>
      <c r="E291" s="27" t="s">
        <v>1223</v>
      </c>
      <c r="F291" s="32" t="n">
        <v>36.011634847933</v>
      </c>
      <c r="G291" s="28" t="n">
        <v>1566.33138101497</v>
      </c>
      <c r="H291" s="28" t="n">
        <v>1566.33138101497</v>
      </c>
      <c r="I291" s="5" t="s">
        <v>22</v>
      </c>
      <c r="J291" s="27" t="s">
        <v>303</v>
      </c>
      <c r="K291" s="27" t="s">
        <v>461</v>
      </c>
      <c r="L291" s="27" t="n">
        <v>16</v>
      </c>
      <c r="M291" s="27" t="s">
        <v>41</v>
      </c>
      <c r="N291" s="27" t="s">
        <v>2336</v>
      </c>
      <c r="O291" s="27" t="s">
        <v>77</v>
      </c>
      <c r="P291" s="27" t="s">
        <v>54</v>
      </c>
      <c r="Q291" s="27" t="n">
        <v>0</v>
      </c>
      <c r="R291" s="27"/>
      <c r="S291" s="27" t="s">
        <v>41</v>
      </c>
      <c r="T291" s="27"/>
      <c r="U291" s="27"/>
      <c r="V291" s="27"/>
      <c r="W291" s="27"/>
      <c r="X291" s="27"/>
      <c r="Y291" s="27" t="s">
        <v>41</v>
      </c>
      <c r="Z291" s="27" t="n">
        <v>-7.206787</v>
      </c>
      <c r="AA291" s="27" t="n">
        <v>-48.241771</v>
      </c>
      <c r="AB291" s="37" t="s">
        <v>2338</v>
      </c>
      <c r="AC291" s="27" t="s">
        <v>2339</v>
      </c>
    </row>
    <row r="292" customFormat="false" ht="15" hidden="false" customHeight="false" outlineLevel="0" collapsed="false">
      <c r="A292" s="27" t="n">
        <v>291</v>
      </c>
      <c r="B292" s="27" t="s">
        <v>1224</v>
      </c>
      <c r="C292" s="27" t="s">
        <v>2690</v>
      </c>
      <c r="D292" s="27" t="s">
        <v>689</v>
      </c>
      <c r="E292" s="27" t="s">
        <v>1225</v>
      </c>
      <c r="F292" s="32" t="n">
        <v>113.599785100001</v>
      </c>
      <c r="G292" s="28" t="n">
        <v>1643.91953126704</v>
      </c>
      <c r="H292" s="28" t="n">
        <v>1643.91953126704</v>
      </c>
      <c r="I292" s="5" t="s">
        <v>22</v>
      </c>
      <c r="J292" s="27" t="s">
        <v>303</v>
      </c>
      <c r="K292" s="27" t="s">
        <v>461</v>
      </c>
      <c r="L292" s="27" t="n">
        <v>16</v>
      </c>
      <c r="M292" s="27" t="s">
        <v>41</v>
      </c>
      <c r="N292" s="27" t="s">
        <v>2336</v>
      </c>
      <c r="O292" s="27" t="s">
        <v>77</v>
      </c>
      <c r="P292" s="27" t="s">
        <v>2691</v>
      </c>
      <c r="Q292" s="27" t="n">
        <v>36</v>
      </c>
      <c r="R292" s="27"/>
      <c r="S292" s="27" t="s">
        <v>41</v>
      </c>
      <c r="T292" s="27"/>
      <c r="U292" s="27"/>
      <c r="V292" s="27"/>
      <c r="W292" s="27"/>
      <c r="X292" s="27"/>
      <c r="Y292" s="27" t="s">
        <v>41</v>
      </c>
      <c r="Z292" s="27" t="n">
        <v>-7.207309</v>
      </c>
      <c r="AA292" s="27" t="n">
        <v>-48.2418365</v>
      </c>
      <c r="AB292" s="37" t="s">
        <v>2338</v>
      </c>
      <c r="AC292" s="27" t="s">
        <v>2339</v>
      </c>
    </row>
    <row r="293" customFormat="false" ht="15" hidden="false" customHeight="false" outlineLevel="0" collapsed="false">
      <c r="A293" s="27" t="n">
        <v>292</v>
      </c>
      <c r="B293" s="27" t="s">
        <v>1226</v>
      </c>
      <c r="C293" s="27" t="s">
        <v>2692</v>
      </c>
      <c r="D293" s="27" t="s">
        <v>1225</v>
      </c>
      <c r="E293" s="27" t="s">
        <v>1227</v>
      </c>
      <c r="F293" s="32" t="n">
        <v>4.12690198771456</v>
      </c>
      <c r="G293" s="28" t="n">
        <v>1648.04643325476</v>
      </c>
      <c r="H293" s="28" t="n">
        <v>1648.04643325476</v>
      </c>
      <c r="I293" s="5" t="s">
        <v>22</v>
      </c>
      <c r="J293" s="27" t="s">
        <v>303</v>
      </c>
      <c r="K293" s="27" t="s">
        <v>461</v>
      </c>
      <c r="L293" s="27" t="n">
        <v>16</v>
      </c>
      <c r="M293" s="27" t="s">
        <v>41</v>
      </c>
      <c r="N293" s="27" t="s">
        <v>2336</v>
      </c>
      <c r="O293" s="27" t="s">
        <v>77</v>
      </c>
      <c r="P293" s="27" t="s">
        <v>2691</v>
      </c>
      <c r="Q293" s="27" t="n">
        <v>36</v>
      </c>
      <c r="R293" s="27"/>
      <c r="S293" s="27" t="s">
        <v>41</v>
      </c>
      <c r="T293" s="27"/>
      <c r="U293" s="27"/>
      <c r="V293" s="27"/>
      <c r="W293" s="27"/>
      <c r="X293" s="27"/>
      <c r="Y293" s="27" t="s">
        <v>41</v>
      </c>
      <c r="Z293" s="27" t="n">
        <v>-7.207789</v>
      </c>
      <c r="AA293" s="27" t="n">
        <v>-48.2420615</v>
      </c>
      <c r="AB293" s="37" t="s">
        <v>2338</v>
      </c>
      <c r="AC293" s="27" t="s">
        <v>2339</v>
      </c>
    </row>
    <row r="294" customFormat="false" ht="15" hidden="false" customHeight="false" outlineLevel="0" collapsed="false">
      <c r="A294" s="27" t="n">
        <v>293</v>
      </c>
      <c r="B294" s="27" t="s">
        <v>1228</v>
      </c>
      <c r="C294" s="27" t="s">
        <v>2693</v>
      </c>
      <c r="D294" s="27" t="s">
        <v>1227</v>
      </c>
      <c r="E294" s="27" t="s">
        <v>1229</v>
      </c>
      <c r="F294" s="32" t="n">
        <v>5.26587878729673</v>
      </c>
      <c r="G294" s="28" t="n">
        <v>1653.31231204205</v>
      </c>
      <c r="H294" s="28" t="n">
        <v>1653.31231204205</v>
      </c>
      <c r="I294" s="5" t="s">
        <v>22</v>
      </c>
      <c r="J294" s="27" t="s">
        <v>303</v>
      </c>
      <c r="K294" s="27" t="s">
        <v>461</v>
      </c>
      <c r="L294" s="27" t="n">
        <v>16</v>
      </c>
      <c r="M294" s="27" t="s">
        <v>41</v>
      </c>
      <c r="N294" s="27" t="s">
        <v>2336</v>
      </c>
      <c r="O294" s="27" t="s">
        <v>77</v>
      </c>
      <c r="P294" s="27" t="s">
        <v>2691</v>
      </c>
      <c r="Q294" s="27" t="n">
        <v>36</v>
      </c>
      <c r="R294" s="27" t="s">
        <v>1230</v>
      </c>
      <c r="S294" s="27" t="s">
        <v>41</v>
      </c>
      <c r="T294" s="27"/>
      <c r="U294" s="27"/>
      <c r="V294" s="27"/>
      <c r="W294" s="27"/>
      <c r="X294" s="27"/>
      <c r="Y294" s="27" t="s">
        <v>41</v>
      </c>
      <c r="Z294" s="27" t="n">
        <v>-7.2078275</v>
      </c>
      <c r="AA294" s="27" t="n">
        <v>-48.242079</v>
      </c>
      <c r="AB294" s="37" t="s">
        <v>2338</v>
      </c>
      <c r="AC294" s="27" t="s">
        <v>2339</v>
      </c>
    </row>
    <row r="295" customFormat="false" ht="15" hidden="false" customHeight="false" outlineLevel="0" collapsed="false">
      <c r="A295" s="27" t="n">
        <v>294</v>
      </c>
      <c r="B295" s="27" t="s">
        <v>1231</v>
      </c>
      <c r="C295" s="27" t="s">
        <v>2694</v>
      </c>
      <c r="D295" s="27" t="s">
        <v>1229</v>
      </c>
      <c r="E295" s="27" t="s">
        <v>1232</v>
      </c>
      <c r="F295" s="32" t="n">
        <v>545.981472453464</v>
      </c>
      <c r="G295" s="28" t="n">
        <v>2199.29378449552</v>
      </c>
      <c r="H295" s="28" t="n">
        <v>2199.29378449552</v>
      </c>
      <c r="I295" s="5" t="s">
        <v>22</v>
      </c>
      <c r="J295" s="27" t="s">
        <v>303</v>
      </c>
      <c r="K295" s="27" t="s">
        <v>461</v>
      </c>
      <c r="L295" s="27" t="n">
        <v>16</v>
      </c>
      <c r="M295" s="27" t="s">
        <v>41</v>
      </c>
      <c r="N295" s="27" t="s">
        <v>2336</v>
      </c>
      <c r="O295" s="27" t="s">
        <v>77</v>
      </c>
      <c r="P295" s="27" t="s">
        <v>2691</v>
      </c>
      <c r="Q295" s="27" t="n">
        <v>36</v>
      </c>
      <c r="R295" s="27"/>
      <c r="S295" s="27" t="s">
        <v>41</v>
      </c>
      <c r="T295" s="27"/>
      <c r="U295" s="27"/>
      <c r="V295" s="27"/>
      <c r="W295" s="27"/>
      <c r="X295" s="27"/>
      <c r="Y295" s="27" t="s">
        <v>41</v>
      </c>
      <c r="Z295" s="27" t="n">
        <v>-7.2100765</v>
      </c>
      <c r="AA295" s="27" t="n">
        <v>-48.2431295</v>
      </c>
      <c r="AB295" s="37" t="s">
        <v>2338</v>
      </c>
      <c r="AC295" s="27" t="s">
        <v>2339</v>
      </c>
    </row>
    <row r="296" customFormat="false" ht="15" hidden="false" customHeight="false" outlineLevel="0" collapsed="false">
      <c r="A296" s="27" t="n">
        <v>295</v>
      </c>
      <c r="B296" s="27" t="s">
        <v>1233</v>
      </c>
      <c r="C296" s="27" t="s">
        <v>2695</v>
      </c>
      <c r="D296" s="27" t="s">
        <v>1232</v>
      </c>
      <c r="E296" s="27" t="s">
        <v>1234</v>
      </c>
      <c r="F296" s="32" t="n">
        <v>3.7740235372886</v>
      </c>
      <c r="G296" s="28" t="n">
        <v>2203.06780803281</v>
      </c>
      <c r="H296" s="28" t="n">
        <v>2203.06780803281</v>
      </c>
      <c r="I296" s="5" t="s">
        <v>22</v>
      </c>
      <c r="J296" s="27" t="s">
        <v>303</v>
      </c>
      <c r="K296" s="27" t="s">
        <v>461</v>
      </c>
      <c r="L296" s="27" t="n">
        <v>16</v>
      </c>
      <c r="M296" s="27" t="s">
        <v>41</v>
      </c>
      <c r="N296" s="27" t="s">
        <v>2336</v>
      </c>
      <c r="O296" s="27" t="s">
        <v>77</v>
      </c>
      <c r="P296" s="27" t="s">
        <v>2691</v>
      </c>
      <c r="Q296" s="27" t="n">
        <v>36</v>
      </c>
      <c r="R296" s="27"/>
      <c r="S296" s="27" t="s">
        <v>41</v>
      </c>
      <c r="T296" s="27"/>
      <c r="U296" s="27"/>
      <c r="V296" s="27"/>
      <c r="W296" s="27"/>
      <c r="X296" s="27"/>
      <c r="Y296" s="27" t="s">
        <v>41</v>
      </c>
      <c r="Z296" s="27" t="n">
        <v>-7.212319</v>
      </c>
      <c r="AA296" s="27" t="n">
        <v>-48.244178</v>
      </c>
      <c r="AB296" s="37" t="s">
        <v>2338</v>
      </c>
      <c r="AC296" s="27" t="s">
        <v>2339</v>
      </c>
    </row>
    <row r="297" customFormat="false" ht="15" hidden="false" customHeight="false" outlineLevel="0" collapsed="false">
      <c r="A297" s="27" t="n">
        <v>296</v>
      </c>
      <c r="B297" s="27" t="s">
        <v>1235</v>
      </c>
      <c r="C297" s="27" t="s">
        <v>2696</v>
      </c>
      <c r="D297" s="27" t="s">
        <v>1234</v>
      </c>
      <c r="E297" s="27" t="s">
        <v>1236</v>
      </c>
      <c r="F297" s="32" t="n">
        <v>219.005550566408</v>
      </c>
      <c r="G297" s="28" t="n">
        <v>2422.07335859921</v>
      </c>
      <c r="H297" s="28" t="n">
        <v>2422.07335859921</v>
      </c>
      <c r="I297" s="5" t="s">
        <v>22</v>
      </c>
      <c r="J297" s="27" t="s">
        <v>303</v>
      </c>
      <c r="K297" s="27" t="s">
        <v>461</v>
      </c>
      <c r="L297" s="27" t="n">
        <v>16</v>
      </c>
      <c r="M297" s="27" t="s">
        <v>41</v>
      </c>
      <c r="N297" s="27" t="s">
        <v>2336</v>
      </c>
      <c r="O297" s="27" t="s">
        <v>77</v>
      </c>
      <c r="P297" s="27" t="s">
        <v>2691</v>
      </c>
      <c r="Q297" s="27" t="n">
        <v>36</v>
      </c>
      <c r="R297" s="27"/>
      <c r="S297" s="27" t="s">
        <v>41</v>
      </c>
      <c r="T297" s="27"/>
      <c r="U297" s="27"/>
      <c r="V297" s="27"/>
      <c r="W297" s="27"/>
      <c r="X297" s="27"/>
      <c r="Y297" s="27" t="s">
        <v>41</v>
      </c>
      <c r="Z297" s="27" t="n">
        <v>-7.21321</v>
      </c>
      <c r="AA297" s="27" t="n">
        <v>-48.2446395</v>
      </c>
      <c r="AB297" s="37" t="s">
        <v>2338</v>
      </c>
      <c r="AC297" s="27" t="s">
        <v>2339</v>
      </c>
    </row>
    <row r="298" customFormat="false" ht="15" hidden="false" customHeight="false" outlineLevel="0" collapsed="false">
      <c r="A298" s="27" t="n">
        <v>297</v>
      </c>
      <c r="B298" s="27" t="s">
        <v>1237</v>
      </c>
      <c r="C298" s="27" t="s">
        <v>2697</v>
      </c>
      <c r="D298" s="27" t="s">
        <v>1236</v>
      </c>
      <c r="E298" s="27" t="s">
        <v>1238</v>
      </c>
      <c r="F298" s="32" t="n">
        <v>6.56230652385875</v>
      </c>
      <c r="G298" s="28" t="n">
        <v>2428.63566512307</v>
      </c>
      <c r="H298" s="28" t="n">
        <v>2428.63566512307</v>
      </c>
      <c r="I298" s="5" t="s">
        <v>22</v>
      </c>
      <c r="J298" s="27" t="s">
        <v>303</v>
      </c>
      <c r="K298" s="27" t="s">
        <v>461</v>
      </c>
      <c r="L298" s="27" t="n">
        <v>16</v>
      </c>
      <c r="M298" s="27" t="s">
        <v>41</v>
      </c>
      <c r="N298" s="27" t="s">
        <v>2336</v>
      </c>
      <c r="O298" s="27" t="s">
        <v>77</v>
      </c>
      <c r="P298" s="27" t="s">
        <v>2691</v>
      </c>
      <c r="Q298" s="27" t="n">
        <v>36</v>
      </c>
      <c r="R298" s="27" t="s">
        <v>1239</v>
      </c>
      <c r="S298" s="27" t="s">
        <v>41</v>
      </c>
      <c r="T298" s="27"/>
      <c r="U298" s="27"/>
      <c r="V298" s="27"/>
      <c r="W298" s="27"/>
      <c r="X298" s="27"/>
      <c r="Y298" s="27" t="s">
        <v>41</v>
      </c>
      <c r="Z298" s="27" t="n">
        <v>-7.214113</v>
      </c>
      <c r="AA298" s="27" t="n">
        <v>-48.245105</v>
      </c>
      <c r="AB298" s="37" t="s">
        <v>2338</v>
      </c>
      <c r="AC298" s="27" t="s">
        <v>2339</v>
      </c>
    </row>
    <row r="299" customFormat="false" ht="15" hidden="false" customHeight="false" outlineLevel="0" collapsed="false">
      <c r="A299" s="27" t="n">
        <v>298</v>
      </c>
      <c r="B299" s="27" t="s">
        <v>1240</v>
      </c>
      <c r="C299" s="27" t="s">
        <v>2698</v>
      </c>
      <c r="D299" s="27" t="s">
        <v>1238</v>
      </c>
      <c r="E299" s="27" t="s">
        <v>1241</v>
      </c>
      <c r="F299" s="32" t="n">
        <v>59.0013004043225</v>
      </c>
      <c r="G299" s="28" t="n">
        <v>2487.6369655274</v>
      </c>
      <c r="H299" s="28" t="n">
        <v>2487.6369655274</v>
      </c>
      <c r="I299" s="5" t="s">
        <v>22</v>
      </c>
      <c r="J299" s="27" t="s">
        <v>303</v>
      </c>
      <c r="K299" s="27" t="s">
        <v>461</v>
      </c>
      <c r="L299" s="27" t="n">
        <v>16</v>
      </c>
      <c r="M299" s="27" t="s">
        <v>41</v>
      </c>
      <c r="N299" s="27" t="s">
        <v>2336</v>
      </c>
      <c r="O299" s="27" t="s">
        <v>77</v>
      </c>
      <c r="P299" s="27" t="s">
        <v>2691</v>
      </c>
      <c r="Q299" s="27" t="n">
        <v>36</v>
      </c>
      <c r="R299" s="27"/>
      <c r="S299" s="27" t="s">
        <v>41</v>
      </c>
      <c r="T299" s="27"/>
      <c r="U299" s="27"/>
      <c r="V299" s="27"/>
      <c r="W299" s="27"/>
      <c r="X299" s="27"/>
      <c r="Y299" s="27" t="s">
        <v>41</v>
      </c>
      <c r="Z299" s="27" t="n">
        <v>-7.214384</v>
      </c>
      <c r="AA299" s="27" t="n">
        <v>-48.245222</v>
      </c>
      <c r="AB299" s="37" t="s">
        <v>2338</v>
      </c>
      <c r="AC299" s="27" t="s">
        <v>2339</v>
      </c>
    </row>
    <row r="300" customFormat="false" ht="15" hidden="false" customHeight="false" outlineLevel="0" collapsed="false">
      <c r="A300" s="27" t="n">
        <v>299</v>
      </c>
      <c r="B300" s="27" t="s">
        <v>1242</v>
      </c>
      <c r="C300" s="27" t="s">
        <v>2699</v>
      </c>
      <c r="D300" s="27" t="s">
        <v>1241</v>
      </c>
      <c r="E300" s="27" t="s">
        <v>1243</v>
      </c>
      <c r="F300" s="32" t="n">
        <v>49.2345250345835</v>
      </c>
      <c r="G300" s="28" t="n">
        <v>2536.87149056198</v>
      </c>
      <c r="H300" s="28" t="n">
        <v>2536.87149056198</v>
      </c>
      <c r="I300" s="5" t="s">
        <v>22</v>
      </c>
      <c r="J300" s="27" t="s">
        <v>303</v>
      </c>
      <c r="K300" s="27" t="s">
        <v>461</v>
      </c>
      <c r="L300" s="27" t="n">
        <v>16</v>
      </c>
      <c r="M300" s="27" t="s">
        <v>41</v>
      </c>
      <c r="N300" s="27" t="s">
        <v>2336</v>
      </c>
      <c r="O300" s="27" t="s">
        <v>77</v>
      </c>
      <c r="P300" s="27" t="s">
        <v>2700</v>
      </c>
      <c r="Q300" s="27" t="n">
        <v>35</v>
      </c>
      <c r="R300" s="27"/>
      <c r="S300" s="27" t="s">
        <v>41</v>
      </c>
      <c r="T300" s="27"/>
      <c r="U300" s="27"/>
      <c r="V300" s="27"/>
      <c r="W300" s="27"/>
      <c r="X300" s="27"/>
      <c r="Y300" s="27" t="s">
        <v>41</v>
      </c>
      <c r="Z300" s="27" t="n">
        <v>-7.214809</v>
      </c>
      <c r="AA300" s="27" t="n">
        <v>-48.2454555</v>
      </c>
      <c r="AB300" s="37" t="s">
        <v>2338</v>
      </c>
      <c r="AC300" s="27" t="s">
        <v>2339</v>
      </c>
    </row>
    <row r="301" customFormat="false" ht="15" hidden="false" customHeight="false" outlineLevel="0" collapsed="false">
      <c r="A301" s="27" t="n">
        <v>300</v>
      </c>
      <c r="B301" s="27" t="s">
        <v>1244</v>
      </c>
      <c r="C301" s="27" t="s">
        <v>2701</v>
      </c>
      <c r="D301" s="27" t="s">
        <v>1243</v>
      </c>
      <c r="E301" s="27" t="s">
        <v>1245</v>
      </c>
      <c r="F301" s="32" t="n">
        <v>276.600873173452</v>
      </c>
      <c r="G301" s="28" t="n">
        <v>2813.47236373543</v>
      </c>
      <c r="H301" s="28" t="n">
        <v>2813.47236373543</v>
      </c>
      <c r="I301" s="5" t="s">
        <v>22</v>
      </c>
      <c r="J301" s="27" t="s">
        <v>303</v>
      </c>
      <c r="K301" s="27" t="s">
        <v>461</v>
      </c>
      <c r="L301" s="27" t="n">
        <v>16</v>
      </c>
      <c r="M301" s="27" t="s">
        <v>41</v>
      </c>
      <c r="N301" s="27" t="s">
        <v>2336</v>
      </c>
      <c r="O301" s="27" t="s">
        <v>77</v>
      </c>
      <c r="P301" s="27" t="s">
        <v>2700</v>
      </c>
      <c r="Q301" s="27" t="n">
        <v>35</v>
      </c>
      <c r="R301" s="27"/>
      <c r="S301" s="27" t="s">
        <v>41</v>
      </c>
      <c r="T301" s="27"/>
      <c r="U301" s="27"/>
      <c r="V301" s="27"/>
      <c r="W301" s="27"/>
      <c r="X301" s="27"/>
      <c r="Y301" s="27" t="s">
        <v>41</v>
      </c>
      <c r="Z301" s="27" t="n">
        <v>-7.216131</v>
      </c>
      <c r="AA301" s="27" t="n">
        <v>-48.246083</v>
      </c>
      <c r="AB301" s="37" t="s">
        <v>2338</v>
      </c>
      <c r="AC301" s="27" t="s">
        <v>2339</v>
      </c>
    </row>
    <row r="302" customFormat="false" ht="15" hidden="false" customHeight="false" outlineLevel="0" collapsed="false">
      <c r="A302" s="27" t="n">
        <v>301</v>
      </c>
      <c r="B302" s="27" t="s">
        <v>1246</v>
      </c>
      <c r="C302" s="27" t="s">
        <v>2702</v>
      </c>
      <c r="D302" s="27" t="s">
        <v>1245</v>
      </c>
      <c r="E302" s="27" t="s">
        <v>1247</v>
      </c>
      <c r="F302" s="32" t="n">
        <v>3.48579188474826</v>
      </c>
      <c r="G302" s="28" t="n">
        <v>2816.95815562018</v>
      </c>
      <c r="H302" s="28" t="n">
        <v>2816.95815562018</v>
      </c>
      <c r="I302" s="5" t="s">
        <v>22</v>
      </c>
      <c r="J302" s="27" t="s">
        <v>303</v>
      </c>
      <c r="K302" s="27" t="s">
        <v>461</v>
      </c>
      <c r="L302" s="27" t="n">
        <v>16</v>
      </c>
      <c r="M302" s="27" t="s">
        <v>41</v>
      </c>
      <c r="N302" s="27" t="s">
        <v>2336</v>
      </c>
      <c r="O302" s="27" t="s">
        <v>77</v>
      </c>
      <c r="P302" s="27" t="s">
        <v>2700</v>
      </c>
      <c r="Q302" s="27" t="n">
        <v>35</v>
      </c>
      <c r="R302" s="27" t="s">
        <v>1248</v>
      </c>
      <c r="S302" s="27" t="s">
        <v>41</v>
      </c>
      <c r="T302" s="27"/>
      <c r="U302" s="27"/>
      <c r="V302" s="27"/>
      <c r="W302" s="27"/>
      <c r="X302" s="27"/>
      <c r="Y302" s="27" t="s">
        <v>41</v>
      </c>
      <c r="Z302" s="27" t="n">
        <v>-7.2172865</v>
      </c>
      <c r="AA302" s="27" t="n">
        <v>-48.246588</v>
      </c>
      <c r="AB302" s="37" t="s">
        <v>2338</v>
      </c>
      <c r="AC302" s="27" t="s">
        <v>2339</v>
      </c>
    </row>
    <row r="303" customFormat="false" ht="15" hidden="false" customHeight="false" outlineLevel="0" collapsed="false">
      <c r="A303" s="27" t="n">
        <v>302</v>
      </c>
      <c r="B303" s="27" t="s">
        <v>1249</v>
      </c>
      <c r="C303" s="27" t="s">
        <v>2703</v>
      </c>
      <c r="D303" s="27" t="s">
        <v>1247</v>
      </c>
      <c r="E303" s="27" t="s">
        <v>1250</v>
      </c>
      <c r="F303" s="32" t="n">
        <v>29.9947128328929</v>
      </c>
      <c r="G303" s="28" t="n">
        <v>2846.95286845307</v>
      </c>
      <c r="H303" s="28" t="n">
        <v>2846.95286845307</v>
      </c>
      <c r="I303" s="5" t="s">
        <v>22</v>
      </c>
      <c r="J303" s="27" t="s">
        <v>303</v>
      </c>
      <c r="K303" s="27" t="s">
        <v>461</v>
      </c>
      <c r="L303" s="27" t="n">
        <v>16</v>
      </c>
      <c r="M303" s="27" t="s">
        <v>41</v>
      </c>
      <c r="N303" s="27" t="s">
        <v>2336</v>
      </c>
      <c r="O303" s="27" t="s">
        <v>77</v>
      </c>
      <c r="P303" s="27" t="s">
        <v>2700</v>
      </c>
      <c r="Q303" s="27" t="n">
        <v>35</v>
      </c>
      <c r="R303" s="27"/>
      <c r="S303" s="27" t="s">
        <v>41</v>
      </c>
      <c r="T303" s="27"/>
      <c r="U303" s="27"/>
      <c r="V303" s="27"/>
      <c r="W303" s="27"/>
      <c r="X303" s="27"/>
      <c r="Y303" s="27" t="s">
        <v>41</v>
      </c>
      <c r="Z303" s="27" t="n">
        <v>-7.217427</v>
      </c>
      <c r="AA303" s="27" t="n">
        <v>-48.2466425</v>
      </c>
      <c r="AB303" s="37" t="s">
        <v>2338</v>
      </c>
      <c r="AC303" s="27" t="s">
        <v>2339</v>
      </c>
    </row>
    <row r="304" customFormat="false" ht="15" hidden="false" customHeight="false" outlineLevel="0" collapsed="false">
      <c r="A304" s="27" t="n">
        <v>303</v>
      </c>
      <c r="B304" s="27" t="s">
        <v>1251</v>
      </c>
      <c r="C304" s="27" t="s">
        <v>2704</v>
      </c>
      <c r="D304" s="27" t="s">
        <v>1250</v>
      </c>
      <c r="E304" s="27" t="s">
        <v>1252</v>
      </c>
      <c r="F304" s="32" t="n">
        <v>117.431698660931</v>
      </c>
      <c r="G304" s="28" t="n">
        <v>2964.384567114</v>
      </c>
      <c r="H304" s="28" t="n">
        <v>2964.384567114</v>
      </c>
      <c r="I304" s="5" t="s">
        <v>22</v>
      </c>
      <c r="J304" s="27" t="s">
        <v>303</v>
      </c>
      <c r="K304" s="27" t="s">
        <v>461</v>
      </c>
      <c r="L304" s="27" t="n">
        <v>16</v>
      </c>
      <c r="M304" s="27" t="s">
        <v>41</v>
      </c>
      <c r="N304" s="27" t="s">
        <v>2336</v>
      </c>
      <c r="O304" s="27" t="s">
        <v>77</v>
      </c>
      <c r="P304" s="27" t="s">
        <v>2705</v>
      </c>
      <c r="Q304" s="27" t="n">
        <v>30</v>
      </c>
      <c r="R304" s="27"/>
      <c r="S304" s="27" t="s">
        <v>41</v>
      </c>
      <c r="T304" s="27"/>
      <c r="U304" s="27"/>
      <c r="V304" s="27"/>
      <c r="W304" s="27"/>
      <c r="X304" s="27"/>
      <c r="Y304" s="27" t="s">
        <v>41</v>
      </c>
      <c r="Z304" s="27" t="n">
        <v>-7.2180345</v>
      </c>
      <c r="AA304" s="27" t="n">
        <v>-48.2469095</v>
      </c>
      <c r="AB304" s="37" t="s">
        <v>2338</v>
      </c>
      <c r="AC304" s="27" t="s">
        <v>2339</v>
      </c>
    </row>
    <row r="305" customFormat="false" ht="15" hidden="false" customHeight="false" outlineLevel="0" collapsed="false">
      <c r="A305" s="27" t="n">
        <v>304</v>
      </c>
      <c r="B305" s="27" t="s">
        <v>1253</v>
      </c>
      <c r="C305" s="27" t="s">
        <v>2706</v>
      </c>
      <c r="D305" s="27" t="s">
        <v>1252</v>
      </c>
      <c r="E305" s="27" t="s">
        <v>1254</v>
      </c>
      <c r="F305" s="32" t="n">
        <v>17.9302733217107</v>
      </c>
      <c r="G305" s="28" t="n">
        <v>2982.31484043571</v>
      </c>
      <c r="H305" s="28" t="n">
        <v>2982.31484043571</v>
      </c>
      <c r="I305" s="5" t="s">
        <v>22</v>
      </c>
      <c r="J305" s="27" t="s">
        <v>303</v>
      </c>
      <c r="K305" s="27" t="s">
        <v>461</v>
      </c>
      <c r="L305" s="27" t="n">
        <v>16</v>
      </c>
      <c r="M305" s="27" t="s">
        <v>41</v>
      </c>
      <c r="N305" s="27" t="s">
        <v>2336</v>
      </c>
      <c r="O305" s="27" t="s">
        <v>77</v>
      </c>
      <c r="P305" s="27" t="s">
        <v>2705</v>
      </c>
      <c r="Q305" s="27" t="n">
        <v>30</v>
      </c>
      <c r="R305" s="27"/>
      <c r="S305" s="27" t="s">
        <v>41</v>
      </c>
      <c r="T305" s="27"/>
      <c r="U305" s="27"/>
      <c r="V305" s="27"/>
      <c r="W305" s="27"/>
      <c r="X305" s="27"/>
      <c r="Y305" s="27" t="s">
        <v>41</v>
      </c>
      <c r="Z305" s="27" t="n">
        <v>-7.218589</v>
      </c>
      <c r="AA305" s="27" t="n">
        <v>-48.2471625</v>
      </c>
      <c r="AB305" s="37" t="s">
        <v>2338</v>
      </c>
      <c r="AC305" s="27" t="s">
        <v>2339</v>
      </c>
    </row>
    <row r="306" customFormat="false" ht="15" hidden="false" customHeight="false" outlineLevel="0" collapsed="false">
      <c r="A306" s="27" t="n">
        <v>305</v>
      </c>
      <c r="B306" s="27" t="s">
        <v>1255</v>
      </c>
      <c r="C306" s="27" t="s">
        <v>2707</v>
      </c>
      <c r="D306" s="27" t="s">
        <v>1254</v>
      </c>
      <c r="E306" s="27" t="s">
        <v>1256</v>
      </c>
      <c r="F306" s="32" t="n">
        <v>57.058574742739</v>
      </c>
      <c r="G306" s="28" t="n">
        <v>3039.37341517845</v>
      </c>
      <c r="H306" s="28" t="n">
        <v>3039.37341517845</v>
      </c>
      <c r="I306" s="5" t="s">
        <v>22</v>
      </c>
      <c r="J306" s="27" t="s">
        <v>303</v>
      </c>
      <c r="K306" s="27" t="s">
        <v>461</v>
      </c>
      <c r="L306" s="27" t="n">
        <v>16</v>
      </c>
      <c r="M306" s="27" t="s">
        <v>41</v>
      </c>
      <c r="N306" s="27" t="s">
        <v>2336</v>
      </c>
      <c r="O306" s="27" t="s">
        <v>77</v>
      </c>
      <c r="P306" s="27" t="s">
        <v>2705</v>
      </c>
      <c r="Q306" s="27" t="n">
        <v>30</v>
      </c>
      <c r="R306" s="27"/>
      <c r="S306" s="27" t="s">
        <v>41</v>
      </c>
      <c r="T306" s="27"/>
      <c r="U306" s="27"/>
      <c r="V306" s="27"/>
      <c r="W306" s="27"/>
      <c r="X306" s="27"/>
      <c r="Y306" s="27" t="s">
        <v>41</v>
      </c>
      <c r="Z306" s="27" t="n">
        <v>-7.2188935</v>
      </c>
      <c r="AA306" s="27" t="n">
        <v>-48.2473085</v>
      </c>
      <c r="AB306" s="37" t="s">
        <v>2338</v>
      </c>
      <c r="AC306" s="27" t="s">
        <v>2339</v>
      </c>
    </row>
    <row r="307" customFormat="false" ht="15" hidden="false" customHeight="false" outlineLevel="0" collapsed="false">
      <c r="A307" s="27" t="n">
        <v>306</v>
      </c>
      <c r="B307" s="27" t="s">
        <v>1257</v>
      </c>
      <c r="C307" s="27" t="s">
        <v>2708</v>
      </c>
      <c r="D307" s="27" t="s">
        <v>1256</v>
      </c>
      <c r="E307" s="27" t="s">
        <v>1258</v>
      </c>
      <c r="F307" s="32" t="n">
        <v>1.87865764470086</v>
      </c>
      <c r="G307" s="28" t="n">
        <v>3041.25207282315</v>
      </c>
      <c r="H307" s="28" t="n">
        <v>3041.25207282315</v>
      </c>
      <c r="I307" s="5" t="s">
        <v>22</v>
      </c>
      <c r="J307" s="27" t="s">
        <v>303</v>
      </c>
      <c r="K307" s="27" t="s">
        <v>461</v>
      </c>
      <c r="L307" s="27" t="n">
        <v>16</v>
      </c>
      <c r="M307" s="27" t="s">
        <v>41</v>
      </c>
      <c r="N307" s="27" t="s">
        <v>2336</v>
      </c>
      <c r="O307" s="27" t="s">
        <v>77</v>
      </c>
      <c r="P307" s="27" t="s">
        <v>54</v>
      </c>
      <c r="Q307" s="27" t="n">
        <v>0</v>
      </c>
      <c r="R307" s="27"/>
      <c r="S307" s="27" t="s">
        <v>41</v>
      </c>
      <c r="T307" s="27"/>
      <c r="U307" s="27"/>
      <c r="V307" s="27"/>
      <c r="W307" s="27"/>
      <c r="X307" s="27"/>
      <c r="Y307" s="27" t="s">
        <v>41</v>
      </c>
      <c r="Z307" s="27" t="n">
        <v>-7.219121</v>
      </c>
      <c r="AA307" s="27" t="n">
        <v>-48.2474275</v>
      </c>
      <c r="AB307" s="37" t="s">
        <v>2338</v>
      </c>
      <c r="AC307" s="27" t="s">
        <v>2339</v>
      </c>
    </row>
    <row r="308" customFormat="false" ht="15" hidden="false" customHeight="false" outlineLevel="0" collapsed="false">
      <c r="A308" s="27" t="n">
        <v>307</v>
      </c>
      <c r="B308" s="27" t="s">
        <v>1259</v>
      </c>
      <c r="C308" s="27" t="s">
        <v>2709</v>
      </c>
      <c r="D308" s="27" t="s">
        <v>1258</v>
      </c>
      <c r="E308" s="27" t="s">
        <v>1260</v>
      </c>
      <c r="F308" s="32" t="n">
        <v>123.671068724835</v>
      </c>
      <c r="G308" s="28" t="n">
        <v>3164.92314154799</v>
      </c>
      <c r="H308" s="28" t="n">
        <v>3164.92314154799</v>
      </c>
      <c r="I308" s="5" t="s">
        <v>22</v>
      </c>
      <c r="J308" s="27" t="s">
        <v>303</v>
      </c>
      <c r="K308" s="27" t="s">
        <v>461</v>
      </c>
      <c r="L308" s="27" t="n">
        <v>16</v>
      </c>
      <c r="M308" s="27" t="s">
        <v>41</v>
      </c>
      <c r="N308" s="27" t="s">
        <v>2336</v>
      </c>
      <c r="O308" s="27" t="s">
        <v>77</v>
      </c>
      <c r="P308" s="27" t="s">
        <v>54</v>
      </c>
      <c r="Q308" s="27" t="n">
        <v>0</v>
      </c>
      <c r="R308" s="27"/>
      <c r="S308" s="27" t="s">
        <v>41</v>
      </c>
      <c r="T308" s="27"/>
      <c r="U308" s="27"/>
      <c r="V308" s="27"/>
      <c r="W308" s="27"/>
      <c r="X308" s="27"/>
      <c r="Y308" s="27" t="s">
        <v>41</v>
      </c>
      <c r="Z308" s="27" t="n">
        <v>-7.218894</v>
      </c>
      <c r="AA308" s="27" t="n">
        <v>-48.2479485</v>
      </c>
      <c r="AB308" s="37" t="s">
        <v>2338</v>
      </c>
      <c r="AC308" s="27" t="s">
        <v>2339</v>
      </c>
    </row>
    <row r="309" customFormat="false" ht="15" hidden="false" customHeight="false" outlineLevel="0" collapsed="false">
      <c r="A309" s="27" t="n">
        <v>308</v>
      </c>
      <c r="B309" s="27" t="s">
        <v>1261</v>
      </c>
      <c r="C309" s="27" t="s">
        <v>2710</v>
      </c>
      <c r="D309" s="27" t="s">
        <v>1256</v>
      </c>
      <c r="E309" s="27" t="s">
        <v>1262</v>
      </c>
      <c r="F309" s="32" t="n">
        <v>99.8210557851453</v>
      </c>
      <c r="G309" s="28" t="n">
        <v>3139.1944709636</v>
      </c>
      <c r="H309" s="28" t="n">
        <v>3139.1944709636</v>
      </c>
      <c r="I309" s="5" t="s">
        <v>22</v>
      </c>
      <c r="J309" s="27" t="s">
        <v>303</v>
      </c>
      <c r="K309" s="27" t="s">
        <v>461</v>
      </c>
      <c r="L309" s="27" t="n">
        <v>16</v>
      </c>
      <c r="M309" s="27" t="s">
        <v>41</v>
      </c>
      <c r="N309" s="27" t="s">
        <v>2336</v>
      </c>
      <c r="O309" s="27" t="s">
        <v>77</v>
      </c>
      <c r="P309" s="27" t="s">
        <v>2705</v>
      </c>
      <c r="Q309" s="27" t="n">
        <v>30</v>
      </c>
      <c r="R309" s="27"/>
      <c r="S309" s="27" t="s">
        <v>41</v>
      </c>
      <c r="T309" s="27"/>
      <c r="U309" s="27"/>
      <c r="V309" s="27"/>
      <c r="W309" s="27"/>
      <c r="X309" s="27"/>
      <c r="Y309" s="27" t="s">
        <v>41</v>
      </c>
      <c r="Z309" s="27" t="n">
        <v>-7.2195305</v>
      </c>
      <c r="AA309" s="27" t="n">
        <v>-48.247614</v>
      </c>
      <c r="AB309" s="37" t="s">
        <v>2338</v>
      </c>
      <c r="AC309" s="27" t="s">
        <v>2339</v>
      </c>
    </row>
    <row r="310" customFormat="false" ht="15" hidden="false" customHeight="false" outlineLevel="0" collapsed="false">
      <c r="A310" s="27" t="n">
        <v>309</v>
      </c>
      <c r="B310" s="27" t="s">
        <v>1263</v>
      </c>
      <c r="C310" s="27" t="s">
        <v>2711</v>
      </c>
      <c r="D310" s="27" t="s">
        <v>1262</v>
      </c>
      <c r="E310" s="27" t="s">
        <v>1264</v>
      </c>
      <c r="F310" s="32" t="n">
        <v>105.552332021579</v>
      </c>
      <c r="G310" s="28" t="n">
        <v>3244.74680298518</v>
      </c>
      <c r="H310" s="28" t="n">
        <v>3244.74680298518</v>
      </c>
      <c r="I310" s="5" t="s">
        <v>22</v>
      </c>
      <c r="J310" s="27" t="s">
        <v>303</v>
      </c>
      <c r="K310" s="27" t="s">
        <v>461</v>
      </c>
      <c r="L310" s="27" t="n">
        <v>16</v>
      </c>
      <c r="M310" s="27" t="s">
        <v>41</v>
      </c>
      <c r="N310" s="27" t="s">
        <v>2336</v>
      </c>
      <c r="O310" s="27" t="s">
        <v>77</v>
      </c>
      <c r="P310" s="27" t="s">
        <v>2712</v>
      </c>
      <c r="Q310" s="27" t="n">
        <v>29</v>
      </c>
      <c r="R310" s="27"/>
      <c r="S310" s="27" t="s">
        <v>41</v>
      </c>
      <c r="T310" s="27"/>
      <c r="U310" s="27"/>
      <c r="V310" s="27"/>
      <c r="W310" s="27"/>
      <c r="X310" s="27"/>
      <c r="Y310" s="27" t="s">
        <v>41</v>
      </c>
      <c r="Z310" s="27" t="n">
        <v>-7.2203595</v>
      </c>
      <c r="AA310" s="27" t="n">
        <v>-48.248024</v>
      </c>
      <c r="AB310" s="37" t="s">
        <v>2338</v>
      </c>
      <c r="AC310" s="27" t="s">
        <v>2339</v>
      </c>
    </row>
    <row r="311" customFormat="false" ht="15" hidden="false" customHeight="false" outlineLevel="0" collapsed="false">
      <c r="A311" s="27" t="n">
        <v>310</v>
      </c>
      <c r="B311" s="27" t="s">
        <v>1265</v>
      </c>
      <c r="C311" s="27" t="s">
        <v>2713</v>
      </c>
      <c r="D311" s="27" t="s">
        <v>1264</v>
      </c>
      <c r="E311" s="27" t="s">
        <v>1266</v>
      </c>
      <c r="F311" s="32" t="n">
        <v>213.797217659793</v>
      </c>
      <c r="G311" s="28" t="n">
        <v>3458.54402064497</v>
      </c>
      <c r="H311" s="28" t="n">
        <v>3458.54402064497</v>
      </c>
      <c r="I311" s="5" t="s">
        <v>22</v>
      </c>
      <c r="J311" s="27" t="s">
        <v>303</v>
      </c>
      <c r="K311" s="27" t="s">
        <v>461</v>
      </c>
      <c r="L311" s="27" t="n">
        <v>16</v>
      </c>
      <c r="M311" s="27" t="s">
        <v>41</v>
      </c>
      <c r="N311" s="27" t="s">
        <v>2336</v>
      </c>
      <c r="O311" s="27" t="s">
        <v>77</v>
      </c>
      <c r="P311" s="27" t="s">
        <v>2712</v>
      </c>
      <c r="Q311" s="27" t="n">
        <v>29</v>
      </c>
      <c r="R311" s="27"/>
      <c r="S311" s="27" t="s">
        <v>41</v>
      </c>
      <c r="T311" s="27"/>
      <c r="U311" s="27"/>
      <c r="V311" s="27"/>
      <c r="W311" s="27"/>
      <c r="X311" s="27"/>
      <c r="Y311" s="27" t="s">
        <v>41</v>
      </c>
      <c r="Z311" s="27" t="n">
        <v>-7.221655</v>
      </c>
      <c r="AA311" s="27" t="n">
        <v>-48.248648</v>
      </c>
      <c r="AB311" s="37" t="s">
        <v>2338</v>
      </c>
      <c r="AC311" s="27" t="s">
        <v>2339</v>
      </c>
    </row>
    <row r="312" customFormat="false" ht="15" hidden="false" customHeight="false" outlineLevel="0" collapsed="false">
      <c r="A312" s="27" t="n">
        <v>311</v>
      </c>
      <c r="B312" s="27" t="s">
        <v>1267</v>
      </c>
      <c r="C312" s="27" t="s">
        <v>2714</v>
      </c>
      <c r="D312" s="27" t="s">
        <v>1266</v>
      </c>
      <c r="E312" s="27" t="s">
        <v>1268</v>
      </c>
      <c r="F312" s="32" t="n">
        <v>8.06497324955959</v>
      </c>
      <c r="G312" s="28" t="n">
        <v>3466.60899389453</v>
      </c>
      <c r="H312" s="28" t="n">
        <v>3466.60899389453</v>
      </c>
      <c r="I312" s="5" t="s">
        <v>22</v>
      </c>
      <c r="J312" s="27" t="s">
        <v>303</v>
      </c>
      <c r="K312" s="27" t="s">
        <v>461</v>
      </c>
      <c r="L312" s="27" t="n">
        <v>16</v>
      </c>
      <c r="M312" s="27" t="s">
        <v>41</v>
      </c>
      <c r="N312" s="27" t="s">
        <v>2336</v>
      </c>
      <c r="O312" s="27" t="s">
        <v>77</v>
      </c>
      <c r="P312" s="27" t="s">
        <v>2712</v>
      </c>
      <c r="Q312" s="27" t="n">
        <v>29</v>
      </c>
      <c r="R312" s="27" t="s">
        <v>1269</v>
      </c>
      <c r="S312" s="27" t="s">
        <v>41</v>
      </c>
      <c r="T312" s="27"/>
      <c r="U312" s="27"/>
      <c r="V312" s="27"/>
      <c r="W312" s="27"/>
      <c r="X312" s="27"/>
      <c r="Y312" s="27" t="s">
        <v>41</v>
      </c>
      <c r="Z312" s="27" t="n">
        <v>-7.2225605</v>
      </c>
      <c r="AA312" s="27" t="n">
        <v>-48.24907</v>
      </c>
      <c r="AB312" s="37" t="s">
        <v>2338</v>
      </c>
      <c r="AC312" s="27" t="s">
        <v>2339</v>
      </c>
    </row>
    <row r="313" customFormat="false" ht="15" hidden="false" customHeight="false" outlineLevel="0" collapsed="false">
      <c r="A313" s="27" t="n">
        <v>312</v>
      </c>
      <c r="B313" s="27" t="s">
        <v>1270</v>
      </c>
      <c r="C313" s="27" t="s">
        <v>2715</v>
      </c>
      <c r="D313" s="27" t="s">
        <v>1268</v>
      </c>
      <c r="E313" s="27" t="s">
        <v>1271</v>
      </c>
      <c r="F313" s="32" t="n">
        <v>141.853533493536</v>
      </c>
      <c r="G313" s="28" t="n">
        <v>3608.46252738806</v>
      </c>
      <c r="H313" s="28" t="n">
        <v>3608.46252738806</v>
      </c>
      <c r="I313" s="5" t="s">
        <v>22</v>
      </c>
      <c r="J313" s="27" t="s">
        <v>303</v>
      </c>
      <c r="K313" s="27" t="s">
        <v>461</v>
      </c>
      <c r="L313" s="27" t="n">
        <v>16</v>
      </c>
      <c r="M313" s="27" t="s">
        <v>41</v>
      </c>
      <c r="N313" s="27" t="s">
        <v>2336</v>
      </c>
      <c r="O313" s="27" t="s">
        <v>77</v>
      </c>
      <c r="P313" s="27" t="s">
        <v>2712</v>
      </c>
      <c r="Q313" s="27" t="n">
        <v>29</v>
      </c>
      <c r="R313" s="27"/>
      <c r="S313" s="27" t="s">
        <v>41</v>
      </c>
      <c r="T313" s="27"/>
      <c r="U313" s="27"/>
      <c r="V313" s="27"/>
      <c r="W313" s="27"/>
      <c r="X313" s="27"/>
      <c r="Y313" s="27" t="s">
        <v>41</v>
      </c>
      <c r="Z313" s="27" t="n">
        <v>-7.2231765</v>
      </c>
      <c r="AA313" s="27" t="n">
        <v>-48.249346</v>
      </c>
      <c r="AB313" s="37" t="s">
        <v>2338</v>
      </c>
      <c r="AC313" s="27" t="s">
        <v>2339</v>
      </c>
    </row>
    <row r="314" customFormat="false" ht="15" hidden="false" customHeight="false" outlineLevel="0" collapsed="false">
      <c r="A314" s="27" t="n">
        <v>313</v>
      </c>
      <c r="B314" s="27" t="s">
        <v>1272</v>
      </c>
      <c r="C314" s="27" t="s">
        <v>2716</v>
      </c>
      <c r="D314" s="27" t="s">
        <v>1271</v>
      </c>
      <c r="E314" s="27" t="s">
        <v>1273</v>
      </c>
      <c r="F314" s="32" t="n">
        <v>8.5183603823666</v>
      </c>
      <c r="G314" s="28" t="n">
        <v>3616.98088777043</v>
      </c>
      <c r="H314" s="28" t="n">
        <v>3616.98088777043</v>
      </c>
      <c r="I314" s="5" t="s">
        <v>22</v>
      </c>
      <c r="J314" s="27" t="s">
        <v>303</v>
      </c>
      <c r="K314" s="27" t="s">
        <v>461</v>
      </c>
      <c r="L314" s="27" t="n">
        <v>16</v>
      </c>
      <c r="M314" s="27" t="s">
        <v>41</v>
      </c>
      <c r="N314" s="27" t="s">
        <v>2336</v>
      </c>
      <c r="O314" s="27" t="s">
        <v>77</v>
      </c>
      <c r="P314" s="27" t="s">
        <v>2717</v>
      </c>
      <c r="Q314" s="27" t="n">
        <v>28</v>
      </c>
      <c r="R314" s="27"/>
      <c r="S314" s="27" t="s">
        <v>41</v>
      </c>
      <c r="T314" s="27"/>
      <c r="U314" s="27"/>
      <c r="V314" s="27"/>
      <c r="W314" s="27"/>
      <c r="X314" s="27"/>
      <c r="Y314" s="27" t="s">
        <v>41</v>
      </c>
      <c r="Z314" s="27" t="n">
        <v>-7.2237945</v>
      </c>
      <c r="AA314" s="27" t="n">
        <v>-48.2496225</v>
      </c>
      <c r="AB314" s="37" t="s">
        <v>2338</v>
      </c>
      <c r="AC314" s="27" t="s">
        <v>2339</v>
      </c>
    </row>
    <row r="315" customFormat="false" ht="15" hidden="false" customHeight="false" outlineLevel="0" collapsed="false">
      <c r="A315" s="27" t="n">
        <v>314</v>
      </c>
      <c r="B315" s="27" t="s">
        <v>1274</v>
      </c>
      <c r="C315" s="27" t="s">
        <v>2718</v>
      </c>
      <c r="D315" s="27" t="s">
        <v>1273</v>
      </c>
      <c r="E315" s="27" t="s">
        <v>1275</v>
      </c>
      <c r="F315" s="32" t="n">
        <v>64.8727275626297</v>
      </c>
      <c r="G315" s="28" t="n">
        <v>3681.85361533306</v>
      </c>
      <c r="H315" s="28" t="n">
        <v>3681.85361533306</v>
      </c>
      <c r="I315" s="5" t="s">
        <v>22</v>
      </c>
      <c r="J315" s="27" t="s">
        <v>303</v>
      </c>
      <c r="K315" s="27" t="s">
        <v>461</v>
      </c>
      <c r="L315" s="27" t="n">
        <v>16</v>
      </c>
      <c r="M315" s="27" t="s">
        <v>41</v>
      </c>
      <c r="N315" s="27" t="s">
        <v>2336</v>
      </c>
      <c r="O315" s="27" t="s">
        <v>77</v>
      </c>
      <c r="P315" s="27" t="s">
        <v>2717</v>
      </c>
      <c r="Q315" s="27" t="n">
        <v>28</v>
      </c>
      <c r="R315" s="27"/>
      <c r="S315" s="27" t="s">
        <v>41</v>
      </c>
      <c r="T315" s="27"/>
      <c r="U315" s="27"/>
      <c r="V315" s="27"/>
      <c r="W315" s="27"/>
      <c r="X315" s="27"/>
      <c r="Y315" s="27" t="s">
        <v>41</v>
      </c>
      <c r="Z315" s="27" t="n">
        <v>-7.2240945</v>
      </c>
      <c r="AA315" s="27" t="n">
        <v>-48.249761</v>
      </c>
      <c r="AB315" s="37" t="s">
        <v>2338</v>
      </c>
      <c r="AC315" s="27" t="s">
        <v>2339</v>
      </c>
    </row>
    <row r="316" customFormat="false" ht="15" hidden="false" customHeight="false" outlineLevel="0" collapsed="false">
      <c r="A316" s="27" t="n">
        <v>315</v>
      </c>
      <c r="B316" s="27" t="s">
        <v>1276</v>
      </c>
      <c r="C316" s="27" t="s">
        <v>2719</v>
      </c>
      <c r="D316" s="27" t="s">
        <v>1275</v>
      </c>
      <c r="E316" s="27" t="s">
        <v>1277</v>
      </c>
      <c r="F316" s="32" t="n">
        <v>103.268305499366</v>
      </c>
      <c r="G316" s="28" t="n">
        <v>3785.12192083243</v>
      </c>
      <c r="H316" s="28" t="n">
        <v>3785.12192083243</v>
      </c>
      <c r="I316" s="5" t="s">
        <v>22</v>
      </c>
      <c r="J316" s="27" t="s">
        <v>303</v>
      </c>
      <c r="K316" s="27" t="s">
        <v>461</v>
      </c>
      <c r="L316" s="27" t="n">
        <v>16</v>
      </c>
      <c r="M316" s="27" t="s">
        <v>41</v>
      </c>
      <c r="N316" s="27" t="s">
        <v>2336</v>
      </c>
      <c r="O316" s="27" t="s">
        <v>77</v>
      </c>
      <c r="P316" s="27" t="s">
        <v>2720</v>
      </c>
      <c r="Q316" s="27" t="n">
        <v>27</v>
      </c>
      <c r="R316" s="27"/>
      <c r="S316" s="27" t="s">
        <v>41</v>
      </c>
      <c r="T316" s="27"/>
      <c r="U316" s="27"/>
      <c r="V316" s="27"/>
      <c r="W316" s="27"/>
      <c r="X316" s="27"/>
      <c r="Y316" s="27" t="s">
        <v>41</v>
      </c>
      <c r="Z316" s="27" t="n">
        <v>-7.224774</v>
      </c>
      <c r="AA316" s="27" t="n">
        <v>-48.250095</v>
      </c>
      <c r="AB316" s="37" t="s">
        <v>2338</v>
      </c>
      <c r="AC316" s="27" t="s">
        <v>2339</v>
      </c>
    </row>
    <row r="317" customFormat="false" ht="15" hidden="false" customHeight="false" outlineLevel="0" collapsed="false">
      <c r="A317" s="27" t="n">
        <v>316</v>
      </c>
      <c r="B317" s="27" t="s">
        <v>1278</v>
      </c>
      <c r="C317" s="27" t="s">
        <v>2721</v>
      </c>
      <c r="D317" s="27" t="s">
        <v>1277</v>
      </c>
      <c r="E317" s="27" t="s">
        <v>1279</v>
      </c>
      <c r="F317" s="32" t="n">
        <v>82.6174704507826</v>
      </c>
      <c r="G317" s="28" t="n">
        <v>3867.73939128321</v>
      </c>
      <c r="H317" s="28" t="n">
        <v>3867.73939128321</v>
      </c>
      <c r="I317" s="5" t="s">
        <v>22</v>
      </c>
      <c r="J317" s="27" t="s">
        <v>303</v>
      </c>
      <c r="K317" s="27" t="s">
        <v>461</v>
      </c>
      <c r="L317" s="27" t="n">
        <v>16</v>
      </c>
      <c r="M317" s="27" t="s">
        <v>41</v>
      </c>
      <c r="N317" s="27" t="s">
        <v>2336</v>
      </c>
      <c r="O317" s="27" t="s">
        <v>77</v>
      </c>
      <c r="P317" s="27" t="s">
        <v>2722</v>
      </c>
      <c r="Q317" s="27" t="n">
        <v>25</v>
      </c>
      <c r="R317" s="27"/>
      <c r="S317" s="27" t="s">
        <v>41</v>
      </c>
      <c r="T317" s="27"/>
      <c r="U317" s="27"/>
      <c r="V317" s="27"/>
      <c r="W317" s="27"/>
      <c r="X317" s="27"/>
      <c r="Y317" s="27" t="s">
        <v>41</v>
      </c>
      <c r="Z317" s="27" t="n">
        <v>-7.2255265</v>
      </c>
      <c r="AA317" s="27" t="n">
        <v>-48.2504615</v>
      </c>
      <c r="AB317" s="37" t="s">
        <v>2338</v>
      </c>
      <c r="AC317" s="27" t="s">
        <v>2339</v>
      </c>
    </row>
    <row r="318" customFormat="false" ht="15" hidden="false" customHeight="false" outlineLevel="0" collapsed="false">
      <c r="A318" s="27" t="n">
        <v>317</v>
      </c>
      <c r="B318" s="27" t="s">
        <v>1280</v>
      </c>
      <c r="C318" s="27" t="s">
        <v>2723</v>
      </c>
      <c r="D318" s="27" t="s">
        <v>1279</v>
      </c>
      <c r="E318" s="27" t="s">
        <v>1281</v>
      </c>
      <c r="F318" s="32" t="n">
        <v>149.575940052353</v>
      </c>
      <c r="G318" s="28" t="n">
        <v>4017.31533133556</v>
      </c>
      <c r="H318" s="28" t="n">
        <v>4017.31533133556</v>
      </c>
      <c r="I318" s="5" t="s">
        <v>22</v>
      </c>
      <c r="J318" s="27" t="s">
        <v>303</v>
      </c>
      <c r="K318" s="27" t="s">
        <v>461</v>
      </c>
      <c r="L318" s="27" t="n">
        <v>16</v>
      </c>
      <c r="M318" s="27" t="s">
        <v>41</v>
      </c>
      <c r="N318" s="27" t="s">
        <v>2336</v>
      </c>
      <c r="O318" s="27" t="s">
        <v>77</v>
      </c>
      <c r="P318" s="27" t="s">
        <v>2722</v>
      </c>
      <c r="Q318" s="27" t="n">
        <v>25</v>
      </c>
      <c r="R318" s="27"/>
      <c r="S318" s="27" t="s">
        <v>41</v>
      </c>
      <c r="T318" s="27"/>
      <c r="U318" s="27"/>
      <c r="V318" s="27"/>
      <c r="W318" s="27"/>
      <c r="X318" s="27"/>
      <c r="Y318" s="27" t="s">
        <v>41</v>
      </c>
      <c r="Z318" s="27" t="n">
        <v>-7.2264745</v>
      </c>
      <c r="AA318" s="27" t="n">
        <v>-48.2509025</v>
      </c>
      <c r="AB318" s="37" t="s">
        <v>2338</v>
      </c>
      <c r="AC318" s="27" t="s">
        <v>2339</v>
      </c>
    </row>
    <row r="319" customFormat="false" ht="15" hidden="false" customHeight="false" outlineLevel="0" collapsed="false">
      <c r="A319" s="27" t="n">
        <v>318</v>
      </c>
      <c r="B319" s="27" t="s">
        <v>1282</v>
      </c>
      <c r="C319" s="27" t="s">
        <v>2724</v>
      </c>
      <c r="D319" s="27" t="s">
        <v>1281</v>
      </c>
      <c r="E319" s="27" t="s">
        <v>1283</v>
      </c>
      <c r="F319" s="32" t="n">
        <v>3.62440727585785</v>
      </c>
      <c r="G319" s="28" t="n">
        <v>4020.93973861142</v>
      </c>
      <c r="H319" s="28" t="n">
        <v>4020.93973861142</v>
      </c>
      <c r="I319" s="5" t="s">
        <v>22</v>
      </c>
      <c r="J319" s="27" t="s">
        <v>303</v>
      </c>
      <c r="K319" s="27" t="s">
        <v>461</v>
      </c>
      <c r="L319" s="27" t="n">
        <v>16</v>
      </c>
      <c r="M319" s="27" t="s">
        <v>41</v>
      </c>
      <c r="N319" s="27" t="s">
        <v>2336</v>
      </c>
      <c r="O319" s="27" t="s">
        <v>77</v>
      </c>
      <c r="P319" s="27" t="s">
        <v>2722</v>
      </c>
      <c r="Q319" s="27" t="n">
        <v>25</v>
      </c>
      <c r="R319" s="27"/>
      <c r="S319" s="27" t="s">
        <v>41</v>
      </c>
      <c r="T319" s="27"/>
      <c r="U319" s="27"/>
      <c r="V319" s="27"/>
      <c r="W319" s="27"/>
      <c r="X319" s="27"/>
      <c r="Y319" s="27" t="s">
        <v>41</v>
      </c>
      <c r="Z319" s="27" t="n">
        <v>-7.2270995</v>
      </c>
      <c r="AA319" s="27" t="n">
        <v>-48.2511945</v>
      </c>
      <c r="AB319" s="37" t="s">
        <v>2338</v>
      </c>
      <c r="AC319" s="27" t="s">
        <v>2339</v>
      </c>
    </row>
    <row r="320" customFormat="false" ht="15" hidden="false" customHeight="false" outlineLevel="0" collapsed="false">
      <c r="A320" s="27" t="n">
        <v>319</v>
      </c>
      <c r="B320" s="27" t="s">
        <v>1284</v>
      </c>
      <c r="C320" s="27" t="s">
        <v>2725</v>
      </c>
      <c r="D320" s="27" t="s">
        <v>1283</v>
      </c>
      <c r="E320" s="27" t="s">
        <v>1285</v>
      </c>
      <c r="F320" s="32" t="n">
        <v>69.6806761770834</v>
      </c>
      <c r="G320" s="28" t="n">
        <v>4090.6204147885</v>
      </c>
      <c r="H320" s="28" t="n">
        <v>4090.6204147885</v>
      </c>
      <c r="I320" s="5" t="s">
        <v>22</v>
      </c>
      <c r="J320" s="27" t="s">
        <v>303</v>
      </c>
      <c r="K320" s="27" t="s">
        <v>461</v>
      </c>
      <c r="L320" s="27" t="n">
        <v>16</v>
      </c>
      <c r="M320" s="27" t="s">
        <v>41</v>
      </c>
      <c r="N320" s="27" t="s">
        <v>2336</v>
      </c>
      <c r="O320" s="27" t="s">
        <v>77</v>
      </c>
      <c r="P320" s="27" t="s">
        <v>2722</v>
      </c>
      <c r="Q320" s="27" t="n">
        <v>25</v>
      </c>
      <c r="R320" s="27"/>
      <c r="S320" s="27" t="s">
        <v>41</v>
      </c>
      <c r="T320" s="27"/>
      <c r="U320" s="27"/>
      <c r="V320" s="27"/>
      <c r="W320" s="27"/>
      <c r="X320" s="27"/>
      <c r="Y320" s="27" t="s">
        <v>41</v>
      </c>
      <c r="Z320" s="27" t="n">
        <v>-7.2274</v>
      </c>
      <c r="AA320" s="27" t="n">
        <v>-48.251331</v>
      </c>
      <c r="AB320" s="37" t="s">
        <v>2338</v>
      </c>
      <c r="AC320" s="27" t="s">
        <v>2339</v>
      </c>
    </row>
    <row r="321" customFormat="false" ht="15" hidden="false" customHeight="false" outlineLevel="0" collapsed="false">
      <c r="A321" s="27" t="n">
        <v>320</v>
      </c>
      <c r="B321" s="27" t="s">
        <v>1286</v>
      </c>
      <c r="C321" s="27" t="s">
        <v>2726</v>
      </c>
      <c r="D321" s="27" t="s">
        <v>1285</v>
      </c>
      <c r="E321" s="27" t="s">
        <v>1287</v>
      </c>
      <c r="F321" s="32" t="n">
        <v>109.203711691287</v>
      </c>
      <c r="G321" s="28" t="n">
        <v>4199.82412647979</v>
      </c>
      <c r="H321" s="28" t="n">
        <v>4199.82412647979</v>
      </c>
      <c r="I321" s="5" t="s">
        <v>22</v>
      </c>
      <c r="J321" s="27" t="s">
        <v>303</v>
      </c>
      <c r="K321" s="27" t="s">
        <v>461</v>
      </c>
      <c r="L321" s="27" t="n">
        <v>16</v>
      </c>
      <c r="M321" s="27" t="s">
        <v>41</v>
      </c>
      <c r="N321" s="27" t="s">
        <v>2336</v>
      </c>
      <c r="O321" s="27" t="s">
        <v>77</v>
      </c>
      <c r="P321" s="27" t="s">
        <v>2727</v>
      </c>
      <c r="Q321" s="27" t="n">
        <v>23</v>
      </c>
      <c r="R321" s="27"/>
      <c r="S321" s="27" t="s">
        <v>41</v>
      </c>
      <c r="T321" s="27"/>
      <c r="U321" s="27"/>
      <c r="V321" s="27"/>
      <c r="W321" s="27"/>
      <c r="X321" s="27"/>
      <c r="Y321" s="27" t="s">
        <v>41</v>
      </c>
      <c r="Z321" s="27" t="n">
        <v>-7.2281325</v>
      </c>
      <c r="AA321" s="27" t="n">
        <v>-48.251666</v>
      </c>
      <c r="AB321" s="37" t="s">
        <v>2338</v>
      </c>
      <c r="AC321" s="27" t="s">
        <v>2339</v>
      </c>
    </row>
    <row r="322" customFormat="false" ht="15" hidden="false" customHeight="false" outlineLevel="0" collapsed="false">
      <c r="A322" s="27" t="n">
        <v>321</v>
      </c>
      <c r="B322" s="27" t="s">
        <v>1288</v>
      </c>
      <c r="C322" s="27" t="s">
        <v>2728</v>
      </c>
      <c r="D322" s="27" t="s">
        <v>1287</v>
      </c>
      <c r="E322" s="27" t="s">
        <v>1289</v>
      </c>
      <c r="F322" s="32" t="n">
        <v>3.16392942769913</v>
      </c>
      <c r="G322" s="28" t="n">
        <v>4202.98805590749</v>
      </c>
      <c r="H322" s="28" t="n">
        <v>4202.98805590749</v>
      </c>
      <c r="I322" s="5" t="s">
        <v>22</v>
      </c>
      <c r="J322" s="27" t="s">
        <v>303</v>
      </c>
      <c r="K322" s="27" t="s">
        <v>461</v>
      </c>
      <c r="L322" s="27" t="n">
        <v>16</v>
      </c>
      <c r="M322" s="27" t="s">
        <v>41</v>
      </c>
      <c r="N322" s="27" t="s">
        <v>2336</v>
      </c>
      <c r="O322" s="27" t="s">
        <v>77</v>
      </c>
      <c r="P322" s="27" t="s">
        <v>2727</v>
      </c>
      <c r="Q322" s="27" t="n">
        <v>23</v>
      </c>
      <c r="R322" s="27" t="s">
        <v>1290</v>
      </c>
      <c r="S322" s="27" t="s">
        <v>41</v>
      </c>
      <c r="T322" s="27"/>
      <c r="U322" s="27"/>
      <c r="V322" s="27"/>
      <c r="W322" s="27"/>
      <c r="X322" s="27"/>
      <c r="Y322" s="27" t="s">
        <v>41</v>
      </c>
      <c r="Z322" s="27" t="n">
        <v>-7.2285875</v>
      </c>
      <c r="AA322" s="27" t="n">
        <v>-48.2518835</v>
      </c>
      <c r="AB322" s="37" t="s">
        <v>2338</v>
      </c>
      <c r="AC322" s="27" t="s">
        <v>2339</v>
      </c>
    </row>
    <row r="323" customFormat="false" ht="15" hidden="false" customHeight="false" outlineLevel="0" collapsed="false">
      <c r="A323" s="27" t="n">
        <v>322</v>
      </c>
      <c r="B323" s="27" t="s">
        <v>1291</v>
      </c>
      <c r="C323" s="27" t="s">
        <v>2729</v>
      </c>
      <c r="D323" s="27" t="s">
        <v>1289</v>
      </c>
      <c r="E323" s="27" t="s">
        <v>1292</v>
      </c>
      <c r="F323" s="32" t="n">
        <v>26.7727634350879</v>
      </c>
      <c r="G323" s="28" t="n">
        <v>4229.76081934258</v>
      </c>
      <c r="H323" s="28" t="n">
        <v>4229.76081934258</v>
      </c>
      <c r="I323" s="5" t="s">
        <v>22</v>
      </c>
      <c r="J323" s="27" t="s">
        <v>303</v>
      </c>
      <c r="K323" s="27" t="s">
        <v>461</v>
      </c>
      <c r="L323" s="27" t="n">
        <v>16</v>
      </c>
      <c r="M323" s="27" t="s">
        <v>41</v>
      </c>
      <c r="N323" s="27" t="s">
        <v>2336</v>
      </c>
      <c r="O323" s="27" t="s">
        <v>77</v>
      </c>
      <c r="P323" s="27" t="s">
        <v>2727</v>
      </c>
      <c r="Q323" s="27" t="n">
        <v>23</v>
      </c>
      <c r="R323" s="27"/>
      <c r="S323" s="27" t="s">
        <v>41</v>
      </c>
      <c r="T323" s="27"/>
      <c r="U323" s="27"/>
      <c r="V323" s="27"/>
      <c r="W323" s="27"/>
      <c r="X323" s="27"/>
      <c r="Y323" s="27" t="s">
        <v>41</v>
      </c>
      <c r="Z323" s="27" t="n">
        <v>-7.228667</v>
      </c>
      <c r="AA323" s="27" t="n">
        <v>-48.251993</v>
      </c>
      <c r="AB323" s="37" t="s">
        <v>2338</v>
      </c>
      <c r="AC323" s="27" t="s">
        <v>2339</v>
      </c>
    </row>
    <row r="324" customFormat="false" ht="15" hidden="false" customHeight="false" outlineLevel="0" collapsed="false">
      <c r="A324" s="27" t="n">
        <v>323</v>
      </c>
      <c r="B324" s="27" t="s">
        <v>1293</v>
      </c>
      <c r="C324" s="27" t="s">
        <v>2730</v>
      </c>
      <c r="D324" s="27" t="s">
        <v>1292</v>
      </c>
      <c r="E324" s="27" t="s">
        <v>1294</v>
      </c>
      <c r="F324" s="32" t="n">
        <v>3.57087081166913</v>
      </c>
      <c r="G324" s="28" t="n">
        <v>4233.33169015425</v>
      </c>
      <c r="H324" s="28" t="n">
        <v>4233.33169015425</v>
      </c>
      <c r="I324" s="5" t="s">
        <v>22</v>
      </c>
      <c r="J324" s="27" t="s">
        <v>303</v>
      </c>
      <c r="K324" s="27" t="s">
        <v>461</v>
      </c>
      <c r="L324" s="27" t="n">
        <v>16</v>
      </c>
      <c r="M324" s="27" t="s">
        <v>41</v>
      </c>
      <c r="N324" s="27" t="s">
        <v>2336</v>
      </c>
      <c r="O324" s="27" t="s">
        <v>77</v>
      </c>
      <c r="P324" s="27" t="s">
        <v>2727</v>
      </c>
      <c r="Q324" s="27" t="n">
        <v>23</v>
      </c>
      <c r="R324" s="27"/>
      <c r="S324" s="27" t="s">
        <v>41</v>
      </c>
      <c r="T324" s="27"/>
      <c r="U324" s="27"/>
      <c r="V324" s="27"/>
      <c r="W324" s="27"/>
      <c r="X324" s="27"/>
      <c r="Y324" s="27" t="s">
        <v>41</v>
      </c>
      <c r="Z324" s="27" t="n">
        <v>-7.228751</v>
      </c>
      <c r="AA324" s="27" t="n">
        <v>-48.2521005</v>
      </c>
      <c r="AB324" s="37" t="s">
        <v>2338</v>
      </c>
      <c r="AC324" s="27" t="s">
        <v>2339</v>
      </c>
    </row>
    <row r="325" customFormat="false" ht="15" hidden="false" customHeight="false" outlineLevel="0" collapsed="false">
      <c r="A325" s="27" t="n">
        <v>324</v>
      </c>
      <c r="B325" s="27" t="s">
        <v>1295</v>
      </c>
      <c r="C325" s="27" t="s">
        <v>2731</v>
      </c>
      <c r="D325" s="27" t="s">
        <v>1294</v>
      </c>
      <c r="E325" s="27" t="s">
        <v>1296</v>
      </c>
      <c r="F325" s="32" t="n">
        <v>313.040329610783</v>
      </c>
      <c r="G325" s="28" t="n">
        <v>4546.37201976503</v>
      </c>
      <c r="H325" s="28" t="n">
        <v>4546.37201976503</v>
      </c>
      <c r="I325" s="5" t="s">
        <v>22</v>
      </c>
      <c r="J325" s="27" t="s">
        <v>303</v>
      </c>
      <c r="K325" s="27" t="s">
        <v>461</v>
      </c>
      <c r="L325" s="27" t="n">
        <v>16</v>
      </c>
      <c r="M325" s="27" t="s">
        <v>41</v>
      </c>
      <c r="N325" s="27" t="s">
        <v>2336</v>
      </c>
      <c r="O325" s="27" t="s">
        <v>77</v>
      </c>
      <c r="P325" s="27" t="s">
        <v>2727</v>
      </c>
      <c r="Q325" s="27" t="n">
        <v>23</v>
      </c>
      <c r="R325" s="27"/>
      <c r="S325" s="27" t="s">
        <v>41</v>
      </c>
      <c r="T325" s="27"/>
      <c r="U325" s="27"/>
      <c r="V325" s="27"/>
      <c r="W325" s="27"/>
      <c r="X325" s="27"/>
      <c r="Y325" s="27" t="s">
        <v>41</v>
      </c>
      <c r="Z325" s="27" t="n">
        <v>-7.230109</v>
      </c>
      <c r="AA325" s="27" t="n">
        <v>-48.2525285</v>
      </c>
      <c r="AB325" s="37" t="s">
        <v>2338</v>
      </c>
      <c r="AC325" s="27" t="s">
        <v>2339</v>
      </c>
    </row>
    <row r="326" customFormat="false" ht="15" hidden="false" customHeight="false" outlineLevel="0" collapsed="false">
      <c r="A326" s="27" t="n">
        <v>325</v>
      </c>
      <c r="B326" s="27" t="s">
        <v>1297</v>
      </c>
      <c r="C326" s="27" t="s">
        <v>2732</v>
      </c>
      <c r="D326" s="27" t="s">
        <v>1296</v>
      </c>
      <c r="E326" s="27" t="s">
        <v>1298</v>
      </c>
      <c r="F326" s="32" t="n">
        <v>3.7594455757417</v>
      </c>
      <c r="G326" s="28" t="n">
        <v>4550.13146534077</v>
      </c>
      <c r="H326" s="28" t="n">
        <v>4550.13146534077</v>
      </c>
      <c r="I326" s="5" t="s">
        <v>22</v>
      </c>
      <c r="J326" s="27" t="s">
        <v>303</v>
      </c>
      <c r="K326" s="27" t="s">
        <v>461</v>
      </c>
      <c r="L326" s="27" t="n">
        <v>16</v>
      </c>
      <c r="M326" s="27" t="s">
        <v>41</v>
      </c>
      <c r="N326" s="27" t="s">
        <v>2336</v>
      </c>
      <c r="O326" s="27" t="s">
        <v>77</v>
      </c>
      <c r="P326" s="27" t="s">
        <v>2727</v>
      </c>
      <c r="Q326" s="27" t="n">
        <v>23</v>
      </c>
      <c r="R326" s="27"/>
      <c r="S326" s="27" t="s">
        <v>41</v>
      </c>
      <c r="T326" s="27"/>
      <c r="U326" s="27"/>
      <c r="V326" s="27"/>
      <c r="W326" s="27"/>
      <c r="X326" s="27"/>
      <c r="Y326" s="27" t="s">
        <v>41</v>
      </c>
      <c r="Z326" s="27" t="n">
        <v>-7.23147</v>
      </c>
      <c r="AA326" s="27" t="n">
        <v>-48.2529525</v>
      </c>
      <c r="AB326" s="37" t="s">
        <v>2338</v>
      </c>
      <c r="AC326" s="27" t="s">
        <v>2339</v>
      </c>
    </row>
    <row r="327" customFormat="false" ht="15" hidden="false" customHeight="false" outlineLevel="0" collapsed="false">
      <c r="A327" s="27" t="n">
        <v>326</v>
      </c>
      <c r="B327" s="27" t="s">
        <v>1299</v>
      </c>
      <c r="C327" s="27" t="s">
        <v>2733</v>
      </c>
      <c r="D327" s="27" t="s">
        <v>1298</v>
      </c>
      <c r="E327" s="27" t="s">
        <v>1300</v>
      </c>
      <c r="F327" s="32" t="n">
        <v>43.437395634453</v>
      </c>
      <c r="G327" s="28" t="n">
        <v>4593.56886097523</v>
      </c>
      <c r="H327" s="28" t="n">
        <v>4593.56886097523</v>
      </c>
      <c r="I327" s="5" t="s">
        <v>22</v>
      </c>
      <c r="J327" s="27" t="s">
        <v>303</v>
      </c>
      <c r="K327" s="27" t="s">
        <v>461</v>
      </c>
      <c r="L327" s="27" t="n">
        <v>16</v>
      </c>
      <c r="M327" s="27" t="s">
        <v>41</v>
      </c>
      <c r="N327" s="27" t="s">
        <v>2336</v>
      </c>
      <c r="O327" s="27" t="s">
        <v>77</v>
      </c>
      <c r="P327" s="27" t="s">
        <v>2727</v>
      </c>
      <c r="Q327" s="27" t="n">
        <v>23</v>
      </c>
      <c r="R327" s="27"/>
      <c r="S327" s="27" t="s">
        <v>41</v>
      </c>
      <c r="T327" s="27"/>
      <c r="U327" s="27"/>
      <c r="V327" s="27"/>
      <c r="W327" s="27"/>
      <c r="X327" s="27"/>
      <c r="Y327" s="27" t="s">
        <v>41</v>
      </c>
      <c r="Z327" s="27" t="n">
        <v>-7.2316725</v>
      </c>
      <c r="AA327" s="27" t="n">
        <v>-48.2530165</v>
      </c>
      <c r="AB327" s="37" t="s">
        <v>2338</v>
      </c>
      <c r="AC327" s="27" t="s">
        <v>2339</v>
      </c>
    </row>
    <row r="328" customFormat="false" ht="15" hidden="false" customHeight="false" outlineLevel="0" collapsed="false">
      <c r="A328" s="27" t="n">
        <v>327</v>
      </c>
      <c r="B328" s="27" t="s">
        <v>1301</v>
      </c>
      <c r="C328" s="27" t="s">
        <v>2734</v>
      </c>
      <c r="D328" s="27" t="s">
        <v>1300</v>
      </c>
      <c r="E328" s="27" t="s">
        <v>1302</v>
      </c>
      <c r="F328" s="32" t="n">
        <v>7.89918633969478</v>
      </c>
      <c r="G328" s="28" t="n">
        <v>4601.46804731492</v>
      </c>
      <c r="H328" s="28" t="n">
        <v>4601.46804731492</v>
      </c>
      <c r="I328" s="5" t="s">
        <v>22</v>
      </c>
      <c r="J328" s="27" t="s">
        <v>303</v>
      </c>
      <c r="K328" s="27" t="s">
        <v>461</v>
      </c>
      <c r="L328" s="27" t="n">
        <v>16</v>
      </c>
      <c r="M328" s="27" t="s">
        <v>41</v>
      </c>
      <c r="N328" s="27" t="s">
        <v>2336</v>
      </c>
      <c r="O328" s="27" t="s">
        <v>77</v>
      </c>
      <c r="P328" s="27" t="s">
        <v>54</v>
      </c>
      <c r="Q328" s="27" t="n">
        <v>0</v>
      </c>
      <c r="R328" s="27"/>
      <c r="S328" s="27" t="s">
        <v>41</v>
      </c>
      <c r="T328" s="27"/>
      <c r="U328" s="27"/>
      <c r="V328" s="27"/>
      <c r="W328" s="27"/>
      <c r="X328" s="27"/>
      <c r="Y328" s="27" t="s">
        <v>41</v>
      </c>
      <c r="Z328" s="27" t="n">
        <v>-7.2318685</v>
      </c>
      <c r="AA328" s="27" t="n">
        <v>-48.2530405</v>
      </c>
      <c r="AB328" s="37" t="s">
        <v>2338</v>
      </c>
      <c r="AC328" s="27" t="s">
        <v>2339</v>
      </c>
    </row>
    <row r="329" customFormat="false" ht="15" hidden="false" customHeight="false" outlineLevel="0" collapsed="false">
      <c r="A329" s="27" t="n">
        <v>328</v>
      </c>
      <c r="B329" s="27" t="s">
        <v>1303</v>
      </c>
      <c r="C329" s="27" t="s">
        <v>2735</v>
      </c>
      <c r="D329" s="27" t="s">
        <v>1300</v>
      </c>
      <c r="E329" s="27" t="s">
        <v>1304</v>
      </c>
      <c r="F329" s="32" t="n">
        <v>32.5364142210068</v>
      </c>
      <c r="G329" s="28" t="n">
        <v>4626.10527519623</v>
      </c>
      <c r="H329" s="28" t="n">
        <v>4626.10527519623</v>
      </c>
      <c r="I329" s="5" t="s">
        <v>22</v>
      </c>
      <c r="J329" s="27" t="s">
        <v>303</v>
      </c>
      <c r="K329" s="27" t="s">
        <v>461</v>
      </c>
      <c r="L329" s="27" t="n">
        <v>16</v>
      </c>
      <c r="M329" s="27" t="s">
        <v>41</v>
      </c>
      <c r="N329" s="27" t="s">
        <v>2336</v>
      </c>
      <c r="O329" s="27" t="s">
        <v>77</v>
      </c>
      <c r="P329" s="27" t="s">
        <v>2727</v>
      </c>
      <c r="Q329" s="27" t="n">
        <v>23</v>
      </c>
      <c r="R329" s="27"/>
      <c r="S329" s="27" t="s">
        <v>41</v>
      </c>
      <c r="T329" s="27"/>
      <c r="U329" s="27"/>
      <c r="V329" s="27"/>
      <c r="W329" s="27"/>
      <c r="X329" s="27"/>
      <c r="Y329" s="27" t="s">
        <v>41</v>
      </c>
      <c r="Z329" s="27" t="n">
        <v>-7.2318195</v>
      </c>
      <c r="AA329" s="27" t="n">
        <v>-48.253217</v>
      </c>
      <c r="AB329" s="37" t="s">
        <v>2338</v>
      </c>
      <c r="AC329" s="27" t="s">
        <v>2339</v>
      </c>
    </row>
    <row r="330" customFormat="false" ht="15" hidden="false" customHeight="false" outlineLevel="0" collapsed="false">
      <c r="A330" s="27" t="n">
        <v>329</v>
      </c>
      <c r="B330" s="27" t="s">
        <v>1305</v>
      </c>
      <c r="C330" s="27" t="s">
        <v>2736</v>
      </c>
      <c r="D330" s="27" t="s">
        <v>1304</v>
      </c>
      <c r="E330" s="27" t="s">
        <v>1306</v>
      </c>
      <c r="F330" s="32" t="n">
        <v>3.59586475881928</v>
      </c>
      <c r="G330" s="28" t="n">
        <v>4629.70113995505</v>
      </c>
      <c r="H330" s="28" t="n">
        <v>4629.70113995505</v>
      </c>
      <c r="I330" s="5" t="s">
        <v>22</v>
      </c>
      <c r="J330" s="27" t="s">
        <v>303</v>
      </c>
      <c r="K330" s="27" t="s">
        <v>461</v>
      </c>
      <c r="L330" s="27" t="n">
        <v>16</v>
      </c>
      <c r="M330" s="27" t="s">
        <v>41</v>
      </c>
      <c r="N330" s="27" t="s">
        <v>2336</v>
      </c>
      <c r="O330" s="27" t="s">
        <v>77</v>
      </c>
      <c r="P330" s="27" t="s">
        <v>2727</v>
      </c>
      <c r="Q330" s="27" t="n">
        <v>23</v>
      </c>
      <c r="R330" s="27"/>
      <c r="S330" s="27" t="s">
        <v>41</v>
      </c>
      <c r="T330" s="27"/>
      <c r="U330" s="27"/>
      <c r="V330" s="27"/>
      <c r="W330" s="27"/>
      <c r="X330" s="27"/>
      <c r="Y330" s="27" t="s">
        <v>41</v>
      </c>
      <c r="Z330" s="27" t="n">
        <v>-7.231775</v>
      </c>
      <c r="AA330" s="27" t="n">
        <v>-48.2533745</v>
      </c>
      <c r="AB330" s="37" t="s">
        <v>2338</v>
      </c>
      <c r="AC330" s="27" t="s">
        <v>2339</v>
      </c>
    </row>
    <row r="331" customFormat="false" ht="15" hidden="false" customHeight="false" outlineLevel="0" collapsed="false">
      <c r="A331" s="27" t="n">
        <v>330</v>
      </c>
      <c r="B331" s="27" t="s">
        <v>1307</v>
      </c>
      <c r="C331" s="27" t="s">
        <v>2737</v>
      </c>
      <c r="D331" s="27" t="s">
        <v>1306</v>
      </c>
      <c r="E331" s="27" t="s">
        <v>1308</v>
      </c>
      <c r="F331" s="32" t="n">
        <v>4.50428309498303</v>
      </c>
      <c r="G331" s="28" t="n">
        <v>4634.20542305003</v>
      </c>
      <c r="H331" s="28" t="n">
        <v>4634.20542305003</v>
      </c>
      <c r="I331" s="5" t="s">
        <v>22</v>
      </c>
      <c r="J331" s="27" t="s">
        <v>303</v>
      </c>
      <c r="K331" s="27" t="s">
        <v>461</v>
      </c>
      <c r="L331" s="27" t="n">
        <v>16</v>
      </c>
      <c r="M331" s="27" t="s">
        <v>41</v>
      </c>
      <c r="N331" s="27" t="s">
        <v>2336</v>
      </c>
      <c r="O331" s="27" t="s">
        <v>77</v>
      </c>
      <c r="P331" s="27" t="s">
        <v>2727</v>
      </c>
      <c r="Q331" s="27" t="n">
        <v>23</v>
      </c>
      <c r="R331" s="27"/>
      <c r="S331" s="27" t="s">
        <v>41</v>
      </c>
      <c r="T331" s="27"/>
      <c r="U331" s="27"/>
      <c r="V331" s="27"/>
      <c r="W331" s="27"/>
      <c r="X331" s="27"/>
      <c r="Y331" s="27" t="s">
        <v>41</v>
      </c>
      <c r="Z331" s="27" t="n">
        <v>-7.231764</v>
      </c>
      <c r="AA331" s="27" t="n">
        <v>-48.2534095</v>
      </c>
      <c r="AB331" s="37" t="s">
        <v>2338</v>
      </c>
      <c r="AC331" s="27" t="s">
        <v>2339</v>
      </c>
    </row>
    <row r="332" customFormat="false" ht="15" hidden="false" customHeight="false" outlineLevel="0" collapsed="false">
      <c r="A332" s="27" t="n">
        <v>331</v>
      </c>
      <c r="B332" s="27" t="s">
        <v>1309</v>
      </c>
      <c r="C332" s="27" t="s">
        <v>2738</v>
      </c>
      <c r="D332" s="27" t="s">
        <v>1308</v>
      </c>
      <c r="E332" s="27" t="s">
        <v>1310</v>
      </c>
      <c r="F332" s="32" t="n">
        <v>153.52181600901</v>
      </c>
      <c r="G332" s="28" t="n">
        <v>4787.72723905904</v>
      </c>
      <c r="H332" s="28" t="n">
        <v>4787.72723905904</v>
      </c>
      <c r="I332" s="5" t="s">
        <v>22</v>
      </c>
      <c r="J332" s="27" t="s">
        <v>303</v>
      </c>
      <c r="K332" s="27" t="s">
        <v>461</v>
      </c>
      <c r="L332" s="27" t="n">
        <v>16</v>
      </c>
      <c r="M332" s="27" t="s">
        <v>41</v>
      </c>
      <c r="N332" s="27" t="s">
        <v>2336</v>
      </c>
      <c r="O332" s="27" t="s">
        <v>77</v>
      </c>
      <c r="P332" s="27" t="s">
        <v>2727</v>
      </c>
      <c r="Q332" s="27" t="n">
        <v>23</v>
      </c>
      <c r="R332" s="27"/>
      <c r="S332" s="27" t="s">
        <v>41</v>
      </c>
      <c r="T332" s="27"/>
      <c r="U332" s="27"/>
      <c r="V332" s="27"/>
      <c r="W332" s="27"/>
      <c r="X332" s="27"/>
      <c r="Y332" s="27" t="s">
        <v>41</v>
      </c>
      <c r="Z332" s="27" t="n">
        <v>-7.2315515</v>
      </c>
      <c r="AA332" s="27" t="n">
        <v>-48.254093</v>
      </c>
      <c r="AB332" s="37" t="s">
        <v>2338</v>
      </c>
      <c r="AC332" s="27" t="s">
        <v>2339</v>
      </c>
    </row>
    <row r="333" customFormat="false" ht="15" hidden="false" customHeight="false" outlineLevel="0" collapsed="false">
      <c r="A333" s="27" t="n">
        <v>332</v>
      </c>
      <c r="B333" s="27" t="s">
        <v>1311</v>
      </c>
      <c r="C333" s="27" t="s">
        <v>2739</v>
      </c>
      <c r="D333" s="27" t="s">
        <v>1310</v>
      </c>
      <c r="E333" s="27" t="s">
        <v>1312</v>
      </c>
      <c r="F333" s="32" t="n">
        <v>63.6139045310424</v>
      </c>
      <c r="G333" s="28" t="n">
        <v>4851.34114359009</v>
      </c>
      <c r="H333" s="28" t="n">
        <v>4851.34114359009</v>
      </c>
      <c r="I333" s="5" t="s">
        <v>22</v>
      </c>
      <c r="J333" s="27" t="s">
        <v>303</v>
      </c>
      <c r="K333" s="27" t="s">
        <v>461</v>
      </c>
      <c r="L333" s="27" t="n">
        <v>16</v>
      </c>
      <c r="M333" s="27" t="s">
        <v>41</v>
      </c>
      <c r="N333" s="27" t="s">
        <v>2336</v>
      </c>
      <c r="O333" s="27" t="s">
        <v>77</v>
      </c>
      <c r="P333" s="27" t="s">
        <v>2740</v>
      </c>
      <c r="Q333" s="27" t="n">
        <v>18</v>
      </c>
      <c r="R333" s="27"/>
      <c r="S333" s="27" t="s">
        <v>41</v>
      </c>
      <c r="T333" s="27"/>
      <c r="U333" s="27"/>
      <c r="V333" s="27"/>
      <c r="W333" s="27"/>
      <c r="X333" s="27"/>
      <c r="Y333" s="27" t="s">
        <v>41</v>
      </c>
      <c r="Z333" s="27" t="n">
        <v>-7.231259</v>
      </c>
      <c r="AA333" s="27" t="n">
        <v>-48.255032</v>
      </c>
      <c r="AB333" s="37" t="s">
        <v>2338</v>
      </c>
      <c r="AC333" s="27" t="s">
        <v>2339</v>
      </c>
    </row>
    <row r="334" customFormat="false" ht="15" hidden="false" customHeight="false" outlineLevel="0" collapsed="false">
      <c r="A334" s="27" t="n">
        <v>333</v>
      </c>
      <c r="B334" s="27" t="s">
        <v>1313</v>
      </c>
      <c r="C334" s="27" t="s">
        <v>2741</v>
      </c>
      <c r="D334" s="27" t="s">
        <v>1312</v>
      </c>
      <c r="E334" s="27" t="s">
        <v>1314</v>
      </c>
      <c r="F334" s="32" t="n">
        <v>4.50428852831815</v>
      </c>
      <c r="G334" s="28" t="n">
        <v>4855.84543211841</v>
      </c>
      <c r="H334" s="28" t="n">
        <v>4855.84543211841</v>
      </c>
      <c r="I334" s="5" t="s">
        <v>22</v>
      </c>
      <c r="J334" s="27" t="s">
        <v>303</v>
      </c>
      <c r="K334" s="27" t="s">
        <v>461</v>
      </c>
      <c r="L334" s="27" t="n">
        <v>16</v>
      </c>
      <c r="M334" s="27" t="s">
        <v>41</v>
      </c>
      <c r="N334" s="27" t="s">
        <v>2336</v>
      </c>
      <c r="O334" s="27" t="s">
        <v>77</v>
      </c>
      <c r="P334" s="27" t="s">
        <v>2740</v>
      </c>
      <c r="Q334" s="27" t="n">
        <v>18</v>
      </c>
      <c r="R334" s="27"/>
      <c r="S334" s="27" t="s">
        <v>41</v>
      </c>
      <c r="T334" s="27"/>
      <c r="U334" s="27"/>
      <c r="V334" s="27"/>
      <c r="W334" s="27"/>
      <c r="X334" s="27"/>
      <c r="Y334" s="27" t="s">
        <v>41</v>
      </c>
      <c r="Z334" s="27" t="n">
        <v>-7.231167</v>
      </c>
      <c r="AA334" s="27" t="n">
        <v>-48.2553265</v>
      </c>
      <c r="AB334" s="37" t="s">
        <v>2338</v>
      </c>
      <c r="AC334" s="27" t="s">
        <v>2339</v>
      </c>
    </row>
    <row r="335" customFormat="false" ht="15" hidden="false" customHeight="false" outlineLevel="0" collapsed="false">
      <c r="A335" s="27" t="n">
        <v>334</v>
      </c>
      <c r="B335" s="27" t="s">
        <v>1315</v>
      </c>
      <c r="C335" s="27" t="s">
        <v>2742</v>
      </c>
      <c r="D335" s="27" t="s">
        <v>1310</v>
      </c>
      <c r="E335" s="27" t="s">
        <v>1316</v>
      </c>
      <c r="F335" s="32" t="n">
        <v>71.4844330229063</v>
      </c>
      <c r="G335" s="28" t="n">
        <v>4859.21167208195</v>
      </c>
      <c r="H335" s="28" t="n">
        <v>4859.21167208195</v>
      </c>
      <c r="I335" s="5" t="s">
        <v>22</v>
      </c>
      <c r="J335" s="27" t="s">
        <v>303</v>
      </c>
      <c r="K335" s="27" t="s">
        <v>461</v>
      </c>
      <c r="L335" s="27" t="n">
        <v>16</v>
      </c>
      <c r="M335" s="27" t="s">
        <v>41</v>
      </c>
      <c r="N335" s="27" t="s">
        <v>2336</v>
      </c>
      <c r="O335" s="27" t="s">
        <v>77</v>
      </c>
      <c r="P335" s="27" t="s">
        <v>2743</v>
      </c>
      <c r="Q335" s="27" t="n">
        <v>4</v>
      </c>
      <c r="R335" s="27"/>
      <c r="S335" s="27" t="s">
        <v>41</v>
      </c>
      <c r="T335" s="27"/>
      <c r="U335" s="27"/>
      <c r="V335" s="27"/>
      <c r="W335" s="27"/>
      <c r="X335" s="27"/>
      <c r="Y335" s="27" t="s">
        <v>41</v>
      </c>
      <c r="Z335" s="27" t="n">
        <v>-7.2310365</v>
      </c>
      <c r="AA335" s="27" t="n">
        <v>-48.254666</v>
      </c>
      <c r="AB335" s="37" t="s">
        <v>2338</v>
      </c>
      <c r="AC335" s="27" t="s">
        <v>2339</v>
      </c>
    </row>
    <row r="336" customFormat="false" ht="15" hidden="false" customHeight="false" outlineLevel="0" collapsed="false">
      <c r="A336" s="27" t="n">
        <v>335</v>
      </c>
      <c r="B336" s="27" t="s">
        <v>1317</v>
      </c>
      <c r="C336" s="27" t="s">
        <v>2744</v>
      </c>
      <c r="D336" s="27" t="s">
        <v>1316</v>
      </c>
      <c r="E336" s="27" t="s">
        <v>1318</v>
      </c>
      <c r="F336" s="32" t="n">
        <v>7.0528197588598</v>
      </c>
      <c r="G336" s="28" t="n">
        <v>4866.26449184081</v>
      </c>
      <c r="H336" s="28" t="n">
        <v>4866.26449184081</v>
      </c>
      <c r="I336" s="5" t="s">
        <v>22</v>
      </c>
      <c r="J336" s="27" t="s">
        <v>303</v>
      </c>
      <c r="K336" s="27" t="s">
        <v>461</v>
      </c>
      <c r="L336" s="27" t="n">
        <v>16</v>
      </c>
      <c r="M336" s="27" t="s">
        <v>41</v>
      </c>
      <c r="N336" s="27" t="s">
        <v>2336</v>
      </c>
      <c r="O336" s="27" t="s">
        <v>77</v>
      </c>
      <c r="P336" s="27" t="s">
        <v>54</v>
      </c>
      <c r="Q336" s="27" t="n">
        <v>0</v>
      </c>
      <c r="R336" s="27"/>
      <c r="S336" s="27" t="s">
        <v>41</v>
      </c>
      <c r="T336" s="27"/>
      <c r="U336" s="27"/>
      <c r="V336" s="27"/>
      <c r="W336" s="27"/>
      <c r="X336" s="27"/>
      <c r="Y336" s="27" t="s">
        <v>41</v>
      </c>
      <c r="Z336" s="27" t="n">
        <v>-7.2307185</v>
      </c>
      <c r="AA336" s="27" t="n">
        <v>-48.2546055</v>
      </c>
      <c r="AB336" s="37" t="s">
        <v>2338</v>
      </c>
      <c r="AC336" s="27" t="s">
        <v>2339</v>
      </c>
    </row>
    <row r="337" customFormat="false" ht="15" hidden="false" customHeight="false" outlineLevel="0" collapsed="false">
      <c r="A337" s="27" t="n">
        <v>336</v>
      </c>
      <c r="B337" s="27" t="s">
        <v>1319</v>
      </c>
      <c r="C337" s="27" t="s">
        <v>2745</v>
      </c>
      <c r="D337" s="27" t="s">
        <v>1316</v>
      </c>
      <c r="E337" s="27" t="s">
        <v>1320</v>
      </c>
      <c r="F337" s="32" t="n">
        <v>148.853880777693</v>
      </c>
      <c r="G337" s="28" t="n">
        <v>5008.06555285964</v>
      </c>
      <c r="H337" s="28" t="n">
        <v>5008.06555285964</v>
      </c>
      <c r="I337" s="5" t="s">
        <v>22</v>
      </c>
      <c r="J337" s="27" t="s">
        <v>303</v>
      </c>
      <c r="K337" s="27" t="s">
        <v>461</v>
      </c>
      <c r="L337" s="27" t="n">
        <v>16</v>
      </c>
      <c r="M337" s="27" t="s">
        <v>41</v>
      </c>
      <c r="N337" s="27" t="s">
        <v>2336</v>
      </c>
      <c r="O337" s="27" t="s">
        <v>77</v>
      </c>
      <c r="P337" s="27" t="s">
        <v>115</v>
      </c>
      <c r="Q337" s="27" t="n">
        <v>1</v>
      </c>
      <c r="R337" s="27"/>
      <c r="S337" s="27" t="s">
        <v>41</v>
      </c>
      <c r="T337" s="27"/>
      <c r="U337" s="27"/>
      <c r="V337" s="27"/>
      <c r="W337" s="27"/>
      <c r="X337" s="27"/>
      <c r="Y337" s="27" t="s">
        <v>41</v>
      </c>
      <c r="Z337" s="27" t="n">
        <v>-7.2309195</v>
      </c>
      <c r="AA337" s="27" t="n">
        <v>-48.2539285</v>
      </c>
      <c r="AB337" s="37" t="s">
        <v>2338</v>
      </c>
      <c r="AC337" s="27" t="s">
        <v>2339</v>
      </c>
    </row>
    <row r="338" customFormat="false" ht="15" hidden="false" customHeight="false" outlineLevel="0" collapsed="false">
      <c r="A338" s="27" t="n">
        <v>337</v>
      </c>
      <c r="B338" s="27" t="s">
        <v>1321</v>
      </c>
      <c r="C338" s="27" t="s">
        <v>2746</v>
      </c>
      <c r="D338" s="27" t="s">
        <v>1320</v>
      </c>
      <c r="E338" s="27" t="s">
        <v>1322</v>
      </c>
      <c r="F338" s="32" t="n">
        <v>20.1200704442878</v>
      </c>
      <c r="G338" s="28" t="n">
        <v>5028.18562330393</v>
      </c>
      <c r="H338" s="28" t="n">
        <v>5028.18562330393</v>
      </c>
      <c r="I338" s="5" t="s">
        <v>22</v>
      </c>
      <c r="J338" s="27" t="s">
        <v>303</v>
      </c>
      <c r="K338" s="27" t="s">
        <v>461</v>
      </c>
      <c r="L338" s="27" t="n">
        <v>16</v>
      </c>
      <c r="M338" s="27" t="s">
        <v>41</v>
      </c>
      <c r="N338" s="27" t="s">
        <v>2336</v>
      </c>
      <c r="O338" s="27" t="s">
        <v>77</v>
      </c>
      <c r="P338" s="27" t="s">
        <v>54</v>
      </c>
      <c r="Q338" s="27" t="n">
        <v>0</v>
      </c>
      <c r="R338" s="27"/>
      <c r="S338" s="27" t="s">
        <v>41</v>
      </c>
      <c r="T338" s="27"/>
      <c r="U338" s="27"/>
      <c r="V338" s="27"/>
      <c r="W338" s="27"/>
      <c r="X338" s="27"/>
      <c r="Y338" s="27" t="s">
        <v>41</v>
      </c>
      <c r="Z338" s="27" t="n">
        <v>-7.2311365</v>
      </c>
      <c r="AA338" s="27" t="n">
        <v>-48.2531945</v>
      </c>
      <c r="AB338" s="37" t="s">
        <v>2338</v>
      </c>
      <c r="AC338" s="27" t="s">
        <v>2339</v>
      </c>
    </row>
    <row r="339" customFormat="false" ht="15" hidden="false" customHeight="false" outlineLevel="0" collapsed="false">
      <c r="A339" s="27" t="n">
        <v>338</v>
      </c>
      <c r="B339" s="27" t="s">
        <v>1323</v>
      </c>
      <c r="C339" s="27" t="s">
        <v>2747</v>
      </c>
      <c r="D339" s="27" t="s">
        <v>1320</v>
      </c>
      <c r="E339" s="27" t="s">
        <v>1324</v>
      </c>
      <c r="F339" s="32" t="n">
        <v>0.676227503473648</v>
      </c>
      <c r="G339" s="28" t="n">
        <v>5008.74178036312</v>
      </c>
      <c r="H339" s="28" t="n">
        <v>5008.74178036312</v>
      </c>
      <c r="I339" s="5" t="s">
        <v>22</v>
      </c>
      <c r="J339" s="27" t="s">
        <v>303</v>
      </c>
      <c r="K339" s="27" t="s">
        <v>461</v>
      </c>
      <c r="L339" s="27" t="n">
        <v>16</v>
      </c>
      <c r="M339" s="27" t="s">
        <v>41</v>
      </c>
      <c r="N339" s="27" t="s">
        <v>2336</v>
      </c>
      <c r="O339" s="27" t="s">
        <v>77</v>
      </c>
      <c r="P339" s="27" t="s">
        <v>115</v>
      </c>
      <c r="Q339" s="27" t="n">
        <v>1</v>
      </c>
      <c r="R339" s="27"/>
      <c r="S339" s="27" t="s">
        <v>41</v>
      </c>
      <c r="T339" s="27"/>
      <c r="U339" s="27"/>
      <c r="V339" s="27"/>
      <c r="W339" s="27"/>
      <c r="X339" s="27"/>
      <c r="Y339" s="27" t="s">
        <v>41</v>
      </c>
      <c r="Z339" s="27" t="n">
        <v>-7.231108</v>
      </c>
      <c r="AA339" s="27" t="n">
        <v>-48.2532815</v>
      </c>
      <c r="AB339" s="37" t="s">
        <v>2338</v>
      </c>
      <c r="AC339" s="27" t="s">
        <v>2339</v>
      </c>
    </row>
    <row r="340" customFormat="false" ht="15" hidden="false" customHeight="false" outlineLevel="0" collapsed="false">
      <c r="A340" s="27" t="n">
        <v>339</v>
      </c>
      <c r="B340" s="27" t="s">
        <v>1325</v>
      </c>
      <c r="C340" s="27" t="s">
        <v>2748</v>
      </c>
      <c r="D340" s="27" t="s">
        <v>1316</v>
      </c>
      <c r="E340" s="27" t="s">
        <v>1326</v>
      </c>
      <c r="F340" s="32" t="n">
        <v>41.702990863573</v>
      </c>
      <c r="G340" s="28" t="n">
        <v>4900.91466294552</v>
      </c>
      <c r="H340" s="28" t="n">
        <v>4900.91466294552</v>
      </c>
      <c r="I340" s="5" t="s">
        <v>22</v>
      </c>
      <c r="J340" s="27" t="s">
        <v>303</v>
      </c>
      <c r="K340" s="27" t="s">
        <v>461</v>
      </c>
      <c r="L340" s="27" t="n">
        <v>16</v>
      </c>
      <c r="M340" s="27" t="s">
        <v>41</v>
      </c>
      <c r="N340" s="27" t="s">
        <v>2336</v>
      </c>
      <c r="O340" s="27" t="s">
        <v>77</v>
      </c>
      <c r="P340" s="27" t="s">
        <v>2749</v>
      </c>
      <c r="Q340" s="27" t="n">
        <v>3</v>
      </c>
      <c r="R340" s="27"/>
      <c r="S340" s="27" t="s">
        <v>41</v>
      </c>
      <c r="T340" s="27"/>
      <c r="U340" s="27"/>
      <c r="V340" s="27"/>
      <c r="W340" s="27"/>
      <c r="X340" s="27"/>
      <c r="Y340" s="27" t="s">
        <v>41</v>
      </c>
      <c r="Z340" s="27" t="n">
        <v>-7.230548</v>
      </c>
      <c r="AA340" s="27" t="n">
        <v>-48.254522</v>
      </c>
      <c r="AB340" s="37" t="s">
        <v>2338</v>
      </c>
      <c r="AC340" s="27" t="s">
        <v>2339</v>
      </c>
    </row>
    <row r="341" customFormat="false" ht="15" hidden="false" customHeight="false" outlineLevel="0" collapsed="false">
      <c r="A341" s="27" t="n">
        <v>340</v>
      </c>
      <c r="B341" s="27" t="s">
        <v>1327</v>
      </c>
      <c r="C341" s="27" t="s">
        <v>2750</v>
      </c>
      <c r="D341" s="27" t="s">
        <v>1326</v>
      </c>
      <c r="E341" s="27" t="s">
        <v>1328</v>
      </c>
      <c r="F341" s="32" t="n">
        <v>31.0794543276141</v>
      </c>
      <c r="G341" s="28" t="n">
        <v>4931.99411727314</v>
      </c>
      <c r="H341" s="28" t="n">
        <v>4931.99411727314</v>
      </c>
      <c r="I341" s="5" t="s">
        <v>22</v>
      </c>
      <c r="J341" s="27" t="s">
        <v>303</v>
      </c>
      <c r="K341" s="27" t="s">
        <v>461</v>
      </c>
      <c r="L341" s="27" t="n">
        <v>16</v>
      </c>
      <c r="M341" s="27" t="s">
        <v>41</v>
      </c>
      <c r="N341" s="27" t="s">
        <v>2336</v>
      </c>
      <c r="O341" s="27" t="s">
        <v>77</v>
      </c>
      <c r="P341" s="27" t="s">
        <v>2749</v>
      </c>
      <c r="Q341" s="27" t="n">
        <v>3</v>
      </c>
      <c r="R341" s="27"/>
      <c r="S341" s="27" t="s">
        <v>41</v>
      </c>
      <c r="T341" s="27"/>
      <c r="U341" s="27"/>
      <c r="V341" s="27"/>
      <c r="W341" s="27"/>
      <c r="X341" s="27"/>
      <c r="Y341" s="27" t="s">
        <v>41</v>
      </c>
      <c r="Z341" s="27" t="n">
        <v>-7.230234</v>
      </c>
      <c r="AA341" s="27" t="n">
        <v>-48.254429</v>
      </c>
      <c r="AB341" s="37" t="s">
        <v>2338</v>
      </c>
      <c r="AC341" s="27" t="s">
        <v>2339</v>
      </c>
    </row>
    <row r="342" customFormat="false" ht="15" hidden="false" customHeight="false" outlineLevel="0" collapsed="false">
      <c r="A342" s="27" t="n">
        <v>341</v>
      </c>
      <c r="B342" s="27" t="s">
        <v>1329</v>
      </c>
      <c r="C342" s="27" t="s">
        <v>2751</v>
      </c>
      <c r="D342" s="27" t="s">
        <v>1328</v>
      </c>
      <c r="E342" s="27" t="s">
        <v>1330</v>
      </c>
      <c r="F342" s="32" t="n">
        <v>32.4975494959887</v>
      </c>
      <c r="G342" s="28" t="n">
        <v>4964.49166676913</v>
      </c>
      <c r="H342" s="28" t="n">
        <v>4964.49166676913</v>
      </c>
      <c r="I342" s="5" t="s">
        <v>22</v>
      </c>
      <c r="J342" s="27" t="s">
        <v>303</v>
      </c>
      <c r="K342" s="27" t="s">
        <v>461</v>
      </c>
      <c r="L342" s="27" t="n">
        <v>16</v>
      </c>
      <c r="M342" s="27" t="s">
        <v>41</v>
      </c>
      <c r="N342" s="27" t="s">
        <v>2336</v>
      </c>
      <c r="O342" s="27" t="s">
        <v>77</v>
      </c>
      <c r="P342" s="27" t="s">
        <v>54</v>
      </c>
      <c r="Q342" s="27" t="n">
        <v>0</v>
      </c>
      <c r="R342" s="27"/>
      <c r="S342" s="27" t="s">
        <v>41</v>
      </c>
      <c r="T342" s="27"/>
      <c r="U342" s="27"/>
      <c r="V342" s="27"/>
      <c r="W342" s="27"/>
      <c r="X342" s="27"/>
      <c r="Y342" s="27" t="s">
        <v>41</v>
      </c>
      <c r="Z342" s="27" t="n">
        <v>-7.230137</v>
      </c>
      <c r="AA342" s="27" t="n">
        <v>-48.2542465</v>
      </c>
      <c r="AB342" s="37" t="s">
        <v>2338</v>
      </c>
      <c r="AC342" s="27" t="s">
        <v>2339</v>
      </c>
    </row>
    <row r="343" customFormat="false" ht="15" hidden="false" customHeight="false" outlineLevel="0" collapsed="false">
      <c r="A343" s="27" t="n">
        <v>342</v>
      </c>
      <c r="B343" s="27" t="s">
        <v>1331</v>
      </c>
      <c r="C343" s="27" t="s">
        <v>2752</v>
      </c>
      <c r="D343" s="27" t="s">
        <v>1328</v>
      </c>
      <c r="E343" s="27" t="s">
        <v>1332</v>
      </c>
      <c r="F343" s="32" t="n">
        <v>92.6561622320269</v>
      </c>
      <c r="G343" s="28" t="n">
        <v>5024.65027950517</v>
      </c>
      <c r="H343" s="28" t="n">
        <v>5024.65027950517</v>
      </c>
      <c r="I343" s="5" t="s">
        <v>22</v>
      </c>
      <c r="J343" s="27" t="s">
        <v>303</v>
      </c>
      <c r="K343" s="27" t="s">
        <v>461</v>
      </c>
      <c r="L343" s="27" t="n">
        <v>16</v>
      </c>
      <c r="M343" s="27" t="s">
        <v>41</v>
      </c>
      <c r="N343" s="27" t="s">
        <v>2336</v>
      </c>
      <c r="O343" s="27" t="s">
        <v>77</v>
      </c>
      <c r="P343" s="27" t="s">
        <v>54</v>
      </c>
      <c r="Q343" s="27" t="n">
        <v>0</v>
      </c>
      <c r="R343" s="27"/>
      <c r="S343" s="27" t="s">
        <v>41</v>
      </c>
      <c r="T343" s="27"/>
      <c r="U343" s="27"/>
      <c r="V343" s="27"/>
      <c r="W343" s="27"/>
      <c r="X343" s="27"/>
      <c r="Y343" s="27" t="s">
        <v>41</v>
      </c>
      <c r="Z343" s="27" t="n">
        <v>-7.2297</v>
      </c>
      <c r="AA343" s="27" t="n">
        <v>-48.2542715</v>
      </c>
      <c r="AB343" s="37" t="s">
        <v>2338</v>
      </c>
      <c r="AC343" s="27" t="s">
        <v>2339</v>
      </c>
    </row>
    <row r="344" customFormat="false" ht="15" hidden="false" customHeight="false" outlineLevel="0" collapsed="false">
      <c r="A344" s="27" t="n">
        <v>343</v>
      </c>
      <c r="B344" s="27" t="s">
        <v>1333</v>
      </c>
      <c r="C344" s="27" t="s">
        <v>2753</v>
      </c>
      <c r="D344" s="27" t="s">
        <v>1332</v>
      </c>
      <c r="E344" s="27" t="s">
        <v>1334</v>
      </c>
      <c r="F344" s="32" t="n">
        <v>39.4894890508915</v>
      </c>
      <c r="G344" s="28" t="n">
        <v>5064.13976855606</v>
      </c>
      <c r="H344" s="28" t="n">
        <v>5064.13976855606</v>
      </c>
      <c r="I344" s="5" t="s">
        <v>22</v>
      </c>
      <c r="J344" s="27" t="s">
        <v>303</v>
      </c>
      <c r="K344" s="27" t="s">
        <v>461</v>
      </c>
      <c r="L344" s="27" t="n">
        <v>16</v>
      </c>
      <c r="M344" s="27" t="s">
        <v>41</v>
      </c>
      <c r="N344" s="27" t="s">
        <v>2336</v>
      </c>
      <c r="O344" s="27" t="s">
        <v>77</v>
      </c>
      <c r="P344" s="27" t="s">
        <v>54</v>
      </c>
      <c r="Q344" s="27" t="n">
        <v>0</v>
      </c>
      <c r="R344" s="27"/>
      <c r="S344" s="27" t="s">
        <v>41</v>
      </c>
      <c r="T344" s="27"/>
      <c r="U344" s="27"/>
      <c r="V344" s="27"/>
      <c r="W344" s="27"/>
      <c r="X344" s="27"/>
      <c r="Y344" s="27" t="s">
        <v>41</v>
      </c>
      <c r="Z344" s="27" t="n">
        <v>-7.2291295</v>
      </c>
      <c r="AA344" s="27" t="n">
        <v>-48.254104</v>
      </c>
      <c r="AB344" s="37" t="s">
        <v>2338</v>
      </c>
      <c r="AC344" s="27" t="s">
        <v>2339</v>
      </c>
    </row>
    <row r="345" customFormat="false" ht="15" hidden="false" customHeight="false" outlineLevel="0" collapsed="false">
      <c r="A345" s="27" t="n">
        <v>344</v>
      </c>
      <c r="B345" s="27" t="s">
        <v>1335</v>
      </c>
      <c r="C345" s="27" t="s">
        <v>2754</v>
      </c>
      <c r="D345" s="27" t="s">
        <v>1328</v>
      </c>
      <c r="E345" s="27" t="s">
        <v>1336</v>
      </c>
      <c r="F345" s="32" t="n">
        <v>192.965730153219</v>
      </c>
      <c r="G345" s="28" t="n">
        <v>5124.95984742636</v>
      </c>
      <c r="H345" s="28" t="n">
        <v>5124.95984742636</v>
      </c>
      <c r="I345" s="5" t="s">
        <v>22</v>
      </c>
      <c r="J345" s="27" t="s">
        <v>303</v>
      </c>
      <c r="K345" s="27" t="s">
        <v>461</v>
      </c>
      <c r="L345" s="27" t="n">
        <v>16</v>
      </c>
      <c r="M345" s="27" t="s">
        <v>41</v>
      </c>
      <c r="N345" s="27" t="s">
        <v>2336</v>
      </c>
      <c r="O345" s="27" t="s">
        <v>77</v>
      </c>
      <c r="P345" s="27" t="s">
        <v>2749</v>
      </c>
      <c r="Q345" s="27" t="n">
        <v>3</v>
      </c>
      <c r="R345" s="27"/>
      <c r="S345" s="27" t="s">
        <v>41</v>
      </c>
      <c r="T345" s="27"/>
      <c r="U345" s="27"/>
      <c r="V345" s="27"/>
      <c r="W345" s="27"/>
      <c r="X345" s="27"/>
      <c r="Y345" s="27" t="s">
        <v>41</v>
      </c>
      <c r="Z345" s="27" t="n">
        <v>-7.229837</v>
      </c>
      <c r="AA345" s="27" t="n">
        <v>-48.2552225</v>
      </c>
      <c r="AB345" s="37" t="s">
        <v>2338</v>
      </c>
      <c r="AC345" s="27" t="s">
        <v>2339</v>
      </c>
    </row>
    <row r="346" customFormat="false" ht="15" hidden="false" customHeight="false" outlineLevel="0" collapsed="false">
      <c r="A346" s="27" t="n">
        <v>345</v>
      </c>
      <c r="B346" s="27" t="s">
        <v>1337</v>
      </c>
      <c r="C346" s="27" t="s">
        <v>2755</v>
      </c>
      <c r="D346" s="27" t="s">
        <v>1336</v>
      </c>
      <c r="E346" s="27" t="s">
        <v>1338</v>
      </c>
      <c r="F346" s="32" t="n">
        <v>132.785084825545</v>
      </c>
      <c r="G346" s="28" t="n">
        <v>5257.7449322519</v>
      </c>
      <c r="H346" s="28" t="n">
        <v>5257.7449322519</v>
      </c>
      <c r="I346" s="5" t="s">
        <v>22</v>
      </c>
      <c r="J346" s="27" t="s">
        <v>303</v>
      </c>
      <c r="K346" s="27" t="s">
        <v>461</v>
      </c>
      <c r="L346" s="27" t="n">
        <v>16</v>
      </c>
      <c r="M346" s="27" t="s">
        <v>41</v>
      </c>
      <c r="N346" s="27" t="s">
        <v>2336</v>
      </c>
      <c r="O346" s="27" t="s">
        <v>77</v>
      </c>
      <c r="P346" s="27" t="s">
        <v>2749</v>
      </c>
      <c r="Q346" s="27" t="n">
        <v>3</v>
      </c>
      <c r="R346" s="27"/>
      <c r="S346" s="27" t="s">
        <v>41</v>
      </c>
      <c r="T346" s="27"/>
      <c r="U346" s="27"/>
      <c r="V346" s="27"/>
      <c r="W346" s="27"/>
      <c r="X346" s="27"/>
      <c r="Y346" s="27" t="s">
        <v>41</v>
      </c>
      <c r="Z346" s="27" t="n">
        <v>-7.229396</v>
      </c>
      <c r="AA346" s="27" t="n">
        <v>-48.2566305</v>
      </c>
      <c r="AB346" s="37" t="s">
        <v>2338</v>
      </c>
      <c r="AC346" s="27" t="s">
        <v>2339</v>
      </c>
    </row>
    <row r="347" customFormat="false" ht="15" hidden="false" customHeight="false" outlineLevel="0" collapsed="false">
      <c r="A347" s="27" t="n">
        <v>346</v>
      </c>
      <c r="B347" s="27" t="s">
        <v>1339</v>
      </c>
      <c r="C347" s="27" t="s">
        <v>2756</v>
      </c>
      <c r="D347" s="27" t="s">
        <v>1338</v>
      </c>
      <c r="E347" s="27" t="s">
        <v>1340</v>
      </c>
      <c r="F347" s="32" t="n">
        <v>3.57346733975186</v>
      </c>
      <c r="G347" s="28" t="n">
        <v>5261.31839959165</v>
      </c>
      <c r="H347" s="28" t="n">
        <v>5261.31839959165</v>
      </c>
      <c r="I347" s="5" t="s">
        <v>22</v>
      </c>
      <c r="J347" s="27" t="s">
        <v>303</v>
      </c>
      <c r="K347" s="27" t="s">
        <v>461</v>
      </c>
      <c r="L347" s="27" t="n">
        <v>16</v>
      </c>
      <c r="M347" s="27" t="s">
        <v>41</v>
      </c>
      <c r="N347" s="27" t="s">
        <v>2336</v>
      </c>
      <c r="O347" s="27" t="s">
        <v>77</v>
      </c>
      <c r="P347" s="27" t="s">
        <v>2749</v>
      </c>
      <c r="Q347" s="27" t="n">
        <v>3</v>
      </c>
      <c r="R347" s="27"/>
      <c r="S347" s="27" t="s">
        <v>41</v>
      </c>
      <c r="T347" s="27"/>
      <c r="U347" s="27"/>
      <c r="V347" s="27"/>
      <c r="W347" s="27"/>
      <c r="X347" s="27"/>
      <c r="Y347" s="27" t="s">
        <v>41</v>
      </c>
      <c r="Z347" s="27" t="n">
        <v>-7.2292205</v>
      </c>
      <c r="AA347" s="27" t="n">
        <v>-48.257221</v>
      </c>
      <c r="AB347" s="37" t="s">
        <v>2338</v>
      </c>
      <c r="AC347" s="27" t="s">
        <v>2339</v>
      </c>
    </row>
    <row r="348" customFormat="false" ht="15" hidden="false" customHeight="false" outlineLevel="0" collapsed="false">
      <c r="A348" s="27" t="n">
        <v>347</v>
      </c>
      <c r="B348" s="27" t="s">
        <v>1341</v>
      </c>
      <c r="C348" s="27" t="s">
        <v>2757</v>
      </c>
      <c r="D348" s="27" t="s">
        <v>1340</v>
      </c>
      <c r="E348" s="27" t="s">
        <v>1342</v>
      </c>
      <c r="F348" s="32" t="n">
        <v>36.6492292446552</v>
      </c>
      <c r="G348" s="28" t="n">
        <v>5297.96762883631</v>
      </c>
      <c r="H348" s="28" t="n">
        <v>5297.96762883631</v>
      </c>
      <c r="I348" s="5" t="s">
        <v>22</v>
      </c>
      <c r="J348" s="27" t="s">
        <v>303</v>
      </c>
      <c r="K348" s="27" t="s">
        <v>461</v>
      </c>
      <c r="L348" s="27" t="n">
        <v>16</v>
      </c>
      <c r="M348" s="27" t="s">
        <v>41</v>
      </c>
      <c r="N348" s="27" t="s">
        <v>2336</v>
      </c>
      <c r="O348" s="27" t="s">
        <v>77</v>
      </c>
      <c r="P348" s="27" t="s">
        <v>2749</v>
      </c>
      <c r="Q348" s="27" t="n">
        <v>3</v>
      </c>
      <c r="R348" s="27"/>
      <c r="S348" s="27" t="s">
        <v>41</v>
      </c>
      <c r="T348" s="27"/>
      <c r="U348" s="27"/>
      <c r="V348" s="27"/>
      <c r="W348" s="27"/>
      <c r="X348" s="27"/>
      <c r="Y348" s="27" t="s">
        <v>41</v>
      </c>
      <c r="Z348" s="27" t="n">
        <v>-7.229286</v>
      </c>
      <c r="AA348" s="27" t="n">
        <v>-48.2573905</v>
      </c>
      <c r="AB348" s="37" t="s">
        <v>2338</v>
      </c>
      <c r="AC348" s="27" t="s">
        <v>2339</v>
      </c>
    </row>
    <row r="349" customFormat="false" ht="15" hidden="false" customHeight="false" outlineLevel="0" collapsed="false">
      <c r="A349" s="27" t="n">
        <v>348</v>
      </c>
      <c r="B349" s="27" t="s">
        <v>1343</v>
      </c>
      <c r="C349" s="27" t="s">
        <v>2758</v>
      </c>
      <c r="D349" s="27" t="s">
        <v>1342</v>
      </c>
      <c r="E349" s="27" t="s">
        <v>1344</v>
      </c>
      <c r="F349" s="32" t="n">
        <v>3.66906846994104</v>
      </c>
      <c r="G349" s="28" t="n">
        <v>5301.63669730625</v>
      </c>
      <c r="H349" s="28" t="n">
        <v>5301.63669730625</v>
      </c>
      <c r="I349" s="5" t="s">
        <v>22</v>
      </c>
      <c r="J349" s="27" t="s">
        <v>303</v>
      </c>
      <c r="K349" s="27" t="s">
        <v>461</v>
      </c>
      <c r="L349" s="27" t="n">
        <v>16</v>
      </c>
      <c r="M349" s="27" t="s">
        <v>41</v>
      </c>
      <c r="N349" s="27" t="s">
        <v>2336</v>
      </c>
      <c r="O349" s="27" t="s">
        <v>77</v>
      </c>
      <c r="P349" s="27" t="s">
        <v>2759</v>
      </c>
      <c r="Q349" s="27" t="n">
        <v>2</v>
      </c>
      <c r="R349" s="27"/>
      <c r="S349" s="27" t="s">
        <v>41</v>
      </c>
      <c r="T349" s="27"/>
      <c r="U349" s="27"/>
      <c r="V349" s="27"/>
      <c r="W349" s="27"/>
      <c r="X349" s="27"/>
      <c r="Y349" s="27" t="s">
        <v>41</v>
      </c>
      <c r="Z349" s="27" t="n">
        <v>-7.2293445</v>
      </c>
      <c r="AA349" s="27" t="n">
        <v>-48.25756</v>
      </c>
      <c r="AB349" s="37" t="s">
        <v>2338</v>
      </c>
      <c r="AC349" s="27" t="s">
        <v>2339</v>
      </c>
    </row>
    <row r="350" customFormat="false" ht="15" hidden="false" customHeight="false" outlineLevel="0" collapsed="false">
      <c r="A350" s="27" t="n">
        <v>349</v>
      </c>
      <c r="B350" s="27" t="s">
        <v>1345</v>
      </c>
      <c r="C350" s="27" t="s">
        <v>2760</v>
      </c>
      <c r="D350" s="27" t="s">
        <v>1344</v>
      </c>
      <c r="E350" s="27" t="s">
        <v>1346</v>
      </c>
      <c r="F350" s="32" t="n">
        <v>222.887932840767</v>
      </c>
      <c r="G350" s="28" t="n">
        <v>5524.52463014702</v>
      </c>
      <c r="H350" s="28" t="n">
        <v>5524.52463014702</v>
      </c>
      <c r="I350" s="5" t="s">
        <v>22</v>
      </c>
      <c r="J350" s="27" t="s">
        <v>303</v>
      </c>
      <c r="K350" s="27" t="s">
        <v>461</v>
      </c>
      <c r="L350" s="27" t="n">
        <v>16</v>
      </c>
      <c r="M350" s="27" t="s">
        <v>41</v>
      </c>
      <c r="N350" s="27" t="s">
        <v>2336</v>
      </c>
      <c r="O350" s="27" t="s">
        <v>77</v>
      </c>
      <c r="P350" s="27" t="s">
        <v>2759</v>
      </c>
      <c r="Q350" s="27" t="n">
        <v>2</v>
      </c>
      <c r="R350" s="27"/>
      <c r="S350" s="27" t="s">
        <v>41</v>
      </c>
      <c r="T350" s="27"/>
      <c r="U350" s="27"/>
      <c r="V350" s="27"/>
      <c r="W350" s="27"/>
      <c r="X350" s="27"/>
      <c r="Y350" s="27" t="s">
        <v>41</v>
      </c>
      <c r="Z350" s="27" t="n">
        <v>-7.2290965</v>
      </c>
      <c r="AA350" s="27" t="n">
        <v>-48.258556</v>
      </c>
      <c r="AB350" s="37" t="s">
        <v>2338</v>
      </c>
      <c r="AC350" s="27" t="s">
        <v>2339</v>
      </c>
    </row>
    <row r="351" customFormat="false" ht="15" hidden="false" customHeight="false" outlineLevel="0" collapsed="false">
      <c r="A351" s="27" t="n">
        <v>350</v>
      </c>
      <c r="B351" s="27" t="s">
        <v>1347</v>
      </c>
      <c r="C351" s="27" t="s">
        <v>2761</v>
      </c>
      <c r="D351" s="27" t="s">
        <v>1346</v>
      </c>
      <c r="E351" s="27" t="s">
        <v>1348</v>
      </c>
      <c r="F351" s="32" t="n">
        <v>37.2062803898984</v>
      </c>
      <c r="G351" s="28" t="n">
        <v>5561.73091053692</v>
      </c>
      <c r="H351" s="28" t="n">
        <v>5561.73091053692</v>
      </c>
      <c r="I351" s="5" t="s">
        <v>22</v>
      </c>
      <c r="J351" s="27" t="s">
        <v>303</v>
      </c>
      <c r="K351" s="27" t="s">
        <v>461</v>
      </c>
      <c r="L351" s="27" t="n">
        <v>16</v>
      </c>
      <c r="M351" s="27" t="s">
        <v>41</v>
      </c>
      <c r="N351" s="27" t="s">
        <v>2336</v>
      </c>
      <c r="O351" s="27" t="s">
        <v>77</v>
      </c>
      <c r="P351" s="27" t="s">
        <v>2759</v>
      </c>
      <c r="Q351" s="27" t="n">
        <v>2</v>
      </c>
      <c r="R351" s="27"/>
      <c r="S351" s="27" t="s">
        <v>41</v>
      </c>
      <c r="T351" s="27"/>
      <c r="U351" s="27"/>
      <c r="V351" s="27"/>
      <c r="W351" s="27"/>
      <c r="X351" s="27"/>
      <c r="Y351" s="27" t="s">
        <v>41</v>
      </c>
      <c r="Z351" s="27" t="n">
        <v>-7.228812</v>
      </c>
      <c r="AA351" s="27" t="n">
        <v>-48.2596995</v>
      </c>
      <c r="AB351" s="37" t="s">
        <v>2338</v>
      </c>
      <c r="AC351" s="27" t="s">
        <v>2339</v>
      </c>
    </row>
    <row r="352" customFormat="false" ht="15" hidden="false" customHeight="false" outlineLevel="0" collapsed="false">
      <c r="A352" s="27" t="n">
        <v>351</v>
      </c>
      <c r="B352" s="27" t="s">
        <v>1349</v>
      </c>
      <c r="C352" s="27" t="s">
        <v>2762</v>
      </c>
      <c r="D352" s="27" t="s">
        <v>1348</v>
      </c>
      <c r="E352" s="27" t="s">
        <v>1350</v>
      </c>
      <c r="F352" s="32" t="n">
        <v>3.07842779500609</v>
      </c>
      <c r="G352" s="28" t="n">
        <v>5564.80933833192</v>
      </c>
      <c r="H352" s="28" t="n">
        <v>5564.80933833192</v>
      </c>
      <c r="I352" s="5" t="s">
        <v>22</v>
      </c>
      <c r="J352" s="27" t="s">
        <v>303</v>
      </c>
      <c r="K352" s="27" t="s">
        <v>461</v>
      </c>
      <c r="L352" s="27" t="n">
        <v>16</v>
      </c>
      <c r="M352" s="27" t="s">
        <v>41</v>
      </c>
      <c r="N352" s="27" t="s">
        <v>2336</v>
      </c>
      <c r="O352" s="27" t="s">
        <v>77</v>
      </c>
      <c r="P352" s="27" t="s">
        <v>2759</v>
      </c>
      <c r="Q352" s="27" t="n">
        <v>2</v>
      </c>
      <c r="R352" s="27"/>
      <c r="S352" s="27" t="s">
        <v>41</v>
      </c>
      <c r="T352" s="27"/>
      <c r="U352" s="27"/>
      <c r="V352" s="27"/>
      <c r="W352" s="27"/>
      <c r="X352" s="27"/>
      <c r="Y352" s="27" t="s">
        <v>41</v>
      </c>
      <c r="Z352" s="27" t="n">
        <v>-7.2287675</v>
      </c>
      <c r="AA352" s="27" t="n">
        <v>-48.2598765</v>
      </c>
      <c r="AB352" s="37" t="s">
        <v>2338</v>
      </c>
      <c r="AC352" s="27" t="s">
        <v>2339</v>
      </c>
    </row>
    <row r="353" customFormat="false" ht="15" hidden="false" customHeight="false" outlineLevel="0" collapsed="false">
      <c r="A353" s="27" t="n">
        <v>352</v>
      </c>
      <c r="B353" s="27" t="s">
        <v>1351</v>
      </c>
      <c r="C353" s="27" t="s">
        <v>2763</v>
      </c>
      <c r="D353" s="27" t="s">
        <v>1350</v>
      </c>
      <c r="E353" s="27" t="s">
        <v>1352</v>
      </c>
      <c r="F353" s="32" t="n">
        <v>103.465330878627</v>
      </c>
      <c r="G353" s="28" t="n">
        <v>5668.27466921055</v>
      </c>
      <c r="H353" s="28" t="n">
        <v>5668.27466921055</v>
      </c>
      <c r="I353" s="5" t="s">
        <v>22</v>
      </c>
      <c r="J353" s="27" t="s">
        <v>303</v>
      </c>
      <c r="K353" s="27" t="s">
        <v>461</v>
      </c>
      <c r="L353" s="27" t="n">
        <v>16</v>
      </c>
      <c r="M353" s="27" t="s">
        <v>41</v>
      </c>
      <c r="N353" s="27" t="s">
        <v>2336</v>
      </c>
      <c r="O353" s="27" t="s">
        <v>77</v>
      </c>
      <c r="P353" s="27" t="s">
        <v>2759</v>
      </c>
      <c r="Q353" s="27" t="n">
        <v>2</v>
      </c>
      <c r="R353" s="27"/>
      <c r="S353" s="27" t="s">
        <v>41</v>
      </c>
      <c r="T353" s="27"/>
      <c r="U353" s="27"/>
      <c r="V353" s="27"/>
      <c r="W353" s="27"/>
      <c r="X353" s="27"/>
      <c r="Y353" s="27" t="s">
        <v>41</v>
      </c>
      <c r="Z353" s="27" t="n">
        <v>-7.2286085</v>
      </c>
      <c r="AA353" s="27" t="n">
        <v>-48.260332</v>
      </c>
      <c r="AB353" s="37" t="s">
        <v>2338</v>
      </c>
      <c r="AC353" s="27" t="s">
        <v>2339</v>
      </c>
    </row>
    <row r="354" customFormat="false" ht="15" hidden="false" customHeight="false" outlineLevel="0" collapsed="false">
      <c r="A354" s="27" t="n">
        <v>353</v>
      </c>
      <c r="B354" s="27" t="s">
        <v>1353</v>
      </c>
      <c r="C354" s="27" t="s">
        <v>2764</v>
      </c>
      <c r="D354" s="27" t="s">
        <v>1352</v>
      </c>
      <c r="E354" s="27" t="s">
        <v>1354</v>
      </c>
      <c r="F354" s="32" t="n">
        <v>26.3653597797403</v>
      </c>
      <c r="G354" s="28" t="n">
        <v>5694.64002899029</v>
      </c>
      <c r="H354" s="28" t="n">
        <v>5694.64002899029</v>
      </c>
      <c r="I354" s="5" t="s">
        <v>22</v>
      </c>
      <c r="J354" s="27" t="s">
        <v>303</v>
      </c>
      <c r="K354" s="27" t="s">
        <v>461</v>
      </c>
      <c r="L354" s="27" t="n">
        <v>16</v>
      </c>
      <c r="M354" s="27" t="s">
        <v>41</v>
      </c>
      <c r="N354" s="27" t="s">
        <v>2336</v>
      </c>
      <c r="O354" s="27" t="s">
        <v>77</v>
      </c>
      <c r="P354" s="27" t="s">
        <v>117</v>
      </c>
      <c r="Q354" s="27" t="n">
        <v>1</v>
      </c>
      <c r="R354" s="27"/>
      <c r="S354" s="27" t="s">
        <v>41</v>
      </c>
      <c r="T354" s="27"/>
      <c r="U354" s="27"/>
      <c r="V354" s="27"/>
      <c r="W354" s="27"/>
      <c r="X354" s="27"/>
      <c r="Y354" s="27" t="s">
        <v>41</v>
      </c>
      <c r="Z354" s="27" t="n">
        <v>-7.2284245</v>
      </c>
      <c r="AA354" s="27" t="n">
        <v>-48.26089</v>
      </c>
      <c r="AB354" s="37" t="s">
        <v>2338</v>
      </c>
      <c r="AC354" s="27" t="s">
        <v>2339</v>
      </c>
    </row>
    <row r="355" customFormat="false" ht="15" hidden="false" customHeight="false" outlineLevel="0" collapsed="false">
      <c r="A355" s="27" t="n">
        <v>354</v>
      </c>
      <c r="B355" s="27" t="s">
        <v>1355</v>
      </c>
      <c r="C355" s="27" t="s">
        <v>2765</v>
      </c>
      <c r="D355" s="27" t="s">
        <v>1354</v>
      </c>
      <c r="E355" s="27" t="s">
        <v>1356</v>
      </c>
      <c r="F355" s="32" t="n">
        <v>3.72255483012161</v>
      </c>
      <c r="G355" s="28" t="n">
        <v>5698.36258382041</v>
      </c>
      <c r="H355" s="28" t="n">
        <v>5698.36258382041</v>
      </c>
      <c r="I355" s="5" t="s">
        <v>22</v>
      </c>
      <c r="J355" s="27" t="s">
        <v>303</v>
      </c>
      <c r="K355" s="27" t="s">
        <v>461</v>
      </c>
      <c r="L355" s="27" t="n">
        <v>16</v>
      </c>
      <c r="M355" s="27" t="s">
        <v>41</v>
      </c>
      <c r="N355" s="27" t="s">
        <v>2336</v>
      </c>
      <c r="O355" s="27" t="s">
        <v>77</v>
      </c>
      <c r="P355" s="27" t="s">
        <v>117</v>
      </c>
      <c r="Q355" s="27" t="n">
        <v>1</v>
      </c>
      <c r="R355" s="27"/>
      <c r="S355" s="27" t="s">
        <v>41</v>
      </c>
      <c r="T355" s="27"/>
      <c r="U355" s="27"/>
      <c r="V355" s="27"/>
      <c r="W355" s="27"/>
      <c r="X355" s="27"/>
      <c r="Y355" s="27" t="s">
        <v>41</v>
      </c>
      <c r="Z355" s="27" t="n">
        <v>-7.2283925</v>
      </c>
      <c r="AA355" s="27" t="n">
        <v>-48.2610225</v>
      </c>
      <c r="AB355" s="37" t="s">
        <v>2338</v>
      </c>
      <c r="AC355" s="27" t="s">
        <v>2339</v>
      </c>
    </row>
    <row r="356" customFormat="false" ht="15" hidden="false" customHeight="false" outlineLevel="0" collapsed="false">
      <c r="A356" s="27" t="n">
        <v>355</v>
      </c>
      <c r="B356" s="27" t="s">
        <v>1357</v>
      </c>
      <c r="C356" s="27" t="s">
        <v>2766</v>
      </c>
      <c r="D356" s="27" t="s">
        <v>1356</v>
      </c>
      <c r="E356" s="27" t="s">
        <v>1358</v>
      </c>
      <c r="F356" s="32" t="n">
        <v>11.7263735516233</v>
      </c>
      <c r="G356" s="28" t="n">
        <v>5710.08895737203</v>
      </c>
      <c r="H356" s="28" t="n">
        <v>5710.08895737203</v>
      </c>
      <c r="I356" s="5" t="s">
        <v>22</v>
      </c>
      <c r="J356" s="27" t="s">
        <v>303</v>
      </c>
      <c r="K356" s="27" t="s">
        <v>461</v>
      </c>
      <c r="L356" s="27" t="n">
        <v>16</v>
      </c>
      <c r="M356" s="27" t="s">
        <v>41</v>
      </c>
      <c r="N356" s="27" t="s">
        <v>2336</v>
      </c>
      <c r="O356" s="27" t="s">
        <v>77</v>
      </c>
      <c r="P356" s="27" t="s">
        <v>117</v>
      </c>
      <c r="Q356" s="27" t="n">
        <v>1</v>
      </c>
      <c r="R356" s="27"/>
      <c r="S356" s="27" t="s">
        <v>41</v>
      </c>
      <c r="T356" s="27"/>
      <c r="U356" s="27"/>
      <c r="V356" s="27"/>
      <c r="W356" s="27"/>
      <c r="X356" s="27"/>
      <c r="Y356" s="27" t="s">
        <v>41</v>
      </c>
      <c r="Z356" s="27" t="n">
        <v>-7.228341</v>
      </c>
      <c r="AA356" s="27" t="n">
        <v>-48.261061</v>
      </c>
      <c r="AB356" s="37" t="s">
        <v>2338</v>
      </c>
      <c r="AC356" s="27" t="s">
        <v>2339</v>
      </c>
    </row>
    <row r="357" customFormat="false" ht="15" hidden="false" customHeight="false" outlineLevel="0" collapsed="false">
      <c r="A357" s="27" t="n">
        <v>356</v>
      </c>
      <c r="B357" s="27" t="s">
        <v>1359</v>
      </c>
      <c r="C357" s="27" t="s">
        <v>2767</v>
      </c>
      <c r="D357" s="27" t="s">
        <v>1358</v>
      </c>
      <c r="E357" s="27" t="s">
        <v>1360</v>
      </c>
      <c r="F357" s="32" t="n">
        <v>3.72530695883963</v>
      </c>
      <c r="G357" s="28" t="n">
        <v>5713.81426433087</v>
      </c>
      <c r="H357" s="28" t="n">
        <v>5713.81426433087</v>
      </c>
      <c r="I357" s="5" t="s">
        <v>22</v>
      </c>
      <c r="J357" s="27" t="s">
        <v>303</v>
      </c>
      <c r="K357" s="27" t="s">
        <v>461</v>
      </c>
      <c r="L357" s="27" t="n">
        <v>16</v>
      </c>
      <c r="M357" s="27" t="s">
        <v>41</v>
      </c>
      <c r="N357" s="27" t="s">
        <v>2336</v>
      </c>
      <c r="O357" s="27" t="s">
        <v>77</v>
      </c>
      <c r="P357" s="27" t="s">
        <v>117</v>
      </c>
      <c r="Q357" s="27" t="n">
        <v>1</v>
      </c>
      <c r="R357" s="27" t="s">
        <v>1361</v>
      </c>
      <c r="S357" s="27" t="s">
        <v>41</v>
      </c>
      <c r="T357" s="27"/>
      <c r="U357" s="27"/>
      <c r="V357" s="27"/>
      <c r="W357" s="27"/>
      <c r="X357" s="27"/>
      <c r="Y357" s="27" t="s">
        <v>41</v>
      </c>
      <c r="Z357" s="27" t="n">
        <v>-7.228277</v>
      </c>
      <c r="AA357" s="27" t="n">
        <v>-48.261078</v>
      </c>
      <c r="AB357" s="37" t="s">
        <v>2338</v>
      </c>
      <c r="AC357" s="27" t="s">
        <v>2339</v>
      </c>
    </row>
    <row r="358" customFormat="false" ht="15" hidden="false" customHeight="false" outlineLevel="0" collapsed="false">
      <c r="A358" s="27" t="n">
        <v>357</v>
      </c>
      <c r="B358" s="27" t="s">
        <v>1362</v>
      </c>
      <c r="C358" s="27" t="s">
        <v>2768</v>
      </c>
      <c r="D358" s="27" t="s">
        <v>1360</v>
      </c>
      <c r="E358" s="27" t="s">
        <v>1363</v>
      </c>
      <c r="F358" s="32" t="n">
        <v>148.743585686226</v>
      </c>
      <c r="G358" s="28" t="n">
        <v>5862.5578500171</v>
      </c>
      <c r="H358" s="28" t="n">
        <v>5862.5578500171</v>
      </c>
      <c r="I358" s="5" t="s">
        <v>22</v>
      </c>
      <c r="J358" s="27" t="s">
        <v>303</v>
      </c>
      <c r="K358" s="27" t="s">
        <v>461</v>
      </c>
      <c r="L358" s="27" t="n">
        <v>16</v>
      </c>
      <c r="M358" s="27" t="s">
        <v>41</v>
      </c>
      <c r="N358" s="27" t="s">
        <v>2336</v>
      </c>
      <c r="O358" s="27" t="s">
        <v>77</v>
      </c>
      <c r="P358" s="27" t="s">
        <v>117</v>
      </c>
      <c r="Q358" s="27" t="n">
        <v>1</v>
      </c>
      <c r="R358" s="27"/>
      <c r="S358" s="27" t="s">
        <v>41</v>
      </c>
      <c r="T358" s="27"/>
      <c r="U358" s="27"/>
      <c r="V358" s="27"/>
      <c r="W358" s="27"/>
      <c r="X358" s="27"/>
      <c r="Y358" s="27" t="s">
        <v>41</v>
      </c>
      <c r="Z358" s="27" t="n">
        <v>-7.2276215</v>
      </c>
      <c r="AA358" s="27" t="n">
        <v>-48.2608755</v>
      </c>
      <c r="AB358" s="37" t="s">
        <v>2338</v>
      </c>
      <c r="AC358" s="27" t="s">
        <v>2339</v>
      </c>
    </row>
    <row r="359" customFormat="false" ht="15" hidden="false" customHeight="false" outlineLevel="0" collapsed="false">
      <c r="A359" s="27" t="n">
        <v>358</v>
      </c>
      <c r="B359" s="27" t="s">
        <v>1364</v>
      </c>
      <c r="C359" s="27" t="s">
        <v>2769</v>
      </c>
      <c r="D359" s="27" t="s">
        <v>1363</v>
      </c>
      <c r="E359" s="27" t="s">
        <v>1365</v>
      </c>
      <c r="F359" s="32" t="n">
        <v>29.8669922453914</v>
      </c>
      <c r="G359" s="28" t="n">
        <v>5892.42484226249</v>
      </c>
      <c r="H359" s="28" t="n">
        <v>5892.42484226249</v>
      </c>
      <c r="I359" s="5" t="s">
        <v>22</v>
      </c>
      <c r="J359" s="27" t="s">
        <v>303</v>
      </c>
      <c r="K359" s="27" t="s">
        <v>461</v>
      </c>
      <c r="L359" s="27" t="n">
        <v>16</v>
      </c>
      <c r="M359" s="27" t="s">
        <v>41</v>
      </c>
      <c r="N359" s="27" t="s">
        <v>2336</v>
      </c>
      <c r="O359" s="27" t="s">
        <v>77</v>
      </c>
      <c r="P359" s="27" t="s">
        <v>54</v>
      </c>
      <c r="Q359" s="27" t="n">
        <v>0</v>
      </c>
      <c r="R359" s="27"/>
      <c r="S359" s="27" t="s">
        <v>41</v>
      </c>
      <c r="T359" s="27"/>
      <c r="U359" s="27"/>
      <c r="V359" s="27"/>
      <c r="W359" s="27"/>
      <c r="X359" s="27"/>
      <c r="Y359" s="27" t="s">
        <v>41</v>
      </c>
      <c r="Z359" s="27" t="n">
        <v>-7.2268505</v>
      </c>
      <c r="AA359" s="27" t="n">
        <v>-48.2606505</v>
      </c>
      <c r="AB359" s="37" t="s">
        <v>2338</v>
      </c>
      <c r="AC359" s="27" t="s">
        <v>2339</v>
      </c>
    </row>
    <row r="360" customFormat="false" ht="15" hidden="false" customHeight="false" outlineLevel="0" collapsed="false">
      <c r="A360" s="27" t="n">
        <v>359</v>
      </c>
      <c r="B360" s="27" t="s">
        <v>1366</v>
      </c>
      <c r="C360" s="27" t="s">
        <v>2770</v>
      </c>
      <c r="D360" s="27" t="s">
        <v>1363</v>
      </c>
      <c r="E360" s="27" t="s">
        <v>1367</v>
      </c>
      <c r="F360" s="32" t="n">
        <v>8.86816324178084</v>
      </c>
      <c r="G360" s="28" t="n">
        <v>5871.42601325888</v>
      </c>
      <c r="H360" s="28" t="n">
        <v>5871.42601325888</v>
      </c>
      <c r="I360" s="5" t="s">
        <v>22</v>
      </c>
      <c r="J360" s="27" t="s">
        <v>303</v>
      </c>
      <c r="K360" s="27" t="s">
        <v>461</v>
      </c>
      <c r="L360" s="27" t="n">
        <v>16</v>
      </c>
      <c r="M360" s="27" t="s">
        <v>41</v>
      </c>
      <c r="N360" s="27" t="s">
        <v>2336</v>
      </c>
      <c r="O360" s="27" t="s">
        <v>77</v>
      </c>
      <c r="P360" s="27" t="s">
        <v>54</v>
      </c>
      <c r="Q360" s="27" t="n">
        <v>0</v>
      </c>
      <c r="R360" s="27"/>
      <c r="S360" s="27" t="s">
        <v>41</v>
      </c>
      <c r="T360" s="27"/>
      <c r="U360" s="27"/>
      <c r="V360" s="27"/>
      <c r="W360" s="27"/>
      <c r="X360" s="27"/>
      <c r="Y360" s="27" t="s">
        <v>41</v>
      </c>
      <c r="Z360" s="27" t="n">
        <v>-7.226995</v>
      </c>
      <c r="AA360" s="27" t="n">
        <v>-48.26064</v>
      </c>
      <c r="AB360" s="37" t="s">
        <v>2338</v>
      </c>
      <c r="AC360" s="27" t="s">
        <v>2339</v>
      </c>
    </row>
    <row r="361" customFormat="false" ht="15" hidden="false" customHeight="false" outlineLevel="0" collapsed="false">
      <c r="A361" s="27" t="n">
        <v>360</v>
      </c>
      <c r="B361" s="27" t="s">
        <v>1368</v>
      </c>
      <c r="C361" s="27" t="s">
        <v>2771</v>
      </c>
      <c r="D361" s="27" t="s">
        <v>1363</v>
      </c>
      <c r="E361" s="27" t="s">
        <v>1369</v>
      </c>
      <c r="F361" s="32" t="n">
        <v>171.88437101167</v>
      </c>
      <c r="G361" s="28" t="n">
        <v>6034.44222102877</v>
      </c>
      <c r="H361" s="28" t="n">
        <v>6034.44222102877</v>
      </c>
      <c r="I361" s="5" t="s">
        <v>22</v>
      </c>
      <c r="J361" s="27" t="s">
        <v>303</v>
      </c>
      <c r="K361" s="27" t="s">
        <v>461</v>
      </c>
      <c r="L361" s="27" t="n">
        <v>16</v>
      </c>
      <c r="M361" s="27" t="s">
        <v>41</v>
      </c>
      <c r="N361" s="27" t="s">
        <v>2336</v>
      </c>
      <c r="O361" s="27" t="s">
        <v>77</v>
      </c>
      <c r="P361" s="27" t="s">
        <v>117</v>
      </c>
      <c r="Q361" s="27" t="n">
        <v>1</v>
      </c>
      <c r="R361" s="27"/>
      <c r="S361" s="27" t="s">
        <v>41</v>
      </c>
      <c r="T361" s="27"/>
      <c r="U361" s="27"/>
      <c r="V361" s="27"/>
      <c r="W361" s="27"/>
      <c r="X361" s="27"/>
      <c r="Y361" s="27" t="s">
        <v>41</v>
      </c>
      <c r="Z361" s="27" t="n">
        <v>-7.2267495</v>
      </c>
      <c r="AA361" s="27" t="n">
        <v>-48.261421</v>
      </c>
      <c r="AB361" s="37" t="s">
        <v>2338</v>
      </c>
      <c r="AC361" s="27" t="s">
        <v>2339</v>
      </c>
    </row>
    <row r="362" customFormat="false" ht="15" hidden="false" customHeight="false" outlineLevel="0" collapsed="false">
      <c r="A362" s="27" t="n">
        <v>361</v>
      </c>
      <c r="B362" s="27" t="s">
        <v>1370</v>
      </c>
      <c r="C362" s="27" t="s">
        <v>2772</v>
      </c>
      <c r="D362" s="27" t="s">
        <v>1369</v>
      </c>
      <c r="E362" s="27" t="s">
        <v>1371</v>
      </c>
      <c r="F362" s="32" t="n">
        <v>24.1725146934879</v>
      </c>
      <c r="G362" s="28" t="n">
        <v>6058.61473572226</v>
      </c>
      <c r="H362" s="28" t="n">
        <v>6058.61473572226</v>
      </c>
      <c r="I362" s="5" t="s">
        <v>22</v>
      </c>
      <c r="J362" s="27" t="s">
        <v>303</v>
      </c>
      <c r="K362" s="27" t="s">
        <v>461</v>
      </c>
      <c r="L362" s="27" t="n">
        <v>16</v>
      </c>
      <c r="M362" s="27" t="s">
        <v>41</v>
      </c>
      <c r="N362" s="27" t="s">
        <v>2336</v>
      </c>
      <c r="O362" s="27" t="s">
        <v>77</v>
      </c>
      <c r="P362" s="27" t="s">
        <v>54</v>
      </c>
      <c r="Q362" s="27" t="n">
        <v>0</v>
      </c>
      <c r="R362" s="27"/>
      <c r="S362" s="27" t="s">
        <v>41</v>
      </c>
      <c r="T362" s="27"/>
      <c r="U362" s="27"/>
      <c r="V362" s="27"/>
      <c r="W362" s="27"/>
      <c r="X362" s="27"/>
      <c r="Y362" s="27" t="s">
        <v>41</v>
      </c>
      <c r="Z362" s="27" t="n">
        <v>-7.2264895</v>
      </c>
      <c r="AA362" s="27" t="n">
        <v>-48.26227</v>
      </c>
      <c r="AB362" s="37" t="s">
        <v>2338</v>
      </c>
      <c r="AC362" s="27" t="s">
        <v>2339</v>
      </c>
    </row>
    <row r="363" customFormat="false" ht="15" hidden="false" customHeight="false" outlineLevel="0" collapsed="false">
      <c r="A363" s="27" t="n">
        <v>362</v>
      </c>
      <c r="B363" s="27" t="s">
        <v>1372</v>
      </c>
      <c r="C363" s="27" t="s">
        <v>2773</v>
      </c>
      <c r="D363" s="27" t="s">
        <v>1369</v>
      </c>
      <c r="E363" s="27" t="s">
        <v>1373</v>
      </c>
      <c r="F363" s="32" t="n">
        <v>1.41710345322297</v>
      </c>
      <c r="G363" s="28" t="n">
        <v>6035.85932448199</v>
      </c>
      <c r="H363" s="28" t="n">
        <v>6035.85932448199</v>
      </c>
      <c r="I363" s="5" t="s">
        <v>22</v>
      </c>
      <c r="J363" s="27" t="s">
        <v>303</v>
      </c>
      <c r="K363" s="27" t="s">
        <v>461</v>
      </c>
      <c r="L363" s="27" t="n">
        <v>16</v>
      </c>
      <c r="M363" s="27" t="s">
        <v>41</v>
      </c>
      <c r="N363" s="27" t="s">
        <v>2336</v>
      </c>
      <c r="O363" s="27" t="s">
        <v>77</v>
      </c>
      <c r="P363" s="27" t="s">
        <v>117</v>
      </c>
      <c r="Q363" s="27" t="n">
        <v>1</v>
      </c>
      <c r="R363" s="27"/>
      <c r="S363" s="27" t="s">
        <v>41</v>
      </c>
      <c r="T363" s="27"/>
      <c r="U363" s="27"/>
      <c r="V363" s="27"/>
      <c r="W363" s="27"/>
      <c r="X363" s="27"/>
      <c r="Y363" s="27" t="s">
        <v>41</v>
      </c>
      <c r="Z363" s="27" t="n">
        <v>-7.226513</v>
      </c>
      <c r="AA363" s="27" t="n">
        <v>-48.262159</v>
      </c>
      <c r="AB363" s="37" t="s">
        <v>2338</v>
      </c>
      <c r="AC363" s="27" t="s">
        <v>2339</v>
      </c>
    </row>
    <row r="364" customFormat="false" ht="15" hidden="false" customHeight="false" outlineLevel="0" collapsed="false">
      <c r="A364" s="27" t="n">
        <v>363</v>
      </c>
      <c r="B364" s="27" t="s">
        <v>1374</v>
      </c>
      <c r="C364" s="27" t="s">
        <v>2774</v>
      </c>
      <c r="D364" s="27" t="s">
        <v>1352</v>
      </c>
      <c r="E364" s="27" t="s">
        <v>1375</v>
      </c>
      <c r="F364" s="32" t="n">
        <v>4.35899243217515</v>
      </c>
      <c r="G364" s="28" t="n">
        <v>5672.63366164272</v>
      </c>
      <c r="H364" s="28" t="n">
        <v>5672.63366164272</v>
      </c>
      <c r="I364" s="5" t="s">
        <v>22</v>
      </c>
      <c r="J364" s="27" t="s">
        <v>303</v>
      </c>
      <c r="K364" s="27" t="s">
        <v>461</v>
      </c>
      <c r="L364" s="27" t="n">
        <v>16</v>
      </c>
      <c r="M364" s="27" t="s">
        <v>41</v>
      </c>
      <c r="N364" s="27" t="s">
        <v>2336</v>
      </c>
      <c r="O364" s="27" t="s">
        <v>77</v>
      </c>
      <c r="P364" s="27" t="s">
        <v>119</v>
      </c>
      <c r="Q364" s="27" t="n">
        <v>1</v>
      </c>
      <c r="R364" s="27"/>
      <c r="S364" s="27" t="s">
        <v>41</v>
      </c>
      <c r="T364" s="27"/>
      <c r="U364" s="27"/>
      <c r="V364" s="27"/>
      <c r="W364" s="27"/>
      <c r="X364" s="27"/>
      <c r="Y364" s="27" t="s">
        <v>41</v>
      </c>
      <c r="Z364" s="27" t="n">
        <v>-7.2284725</v>
      </c>
      <c r="AA364" s="27" t="n">
        <v>-48.260772</v>
      </c>
      <c r="AB364" s="37" t="s">
        <v>2338</v>
      </c>
      <c r="AC364" s="27" t="s">
        <v>2339</v>
      </c>
    </row>
    <row r="365" customFormat="false" ht="15" hidden="false" customHeight="false" outlineLevel="0" collapsed="false">
      <c r="A365" s="27" t="n">
        <v>364</v>
      </c>
      <c r="B365" s="27" t="s">
        <v>1376</v>
      </c>
      <c r="C365" s="27" t="s">
        <v>2775</v>
      </c>
      <c r="D365" s="27" t="s">
        <v>1342</v>
      </c>
      <c r="E365" s="27" t="s">
        <v>1377</v>
      </c>
      <c r="F365" s="32" t="n">
        <v>1.5898537802084</v>
      </c>
      <c r="G365" s="28" t="n">
        <v>5299.55748261652</v>
      </c>
      <c r="H365" s="28" t="n">
        <v>5299.55748261652</v>
      </c>
      <c r="I365" s="5" t="s">
        <v>22</v>
      </c>
      <c r="J365" s="27" t="s">
        <v>303</v>
      </c>
      <c r="K365" s="27" t="s">
        <v>461</v>
      </c>
      <c r="L365" s="27" t="n">
        <v>16</v>
      </c>
      <c r="M365" s="27" t="s">
        <v>41</v>
      </c>
      <c r="N365" s="27" t="s">
        <v>2336</v>
      </c>
      <c r="O365" s="27" t="s">
        <v>77</v>
      </c>
      <c r="P365" s="27" t="s">
        <v>121</v>
      </c>
      <c r="Q365" s="27" t="n">
        <v>1</v>
      </c>
      <c r="R365" s="27"/>
      <c r="S365" s="27" t="s">
        <v>41</v>
      </c>
      <c r="T365" s="27"/>
      <c r="U365" s="27"/>
      <c r="V365" s="27"/>
      <c r="W365" s="27"/>
      <c r="X365" s="27"/>
      <c r="Y365" s="27" t="s">
        <v>41</v>
      </c>
      <c r="Z365" s="27" t="n">
        <v>-7.2293425</v>
      </c>
      <c r="AA365" s="27" t="n">
        <v>-48.257541</v>
      </c>
      <c r="AB365" s="37" t="s">
        <v>2338</v>
      </c>
      <c r="AC365" s="27" t="s">
        <v>2339</v>
      </c>
    </row>
    <row r="366" customFormat="false" ht="15" hidden="false" customHeight="false" outlineLevel="0" collapsed="false">
      <c r="A366" s="27" t="n">
        <v>365</v>
      </c>
      <c r="B366" s="27" t="s">
        <v>1378</v>
      </c>
      <c r="C366" s="27" t="s">
        <v>2776</v>
      </c>
      <c r="D366" s="27" t="s">
        <v>1377</v>
      </c>
      <c r="E366" s="27" t="s">
        <v>1379</v>
      </c>
      <c r="F366" s="32" t="n">
        <v>10.9471026772548</v>
      </c>
      <c r="G366" s="28" t="n">
        <v>5310.50458529377</v>
      </c>
      <c r="H366" s="28" t="n">
        <v>5310.50458529377</v>
      </c>
      <c r="I366" s="5" t="s">
        <v>22</v>
      </c>
      <c r="J366" s="27" t="s">
        <v>303</v>
      </c>
      <c r="K366" s="27" t="s">
        <v>461</v>
      </c>
      <c r="L366" s="27" t="n">
        <v>16</v>
      </c>
      <c r="M366" s="27" t="s">
        <v>41</v>
      </c>
      <c r="N366" s="27" t="s">
        <v>2336</v>
      </c>
      <c r="O366" s="27" t="s">
        <v>77</v>
      </c>
      <c r="P366" s="27" t="s">
        <v>121</v>
      </c>
      <c r="Q366" s="27" t="n">
        <v>1</v>
      </c>
      <c r="R366" s="27"/>
      <c r="S366" s="27" t="s">
        <v>41</v>
      </c>
      <c r="T366" s="27"/>
      <c r="U366" s="27"/>
      <c r="V366" s="27"/>
      <c r="W366" s="27"/>
      <c r="X366" s="27"/>
      <c r="Y366" s="27" t="s">
        <v>41</v>
      </c>
      <c r="Z366" s="27" t="n">
        <v>-7.229288</v>
      </c>
      <c r="AA366" s="27" t="n">
        <v>-48.257549</v>
      </c>
      <c r="AB366" s="37" t="s">
        <v>2338</v>
      </c>
      <c r="AC366" s="27" t="s">
        <v>2339</v>
      </c>
    </row>
    <row r="367" customFormat="false" ht="15" hidden="false" customHeight="false" outlineLevel="0" collapsed="false">
      <c r="A367" s="27" t="n">
        <v>366</v>
      </c>
      <c r="B367" s="27" t="s">
        <v>1380</v>
      </c>
      <c r="C367" s="27" t="s">
        <v>2777</v>
      </c>
      <c r="D367" s="27" t="s">
        <v>1336</v>
      </c>
      <c r="E367" s="27" t="s">
        <v>1381</v>
      </c>
      <c r="F367" s="32" t="n">
        <v>10.3348220138006</v>
      </c>
      <c r="G367" s="28" t="n">
        <v>5135.29466944016</v>
      </c>
      <c r="H367" s="28" t="n">
        <v>5135.29466944016</v>
      </c>
      <c r="I367" s="5" t="s">
        <v>22</v>
      </c>
      <c r="J367" s="27" t="s">
        <v>303</v>
      </c>
      <c r="K367" s="27" t="s">
        <v>461</v>
      </c>
      <c r="L367" s="27" t="n">
        <v>16</v>
      </c>
      <c r="M367" s="27" t="s">
        <v>41</v>
      </c>
      <c r="N367" s="27" t="s">
        <v>2336</v>
      </c>
      <c r="O367" s="27" t="s">
        <v>77</v>
      </c>
      <c r="P367" s="27" t="s">
        <v>54</v>
      </c>
      <c r="Q367" s="27" t="n">
        <v>0</v>
      </c>
      <c r="R367" s="27"/>
      <c r="S367" s="27" t="s">
        <v>41</v>
      </c>
      <c r="T367" s="27"/>
      <c r="U367" s="27"/>
      <c r="V367" s="27"/>
      <c r="W367" s="27"/>
      <c r="X367" s="27"/>
      <c r="Y367" s="27" t="s">
        <v>41</v>
      </c>
      <c r="Z367" s="27" t="n">
        <v>-7.2296185</v>
      </c>
      <c r="AA367" s="27" t="n">
        <v>-48.2560695</v>
      </c>
      <c r="AB367" s="37" t="s">
        <v>2338</v>
      </c>
      <c r="AC367" s="27" t="s">
        <v>2339</v>
      </c>
    </row>
    <row r="368" customFormat="false" ht="15" hidden="false" customHeight="false" outlineLevel="0" collapsed="false">
      <c r="A368" s="27" t="n">
        <v>367</v>
      </c>
      <c r="B368" s="27" t="s">
        <v>1382</v>
      </c>
      <c r="C368" s="27" t="s">
        <v>2778</v>
      </c>
      <c r="D368" s="27" t="s">
        <v>1336</v>
      </c>
      <c r="E368" s="27" t="s">
        <v>1383</v>
      </c>
      <c r="F368" s="32" t="n">
        <v>84.1474221350818</v>
      </c>
      <c r="G368" s="28" t="n">
        <v>5209.10726956144</v>
      </c>
      <c r="H368" s="28" t="n">
        <v>5209.10726956144</v>
      </c>
      <c r="I368" s="5" t="s">
        <v>22</v>
      </c>
      <c r="J368" s="27" t="s">
        <v>303</v>
      </c>
      <c r="K368" s="27" t="s">
        <v>461</v>
      </c>
      <c r="L368" s="27" t="n">
        <v>16</v>
      </c>
      <c r="M368" s="27" t="s">
        <v>41</v>
      </c>
      <c r="N368" s="27" t="s">
        <v>2336</v>
      </c>
      <c r="O368" s="27" t="s">
        <v>77</v>
      </c>
      <c r="P368" s="27" t="s">
        <v>54</v>
      </c>
      <c r="Q368" s="27" t="n">
        <v>0</v>
      </c>
      <c r="R368" s="27"/>
      <c r="S368" s="27" t="s">
        <v>41</v>
      </c>
      <c r="T368" s="27"/>
      <c r="U368" s="27"/>
      <c r="V368" s="27"/>
      <c r="W368" s="27"/>
      <c r="X368" s="27"/>
      <c r="Y368" s="27" t="s">
        <v>41</v>
      </c>
      <c r="Z368" s="27" t="n">
        <v>-7.229212</v>
      </c>
      <c r="AA368" s="27" t="n">
        <v>-48.255945</v>
      </c>
      <c r="AB368" s="37" t="s">
        <v>2338</v>
      </c>
      <c r="AC368" s="27" t="s">
        <v>2339</v>
      </c>
    </row>
    <row r="369" customFormat="false" ht="15" hidden="false" customHeight="false" outlineLevel="0" collapsed="false">
      <c r="A369" s="27" t="n">
        <v>368</v>
      </c>
      <c r="B369" s="27" t="s">
        <v>1384</v>
      </c>
      <c r="C369" s="27" t="s">
        <v>2779</v>
      </c>
      <c r="D369" s="27" t="s">
        <v>1383</v>
      </c>
      <c r="E369" s="27" t="s">
        <v>1385</v>
      </c>
      <c r="F369" s="32" t="n">
        <v>74.7923740526049</v>
      </c>
      <c r="G369" s="28" t="n">
        <v>5283.89964361404</v>
      </c>
      <c r="H369" s="28" t="n">
        <v>5283.89964361404</v>
      </c>
      <c r="I369" s="5" t="s">
        <v>22</v>
      </c>
      <c r="J369" s="27" t="s">
        <v>303</v>
      </c>
      <c r="K369" s="27" t="s">
        <v>461</v>
      </c>
      <c r="L369" s="27" t="n">
        <v>16</v>
      </c>
      <c r="M369" s="27" t="s">
        <v>41</v>
      </c>
      <c r="N369" s="27" t="s">
        <v>2336</v>
      </c>
      <c r="O369" s="27" t="s">
        <v>77</v>
      </c>
      <c r="P369" s="27" t="s">
        <v>54</v>
      </c>
      <c r="Q369" s="27" t="n">
        <v>0</v>
      </c>
      <c r="R369" s="27"/>
      <c r="S369" s="27" t="s">
        <v>41</v>
      </c>
      <c r="T369" s="27"/>
      <c r="U369" s="27"/>
      <c r="V369" s="27"/>
      <c r="W369" s="27"/>
      <c r="X369" s="27"/>
      <c r="Y369" s="27" t="s">
        <v>41</v>
      </c>
      <c r="Z369" s="27" t="n">
        <v>-7.2285285</v>
      </c>
      <c r="AA369" s="27" t="n">
        <v>-48.2557345</v>
      </c>
      <c r="AB369" s="37" t="s">
        <v>2338</v>
      </c>
      <c r="AC369" s="27" t="s">
        <v>2339</v>
      </c>
    </row>
    <row r="370" customFormat="false" ht="15" hidden="false" customHeight="false" outlineLevel="0" collapsed="false">
      <c r="A370" s="27" t="n">
        <v>369</v>
      </c>
      <c r="B370" s="27" t="s">
        <v>1386</v>
      </c>
      <c r="C370" s="27" t="s">
        <v>2780</v>
      </c>
      <c r="D370" s="27" t="s">
        <v>1310</v>
      </c>
      <c r="E370" s="27" t="s">
        <v>1387</v>
      </c>
      <c r="F370" s="32" t="n">
        <v>29.5370376387883</v>
      </c>
      <c r="G370" s="28" t="n">
        <v>4817.26427669783</v>
      </c>
      <c r="H370" s="28" t="n">
        <v>4817.26427669783</v>
      </c>
      <c r="I370" s="5" t="s">
        <v>22</v>
      </c>
      <c r="J370" s="27" t="s">
        <v>303</v>
      </c>
      <c r="K370" s="27" t="s">
        <v>461</v>
      </c>
      <c r="L370" s="27" t="n">
        <v>16</v>
      </c>
      <c r="M370" s="27" t="s">
        <v>41</v>
      </c>
      <c r="N370" s="27" t="s">
        <v>2336</v>
      </c>
      <c r="O370" s="27" t="s">
        <v>77</v>
      </c>
      <c r="P370" s="27" t="s">
        <v>123</v>
      </c>
      <c r="Q370" s="27" t="n">
        <v>1</v>
      </c>
      <c r="R370" s="27"/>
      <c r="S370" s="27" t="s">
        <v>41</v>
      </c>
      <c r="T370" s="27"/>
      <c r="U370" s="27"/>
      <c r="V370" s="27"/>
      <c r="W370" s="27"/>
      <c r="X370" s="27"/>
      <c r="Y370" s="27" t="s">
        <v>41</v>
      </c>
      <c r="Z370" s="27" t="n">
        <v>-7.2314725</v>
      </c>
      <c r="AA370" s="27" t="n">
        <v>-48.2547945</v>
      </c>
      <c r="AB370" s="37" t="s">
        <v>2338</v>
      </c>
      <c r="AC370" s="27" t="s">
        <v>2339</v>
      </c>
    </row>
    <row r="371" customFormat="false" ht="15" hidden="false" customHeight="false" outlineLevel="0" collapsed="false">
      <c r="A371" s="27" t="n">
        <v>370</v>
      </c>
      <c r="B371" s="27" t="s">
        <v>1388</v>
      </c>
      <c r="C371" s="27" t="s">
        <v>2781</v>
      </c>
      <c r="D371" s="27" t="s">
        <v>1387</v>
      </c>
      <c r="E371" s="27" t="s">
        <v>1389</v>
      </c>
      <c r="F371" s="32" t="n">
        <v>124.724222140736</v>
      </c>
      <c r="G371" s="28" t="n">
        <v>4941.98849883857</v>
      </c>
      <c r="H371" s="28" t="n">
        <v>4941.98849883857</v>
      </c>
      <c r="I371" s="5" t="s">
        <v>22</v>
      </c>
      <c r="J371" s="27" t="s">
        <v>303</v>
      </c>
      <c r="K371" s="27" t="s">
        <v>461</v>
      </c>
      <c r="L371" s="27" t="n">
        <v>16</v>
      </c>
      <c r="M371" s="27" t="s">
        <v>41</v>
      </c>
      <c r="N371" s="27" t="s">
        <v>2336</v>
      </c>
      <c r="O371" s="27" t="s">
        <v>77</v>
      </c>
      <c r="P371" s="27" t="s">
        <v>123</v>
      </c>
      <c r="Q371" s="27" t="n">
        <v>1</v>
      </c>
      <c r="R371" s="27"/>
      <c r="S371" s="27" t="s">
        <v>41</v>
      </c>
      <c r="T371" s="27"/>
      <c r="U371" s="27"/>
      <c r="V371" s="27"/>
      <c r="W371" s="27"/>
      <c r="X371" s="27"/>
      <c r="Y371" s="27" t="s">
        <v>41</v>
      </c>
      <c r="Z371" s="27" t="n">
        <v>-7.2321355</v>
      </c>
      <c r="AA371" s="27" t="n">
        <v>-48.255</v>
      </c>
      <c r="AB371" s="37" t="s">
        <v>2338</v>
      </c>
      <c r="AC371" s="27" t="s">
        <v>2339</v>
      </c>
    </row>
    <row r="372" customFormat="false" ht="15" hidden="false" customHeight="false" outlineLevel="0" collapsed="false">
      <c r="A372" s="27" t="n">
        <v>371</v>
      </c>
      <c r="B372" s="27" t="s">
        <v>1390</v>
      </c>
      <c r="C372" s="27" t="s">
        <v>2782</v>
      </c>
      <c r="D372" s="27" t="s">
        <v>1389</v>
      </c>
      <c r="E372" s="27" t="s">
        <v>1391</v>
      </c>
      <c r="F372" s="32" t="n">
        <v>12.4814206394699</v>
      </c>
      <c r="G372" s="28" t="n">
        <v>4954.46991947804</v>
      </c>
      <c r="H372" s="28" t="n">
        <v>4954.46991947804</v>
      </c>
      <c r="I372" s="5" t="s">
        <v>22</v>
      </c>
      <c r="J372" s="27" t="s">
        <v>303</v>
      </c>
      <c r="K372" s="27" t="s">
        <v>461</v>
      </c>
      <c r="L372" s="27" t="n">
        <v>16</v>
      </c>
      <c r="M372" s="27" t="s">
        <v>41</v>
      </c>
      <c r="N372" s="27" t="s">
        <v>2336</v>
      </c>
      <c r="O372" s="27" t="s">
        <v>77</v>
      </c>
      <c r="P372" s="27" t="s">
        <v>54</v>
      </c>
      <c r="Q372" s="27" t="n">
        <v>0</v>
      </c>
      <c r="R372" s="27"/>
      <c r="S372" s="27" t="s">
        <v>41</v>
      </c>
      <c r="T372" s="27"/>
      <c r="U372" s="27"/>
      <c r="V372" s="27"/>
      <c r="W372" s="27"/>
      <c r="X372" s="27"/>
      <c r="Y372" s="27" t="s">
        <v>41</v>
      </c>
      <c r="Z372" s="27" t="n">
        <v>-7.2327235</v>
      </c>
      <c r="AA372" s="27" t="n">
        <v>-48.255188</v>
      </c>
      <c r="AB372" s="37" t="s">
        <v>2338</v>
      </c>
      <c r="AC372" s="27" t="s">
        <v>2339</v>
      </c>
    </row>
    <row r="373" customFormat="false" ht="15" hidden="false" customHeight="false" outlineLevel="0" collapsed="false">
      <c r="A373" s="27" t="n">
        <v>372</v>
      </c>
      <c r="B373" s="27" t="s">
        <v>1392</v>
      </c>
      <c r="C373" s="27" t="s">
        <v>2783</v>
      </c>
      <c r="D373" s="27" t="s">
        <v>1389</v>
      </c>
      <c r="E373" s="27" t="s">
        <v>1393</v>
      </c>
      <c r="F373" s="32" t="n">
        <v>30.6235888790864</v>
      </c>
      <c r="G373" s="28" t="n">
        <v>4972.61208771766</v>
      </c>
      <c r="H373" s="28" t="n">
        <v>4972.61208771766</v>
      </c>
      <c r="I373" s="5" t="s">
        <v>22</v>
      </c>
      <c r="J373" s="27" t="s">
        <v>303</v>
      </c>
      <c r="K373" s="27" t="s">
        <v>461</v>
      </c>
      <c r="L373" s="27" t="n">
        <v>16</v>
      </c>
      <c r="M373" s="27" t="s">
        <v>41</v>
      </c>
      <c r="N373" s="27" t="s">
        <v>2336</v>
      </c>
      <c r="O373" s="27" t="s">
        <v>77</v>
      </c>
      <c r="P373" s="27" t="s">
        <v>54</v>
      </c>
      <c r="Q373" s="27" t="n">
        <v>0</v>
      </c>
      <c r="R373" s="27"/>
      <c r="S373" s="27" t="s">
        <v>41</v>
      </c>
      <c r="T373" s="27"/>
      <c r="U373" s="27"/>
      <c r="V373" s="27"/>
      <c r="W373" s="27"/>
      <c r="X373" s="27"/>
      <c r="Y373" s="27" t="s">
        <v>41</v>
      </c>
      <c r="Z373" s="27" t="n">
        <v>-7.232696</v>
      </c>
      <c r="AA373" s="27" t="n">
        <v>-48.2550315</v>
      </c>
      <c r="AB373" s="37" t="s">
        <v>2338</v>
      </c>
      <c r="AC373" s="27" t="s">
        <v>2339</v>
      </c>
    </row>
    <row r="374" customFormat="false" ht="15" hidden="false" customHeight="false" outlineLevel="0" collapsed="false">
      <c r="A374" s="27" t="n">
        <v>373</v>
      </c>
      <c r="B374" s="27" t="s">
        <v>1394</v>
      </c>
      <c r="C374" s="27" t="s">
        <v>2784</v>
      </c>
      <c r="D374" s="27" t="s">
        <v>1389</v>
      </c>
      <c r="E374" s="27" t="s">
        <v>1395</v>
      </c>
      <c r="F374" s="32" t="n">
        <v>6.45170335596767</v>
      </c>
      <c r="G374" s="28" t="n">
        <v>4948.44020219454</v>
      </c>
      <c r="H374" s="28" t="n">
        <v>4948.44020219454</v>
      </c>
      <c r="I374" s="5" t="s">
        <v>22</v>
      </c>
      <c r="J374" s="27" t="s">
        <v>303</v>
      </c>
      <c r="K374" s="27" t="s">
        <v>461</v>
      </c>
      <c r="L374" s="27" t="n">
        <v>16</v>
      </c>
      <c r="M374" s="27" t="s">
        <v>41</v>
      </c>
      <c r="N374" s="27" t="s">
        <v>2336</v>
      </c>
      <c r="O374" s="27" t="s">
        <v>77</v>
      </c>
      <c r="P374" s="27" t="s">
        <v>123</v>
      </c>
      <c r="Q374" s="27" t="n">
        <v>1</v>
      </c>
      <c r="R374" s="27"/>
      <c r="S374" s="27" t="s">
        <v>41</v>
      </c>
      <c r="T374" s="27"/>
      <c r="U374" s="27"/>
      <c r="V374" s="27"/>
      <c r="W374" s="27"/>
      <c r="X374" s="27"/>
      <c r="Y374" s="27" t="s">
        <v>41</v>
      </c>
      <c r="Z374" s="27" t="n">
        <v>-7.2326645</v>
      </c>
      <c r="AA374" s="27" t="n">
        <v>-48.2551965</v>
      </c>
      <c r="AB374" s="37" t="s">
        <v>2338</v>
      </c>
      <c r="AC374" s="27" t="s">
        <v>2339</v>
      </c>
    </row>
    <row r="375" customFormat="false" ht="15" hidden="false" customHeight="false" outlineLevel="0" collapsed="false">
      <c r="A375" s="27" t="n">
        <v>374</v>
      </c>
      <c r="B375" s="27" t="s">
        <v>1396</v>
      </c>
      <c r="C375" s="27" t="s">
        <v>2785</v>
      </c>
      <c r="D375" s="27" t="s">
        <v>1395</v>
      </c>
      <c r="E375" s="27" t="s">
        <v>1397</v>
      </c>
      <c r="F375" s="32" t="n">
        <v>3.61472305931368</v>
      </c>
      <c r="G375" s="28" t="n">
        <v>4952.05492525385</v>
      </c>
      <c r="H375" s="28" t="n">
        <v>4952.05492525385</v>
      </c>
      <c r="I375" s="5" t="s">
        <v>22</v>
      </c>
      <c r="J375" s="27" t="s">
        <v>303</v>
      </c>
      <c r="K375" s="27" t="s">
        <v>461</v>
      </c>
      <c r="L375" s="27" t="n">
        <v>16</v>
      </c>
      <c r="M375" s="27" t="s">
        <v>41</v>
      </c>
      <c r="N375" s="27" t="s">
        <v>2336</v>
      </c>
      <c r="O375" s="27" t="s">
        <v>77</v>
      </c>
      <c r="P375" s="27" t="s">
        <v>123</v>
      </c>
      <c r="Q375" s="27" t="n">
        <v>1</v>
      </c>
      <c r="R375" s="27"/>
      <c r="S375" s="27" t="s">
        <v>41</v>
      </c>
      <c r="T375" s="27"/>
      <c r="U375" s="27"/>
      <c r="V375" s="27"/>
      <c r="W375" s="27"/>
      <c r="X375" s="27"/>
      <c r="Y375" s="27" t="s">
        <v>41</v>
      </c>
      <c r="Z375" s="27" t="n">
        <v>-7.2326545</v>
      </c>
      <c r="AA375" s="27" t="n">
        <v>-48.255241</v>
      </c>
      <c r="AB375" s="37" t="s">
        <v>2338</v>
      </c>
      <c r="AC375" s="27" t="s">
        <v>2339</v>
      </c>
    </row>
    <row r="376" customFormat="false" ht="15" hidden="false" customHeight="false" outlineLevel="0" collapsed="false">
      <c r="A376" s="27" t="n">
        <v>375</v>
      </c>
      <c r="B376" s="27" t="s">
        <v>1398</v>
      </c>
      <c r="C376" s="27" t="s">
        <v>2786</v>
      </c>
      <c r="D376" s="27" t="s">
        <v>1300</v>
      </c>
      <c r="E376" s="27" t="s">
        <v>1399</v>
      </c>
      <c r="F376" s="32" t="n">
        <v>112.747820448717</v>
      </c>
      <c r="G376" s="28" t="n">
        <v>4706.31668142394</v>
      </c>
      <c r="H376" s="28" t="n">
        <v>4706.31668142394</v>
      </c>
      <c r="I376" s="5" t="s">
        <v>22</v>
      </c>
      <c r="J376" s="27" t="s">
        <v>303</v>
      </c>
      <c r="K376" s="27" t="s">
        <v>461</v>
      </c>
      <c r="L376" s="27" t="n">
        <v>16</v>
      </c>
      <c r="M376" s="27" t="s">
        <v>41</v>
      </c>
      <c r="N376" s="27" t="s">
        <v>2336</v>
      </c>
      <c r="O376" s="27" t="s">
        <v>77</v>
      </c>
      <c r="P376" s="27" t="s">
        <v>54</v>
      </c>
      <c r="Q376" s="27" t="n">
        <v>0</v>
      </c>
      <c r="R376" s="27"/>
      <c r="S376" s="27" t="s">
        <v>41</v>
      </c>
      <c r="T376" s="27"/>
      <c r="U376" s="27"/>
      <c r="V376" s="27"/>
      <c r="W376" s="27"/>
      <c r="X376" s="27"/>
      <c r="Y376" s="27" t="s">
        <v>41</v>
      </c>
      <c r="Z376" s="27" t="n">
        <v>-7.2323435</v>
      </c>
      <c r="AA376" s="27" t="n">
        <v>-48.2532255</v>
      </c>
      <c r="AB376" s="37" t="s">
        <v>2338</v>
      </c>
      <c r="AC376" s="27" t="s">
        <v>2339</v>
      </c>
    </row>
    <row r="377" customFormat="false" ht="15" hidden="false" customHeight="false" outlineLevel="0" collapsed="false">
      <c r="A377" s="27" t="n">
        <v>376</v>
      </c>
      <c r="B377" s="27" t="s">
        <v>1400</v>
      </c>
      <c r="C377" s="27" t="s">
        <v>2787</v>
      </c>
      <c r="D377" s="27" t="s">
        <v>1399</v>
      </c>
      <c r="E377" s="27" t="s">
        <v>1401</v>
      </c>
      <c r="F377" s="32" t="n">
        <v>4.89211930032568</v>
      </c>
      <c r="G377" s="28" t="n">
        <v>4711.20880072427</v>
      </c>
      <c r="H377" s="28" t="n">
        <v>4711.20880072427</v>
      </c>
      <c r="I377" s="5" t="s">
        <v>22</v>
      </c>
      <c r="J377" s="27" t="s">
        <v>303</v>
      </c>
      <c r="K377" s="27" t="s">
        <v>461</v>
      </c>
      <c r="L377" s="27" t="n">
        <v>16</v>
      </c>
      <c r="M377" s="27" t="s">
        <v>41</v>
      </c>
      <c r="N377" s="27" t="s">
        <v>2336</v>
      </c>
      <c r="O377" s="27" t="s">
        <v>77</v>
      </c>
      <c r="P377" s="27" t="s">
        <v>54</v>
      </c>
      <c r="Q377" s="27" t="n">
        <v>0</v>
      </c>
      <c r="R377" s="27"/>
      <c r="S377" s="27" t="s">
        <v>41</v>
      </c>
      <c r="T377" s="27"/>
      <c r="U377" s="27"/>
      <c r="V377" s="27"/>
      <c r="W377" s="27"/>
      <c r="X377" s="27"/>
      <c r="Y377" s="27" t="s">
        <v>41</v>
      </c>
      <c r="Z377" s="27" t="n">
        <v>-7.2328375</v>
      </c>
      <c r="AA377" s="27" t="n">
        <v>-48.253396</v>
      </c>
      <c r="AB377" s="37" t="s">
        <v>2338</v>
      </c>
      <c r="AC377" s="27" t="s">
        <v>2339</v>
      </c>
    </row>
    <row r="378" customFormat="false" ht="15" hidden="false" customHeight="false" outlineLevel="0" collapsed="false">
      <c r="A378" s="27" t="n">
        <v>377</v>
      </c>
      <c r="B378" s="27" t="s">
        <v>1402</v>
      </c>
      <c r="C378" s="27" t="s">
        <v>2788</v>
      </c>
      <c r="D378" s="27" t="s">
        <v>1399</v>
      </c>
      <c r="E378" s="27" t="s">
        <v>1403</v>
      </c>
      <c r="F378" s="32" t="n">
        <v>0.399940113126696</v>
      </c>
      <c r="G378" s="28" t="n">
        <v>4706.71662153707</v>
      </c>
      <c r="H378" s="28" t="n">
        <v>4706.71662153707</v>
      </c>
      <c r="I378" s="5" t="s">
        <v>22</v>
      </c>
      <c r="J378" s="27" t="s">
        <v>303</v>
      </c>
      <c r="K378" s="27" t="s">
        <v>461</v>
      </c>
      <c r="L378" s="27" t="n">
        <v>16</v>
      </c>
      <c r="M378" s="27" t="s">
        <v>41</v>
      </c>
      <c r="N378" s="27" t="s">
        <v>2336</v>
      </c>
      <c r="O378" s="27" t="s">
        <v>77</v>
      </c>
      <c r="P378" s="27" t="s">
        <v>54</v>
      </c>
      <c r="Q378" s="27" t="n">
        <v>0</v>
      </c>
      <c r="R378" s="27"/>
      <c r="S378" s="27" t="s">
        <v>41</v>
      </c>
      <c r="T378" s="27"/>
      <c r="U378" s="27"/>
      <c r="V378" s="27"/>
      <c r="W378" s="27"/>
      <c r="X378" s="27"/>
      <c r="Y378" s="27" t="s">
        <v>41</v>
      </c>
      <c r="Z378" s="27" t="n">
        <v>-7.2328295</v>
      </c>
      <c r="AA378" s="27" t="n">
        <v>-48.253375</v>
      </c>
      <c r="AB378" s="37" t="s">
        <v>2338</v>
      </c>
      <c r="AC378" s="27" t="s">
        <v>2339</v>
      </c>
    </row>
    <row r="379" customFormat="false" ht="15" hidden="false" customHeight="false" outlineLevel="0" collapsed="false">
      <c r="A379" s="27" t="n">
        <v>378</v>
      </c>
      <c r="B379" s="27" t="s">
        <v>1404</v>
      </c>
      <c r="C379" s="27" t="s">
        <v>2789</v>
      </c>
      <c r="D379" s="27" t="s">
        <v>1403</v>
      </c>
      <c r="E379" s="27" t="s">
        <v>1405</v>
      </c>
      <c r="F379" s="32" t="n">
        <v>3.32631623309422</v>
      </c>
      <c r="G379" s="28" t="n">
        <v>4710.04293777016</v>
      </c>
      <c r="H379" s="28" t="n">
        <v>4710.04293777016</v>
      </c>
      <c r="I379" s="5" t="s">
        <v>22</v>
      </c>
      <c r="J379" s="27" t="s">
        <v>303</v>
      </c>
      <c r="K379" s="27" t="s">
        <v>461</v>
      </c>
      <c r="L379" s="27" t="n">
        <v>16</v>
      </c>
      <c r="M379" s="27" t="s">
        <v>41</v>
      </c>
      <c r="N379" s="27" t="s">
        <v>2336</v>
      </c>
      <c r="O379" s="27" t="s">
        <v>77</v>
      </c>
      <c r="P379" s="27" t="s">
        <v>54</v>
      </c>
      <c r="Q379" s="27" t="n">
        <v>0</v>
      </c>
      <c r="R379" s="27"/>
      <c r="S379" s="27" t="s">
        <v>41</v>
      </c>
      <c r="T379" s="27"/>
      <c r="U379" s="27"/>
      <c r="V379" s="27"/>
      <c r="W379" s="27"/>
      <c r="X379" s="27"/>
      <c r="Y379" s="27" t="s">
        <v>41</v>
      </c>
      <c r="Z379" s="27" t="n">
        <v>-7.232843</v>
      </c>
      <c r="AA379" s="27" t="n">
        <v>-48.253365</v>
      </c>
      <c r="AB379" s="37" t="s">
        <v>2338</v>
      </c>
      <c r="AC379" s="27" t="s">
        <v>2339</v>
      </c>
    </row>
    <row r="380" customFormat="false" ht="15" hidden="false" customHeight="false" outlineLevel="0" collapsed="false">
      <c r="A380" s="27" t="n">
        <v>379</v>
      </c>
      <c r="B380" s="27" t="s">
        <v>1406</v>
      </c>
      <c r="C380" s="27" t="s">
        <v>2790</v>
      </c>
      <c r="D380" s="27" t="s">
        <v>1285</v>
      </c>
      <c r="E380" s="27" t="s">
        <v>1407</v>
      </c>
      <c r="F380" s="32" t="n">
        <v>4.68524253795243</v>
      </c>
      <c r="G380" s="28" t="n">
        <v>4095.30565732646</v>
      </c>
      <c r="H380" s="28" t="n">
        <v>4095.30565732646</v>
      </c>
      <c r="I380" s="5" t="s">
        <v>22</v>
      </c>
      <c r="J380" s="27" t="s">
        <v>303</v>
      </c>
      <c r="K380" s="27" t="s">
        <v>461</v>
      </c>
      <c r="L380" s="27" t="n">
        <v>16</v>
      </c>
      <c r="M380" s="27" t="s">
        <v>41</v>
      </c>
      <c r="N380" s="27" t="s">
        <v>2336</v>
      </c>
      <c r="O380" s="27" t="s">
        <v>77</v>
      </c>
      <c r="P380" s="27" t="s">
        <v>2791</v>
      </c>
      <c r="Q380" s="27" t="n">
        <v>2</v>
      </c>
      <c r="R380" s="27"/>
      <c r="S380" s="27" t="s">
        <v>41</v>
      </c>
      <c r="T380" s="27"/>
      <c r="U380" s="27"/>
      <c r="V380" s="27"/>
      <c r="W380" s="27"/>
      <c r="X380" s="27"/>
      <c r="Y380" s="27" t="s">
        <v>41</v>
      </c>
      <c r="Z380" s="27" t="n">
        <v>-7.2276805</v>
      </c>
      <c r="AA380" s="27" t="n">
        <v>-48.2514805</v>
      </c>
      <c r="AB380" s="37" t="s">
        <v>2338</v>
      </c>
      <c r="AC380" s="27" t="s">
        <v>2339</v>
      </c>
    </row>
    <row r="381" customFormat="false" ht="15" hidden="false" customHeight="false" outlineLevel="0" collapsed="false">
      <c r="A381" s="27" t="n">
        <v>380</v>
      </c>
      <c r="B381" s="27" t="s">
        <v>1408</v>
      </c>
      <c r="C381" s="27" t="s">
        <v>2792</v>
      </c>
      <c r="D381" s="27" t="s">
        <v>1279</v>
      </c>
      <c r="E381" s="27" t="s">
        <v>1409</v>
      </c>
      <c r="F381" s="32" t="n">
        <v>3.77534382804571</v>
      </c>
      <c r="G381" s="28" t="n">
        <v>3871.51473511126</v>
      </c>
      <c r="H381" s="28" t="n">
        <v>3871.51473511126</v>
      </c>
      <c r="I381" s="5" t="s">
        <v>22</v>
      </c>
      <c r="J381" s="27" t="s">
        <v>303</v>
      </c>
      <c r="K381" s="27" t="s">
        <v>461</v>
      </c>
      <c r="L381" s="27" t="n">
        <v>16</v>
      </c>
      <c r="M381" s="27" t="s">
        <v>41</v>
      </c>
      <c r="N381" s="27" t="s">
        <v>2336</v>
      </c>
      <c r="O381" s="27" t="s">
        <v>77</v>
      </c>
      <c r="P381" s="27" t="s">
        <v>54</v>
      </c>
      <c r="Q381" s="27" t="n">
        <v>0</v>
      </c>
      <c r="R381" s="27"/>
      <c r="S381" s="27" t="s">
        <v>41</v>
      </c>
      <c r="T381" s="27"/>
      <c r="U381" s="27"/>
      <c r="V381" s="27"/>
      <c r="W381" s="27"/>
      <c r="X381" s="27"/>
      <c r="Y381" s="27" t="s">
        <v>41</v>
      </c>
      <c r="Z381" s="27" t="n">
        <v>-7.2258595</v>
      </c>
      <c r="AA381" s="27" t="n">
        <v>-48.2506345</v>
      </c>
      <c r="AB381" s="37" t="s">
        <v>2338</v>
      </c>
      <c r="AC381" s="27" t="s">
        <v>2339</v>
      </c>
    </row>
    <row r="382" customFormat="false" ht="15" hidden="false" customHeight="false" outlineLevel="0" collapsed="false">
      <c r="A382" s="27" t="n">
        <v>381</v>
      </c>
      <c r="B382" s="27" t="s">
        <v>1410</v>
      </c>
      <c r="C382" s="27" t="s">
        <v>2793</v>
      </c>
      <c r="D382" s="27" t="s">
        <v>1277</v>
      </c>
      <c r="E382" s="27" t="s">
        <v>1411</v>
      </c>
      <c r="F382" s="32" t="n">
        <v>1.8286105164751</v>
      </c>
      <c r="G382" s="28" t="n">
        <v>3786.9505313489</v>
      </c>
      <c r="H382" s="28" t="n">
        <v>3786.9505313489</v>
      </c>
      <c r="I382" s="5" t="s">
        <v>22</v>
      </c>
      <c r="J382" s="27" t="s">
        <v>303</v>
      </c>
      <c r="K382" s="27" t="s">
        <v>461</v>
      </c>
      <c r="L382" s="27" t="n">
        <v>16</v>
      </c>
      <c r="M382" s="27" t="s">
        <v>41</v>
      </c>
      <c r="N382" s="27" t="s">
        <v>2336</v>
      </c>
      <c r="O382" s="27" t="s">
        <v>77</v>
      </c>
      <c r="P382" s="27" t="s">
        <v>2794</v>
      </c>
      <c r="Q382" s="27" t="n">
        <v>2</v>
      </c>
      <c r="R382" s="27"/>
      <c r="S382" s="27" t="s">
        <v>41</v>
      </c>
      <c r="T382" s="27"/>
      <c r="U382" s="27"/>
      <c r="V382" s="27"/>
      <c r="W382" s="27"/>
      <c r="X382" s="27"/>
      <c r="Y382" s="27" t="s">
        <v>41</v>
      </c>
      <c r="Z382" s="27" t="n">
        <v>-7.2251855</v>
      </c>
      <c r="AA382" s="27" t="n">
        <v>-48.2503125</v>
      </c>
      <c r="AB382" s="37" t="s">
        <v>2338</v>
      </c>
      <c r="AC382" s="27" t="s">
        <v>2339</v>
      </c>
    </row>
    <row r="383" customFormat="false" ht="15" hidden="false" customHeight="false" outlineLevel="0" collapsed="false">
      <c r="A383" s="27" t="n">
        <v>382</v>
      </c>
      <c r="B383" s="27" t="s">
        <v>1412</v>
      </c>
      <c r="C383" s="27" t="s">
        <v>2795</v>
      </c>
      <c r="D383" s="27" t="s">
        <v>1411</v>
      </c>
      <c r="E383" s="27" t="s">
        <v>1413</v>
      </c>
      <c r="F383" s="32" t="n">
        <v>30.2901554371748</v>
      </c>
      <c r="G383" s="28" t="n">
        <v>3817.24068678608</v>
      </c>
      <c r="H383" s="28" t="n">
        <v>3817.24068678608</v>
      </c>
      <c r="I383" s="5" t="s">
        <v>22</v>
      </c>
      <c r="J383" s="27" t="s">
        <v>303</v>
      </c>
      <c r="K383" s="27" t="s">
        <v>461</v>
      </c>
      <c r="L383" s="27" t="n">
        <v>16</v>
      </c>
      <c r="M383" s="27" t="s">
        <v>41</v>
      </c>
      <c r="N383" s="27" t="s">
        <v>2336</v>
      </c>
      <c r="O383" s="27" t="s">
        <v>77</v>
      </c>
      <c r="P383" s="27" t="s">
        <v>2794</v>
      </c>
      <c r="Q383" s="27" t="n">
        <v>2</v>
      </c>
      <c r="R383" s="27"/>
      <c r="S383" s="27" t="s">
        <v>41</v>
      </c>
      <c r="T383" s="27"/>
      <c r="U383" s="27"/>
      <c r="V383" s="27"/>
      <c r="W383" s="27"/>
      <c r="X383" s="27"/>
      <c r="Y383" s="27" t="s">
        <v>41</v>
      </c>
      <c r="Z383" s="27" t="n">
        <v>-7.2251225</v>
      </c>
      <c r="AA383" s="27" t="n">
        <v>-48.2504435</v>
      </c>
      <c r="AB383" s="37" t="s">
        <v>2338</v>
      </c>
      <c r="AC383" s="27" t="s">
        <v>2339</v>
      </c>
    </row>
    <row r="384" customFormat="false" ht="15" hidden="false" customHeight="false" outlineLevel="0" collapsed="false">
      <c r="A384" s="27" t="n">
        <v>383</v>
      </c>
      <c r="B384" s="27" t="s">
        <v>1414</v>
      </c>
      <c r="C384" s="27" t="s">
        <v>2796</v>
      </c>
      <c r="D384" s="27" t="s">
        <v>1413</v>
      </c>
      <c r="E384" s="27" t="s">
        <v>1415</v>
      </c>
      <c r="F384" s="32" t="n">
        <v>4.51149998479191</v>
      </c>
      <c r="G384" s="28" t="n">
        <v>3821.75218677087</v>
      </c>
      <c r="H384" s="28" t="n">
        <v>3821.75218677087</v>
      </c>
      <c r="I384" s="5" t="s">
        <v>22</v>
      </c>
      <c r="J384" s="27" t="s">
        <v>303</v>
      </c>
      <c r="K384" s="27" t="s">
        <v>461</v>
      </c>
      <c r="L384" s="27" t="n">
        <v>16</v>
      </c>
      <c r="M384" s="27" t="s">
        <v>41</v>
      </c>
      <c r="N384" s="27" t="s">
        <v>2336</v>
      </c>
      <c r="O384" s="27" t="s">
        <v>77</v>
      </c>
      <c r="P384" s="27" t="s">
        <v>2794</v>
      </c>
      <c r="Q384" s="27" t="n">
        <v>2</v>
      </c>
      <c r="R384" s="27"/>
      <c r="S384" s="27" t="s">
        <v>41</v>
      </c>
      <c r="T384" s="27"/>
      <c r="U384" s="27"/>
      <c r="V384" s="27"/>
      <c r="W384" s="27"/>
      <c r="X384" s="27"/>
      <c r="Y384" s="27" t="s">
        <v>41</v>
      </c>
      <c r="Z384" s="27" t="n">
        <v>-7.2250555</v>
      </c>
      <c r="AA384" s="27" t="n">
        <v>-48.250586</v>
      </c>
      <c r="AB384" s="37" t="s">
        <v>2338</v>
      </c>
      <c r="AC384" s="27" t="s">
        <v>2339</v>
      </c>
    </row>
    <row r="385" customFormat="false" ht="15" hidden="false" customHeight="false" outlineLevel="0" collapsed="false">
      <c r="A385" s="27" t="n">
        <v>384</v>
      </c>
      <c r="B385" s="27" t="s">
        <v>1416</v>
      </c>
      <c r="C385" s="27" t="s">
        <v>2797</v>
      </c>
      <c r="D385" s="27" t="s">
        <v>1275</v>
      </c>
      <c r="E385" s="27" t="s">
        <v>1417</v>
      </c>
      <c r="F385" s="32" t="n">
        <v>2.37882900362886</v>
      </c>
      <c r="G385" s="28" t="n">
        <v>3684.23244433669</v>
      </c>
      <c r="H385" s="28" t="n">
        <v>3684.23244433669</v>
      </c>
      <c r="I385" s="5" t="s">
        <v>22</v>
      </c>
      <c r="J385" s="27" t="s">
        <v>303</v>
      </c>
      <c r="K385" s="27" t="s">
        <v>461</v>
      </c>
      <c r="L385" s="27" t="n">
        <v>16</v>
      </c>
      <c r="M385" s="27" t="s">
        <v>41</v>
      </c>
      <c r="N385" s="27" t="s">
        <v>2336</v>
      </c>
      <c r="O385" s="27" t="s">
        <v>77</v>
      </c>
      <c r="P385" s="27" t="s">
        <v>131</v>
      </c>
      <c r="Q385" s="27" t="n">
        <v>1</v>
      </c>
      <c r="R385" s="27"/>
      <c r="S385" s="27" t="s">
        <v>41</v>
      </c>
      <c r="T385" s="27"/>
      <c r="U385" s="27"/>
      <c r="V385" s="27"/>
      <c r="W385" s="27"/>
      <c r="X385" s="27"/>
      <c r="Y385" s="27" t="s">
        <v>41</v>
      </c>
      <c r="Z385" s="27" t="n">
        <v>-7.224355</v>
      </c>
      <c r="AA385" s="27" t="n">
        <v>-48.249895</v>
      </c>
      <c r="AB385" s="37" t="s">
        <v>2338</v>
      </c>
      <c r="AC385" s="27" t="s">
        <v>2339</v>
      </c>
    </row>
    <row r="386" customFormat="false" ht="15" hidden="false" customHeight="false" outlineLevel="0" collapsed="false">
      <c r="A386" s="27" t="n">
        <v>385</v>
      </c>
      <c r="B386" s="27" t="s">
        <v>1418</v>
      </c>
      <c r="C386" s="27" t="s">
        <v>2798</v>
      </c>
      <c r="D386" s="27" t="s">
        <v>1271</v>
      </c>
      <c r="E386" s="27" t="s">
        <v>1419</v>
      </c>
      <c r="F386" s="32" t="n">
        <v>2.79950247758051</v>
      </c>
      <c r="G386" s="28" t="n">
        <v>3611.26202986565</v>
      </c>
      <c r="H386" s="28" t="n">
        <v>3611.26202986565</v>
      </c>
      <c r="I386" s="5" t="s">
        <v>22</v>
      </c>
      <c r="J386" s="27" t="s">
        <v>303</v>
      </c>
      <c r="K386" s="27" t="s">
        <v>461</v>
      </c>
      <c r="L386" s="27" t="n">
        <v>16</v>
      </c>
      <c r="M386" s="27" t="s">
        <v>41</v>
      </c>
      <c r="N386" s="27" t="s">
        <v>2336</v>
      </c>
      <c r="O386" s="27" t="s">
        <v>77</v>
      </c>
      <c r="P386" s="27" t="s">
        <v>54</v>
      </c>
      <c r="Q386" s="27" t="n">
        <v>0</v>
      </c>
      <c r="R386" s="27"/>
      <c r="S386" s="27" t="s">
        <v>41</v>
      </c>
      <c r="T386" s="27"/>
      <c r="U386" s="27"/>
      <c r="V386" s="27"/>
      <c r="W386" s="27"/>
      <c r="X386" s="27"/>
      <c r="Y386" s="27" t="s">
        <v>41</v>
      </c>
      <c r="Z386" s="27" t="n">
        <v>-7.2237465</v>
      </c>
      <c r="AA386" s="27" t="n">
        <v>-48.2496095</v>
      </c>
      <c r="AB386" s="37" t="s">
        <v>2338</v>
      </c>
      <c r="AC386" s="27" t="s">
        <v>2339</v>
      </c>
    </row>
    <row r="387" customFormat="false" ht="15" hidden="false" customHeight="false" outlineLevel="0" collapsed="false">
      <c r="A387" s="27" t="n">
        <v>386</v>
      </c>
      <c r="B387" s="27" t="s">
        <v>1420</v>
      </c>
      <c r="C387" s="27" t="s">
        <v>2799</v>
      </c>
      <c r="D387" s="27" t="s">
        <v>1271</v>
      </c>
      <c r="E387" s="27" t="s">
        <v>1421</v>
      </c>
      <c r="F387" s="32" t="n">
        <v>0.220624665237296</v>
      </c>
      <c r="G387" s="28" t="n">
        <v>3608.6831520533</v>
      </c>
      <c r="H387" s="28" t="n">
        <v>3608.6831520533</v>
      </c>
      <c r="I387" s="5" t="s">
        <v>22</v>
      </c>
      <c r="J387" s="27" t="s">
        <v>303</v>
      </c>
      <c r="K387" s="27" t="s">
        <v>461</v>
      </c>
      <c r="L387" s="27" t="n">
        <v>16</v>
      </c>
      <c r="M387" s="27" t="s">
        <v>41</v>
      </c>
      <c r="N387" s="27" t="s">
        <v>2336</v>
      </c>
      <c r="O387" s="27" t="s">
        <v>77</v>
      </c>
      <c r="P387" s="27" t="s">
        <v>133</v>
      </c>
      <c r="Q387" s="27" t="n">
        <v>1</v>
      </c>
      <c r="R387" s="27"/>
      <c r="S387" s="27" t="s">
        <v>41</v>
      </c>
      <c r="T387" s="27"/>
      <c r="U387" s="27"/>
      <c r="V387" s="27"/>
      <c r="W387" s="27"/>
      <c r="X387" s="27"/>
      <c r="Y387" s="27" t="s">
        <v>41</v>
      </c>
      <c r="Z387" s="27" t="n">
        <v>-7.223759</v>
      </c>
      <c r="AA387" s="27" t="n">
        <v>-48.249609</v>
      </c>
      <c r="AB387" s="37" t="s">
        <v>2338</v>
      </c>
      <c r="AC387" s="27" t="s">
        <v>2339</v>
      </c>
    </row>
    <row r="388" customFormat="false" ht="15" hidden="false" customHeight="false" outlineLevel="0" collapsed="false">
      <c r="A388" s="27" t="n">
        <v>387</v>
      </c>
      <c r="B388" s="27" t="s">
        <v>1422</v>
      </c>
      <c r="C388" s="27" t="s">
        <v>2800</v>
      </c>
      <c r="D388" s="27" t="s">
        <v>1262</v>
      </c>
      <c r="E388" s="27" t="s">
        <v>1423</v>
      </c>
      <c r="F388" s="32" t="n">
        <v>0.999026852060401</v>
      </c>
      <c r="G388" s="28" t="n">
        <v>3140.19349781566</v>
      </c>
      <c r="H388" s="28" t="n">
        <v>3140.19349781566</v>
      </c>
      <c r="I388" s="5" t="s">
        <v>22</v>
      </c>
      <c r="J388" s="27" t="s">
        <v>303</v>
      </c>
      <c r="K388" s="27" t="s">
        <v>461</v>
      </c>
      <c r="L388" s="27" t="n">
        <v>16</v>
      </c>
      <c r="M388" s="27" t="s">
        <v>41</v>
      </c>
      <c r="N388" s="27" t="s">
        <v>2336</v>
      </c>
      <c r="O388" s="27" t="s">
        <v>77</v>
      </c>
      <c r="P388" s="27" t="s">
        <v>135</v>
      </c>
      <c r="Q388" s="27" t="n">
        <v>1</v>
      </c>
      <c r="R388" s="27"/>
      <c r="S388" s="27" t="s">
        <v>41</v>
      </c>
      <c r="T388" s="27"/>
      <c r="U388" s="27"/>
      <c r="V388" s="27"/>
      <c r="W388" s="27"/>
      <c r="X388" s="27"/>
      <c r="Y388" s="27" t="s">
        <v>41</v>
      </c>
      <c r="Z388" s="27" t="n">
        <v>-7.2199365</v>
      </c>
      <c r="AA388" s="27" t="n">
        <v>-48.2478125</v>
      </c>
      <c r="AB388" s="37" t="s">
        <v>2338</v>
      </c>
      <c r="AC388" s="27" t="s">
        <v>2339</v>
      </c>
    </row>
    <row r="389" customFormat="false" ht="15" hidden="false" customHeight="false" outlineLevel="0" collapsed="false">
      <c r="A389" s="27" t="n">
        <v>388</v>
      </c>
      <c r="B389" s="27" t="s">
        <v>1424</v>
      </c>
      <c r="C389" s="27" t="s">
        <v>2801</v>
      </c>
      <c r="D389" s="27" t="s">
        <v>1252</v>
      </c>
      <c r="E389" s="27" t="s">
        <v>1425</v>
      </c>
      <c r="F389" s="32" t="n">
        <v>29.2031556509603</v>
      </c>
      <c r="G389" s="28" t="n">
        <v>2993.58772276496</v>
      </c>
      <c r="H389" s="28" t="n">
        <v>2993.58772276496</v>
      </c>
      <c r="I389" s="5" t="s">
        <v>22</v>
      </c>
      <c r="J389" s="27" t="s">
        <v>303</v>
      </c>
      <c r="K389" s="27" t="s">
        <v>461</v>
      </c>
      <c r="L389" s="27" t="n">
        <v>16</v>
      </c>
      <c r="M389" s="27" t="s">
        <v>41</v>
      </c>
      <c r="N389" s="27" t="s">
        <v>2336</v>
      </c>
      <c r="O389" s="27" t="s">
        <v>77</v>
      </c>
      <c r="P389" s="27" t="s">
        <v>54</v>
      </c>
      <c r="Q389" s="27" t="n">
        <v>0</v>
      </c>
      <c r="R389" s="27"/>
      <c r="S389" s="27" t="s">
        <v>41</v>
      </c>
      <c r="T389" s="27"/>
      <c r="U389" s="27"/>
      <c r="V389" s="27"/>
      <c r="W389" s="27"/>
      <c r="X389" s="27"/>
      <c r="Y389" s="27" t="s">
        <v>41</v>
      </c>
      <c r="Z389" s="27" t="n">
        <v>-7.2184585</v>
      </c>
      <c r="AA389" s="27" t="n">
        <v>-48.247247</v>
      </c>
      <c r="AB389" s="37" t="s">
        <v>2338</v>
      </c>
      <c r="AC389" s="27" t="s">
        <v>2339</v>
      </c>
    </row>
    <row r="390" customFormat="false" ht="15" hidden="false" customHeight="false" outlineLevel="0" collapsed="false">
      <c r="A390" s="27" t="n">
        <v>389</v>
      </c>
      <c r="B390" s="27" t="s">
        <v>1426</v>
      </c>
      <c r="C390" s="27" t="s">
        <v>2802</v>
      </c>
      <c r="D390" s="27" t="s">
        <v>1425</v>
      </c>
      <c r="E390" s="27" t="s">
        <v>1427</v>
      </c>
      <c r="F390" s="32" t="n">
        <v>15.2492506191367</v>
      </c>
      <c r="G390" s="28" t="n">
        <v>3008.8369733841</v>
      </c>
      <c r="H390" s="28" t="n">
        <v>3008.8369733841</v>
      </c>
      <c r="I390" s="5" t="s">
        <v>22</v>
      </c>
      <c r="J390" s="27" t="s">
        <v>303</v>
      </c>
      <c r="K390" s="27" t="s">
        <v>461</v>
      </c>
      <c r="L390" s="27" t="n">
        <v>16</v>
      </c>
      <c r="M390" s="27" t="s">
        <v>41</v>
      </c>
      <c r="N390" s="27" t="s">
        <v>2336</v>
      </c>
      <c r="O390" s="27" t="s">
        <v>77</v>
      </c>
      <c r="P390" s="27" t="s">
        <v>54</v>
      </c>
      <c r="Q390" s="27" t="n">
        <v>0</v>
      </c>
      <c r="R390" s="27"/>
      <c r="S390" s="27" t="s">
        <v>41</v>
      </c>
      <c r="T390" s="27"/>
      <c r="U390" s="27"/>
      <c r="V390" s="27"/>
      <c r="W390" s="27"/>
      <c r="X390" s="27"/>
      <c r="Y390" s="27" t="s">
        <v>41</v>
      </c>
      <c r="Z390" s="27" t="n">
        <v>-7.218397</v>
      </c>
      <c r="AA390" s="27" t="n">
        <v>-48.247297</v>
      </c>
      <c r="AB390" s="37" t="s">
        <v>2338</v>
      </c>
      <c r="AC390" s="27" t="s">
        <v>2339</v>
      </c>
    </row>
    <row r="391" customFormat="false" ht="15" hidden="false" customHeight="false" outlineLevel="0" collapsed="false">
      <c r="A391" s="27" t="n">
        <v>390</v>
      </c>
      <c r="B391" s="27" t="s">
        <v>1428</v>
      </c>
      <c r="C391" s="27" t="s">
        <v>2803</v>
      </c>
      <c r="D391" s="27" t="s">
        <v>1250</v>
      </c>
      <c r="E391" s="27" t="s">
        <v>1429</v>
      </c>
      <c r="F391" s="32" t="n">
        <v>1.8786290600778</v>
      </c>
      <c r="G391" s="28" t="n">
        <v>2848.83149751315</v>
      </c>
      <c r="H391" s="28" t="n">
        <v>2848.83149751315</v>
      </c>
      <c r="I391" s="5" t="s">
        <v>22</v>
      </c>
      <c r="J391" s="27" t="s">
        <v>303</v>
      </c>
      <c r="K391" s="27" t="s">
        <v>461</v>
      </c>
      <c r="L391" s="27" t="n">
        <v>16</v>
      </c>
      <c r="M391" s="27" t="s">
        <v>41</v>
      </c>
      <c r="N391" s="27" t="s">
        <v>2336</v>
      </c>
      <c r="O391" s="27" t="s">
        <v>77</v>
      </c>
      <c r="P391" s="27" t="s">
        <v>2804</v>
      </c>
      <c r="Q391" s="27" t="n">
        <v>5</v>
      </c>
      <c r="R391" s="27"/>
      <c r="S391" s="27" t="s">
        <v>41</v>
      </c>
      <c r="T391" s="27"/>
      <c r="U391" s="27"/>
      <c r="V391" s="27"/>
      <c r="W391" s="27"/>
      <c r="X391" s="27"/>
      <c r="Y391" s="27" t="s">
        <v>41</v>
      </c>
      <c r="Z391" s="27" t="n">
        <v>-7.2175535</v>
      </c>
      <c r="AA391" s="27" t="n">
        <v>-48.2466995</v>
      </c>
      <c r="AB391" s="37" t="s">
        <v>2338</v>
      </c>
      <c r="AC391" s="27" t="s">
        <v>2339</v>
      </c>
    </row>
    <row r="392" customFormat="false" ht="15" hidden="false" customHeight="false" outlineLevel="0" collapsed="false">
      <c r="A392" s="27" t="n">
        <v>391</v>
      </c>
      <c r="B392" s="27" t="s">
        <v>1430</v>
      </c>
      <c r="C392" s="27" t="s">
        <v>2805</v>
      </c>
      <c r="D392" s="27" t="s">
        <v>1429</v>
      </c>
      <c r="E392" s="27" t="s">
        <v>1431</v>
      </c>
      <c r="F392" s="32" t="n">
        <v>12.2695509755318</v>
      </c>
      <c r="G392" s="28" t="n">
        <v>2861.10104848868</v>
      </c>
      <c r="H392" s="28" t="n">
        <v>2861.10104848868</v>
      </c>
      <c r="I392" s="5" t="s">
        <v>22</v>
      </c>
      <c r="J392" s="27" t="s">
        <v>303</v>
      </c>
      <c r="K392" s="27" t="s">
        <v>461</v>
      </c>
      <c r="L392" s="27" t="n">
        <v>16</v>
      </c>
      <c r="M392" s="27" t="s">
        <v>41</v>
      </c>
      <c r="N392" s="27" t="s">
        <v>2336</v>
      </c>
      <c r="O392" s="27" t="s">
        <v>77</v>
      </c>
      <c r="P392" s="27" t="s">
        <v>2804</v>
      </c>
      <c r="Q392" s="27" t="n">
        <v>5</v>
      </c>
      <c r="R392" s="27"/>
      <c r="S392" s="27" t="s">
        <v>41</v>
      </c>
      <c r="T392" s="27"/>
      <c r="U392" s="27"/>
      <c r="V392" s="27"/>
      <c r="W392" s="27"/>
      <c r="X392" s="27"/>
      <c r="Y392" s="27" t="s">
        <v>41</v>
      </c>
      <c r="Z392" s="27" t="n">
        <v>-7.2175575</v>
      </c>
      <c r="AA392" s="27" t="n">
        <v>-48.2467635</v>
      </c>
      <c r="AB392" s="37" t="s">
        <v>2338</v>
      </c>
      <c r="AC392" s="27" t="s">
        <v>2339</v>
      </c>
    </row>
    <row r="393" customFormat="false" ht="15" hidden="false" customHeight="false" outlineLevel="0" collapsed="false">
      <c r="A393" s="27" t="n">
        <v>392</v>
      </c>
      <c r="B393" s="27" t="s">
        <v>1432</v>
      </c>
      <c r="C393" s="27" t="s">
        <v>2806</v>
      </c>
      <c r="D393" s="27" t="s">
        <v>1431</v>
      </c>
      <c r="E393" s="27" t="s">
        <v>1433</v>
      </c>
      <c r="F393" s="32" t="n">
        <v>3.07616204587242</v>
      </c>
      <c r="G393" s="28" t="n">
        <v>2864.17721053455</v>
      </c>
      <c r="H393" s="28" t="n">
        <v>2864.17721053455</v>
      </c>
      <c r="I393" s="5" t="s">
        <v>22</v>
      </c>
      <c r="J393" s="27" t="s">
        <v>303</v>
      </c>
      <c r="K393" s="27" t="s">
        <v>461</v>
      </c>
      <c r="L393" s="27" t="n">
        <v>16</v>
      </c>
      <c r="M393" s="27" t="s">
        <v>41</v>
      </c>
      <c r="N393" s="27" t="s">
        <v>2336</v>
      </c>
      <c r="O393" s="27" t="s">
        <v>77</v>
      </c>
      <c r="P393" s="27" t="s">
        <v>2804</v>
      </c>
      <c r="Q393" s="27" t="n">
        <v>5</v>
      </c>
      <c r="R393" s="27"/>
      <c r="S393" s="27" t="s">
        <v>41</v>
      </c>
      <c r="T393" s="27"/>
      <c r="U393" s="27"/>
      <c r="V393" s="27"/>
      <c r="W393" s="27"/>
      <c r="X393" s="27"/>
      <c r="Y393" s="27" t="s">
        <v>41</v>
      </c>
      <c r="Z393" s="27" t="n">
        <v>-7.217556</v>
      </c>
      <c r="AA393" s="27" t="n">
        <v>-48.246832</v>
      </c>
      <c r="AB393" s="37" t="s">
        <v>2338</v>
      </c>
      <c r="AC393" s="27" t="s">
        <v>2339</v>
      </c>
    </row>
    <row r="394" customFormat="false" ht="15" hidden="false" customHeight="false" outlineLevel="0" collapsed="false">
      <c r="A394" s="27" t="n">
        <v>393</v>
      </c>
      <c r="B394" s="27" t="s">
        <v>1434</v>
      </c>
      <c r="C394" s="27" t="s">
        <v>2807</v>
      </c>
      <c r="D394" s="27" t="s">
        <v>1433</v>
      </c>
      <c r="E394" s="27" t="s">
        <v>1435</v>
      </c>
      <c r="F394" s="32" t="n">
        <v>184.487847139279</v>
      </c>
      <c r="G394" s="28" t="n">
        <v>3048.66505767383</v>
      </c>
      <c r="H394" s="28" t="n">
        <v>3048.66505767383</v>
      </c>
      <c r="I394" s="5" t="s">
        <v>22</v>
      </c>
      <c r="J394" s="27" t="s">
        <v>303</v>
      </c>
      <c r="K394" s="27" t="s">
        <v>461</v>
      </c>
      <c r="L394" s="27" t="n">
        <v>16</v>
      </c>
      <c r="M394" s="27" t="s">
        <v>41</v>
      </c>
      <c r="N394" s="27" t="s">
        <v>2336</v>
      </c>
      <c r="O394" s="27" t="s">
        <v>77</v>
      </c>
      <c r="P394" s="27" t="s">
        <v>2804</v>
      </c>
      <c r="Q394" s="27" t="n">
        <v>5</v>
      </c>
      <c r="R394" s="27"/>
      <c r="S394" s="27" t="s">
        <v>41</v>
      </c>
      <c r="T394" s="27"/>
      <c r="U394" s="27"/>
      <c r="V394" s="27"/>
      <c r="W394" s="27"/>
      <c r="X394" s="27"/>
      <c r="Y394" s="27" t="s">
        <v>41</v>
      </c>
      <c r="Z394" s="27" t="n">
        <v>-7.2171965</v>
      </c>
      <c r="AA394" s="27" t="n">
        <v>-48.247601</v>
      </c>
      <c r="AB394" s="37" t="s">
        <v>2338</v>
      </c>
      <c r="AC394" s="27" t="s">
        <v>2339</v>
      </c>
    </row>
    <row r="395" customFormat="false" ht="15" hidden="false" customHeight="false" outlineLevel="0" collapsed="false">
      <c r="A395" s="27" t="n">
        <v>394</v>
      </c>
      <c r="B395" s="27" t="s">
        <v>1436</v>
      </c>
      <c r="C395" s="27" t="s">
        <v>2808</v>
      </c>
      <c r="D395" s="27" t="s">
        <v>1435</v>
      </c>
      <c r="E395" s="27" t="s">
        <v>1437</v>
      </c>
      <c r="F395" s="32" t="n">
        <v>38.1841092502845</v>
      </c>
      <c r="G395" s="28" t="n">
        <v>3086.84916692412</v>
      </c>
      <c r="H395" s="28" t="n">
        <v>3086.84916692412</v>
      </c>
      <c r="I395" s="5" t="s">
        <v>22</v>
      </c>
      <c r="J395" s="27" t="s">
        <v>303</v>
      </c>
      <c r="K395" s="27" t="s">
        <v>461</v>
      </c>
      <c r="L395" s="27" t="n">
        <v>16</v>
      </c>
      <c r="M395" s="27" t="s">
        <v>41</v>
      </c>
      <c r="N395" s="27" t="s">
        <v>2336</v>
      </c>
      <c r="O395" s="27" t="s">
        <v>77</v>
      </c>
      <c r="P395" s="27" t="s">
        <v>2804</v>
      </c>
      <c r="Q395" s="27" t="n">
        <v>5</v>
      </c>
      <c r="R395" s="27"/>
      <c r="S395" s="27" t="s">
        <v>41</v>
      </c>
      <c r="T395" s="27"/>
      <c r="U395" s="27"/>
      <c r="V395" s="27"/>
      <c r="W395" s="27"/>
      <c r="X395" s="27"/>
      <c r="Y395" s="27" t="s">
        <v>41</v>
      </c>
      <c r="Z395" s="27" t="n">
        <v>-7.2169965</v>
      </c>
      <c r="AA395" s="27" t="n">
        <v>-48.2484325</v>
      </c>
      <c r="AB395" s="37" t="s">
        <v>2338</v>
      </c>
      <c r="AC395" s="27" t="s">
        <v>2339</v>
      </c>
    </row>
    <row r="396" customFormat="false" ht="15" hidden="false" customHeight="false" outlineLevel="0" collapsed="false">
      <c r="A396" s="27" t="n">
        <v>395</v>
      </c>
      <c r="B396" s="27" t="s">
        <v>1438</v>
      </c>
      <c r="C396" s="27" t="s">
        <v>2809</v>
      </c>
      <c r="D396" s="27" t="s">
        <v>1437</v>
      </c>
      <c r="E396" s="27" t="s">
        <v>1439</v>
      </c>
      <c r="F396" s="32" t="n">
        <v>1.90477503125037</v>
      </c>
      <c r="G396" s="28" t="n">
        <v>3088.75394195537</v>
      </c>
      <c r="H396" s="28" t="n">
        <v>3088.75394195537</v>
      </c>
      <c r="I396" s="5" t="s">
        <v>22</v>
      </c>
      <c r="J396" s="27" t="s">
        <v>303</v>
      </c>
      <c r="K396" s="27" t="s">
        <v>461</v>
      </c>
      <c r="L396" s="27" t="n">
        <v>16</v>
      </c>
      <c r="M396" s="27" t="s">
        <v>41</v>
      </c>
      <c r="N396" s="27" t="s">
        <v>2336</v>
      </c>
      <c r="O396" s="27" t="s">
        <v>77</v>
      </c>
      <c r="P396" s="27" t="s">
        <v>2804</v>
      </c>
      <c r="Q396" s="27" t="n">
        <v>5</v>
      </c>
      <c r="R396" s="27"/>
      <c r="S396" s="27" t="s">
        <v>41</v>
      </c>
      <c r="T396" s="27"/>
      <c r="U396" s="27"/>
      <c r="V396" s="27"/>
      <c r="W396" s="27"/>
      <c r="X396" s="27"/>
      <c r="Y396" s="27" t="s">
        <v>41</v>
      </c>
      <c r="Z396" s="27" t="n">
        <v>-7.2171495</v>
      </c>
      <c r="AA396" s="27" t="n">
        <v>-48.2485165</v>
      </c>
      <c r="AB396" s="37" t="s">
        <v>2338</v>
      </c>
      <c r="AC396" s="27" t="s">
        <v>2339</v>
      </c>
    </row>
    <row r="397" customFormat="false" ht="15" hidden="false" customHeight="false" outlineLevel="0" collapsed="false">
      <c r="A397" s="27" t="n">
        <v>396</v>
      </c>
      <c r="B397" s="27" t="s">
        <v>1440</v>
      </c>
      <c r="C397" s="27" t="s">
        <v>2810</v>
      </c>
      <c r="D397" s="27" t="s">
        <v>1439</v>
      </c>
      <c r="E397" s="27" t="s">
        <v>1441</v>
      </c>
      <c r="F397" s="32" t="n">
        <v>53.830169988637</v>
      </c>
      <c r="G397" s="28" t="n">
        <v>3142.58411194401</v>
      </c>
      <c r="H397" s="28" t="n">
        <v>3142.58411194401</v>
      </c>
      <c r="I397" s="5" t="s">
        <v>22</v>
      </c>
      <c r="J397" s="27" t="s">
        <v>303</v>
      </c>
      <c r="K397" s="27" t="s">
        <v>461</v>
      </c>
      <c r="L397" s="27" t="n">
        <v>16</v>
      </c>
      <c r="M397" s="27" t="s">
        <v>41</v>
      </c>
      <c r="N397" s="27" t="s">
        <v>2336</v>
      </c>
      <c r="O397" s="27" t="s">
        <v>77</v>
      </c>
      <c r="P397" s="27" t="s">
        <v>2804</v>
      </c>
      <c r="Q397" s="27" t="n">
        <v>5</v>
      </c>
      <c r="R397" s="27"/>
      <c r="S397" s="27" t="s">
        <v>41</v>
      </c>
      <c r="T397" s="27"/>
      <c r="U397" s="27"/>
      <c r="V397" s="27"/>
      <c r="W397" s="27"/>
      <c r="X397" s="27"/>
      <c r="Y397" s="27" t="s">
        <v>41</v>
      </c>
      <c r="Z397" s="27" t="n">
        <v>-7.2170885</v>
      </c>
      <c r="AA397" s="27" t="n">
        <v>-48.2487615</v>
      </c>
      <c r="AB397" s="37" t="s">
        <v>2338</v>
      </c>
      <c r="AC397" s="27" t="s">
        <v>2339</v>
      </c>
    </row>
    <row r="398" customFormat="false" ht="15" hidden="false" customHeight="false" outlineLevel="0" collapsed="false">
      <c r="A398" s="27" t="n">
        <v>397</v>
      </c>
      <c r="B398" s="27" t="s">
        <v>1442</v>
      </c>
      <c r="C398" s="27" t="s">
        <v>2811</v>
      </c>
      <c r="D398" s="27" t="s">
        <v>1441</v>
      </c>
      <c r="E398" s="27" t="s">
        <v>1443</v>
      </c>
      <c r="F398" s="32" t="n">
        <v>100.523700286425</v>
      </c>
      <c r="G398" s="28" t="n">
        <v>3243.10781223043</v>
      </c>
      <c r="H398" s="28" t="n">
        <v>3243.10781223043</v>
      </c>
      <c r="I398" s="5" t="s">
        <v>22</v>
      </c>
      <c r="J398" s="27" t="s">
        <v>303</v>
      </c>
      <c r="K398" s="27" t="s">
        <v>461</v>
      </c>
      <c r="L398" s="27" t="n">
        <v>16</v>
      </c>
      <c r="M398" s="27" t="s">
        <v>41</v>
      </c>
      <c r="N398" s="27" t="s">
        <v>2336</v>
      </c>
      <c r="O398" s="27" t="s">
        <v>77</v>
      </c>
      <c r="P398" s="27" t="s">
        <v>2804</v>
      </c>
      <c r="Q398" s="27" t="n">
        <v>5</v>
      </c>
      <c r="R398" s="27"/>
      <c r="S398" s="27" t="s">
        <v>41</v>
      </c>
      <c r="T398" s="27"/>
      <c r="U398" s="27"/>
      <c r="V398" s="27"/>
      <c r="W398" s="27"/>
      <c r="X398" s="27"/>
      <c r="Y398" s="27" t="s">
        <v>41</v>
      </c>
      <c r="Z398" s="27" t="n">
        <v>-7.2169135</v>
      </c>
      <c r="AA398" s="27" t="n">
        <v>-48.2494385</v>
      </c>
      <c r="AB398" s="37" t="s">
        <v>2338</v>
      </c>
      <c r="AC398" s="27" t="s">
        <v>2339</v>
      </c>
    </row>
    <row r="399" customFormat="false" ht="15" hidden="false" customHeight="false" outlineLevel="0" collapsed="false">
      <c r="A399" s="27" t="n">
        <v>398</v>
      </c>
      <c r="B399" s="27" t="s">
        <v>1444</v>
      </c>
      <c r="C399" s="27" t="s">
        <v>2812</v>
      </c>
      <c r="D399" s="27" t="s">
        <v>1443</v>
      </c>
      <c r="E399" s="27" t="s">
        <v>1445</v>
      </c>
      <c r="F399" s="32" t="n">
        <v>16.7860081001587</v>
      </c>
      <c r="G399" s="28" t="n">
        <v>3259.89382033059</v>
      </c>
      <c r="H399" s="28" t="n">
        <v>3259.89382033059</v>
      </c>
      <c r="I399" s="5" t="s">
        <v>22</v>
      </c>
      <c r="J399" s="27" t="s">
        <v>303</v>
      </c>
      <c r="K399" s="27" t="s">
        <v>461</v>
      </c>
      <c r="L399" s="27" t="n">
        <v>16</v>
      </c>
      <c r="M399" s="27" t="s">
        <v>41</v>
      </c>
      <c r="N399" s="27" t="s">
        <v>2336</v>
      </c>
      <c r="O399" s="27" t="s">
        <v>77</v>
      </c>
      <c r="P399" s="27" t="s">
        <v>2813</v>
      </c>
      <c r="Q399" s="27" t="n">
        <v>4</v>
      </c>
      <c r="R399" s="27"/>
      <c r="S399" s="27" t="s">
        <v>41</v>
      </c>
      <c r="T399" s="27"/>
      <c r="U399" s="27"/>
      <c r="V399" s="27"/>
      <c r="W399" s="27"/>
      <c r="X399" s="27"/>
      <c r="Y399" s="27" t="s">
        <v>41</v>
      </c>
      <c r="Z399" s="27" t="n">
        <v>-7.2167785</v>
      </c>
      <c r="AA399" s="27" t="n">
        <v>-48.2499525</v>
      </c>
      <c r="AB399" s="37" t="s">
        <v>2338</v>
      </c>
      <c r="AC399" s="27" t="s">
        <v>2339</v>
      </c>
    </row>
    <row r="400" customFormat="false" ht="15" hidden="false" customHeight="false" outlineLevel="0" collapsed="false">
      <c r="A400" s="27" t="n">
        <v>399</v>
      </c>
      <c r="B400" s="27" t="s">
        <v>1446</v>
      </c>
      <c r="C400" s="27" t="s">
        <v>2814</v>
      </c>
      <c r="D400" s="27" t="s">
        <v>1445</v>
      </c>
      <c r="E400" s="27" t="s">
        <v>1447</v>
      </c>
      <c r="F400" s="32" t="n">
        <v>123.999998568021</v>
      </c>
      <c r="G400" s="28" t="n">
        <v>3383.89381889861</v>
      </c>
      <c r="H400" s="28" t="n">
        <v>3383.89381889861</v>
      </c>
      <c r="I400" s="5" t="s">
        <v>22</v>
      </c>
      <c r="J400" s="27" t="s">
        <v>303</v>
      </c>
      <c r="K400" s="27" t="s">
        <v>461</v>
      </c>
      <c r="L400" s="27" t="n">
        <v>16</v>
      </c>
      <c r="M400" s="27" t="s">
        <v>41</v>
      </c>
      <c r="N400" s="27" t="s">
        <v>2336</v>
      </c>
      <c r="O400" s="27" t="s">
        <v>77</v>
      </c>
      <c r="P400" s="27" t="s">
        <v>2813</v>
      </c>
      <c r="Q400" s="27" t="n">
        <v>4</v>
      </c>
      <c r="R400" s="27"/>
      <c r="S400" s="27" t="s">
        <v>41</v>
      </c>
      <c r="T400" s="27"/>
      <c r="U400" s="27"/>
      <c r="V400" s="27"/>
      <c r="W400" s="27"/>
      <c r="X400" s="27"/>
      <c r="Y400" s="27" t="s">
        <v>41</v>
      </c>
      <c r="Z400" s="27" t="n">
        <v>-7.216617</v>
      </c>
      <c r="AA400" s="27" t="n">
        <v>-48.2505695</v>
      </c>
      <c r="AB400" s="37" t="s">
        <v>2338</v>
      </c>
      <c r="AC400" s="27" t="s">
        <v>2339</v>
      </c>
    </row>
    <row r="401" customFormat="false" ht="15" hidden="false" customHeight="false" outlineLevel="0" collapsed="false">
      <c r="A401" s="27" t="n">
        <v>400</v>
      </c>
      <c r="B401" s="27" t="s">
        <v>1448</v>
      </c>
      <c r="C401" s="27" t="s">
        <v>2815</v>
      </c>
      <c r="D401" s="27" t="s">
        <v>1447</v>
      </c>
      <c r="E401" s="27" t="s">
        <v>1449</v>
      </c>
      <c r="F401" s="32" t="n">
        <v>37.3187269268512</v>
      </c>
      <c r="G401" s="28" t="n">
        <v>3421.21254582546</v>
      </c>
      <c r="H401" s="28" t="n">
        <v>3421.21254582546</v>
      </c>
      <c r="I401" s="5" t="s">
        <v>22</v>
      </c>
      <c r="J401" s="27" t="s">
        <v>303</v>
      </c>
      <c r="K401" s="27" t="s">
        <v>461</v>
      </c>
      <c r="L401" s="27" t="n">
        <v>16</v>
      </c>
      <c r="M401" s="27" t="s">
        <v>41</v>
      </c>
      <c r="N401" s="27" t="s">
        <v>2336</v>
      </c>
      <c r="O401" s="27" t="s">
        <v>77</v>
      </c>
      <c r="P401" s="27" t="s">
        <v>2813</v>
      </c>
      <c r="Q401" s="27" t="n">
        <v>4</v>
      </c>
      <c r="R401" s="27"/>
      <c r="S401" s="27" t="s">
        <v>41</v>
      </c>
      <c r="T401" s="27"/>
      <c r="U401" s="27"/>
      <c r="V401" s="27"/>
      <c r="W401" s="27"/>
      <c r="X401" s="27"/>
      <c r="Y401" s="27" t="s">
        <v>41</v>
      </c>
      <c r="Z401" s="27" t="n">
        <v>-7.216432</v>
      </c>
      <c r="AA401" s="27" t="n">
        <v>-48.2512765</v>
      </c>
      <c r="AB401" s="37" t="s">
        <v>2338</v>
      </c>
      <c r="AC401" s="27" t="s">
        <v>2339</v>
      </c>
    </row>
    <row r="402" customFormat="false" ht="15" hidden="false" customHeight="false" outlineLevel="0" collapsed="false">
      <c r="A402" s="27" t="n">
        <v>401</v>
      </c>
      <c r="B402" s="27" t="s">
        <v>1450</v>
      </c>
      <c r="C402" s="27" t="s">
        <v>2816</v>
      </c>
      <c r="D402" s="27" t="s">
        <v>1449</v>
      </c>
      <c r="E402" s="27" t="s">
        <v>1451</v>
      </c>
      <c r="F402" s="32" t="n">
        <v>18.7922865547976</v>
      </c>
      <c r="G402" s="28" t="n">
        <v>3440.00483238026</v>
      </c>
      <c r="H402" s="28" t="n">
        <v>3440.00483238026</v>
      </c>
      <c r="I402" s="5" t="s">
        <v>22</v>
      </c>
      <c r="J402" s="27" t="s">
        <v>303</v>
      </c>
      <c r="K402" s="27" t="s">
        <v>461</v>
      </c>
      <c r="L402" s="27" t="n">
        <v>16</v>
      </c>
      <c r="M402" s="27" t="s">
        <v>41</v>
      </c>
      <c r="N402" s="27" t="s">
        <v>2336</v>
      </c>
      <c r="O402" s="27" t="s">
        <v>77</v>
      </c>
      <c r="P402" s="27" t="s">
        <v>54</v>
      </c>
      <c r="Q402" s="27" t="n">
        <v>0</v>
      </c>
      <c r="R402" s="27"/>
      <c r="S402" s="27" t="s">
        <v>41</v>
      </c>
      <c r="T402" s="27"/>
      <c r="U402" s="27"/>
      <c r="V402" s="27"/>
      <c r="W402" s="27"/>
      <c r="X402" s="27"/>
      <c r="Y402" s="27" t="s">
        <v>41</v>
      </c>
      <c r="Z402" s="27" t="n">
        <v>-7.2164705</v>
      </c>
      <c r="AA402" s="27" t="n">
        <v>-48.2514625</v>
      </c>
      <c r="AB402" s="37" t="s">
        <v>2338</v>
      </c>
      <c r="AC402" s="27" t="s">
        <v>2339</v>
      </c>
    </row>
    <row r="403" customFormat="false" ht="15" hidden="false" customHeight="false" outlineLevel="0" collapsed="false">
      <c r="A403" s="27" t="n">
        <v>402</v>
      </c>
      <c r="B403" s="27" t="s">
        <v>1452</v>
      </c>
      <c r="C403" s="27" t="s">
        <v>2817</v>
      </c>
      <c r="D403" s="27" t="s">
        <v>1449</v>
      </c>
      <c r="E403" s="27" t="s">
        <v>1453</v>
      </c>
      <c r="F403" s="32" t="n">
        <v>178.14891969713</v>
      </c>
      <c r="G403" s="28" t="n">
        <v>3599.36146552259</v>
      </c>
      <c r="H403" s="28" t="n">
        <v>3599.36146552259</v>
      </c>
      <c r="I403" s="5" t="s">
        <v>22</v>
      </c>
      <c r="J403" s="27" t="s">
        <v>303</v>
      </c>
      <c r="K403" s="27" t="s">
        <v>461</v>
      </c>
      <c r="L403" s="27" t="n">
        <v>16</v>
      </c>
      <c r="M403" s="27" t="s">
        <v>41</v>
      </c>
      <c r="N403" s="27" t="s">
        <v>2336</v>
      </c>
      <c r="O403" s="27" t="s">
        <v>77</v>
      </c>
      <c r="P403" s="27" t="s">
        <v>2818</v>
      </c>
      <c r="Q403" s="27" t="n">
        <v>3</v>
      </c>
      <c r="R403" s="27"/>
      <c r="S403" s="27" t="s">
        <v>41</v>
      </c>
      <c r="T403" s="27"/>
      <c r="U403" s="27"/>
      <c r="V403" s="27"/>
      <c r="W403" s="27"/>
      <c r="X403" s="27"/>
      <c r="Y403" s="27" t="s">
        <v>41</v>
      </c>
      <c r="Z403" s="27" t="n">
        <v>-7.2156155</v>
      </c>
      <c r="AA403" s="27" t="n">
        <v>-48.25123</v>
      </c>
      <c r="AB403" s="37" t="s">
        <v>2338</v>
      </c>
      <c r="AC403" s="27" t="s">
        <v>2339</v>
      </c>
    </row>
    <row r="404" customFormat="false" ht="15" hidden="false" customHeight="false" outlineLevel="0" collapsed="false">
      <c r="A404" s="27" t="n">
        <v>403</v>
      </c>
      <c r="B404" s="27" t="s">
        <v>1454</v>
      </c>
      <c r="C404" s="27" t="s">
        <v>2819</v>
      </c>
      <c r="D404" s="27" t="s">
        <v>1453</v>
      </c>
      <c r="E404" s="27" t="s">
        <v>1455</v>
      </c>
      <c r="F404" s="32" t="n">
        <v>125.082180456271</v>
      </c>
      <c r="G404" s="28" t="n">
        <v>3724.44364597886</v>
      </c>
      <c r="H404" s="28" t="n">
        <v>3724.44364597886</v>
      </c>
      <c r="I404" s="5" t="s">
        <v>22</v>
      </c>
      <c r="J404" s="27" t="s">
        <v>303</v>
      </c>
      <c r="K404" s="27" t="s">
        <v>461</v>
      </c>
      <c r="L404" s="27" t="n">
        <v>16</v>
      </c>
      <c r="M404" s="27" t="s">
        <v>41</v>
      </c>
      <c r="N404" s="27" t="s">
        <v>2336</v>
      </c>
      <c r="O404" s="27" t="s">
        <v>77</v>
      </c>
      <c r="P404" s="27" t="s">
        <v>2818</v>
      </c>
      <c r="Q404" s="27" t="n">
        <v>3</v>
      </c>
      <c r="R404" s="27"/>
      <c r="S404" s="27" t="s">
        <v>41</v>
      </c>
      <c r="T404" s="27"/>
      <c r="U404" s="27"/>
      <c r="V404" s="27"/>
      <c r="W404" s="27"/>
      <c r="X404" s="27"/>
      <c r="Y404" s="27" t="s">
        <v>41</v>
      </c>
      <c r="Z404" s="27" t="n">
        <v>-7.214298</v>
      </c>
      <c r="AA404" s="27" t="n">
        <v>-48.250876</v>
      </c>
      <c r="AB404" s="37" t="s">
        <v>2338</v>
      </c>
      <c r="AC404" s="27" t="s">
        <v>2339</v>
      </c>
    </row>
    <row r="405" customFormat="false" ht="15" hidden="false" customHeight="false" outlineLevel="0" collapsed="false">
      <c r="A405" s="27" t="n">
        <v>404</v>
      </c>
      <c r="B405" s="27" t="s">
        <v>1456</v>
      </c>
      <c r="C405" s="27" t="s">
        <v>2820</v>
      </c>
      <c r="D405" s="27" t="s">
        <v>1455</v>
      </c>
      <c r="E405" s="27" t="s">
        <v>1457</v>
      </c>
      <c r="F405" s="32" t="n">
        <v>3.25312640754893</v>
      </c>
      <c r="G405" s="28" t="n">
        <v>3727.69677238641</v>
      </c>
      <c r="H405" s="28" t="n">
        <v>3727.69677238641</v>
      </c>
      <c r="I405" s="5" t="s">
        <v>22</v>
      </c>
      <c r="J405" s="27" t="s">
        <v>303</v>
      </c>
      <c r="K405" s="27" t="s">
        <v>461</v>
      </c>
      <c r="L405" s="27" t="n">
        <v>16</v>
      </c>
      <c r="M405" s="27" t="s">
        <v>41</v>
      </c>
      <c r="N405" s="27" t="s">
        <v>2336</v>
      </c>
      <c r="O405" s="27" t="s">
        <v>77</v>
      </c>
      <c r="P405" s="27" t="s">
        <v>2818</v>
      </c>
      <c r="Q405" s="27" t="n">
        <v>3</v>
      </c>
      <c r="R405" s="27"/>
      <c r="S405" s="27" t="s">
        <v>41</v>
      </c>
      <c r="T405" s="27"/>
      <c r="U405" s="27"/>
      <c r="V405" s="27"/>
      <c r="W405" s="27"/>
      <c r="X405" s="27"/>
      <c r="Y405" s="27" t="s">
        <v>41</v>
      </c>
      <c r="Z405" s="27" t="n">
        <v>-7.2137455</v>
      </c>
      <c r="AA405" s="27" t="n">
        <v>-48.25072</v>
      </c>
      <c r="AB405" s="37" t="s">
        <v>2338</v>
      </c>
      <c r="AC405" s="27" t="s">
        <v>2339</v>
      </c>
    </row>
    <row r="406" customFormat="false" ht="15" hidden="false" customHeight="false" outlineLevel="0" collapsed="false">
      <c r="A406" s="27" t="n">
        <v>405</v>
      </c>
      <c r="B406" s="27" t="s">
        <v>1458</v>
      </c>
      <c r="C406" s="27" t="s">
        <v>2821</v>
      </c>
      <c r="D406" s="27" t="s">
        <v>1457</v>
      </c>
      <c r="E406" s="27" t="s">
        <v>1459</v>
      </c>
      <c r="F406" s="32" t="n">
        <v>44.4736786796699</v>
      </c>
      <c r="G406" s="28" t="n">
        <v>3772.17045106608</v>
      </c>
      <c r="H406" s="28" t="n">
        <v>3772.17045106608</v>
      </c>
      <c r="I406" s="5" t="s">
        <v>22</v>
      </c>
      <c r="J406" s="27" t="s">
        <v>303</v>
      </c>
      <c r="K406" s="27" t="s">
        <v>461</v>
      </c>
      <c r="L406" s="27" t="n">
        <v>16</v>
      </c>
      <c r="M406" s="27" t="s">
        <v>41</v>
      </c>
      <c r="N406" s="27" t="s">
        <v>2336</v>
      </c>
      <c r="O406" s="27" t="s">
        <v>77</v>
      </c>
      <c r="P406" s="27" t="s">
        <v>2818</v>
      </c>
      <c r="Q406" s="27" t="n">
        <v>3</v>
      </c>
      <c r="R406" s="27"/>
      <c r="S406" s="27" t="s">
        <v>41</v>
      </c>
      <c r="T406" s="27"/>
      <c r="U406" s="27"/>
      <c r="V406" s="27"/>
      <c r="W406" s="27"/>
      <c r="X406" s="27"/>
      <c r="Y406" s="27" t="s">
        <v>41</v>
      </c>
      <c r="Z406" s="27" t="n">
        <v>-7.2137315</v>
      </c>
      <c r="AA406" s="27" t="n">
        <v>-48.2505065</v>
      </c>
      <c r="AB406" s="37" t="s">
        <v>2338</v>
      </c>
      <c r="AC406" s="27" t="s">
        <v>2339</v>
      </c>
    </row>
    <row r="407" customFormat="false" ht="15" hidden="false" customHeight="false" outlineLevel="0" collapsed="false">
      <c r="A407" s="27" t="n">
        <v>406</v>
      </c>
      <c r="B407" s="27" t="s">
        <v>1460</v>
      </c>
      <c r="C407" s="27" t="s">
        <v>2822</v>
      </c>
      <c r="D407" s="27" t="s">
        <v>1459</v>
      </c>
      <c r="E407" s="27" t="s">
        <v>1461</v>
      </c>
      <c r="F407" s="32" t="n">
        <v>2.2851441913539</v>
      </c>
      <c r="G407" s="28" t="n">
        <v>3774.45559525744</v>
      </c>
      <c r="H407" s="28" t="n">
        <v>3774.45559525744</v>
      </c>
      <c r="I407" s="5" t="s">
        <v>22</v>
      </c>
      <c r="J407" s="27" t="s">
        <v>303</v>
      </c>
      <c r="K407" s="27" t="s">
        <v>461</v>
      </c>
      <c r="L407" s="27" t="n">
        <v>16</v>
      </c>
      <c r="M407" s="27" t="s">
        <v>41</v>
      </c>
      <c r="N407" s="27" t="s">
        <v>2336</v>
      </c>
      <c r="O407" s="27" t="s">
        <v>77</v>
      </c>
      <c r="P407" s="27" t="s">
        <v>2818</v>
      </c>
      <c r="Q407" s="27" t="n">
        <v>3</v>
      </c>
      <c r="R407" s="27"/>
      <c r="S407" s="27" t="s">
        <v>41</v>
      </c>
      <c r="T407" s="27"/>
      <c r="U407" s="27"/>
      <c r="V407" s="27"/>
      <c r="W407" s="27"/>
      <c r="X407" s="27"/>
      <c r="Y407" s="27" t="s">
        <v>41</v>
      </c>
      <c r="Z407" s="27" t="n">
        <v>-7.213734</v>
      </c>
      <c r="AA407" s="27" t="n">
        <v>-48.2502985</v>
      </c>
      <c r="AB407" s="37" t="s">
        <v>2338</v>
      </c>
      <c r="AC407" s="27" t="s">
        <v>2339</v>
      </c>
    </row>
    <row r="408" customFormat="false" ht="15" hidden="false" customHeight="false" outlineLevel="0" collapsed="false">
      <c r="A408" s="27" t="n">
        <v>407</v>
      </c>
      <c r="B408" s="27" t="s">
        <v>1462</v>
      </c>
      <c r="C408" s="27" t="s">
        <v>2823</v>
      </c>
      <c r="D408" s="27" t="s">
        <v>1461</v>
      </c>
      <c r="E408" s="27" t="s">
        <v>1463</v>
      </c>
      <c r="F408" s="32" t="n">
        <v>126.350069498936</v>
      </c>
      <c r="G408" s="28" t="n">
        <v>3900.80566475637</v>
      </c>
      <c r="H408" s="28" t="n">
        <v>3900.80566475637</v>
      </c>
      <c r="I408" s="5" t="s">
        <v>22</v>
      </c>
      <c r="J408" s="27" t="s">
        <v>303</v>
      </c>
      <c r="K408" s="27" t="s">
        <v>461</v>
      </c>
      <c r="L408" s="27" t="n">
        <v>16</v>
      </c>
      <c r="M408" s="27" t="s">
        <v>41</v>
      </c>
      <c r="N408" s="27" t="s">
        <v>2336</v>
      </c>
      <c r="O408" s="27" t="s">
        <v>77</v>
      </c>
      <c r="P408" s="27" t="s">
        <v>2824</v>
      </c>
      <c r="Q408" s="27" t="n">
        <v>2</v>
      </c>
      <c r="R408" s="27"/>
      <c r="S408" s="27" t="s">
        <v>41</v>
      </c>
      <c r="T408" s="27"/>
      <c r="U408" s="27"/>
      <c r="V408" s="27"/>
      <c r="W408" s="27"/>
      <c r="X408" s="27"/>
      <c r="Y408" s="27" t="s">
        <v>41</v>
      </c>
      <c r="Z408" s="27" t="n">
        <v>-7.213188</v>
      </c>
      <c r="AA408" s="27" t="n">
        <v>-48.250165</v>
      </c>
      <c r="AB408" s="37" t="s">
        <v>2338</v>
      </c>
      <c r="AC408" s="27" t="s">
        <v>2339</v>
      </c>
    </row>
    <row r="409" customFormat="false" ht="15" hidden="false" customHeight="false" outlineLevel="0" collapsed="false">
      <c r="A409" s="27" t="n">
        <v>408</v>
      </c>
      <c r="B409" s="27" t="s">
        <v>1464</v>
      </c>
      <c r="C409" s="27" t="s">
        <v>2825</v>
      </c>
      <c r="D409" s="27" t="s">
        <v>1463</v>
      </c>
      <c r="E409" s="27" t="s">
        <v>1465</v>
      </c>
      <c r="F409" s="32" t="n">
        <v>6.64221211535269</v>
      </c>
      <c r="G409" s="28" t="n">
        <v>3907.44787687172</v>
      </c>
      <c r="H409" s="28" t="n">
        <v>3907.44787687172</v>
      </c>
      <c r="I409" s="5" t="s">
        <v>22</v>
      </c>
      <c r="J409" s="27" t="s">
        <v>303</v>
      </c>
      <c r="K409" s="27" t="s">
        <v>461</v>
      </c>
      <c r="L409" s="27" t="n">
        <v>16</v>
      </c>
      <c r="M409" s="27" t="s">
        <v>41</v>
      </c>
      <c r="N409" s="27" t="s">
        <v>2336</v>
      </c>
      <c r="O409" s="27" t="s">
        <v>77</v>
      </c>
      <c r="P409" s="27" t="s">
        <v>54</v>
      </c>
      <c r="Q409" s="27" t="n">
        <v>0</v>
      </c>
      <c r="R409" s="27"/>
      <c r="S409" s="27" t="s">
        <v>41</v>
      </c>
      <c r="T409" s="27"/>
      <c r="U409" s="27"/>
      <c r="V409" s="27"/>
      <c r="W409" s="27"/>
      <c r="X409" s="27"/>
      <c r="Y409" s="27" t="s">
        <v>41</v>
      </c>
      <c r="Z409" s="27" t="n">
        <v>-7.2126315</v>
      </c>
      <c r="AA409" s="27" t="n">
        <v>-48.250068</v>
      </c>
      <c r="AB409" s="37" t="s">
        <v>2338</v>
      </c>
      <c r="AC409" s="27" t="s">
        <v>2339</v>
      </c>
    </row>
    <row r="410" customFormat="false" ht="15" hidden="false" customHeight="false" outlineLevel="0" collapsed="false">
      <c r="A410" s="27" t="n">
        <v>409</v>
      </c>
      <c r="B410" s="27" t="s">
        <v>1466</v>
      </c>
      <c r="C410" s="27" t="s">
        <v>2826</v>
      </c>
      <c r="D410" s="27" t="s">
        <v>1463</v>
      </c>
      <c r="E410" s="27" t="s">
        <v>1467</v>
      </c>
      <c r="F410" s="32" t="n">
        <v>80.9702357458447</v>
      </c>
      <c r="G410" s="28" t="n">
        <v>3981.77590050222</v>
      </c>
      <c r="H410" s="28" t="n">
        <v>3981.77590050222</v>
      </c>
      <c r="I410" s="5" t="s">
        <v>22</v>
      </c>
      <c r="J410" s="27" t="s">
        <v>303</v>
      </c>
      <c r="K410" s="27" t="s">
        <v>461</v>
      </c>
      <c r="L410" s="27" t="n">
        <v>16</v>
      </c>
      <c r="M410" s="27" t="s">
        <v>41</v>
      </c>
      <c r="N410" s="27" t="s">
        <v>2336</v>
      </c>
      <c r="O410" s="27" t="s">
        <v>77</v>
      </c>
      <c r="P410" s="27" t="s">
        <v>2824</v>
      </c>
      <c r="Q410" s="27" t="n">
        <v>2</v>
      </c>
      <c r="R410" s="27"/>
      <c r="S410" s="27" t="s">
        <v>41</v>
      </c>
      <c r="T410" s="27"/>
      <c r="U410" s="27"/>
      <c r="V410" s="27"/>
      <c r="W410" s="27"/>
      <c r="X410" s="27"/>
      <c r="Y410" s="27" t="s">
        <v>41</v>
      </c>
      <c r="Z410" s="27" t="n">
        <v>-7.212279</v>
      </c>
      <c r="AA410" s="27" t="n">
        <v>-48.2499565</v>
      </c>
      <c r="AB410" s="37" t="s">
        <v>2338</v>
      </c>
      <c r="AC410" s="27" t="s">
        <v>2339</v>
      </c>
    </row>
    <row r="411" customFormat="false" ht="15" hidden="false" customHeight="false" outlineLevel="0" collapsed="false">
      <c r="A411" s="27" t="n">
        <v>410</v>
      </c>
      <c r="B411" s="27" t="s">
        <v>1468</v>
      </c>
      <c r="C411" s="27" t="s">
        <v>2827</v>
      </c>
      <c r="D411" s="27" t="s">
        <v>1467</v>
      </c>
      <c r="E411" s="27" t="s">
        <v>1469</v>
      </c>
      <c r="F411" s="32" t="n">
        <v>2.85758551106016</v>
      </c>
      <c r="G411" s="28" t="n">
        <v>3984.63348601328</v>
      </c>
      <c r="H411" s="28" t="n">
        <v>3984.63348601328</v>
      </c>
      <c r="I411" s="5" t="s">
        <v>22</v>
      </c>
      <c r="J411" s="27" t="s">
        <v>303</v>
      </c>
      <c r="K411" s="27" t="s">
        <v>461</v>
      </c>
      <c r="L411" s="27" t="n">
        <v>16</v>
      </c>
      <c r="M411" s="27" t="s">
        <v>41</v>
      </c>
      <c r="N411" s="27" t="s">
        <v>2336</v>
      </c>
      <c r="O411" s="27" t="s">
        <v>77</v>
      </c>
      <c r="P411" s="27" t="s">
        <v>2824</v>
      </c>
      <c r="Q411" s="27" t="n">
        <v>2</v>
      </c>
      <c r="R411" s="27"/>
      <c r="S411" s="27" t="s">
        <v>41</v>
      </c>
      <c r="T411" s="27"/>
      <c r="U411" s="27"/>
      <c r="V411" s="27"/>
      <c r="W411" s="27"/>
      <c r="X411" s="27"/>
      <c r="Y411" s="27" t="s">
        <v>41</v>
      </c>
      <c r="Z411" s="27" t="n">
        <v>-7.2119115</v>
      </c>
      <c r="AA411" s="27" t="n">
        <v>-48.249878</v>
      </c>
      <c r="AB411" s="37" t="s">
        <v>2338</v>
      </c>
      <c r="AC411" s="27" t="s">
        <v>2339</v>
      </c>
    </row>
    <row r="412" customFormat="false" ht="15" hidden="false" customHeight="false" outlineLevel="0" collapsed="false">
      <c r="A412" s="27" t="n">
        <v>411</v>
      </c>
      <c r="B412" s="27" t="s">
        <v>1470</v>
      </c>
      <c r="C412" s="27" t="s">
        <v>2828</v>
      </c>
      <c r="D412" s="27" t="s">
        <v>1469</v>
      </c>
      <c r="E412" s="27" t="s">
        <v>1471</v>
      </c>
      <c r="F412" s="32" t="n">
        <v>8.29191937933122</v>
      </c>
      <c r="G412" s="28" t="n">
        <v>3992.92540539261</v>
      </c>
      <c r="H412" s="28" t="n">
        <v>3992.92540539261</v>
      </c>
      <c r="I412" s="5" t="s">
        <v>22</v>
      </c>
      <c r="J412" s="27" t="s">
        <v>303</v>
      </c>
      <c r="K412" s="27" t="s">
        <v>461</v>
      </c>
      <c r="L412" s="27" t="n">
        <v>16</v>
      </c>
      <c r="M412" s="27" t="s">
        <v>41</v>
      </c>
      <c r="N412" s="27" t="s">
        <v>2336</v>
      </c>
      <c r="O412" s="27" t="s">
        <v>77</v>
      </c>
      <c r="P412" s="27" t="s">
        <v>2824</v>
      </c>
      <c r="Q412" s="27" t="n">
        <v>2</v>
      </c>
      <c r="R412" s="27"/>
      <c r="S412" s="27" t="s">
        <v>41</v>
      </c>
      <c r="T412" s="27"/>
      <c r="U412" s="27"/>
      <c r="V412" s="27"/>
      <c r="W412" s="27"/>
      <c r="X412" s="27"/>
      <c r="Y412" s="27" t="s">
        <v>41</v>
      </c>
      <c r="Z412" s="27" t="n">
        <v>-7.2118655</v>
      </c>
      <c r="AA412" s="27" t="n">
        <v>-48.2498975</v>
      </c>
      <c r="AB412" s="37" t="s">
        <v>2338</v>
      </c>
      <c r="AC412" s="27" t="s">
        <v>2339</v>
      </c>
    </row>
    <row r="413" customFormat="false" ht="15" hidden="false" customHeight="false" outlineLevel="0" collapsed="false">
      <c r="A413" s="27" t="n">
        <v>412</v>
      </c>
      <c r="B413" s="27" t="s">
        <v>1472</v>
      </c>
      <c r="C413" s="27" t="s">
        <v>2829</v>
      </c>
      <c r="D413" s="27" t="s">
        <v>1471</v>
      </c>
      <c r="E413" s="27" t="s">
        <v>1473</v>
      </c>
      <c r="F413" s="32" t="n">
        <v>8.09381544159652</v>
      </c>
      <c r="G413" s="28" t="n">
        <v>4001.0192208342</v>
      </c>
      <c r="H413" s="28" t="n">
        <v>4001.0192208342</v>
      </c>
      <c r="I413" s="5" t="s">
        <v>22</v>
      </c>
      <c r="J413" s="27" t="s">
        <v>303</v>
      </c>
      <c r="K413" s="27" t="s">
        <v>461</v>
      </c>
      <c r="L413" s="27" t="n">
        <v>16</v>
      </c>
      <c r="M413" s="27" t="s">
        <v>41</v>
      </c>
      <c r="N413" s="27" t="s">
        <v>2336</v>
      </c>
      <c r="O413" s="27" t="s">
        <v>77</v>
      </c>
      <c r="P413" s="27" t="s">
        <v>2824</v>
      </c>
      <c r="Q413" s="27" t="n">
        <v>2</v>
      </c>
      <c r="R413" s="27"/>
      <c r="S413" s="27" t="s">
        <v>41</v>
      </c>
      <c r="T413" s="27"/>
      <c r="U413" s="27"/>
      <c r="V413" s="27"/>
      <c r="W413" s="27"/>
      <c r="X413" s="27"/>
      <c r="Y413" s="27" t="s">
        <v>41</v>
      </c>
      <c r="Z413" s="27" t="n">
        <v>-7.211825</v>
      </c>
      <c r="AA413" s="27" t="n">
        <v>-48.24995</v>
      </c>
      <c r="AB413" s="37" t="s">
        <v>2338</v>
      </c>
      <c r="AC413" s="27" t="s">
        <v>2339</v>
      </c>
    </row>
    <row r="414" customFormat="false" ht="15" hidden="false" customHeight="false" outlineLevel="0" collapsed="false">
      <c r="A414" s="27" t="n">
        <v>413</v>
      </c>
      <c r="B414" s="27" t="s">
        <v>1474</v>
      </c>
      <c r="C414" s="27" t="s">
        <v>2830</v>
      </c>
      <c r="D414" s="27" t="s">
        <v>1461</v>
      </c>
      <c r="E414" s="27" t="s">
        <v>1475</v>
      </c>
      <c r="F414" s="32" t="n">
        <v>107.412096160194</v>
      </c>
      <c r="G414" s="28" t="n">
        <v>3881.86769141763</v>
      </c>
      <c r="H414" s="28" t="n">
        <v>3881.86769141763</v>
      </c>
      <c r="I414" s="5" t="s">
        <v>22</v>
      </c>
      <c r="J414" s="27" t="s">
        <v>303</v>
      </c>
      <c r="K414" s="27" t="s">
        <v>461</v>
      </c>
      <c r="L414" s="27" t="n">
        <v>16</v>
      </c>
      <c r="M414" s="27" t="s">
        <v>41</v>
      </c>
      <c r="N414" s="27" t="s">
        <v>2336</v>
      </c>
      <c r="O414" s="27" t="s">
        <v>77</v>
      </c>
      <c r="P414" s="27" t="s">
        <v>141</v>
      </c>
      <c r="Q414" s="27" t="n">
        <v>1</v>
      </c>
      <c r="R414" s="27"/>
      <c r="S414" s="27" t="s">
        <v>41</v>
      </c>
      <c r="T414" s="27"/>
      <c r="U414" s="27"/>
      <c r="V414" s="27"/>
      <c r="W414" s="27"/>
      <c r="X414" s="27"/>
      <c r="Y414" s="27" t="s">
        <v>41</v>
      </c>
      <c r="Z414" s="27" t="n">
        <v>-7.2142125</v>
      </c>
      <c r="AA414" s="27" t="n">
        <v>-48.250402</v>
      </c>
      <c r="AB414" s="37" t="s">
        <v>2338</v>
      </c>
      <c r="AC414" s="27" t="s">
        <v>2339</v>
      </c>
    </row>
    <row r="415" customFormat="false" ht="15" hidden="false" customHeight="false" outlineLevel="0" collapsed="false">
      <c r="A415" s="27" t="n">
        <v>414</v>
      </c>
      <c r="B415" s="27" t="s">
        <v>1476</v>
      </c>
      <c r="C415" s="27" t="s">
        <v>2831</v>
      </c>
      <c r="D415" s="27" t="s">
        <v>1475</v>
      </c>
      <c r="E415" s="27" t="s">
        <v>1477</v>
      </c>
      <c r="F415" s="32" t="n">
        <v>44.642983423875</v>
      </c>
      <c r="G415" s="28" t="n">
        <v>3926.5106748415</v>
      </c>
      <c r="H415" s="28" t="n">
        <v>3926.5106748415</v>
      </c>
      <c r="I415" s="5" t="s">
        <v>22</v>
      </c>
      <c r="J415" s="27" t="s">
        <v>303</v>
      </c>
      <c r="K415" s="27" t="s">
        <v>461</v>
      </c>
      <c r="L415" s="27" t="n">
        <v>16</v>
      </c>
      <c r="M415" s="27" t="s">
        <v>41</v>
      </c>
      <c r="N415" s="27" t="s">
        <v>2336</v>
      </c>
      <c r="O415" s="27" t="s">
        <v>77</v>
      </c>
      <c r="P415" s="27" t="s">
        <v>54</v>
      </c>
      <c r="Q415" s="27" t="n">
        <v>0</v>
      </c>
      <c r="R415" s="27"/>
      <c r="S415" s="27" t="s">
        <v>41</v>
      </c>
      <c r="T415" s="27"/>
      <c r="U415" s="27"/>
      <c r="V415" s="27"/>
      <c r="W415" s="27"/>
      <c r="X415" s="27"/>
      <c r="Y415" s="27" t="s">
        <v>41</v>
      </c>
      <c r="Z415" s="27" t="n">
        <v>-7.214877</v>
      </c>
      <c r="AA415" s="27" t="n">
        <v>-48.250564</v>
      </c>
      <c r="AB415" s="37" t="s">
        <v>2338</v>
      </c>
      <c r="AC415" s="27" t="s">
        <v>2339</v>
      </c>
    </row>
    <row r="416" customFormat="false" ht="15" hidden="false" customHeight="false" outlineLevel="0" collapsed="false">
      <c r="A416" s="27" t="n">
        <v>415</v>
      </c>
      <c r="B416" s="27" t="s">
        <v>1478</v>
      </c>
      <c r="C416" s="27" t="s">
        <v>2832</v>
      </c>
      <c r="D416" s="27" t="s">
        <v>1475</v>
      </c>
      <c r="E416" s="27" t="s">
        <v>1479</v>
      </c>
      <c r="F416" s="32" t="n">
        <v>1.93380492819145</v>
      </c>
      <c r="G416" s="28" t="n">
        <v>3883.80149634582</v>
      </c>
      <c r="H416" s="28" t="n">
        <v>3883.80149634582</v>
      </c>
      <c r="I416" s="5" t="s">
        <v>22</v>
      </c>
      <c r="J416" s="27" t="s">
        <v>303</v>
      </c>
      <c r="K416" s="27" t="s">
        <v>461</v>
      </c>
      <c r="L416" s="27" t="n">
        <v>16</v>
      </c>
      <c r="M416" s="27" t="s">
        <v>41</v>
      </c>
      <c r="N416" s="27" t="s">
        <v>2336</v>
      </c>
      <c r="O416" s="27" t="s">
        <v>77</v>
      </c>
      <c r="P416" s="27" t="s">
        <v>141</v>
      </c>
      <c r="Q416" s="27" t="n">
        <v>1</v>
      </c>
      <c r="R416" s="27"/>
      <c r="S416" s="27" t="s">
        <v>41</v>
      </c>
      <c r="T416" s="27"/>
      <c r="U416" s="27"/>
      <c r="V416" s="27"/>
      <c r="W416" s="27"/>
      <c r="X416" s="27"/>
      <c r="Y416" s="27" t="s">
        <v>41</v>
      </c>
      <c r="Z416" s="27" t="n">
        <v>-7.2146875</v>
      </c>
      <c r="AA416" s="27" t="n">
        <v>-48.2505045</v>
      </c>
      <c r="AB416" s="37" t="s">
        <v>2338</v>
      </c>
      <c r="AC416" s="27" t="s">
        <v>2339</v>
      </c>
    </row>
    <row r="417" customFormat="false" ht="15" hidden="false" customHeight="false" outlineLevel="0" collapsed="false">
      <c r="A417" s="27" t="n">
        <v>416</v>
      </c>
      <c r="B417" s="27" t="s">
        <v>1480</v>
      </c>
      <c r="C417" s="27" t="s">
        <v>2833</v>
      </c>
      <c r="D417" s="27" t="s">
        <v>1449</v>
      </c>
      <c r="E417" s="27" t="s">
        <v>1481</v>
      </c>
      <c r="F417" s="32" t="n">
        <v>82.2661604856072</v>
      </c>
      <c r="G417" s="28" t="n">
        <v>3503.47870631107</v>
      </c>
      <c r="H417" s="28" t="n">
        <v>3503.47870631107</v>
      </c>
      <c r="I417" s="5" t="s">
        <v>22</v>
      </c>
      <c r="J417" s="27" t="s">
        <v>303</v>
      </c>
      <c r="K417" s="27" t="s">
        <v>461</v>
      </c>
      <c r="L417" s="27" t="n">
        <v>16</v>
      </c>
      <c r="M417" s="27" t="s">
        <v>41</v>
      </c>
      <c r="N417" s="27" t="s">
        <v>2336</v>
      </c>
      <c r="O417" s="27" t="s">
        <v>77</v>
      </c>
      <c r="P417" s="27" t="s">
        <v>143</v>
      </c>
      <c r="Q417" s="27" t="n">
        <v>1</v>
      </c>
      <c r="R417" s="27"/>
      <c r="S417" s="27" t="s">
        <v>41</v>
      </c>
      <c r="T417" s="27"/>
      <c r="U417" s="27"/>
      <c r="V417" s="27"/>
      <c r="W417" s="27"/>
      <c r="X417" s="27"/>
      <c r="Y417" s="27" t="s">
        <v>41</v>
      </c>
      <c r="Z417" s="27" t="n">
        <v>-7.2162945</v>
      </c>
      <c r="AA417" s="27" t="n">
        <v>-48.2518005</v>
      </c>
      <c r="AB417" s="37" t="s">
        <v>2338</v>
      </c>
      <c r="AC417" s="27" t="s">
        <v>2339</v>
      </c>
    </row>
    <row r="418" customFormat="false" ht="15" hidden="false" customHeight="false" outlineLevel="0" collapsed="false">
      <c r="A418" s="27" t="n">
        <v>417</v>
      </c>
      <c r="B418" s="27" t="s">
        <v>1482</v>
      </c>
      <c r="C418" s="27" t="s">
        <v>2834</v>
      </c>
      <c r="D418" s="27" t="s">
        <v>1481</v>
      </c>
      <c r="E418" s="27" t="s">
        <v>1483</v>
      </c>
      <c r="F418" s="32" t="n">
        <v>47.649472272511</v>
      </c>
      <c r="G418" s="28" t="n">
        <v>3551.12817858358</v>
      </c>
      <c r="H418" s="28" t="n">
        <v>3551.12817858358</v>
      </c>
      <c r="I418" s="5" t="s">
        <v>22</v>
      </c>
      <c r="J418" s="27" t="s">
        <v>303</v>
      </c>
      <c r="K418" s="27" t="s">
        <v>461</v>
      </c>
      <c r="L418" s="27" t="n">
        <v>16</v>
      </c>
      <c r="M418" s="27" t="s">
        <v>41</v>
      </c>
      <c r="N418" s="27" t="s">
        <v>2336</v>
      </c>
      <c r="O418" s="27" t="s">
        <v>77</v>
      </c>
      <c r="P418" s="27" t="s">
        <v>143</v>
      </c>
      <c r="Q418" s="27" t="n">
        <v>1</v>
      </c>
      <c r="R418" s="27"/>
      <c r="S418" s="27" t="s">
        <v>41</v>
      </c>
      <c r="T418" s="27"/>
      <c r="U418" s="27"/>
      <c r="V418" s="27"/>
      <c r="W418" s="27"/>
      <c r="X418" s="27"/>
      <c r="Y418" s="27" t="s">
        <v>41</v>
      </c>
      <c r="Z418" s="27" t="n">
        <v>-7.216146</v>
      </c>
      <c r="AA418" s="27" t="n">
        <v>-48.25237</v>
      </c>
      <c r="AB418" s="37" t="s">
        <v>2338</v>
      </c>
      <c r="AC418" s="27" t="s">
        <v>2339</v>
      </c>
    </row>
    <row r="419" customFormat="false" ht="15" hidden="false" customHeight="false" outlineLevel="0" collapsed="false">
      <c r="A419" s="27" t="n">
        <v>418</v>
      </c>
      <c r="B419" s="27" t="s">
        <v>1484</v>
      </c>
      <c r="C419" s="27" t="s">
        <v>2835</v>
      </c>
      <c r="D419" s="27" t="s">
        <v>1483</v>
      </c>
      <c r="E419" s="27" t="s">
        <v>1485</v>
      </c>
      <c r="F419" s="32" t="n">
        <v>4.30974099426959</v>
      </c>
      <c r="G419" s="28" t="n">
        <v>3555.43791957785</v>
      </c>
      <c r="H419" s="28" t="n">
        <v>3555.43791957785</v>
      </c>
      <c r="I419" s="5" t="s">
        <v>22</v>
      </c>
      <c r="J419" s="27" t="s">
        <v>303</v>
      </c>
      <c r="K419" s="27" t="s">
        <v>461</v>
      </c>
      <c r="L419" s="27" t="n">
        <v>16</v>
      </c>
      <c r="M419" s="27" t="s">
        <v>41</v>
      </c>
      <c r="N419" s="27" t="s">
        <v>2336</v>
      </c>
      <c r="O419" s="27" t="s">
        <v>77</v>
      </c>
      <c r="P419" s="27" t="s">
        <v>143</v>
      </c>
      <c r="Q419" s="27" t="n">
        <v>1</v>
      </c>
      <c r="R419" s="27" t="s">
        <v>1486</v>
      </c>
      <c r="S419" s="27" t="s">
        <v>41</v>
      </c>
      <c r="T419" s="27"/>
      <c r="U419" s="27"/>
      <c r="V419" s="27"/>
      <c r="W419" s="27"/>
      <c r="X419" s="27"/>
      <c r="Y419" s="27" t="s">
        <v>41</v>
      </c>
      <c r="Z419" s="27" t="n">
        <v>-7.2160965</v>
      </c>
      <c r="AA419" s="27" t="n">
        <v>-48.25256</v>
      </c>
      <c r="AB419" s="37" t="s">
        <v>2338</v>
      </c>
      <c r="AC419" s="27" t="s">
        <v>2339</v>
      </c>
    </row>
    <row r="420" customFormat="false" ht="15" hidden="false" customHeight="false" outlineLevel="0" collapsed="false">
      <c r="A420" s="27" t="n">
        <v>419</v>
      </c>
      <c r="B420" s="27" t="s">
        <v>1487</v>
      </c>
      <c r="C420" s="27" t="s">
        <v>2836</v>
      </c>
      <c r="D420" s="27" t="s">
        <v>1485</v>
      </c>
      <c r="E420" s="27" t="s">
        <v>1488</v>
      </c>
      <c r="F420" s="32" t="n">
        <v>77.9292998201833</v>
      </c>
      <c r="G420" s="28" t="n">
        <v>3633.36721939803</v>
      </c>
      <c r="H420" s="28" t="n">
        <v>3633.36721939803</v>
      </c>
      <c r="I420" s="5" t="s">
        <v>22</v>
      </c>
      <c r="J420" s="27" t="s">
        <v>303</v>
      </c>
      <c r="K420" s="27" t="s">
        <v>461</v>
      </c>
      <c r="L420" s="27" t="n">
        <v>16</v>
      </c>
      <c r="M420" s="27" t="s">
        <v>41</v>
      </c>
      <c r="N420" s="27" t="s">
        <v>2336</v>
      </c>
      <c r="O420" s="27" t="s">
        <v>77</v>
      </c>
      <c r="P420" s="27" t="s">
        <v>143</v>
      </c>
      <c r="Q420" s="27" t="n">
        <v>1</v>
      </c>
      <c r="R420" s="27"/>
      <c r="S420" s="27" t="s">
        <v>41</v>
      </c>
      <c r="T420" s="27"/>
      <c r="U420" s="27"/>
      <c r="V420" s="27"/>
      <c r="W420" s="27"/>
      <c r="X420" s="27"/>
      <c r="Y420" s="27" t="s">
        <v>41</v>
      </c>
      <c r="Z420" s="27" t="n">
        <v>-7.2160115</v>
      </c>
      <c r="AA420" s="27" t="n">
        <v>-48.2528825</v>
      </c>
      <c r="AB420" s="37" t="s">
        <v>2338</v>
      </c>
      <c r="AC420" s="27" t="s">
        <v>2339</v>
      </c>
    </row>
    <row r="421" customFormat="false" ht="15" hidden="false" customHeight="false" outlineLevel="0" collapsed="false">
      <c r="A421" s="27" t="n">
        <v>420</v>
      </c>
      <c r="B421" s="27" t="s">
        <v>1489</v>
      </c>
      <c r="C421" s="27" t="s">
        <v>2837</v>
      </c>
      <c r="D421" s="27" t="s">
        <v>1488</v>
      </c>
      <c r="E421" s="27" t="s">
        <v>1490</v>
      </c>
      <c r="F421" s="32" t="n">
        <v>35.7405302396491</v>
      </c>
      <c r="G421" s="28" t="n">
        <v>3669.10774963768</v>
      </c>
      <c r="H421" s="28" t="n">
        <v>3669.10774963768</v>
      </c>
      <c r="I421" s="5" t="s">
        <v>22</v>
      </c>
      <c r="J421" s="27" t="s">
        <v>303</v>
      </c>
      <c r="K421" s="27" t="s">
        <v>461</v>
      </c>
      <c r="L421" s="27" t="n">
        <v>16</v>
      </c>
      <c r="M421" s="27" t="s">
        <v>41</v>
      </c>
      <c r="N421" s="27" t="s">
        <v>2336</v>
      </c>
      <c r="O421" s="27" t="s">
        <v>77</v>
      </c>
      <c r="P421" s="27" t="s">
        <v>143</v>
      </c>
      <c r="Q421" s="27" t="n">
        <v>1</v>
      </c>
      <c r="R421" s="27"/>
      <c r="S421" s="27" t="s">
        <v>41</v>
      </c>
      <c r="T421" s="27"/>
      <c r="U421" s="27"/>
      <c r="V421" s="27"/>
      <c r="W421" s="27"/>
      <c r="X421" s="27"/>
      <c r="Y421" s="27" t="s">
        <v>41</v>
      </c>
      <c r="Z421" s="27" t="n">
        <v>-7.2158805</v>
      </c>
      <c r="AA421" s="27" t="n">
        <v>-48.2533805</v>
      </c>
      <c r="AB421" s="37" t="s">
        <v>2338</v>
      </c>
      <c r="AC421" s="27" t="s">
        <v>2339</v>
      </c>
    </row>
    <row r="422" customFormat="false" ht="15" hidden="false" customHeight="false" outlineLevel="0" collapsed="false">
      <c r="A422" s="27" t="n">
        <v>421</v>
      </c>
      <c r="B422" s="27" t="s">
        <v>1491</v>
      </c>
      <c r="C422" s="27" t="s">
        <v>2838</v>
      </c>
      <c r="D422" s="27" t="s">
        <v>1490</v>
      </c>
      <c r="E422" s="27" t="s">
        <v>1492</v>
      </c>
      <c r="F422" s="32" t="n">
        <v>23.0229873776853</v>
      </c>
      <c r="G422" s="28" t="n">
        <v>3692.13073701537</v>
      </c>
      <c r="H422" s="28" t="n">
        <v>3692.13073701537</v>
      </c>
      <c r="I422" s="5" t="s">
        <v>22</v>
      </c>
      <c r="J422" s="27" t="s">
        <v>303</v>
      </c>
      <c r="K422" s="27" t="s">
        <v>461</v>
      </c>
      <c r="L422" s="27" t="n">
        <v>16</v>
      </c>
      <c r="M422" s="27" t="s">
        <v>41</v>
      </c>
      <c r="N422" s="27" t="s">
        <v>2336</v>
      </c>
      <c r="O422" s="27" t="s">
        <v>77</v>
      </c>
      <c r="P422" s="27" t="s">
        <v>54</v>
      </c>
      <c r="Q422" s="27" t="n">
        <v>0</v>
      </c>
      <c r="R422" s="27"/>
      <c r="S422" s="27" t="s">
        <v>41</v>
      </c>
      <c r="T422" s="27"/>
      <c r="U422" s="27"/>
      <c r="V422" s="27"/>
      <c r="W422" s="27"/>
      <c r="X422" s="27"/>
      <c r="Y422" s="27" t="s">
        <v>41</v>
      </c>
      <c r="Z422" s="27" t="n">
        <v>-7.215939</v>
      </c>
      <c r="AA422" s="27" t="n">
        <v>-48.253564</v>
      </c>
      <c r="AB422" s="37" t="s">
        <v>2338</v>
      </c>
      <c r="AC422" s="27" t="s">
        <v>2339</v>
      </c>
    </row>
    <row r="423" customFormat="false" ht="15" hidden="false" customHeight="false" outlineLevel="0" collapsed="false">
      <c r="A423" s="27" t="n">
        <v>422</v>
      </c>
      <c r="B423" s="27" t="s">
        <v>1493</v>
      </c>
      <c r="C423" s="27" t="s">
        <v>2839</v>
      </c>
      <c r="D423" s="27" t="s">
        <v>1490</v>
      </c>
      <c r="E423" s="27" t="s">
        <v>1494</v>
      </c>
      <c r="F423" s="32" t="n">
        <v>166.110750306774</v>
      </c>
      <c r="G423" s="28" t="n">
        <v>3835.21849994446</v>
      </c>
      <c r="H423" s="28" t="n">
        <v>3835.21849994446</v>
      </c>
      <c r="I423" s="5" t="s">
        <v>22</v>
      </c>
      <c r="J423" s="27" t="s">
        <v>303</v>
      </c>
      <c r="K423" s="27" t="s">
        <v>461</v>
      </c>
      <c r="L423" s="27" t="n">
        <v>16</v>
      </c>
      <c r="M423" s="27" t="s">
        <v>41</v>
      </c>
      <c r="N423" s="27" t="s">
        <v>2336</v>
      </c>
      <c r="O423" s="27" t="s">
        <v>77</v>
      </c>
      <c r="P423" s="27" t="s">
        <v>54</v>
      </c>
      <c r="Q423" s="27" t="n">
        <v>0</v>
      </c>
      <c r="R423" s="27"/>
      <c r="S423" s="27" t="s">
        <v>41</v>
      </c>
      <c r="T423" s="27"/>
      <c r="U423" s="27"/>
      <c r="V423" s="27"/>
      <c r="W423" s="27"/>
      <c r="X423" s="27"/>
      <c r="Y423" s="27" t="s">
        <v>41</v>
      </c>
      <c r="Z423" s="27" t="n">
        <v>-7.2151165</v>
      </c>
      <c r="AA423" s="27" t="n">
        <v>-48.253346</v>
      </c>
      <c r="AB423" s="37" t="s">
        <v>2338</v>
      </c>
      <c r="AC423" s="27" t="s">
        <v>2339</v>
      </c>
    </row>
    <row r="424" customFormat="false" ht="15" hidden="false" customHeight="false" outlineLevel="0" collapsed="false">
      <c r="A424" s="27" t="n">
        <v>423</v>
      </c>
      <c r="B424" s="27" t="s">
        <v>1495</v>
      </c>
      <c r="C424" s="27" t="s">
        <v>2840</v>
      </c>
      <c r="D424" s="27" t="s">
        <v>1494</v>
      </c>
      <c r="E424" s="27" t="s">
        <v>1496</v>
      </c>
      <c r="F424" s="32" t="n">
        <v>20.3813550481934</v>
      </c>
      <c r="G424" s="28" t="n">
        <v>3855.59985499265</v>
      </c>
      <c r="H424" s="28" t="n">
        <v>3855.59985499265</v>
      </c>
      <c r="I424" s="5" t="s">
        <v>22</v>
      </c>
      <c r="J424" s="27" t="s">
        <v>303</v>
      </c>
      <c r="K424" s="27" t="s">
        <v>461</v>
      </c>
      <c r="L424" s="27" t="n">
        <v>16</v>
      </c>
      <c r="M424" s="27" t="s">
        <v>41</v>
      </c>
      <c r="N424" s="27" t="s">
        <v>2336</v>
      </c>
      <c r="O424" s="27" t="s">
        <v>77</v>
      </c>
      <c r="P424" s="27" t="s">
        <v>54</v>
      </c>
      <c r="Q424" s="27" t="n">
        <v>0</v>
      </c>
      <c r="R424" s="27"/>
      <c r="S424" s="27" t="s">
        <v>41</v>
      </c>
      <c r="T424" s="27"/>
      <c r="U424" s="27"/>
      <c r="V424" s="27"/>
      <c r="W424" s="27"/>
      <c r="X424" s="27"/>
      <c r="Y424" s="27" t="s">
        <v>41</v>
      </c>
      <c r="Z424" s="27" t="n">
        <v>-7.2143055</v>
      </c>
      <c r="AA424" s="27" t="n">
        <v>-48.253131</v>
      </c>
      <c r="AB424" s="37" t="s">
        <v>2338</v>
      </c>
      <c r="AC424" s="27" t="s">
        <v>2339</v>
      </c>
    </row>
    <row r="425" customFormat="false" ht="15" hidden="false" customHeight="false" outlineLevel="0" collapsed="false">
      <c r="A425" s="27" t="n">
        <v>424</v>
      </c>
      <c r="B425" s="27" t="s">
        <v>1497</v>
      </c>
      <c r="C425" s="27" t="s">
        <v>2841</v>
      </c>
      <c r="D425" s="27" t="s">
        <v>1494</v>
      </c>
      <c r="E425" s="27" t="s">
        <v>1498</v>
      </c>
      <c r="F425" s="32" t="n">
        <v>11.4624070219088</v>
      </c>
      <c r="G425" s="28" t="n">
        <v>3846.68090696637</v>
      </c>
      <c r="H425" s="28" t="n">
        <v>3846.68090696637</v>
      </c>
      <c r="I425" s="5" t="s">
        <v>22</v>
      </c>
      <c r="J425" s="27" t="s">
        <v>303</v>
      </c>
      <c r="K425" s="27" t="s">
        <v>461</v>
      </c>
      <c r="L425" s="27" t="n">
        <v>16</v>
      </c>
      <c r="M425" s="27" t="s">
        <v>41</v>
      </c>
      <c r="N425" s="27" t="s">
        <v>2336</v>
      </c>
      <c r="O425" s="27" t="s">
        <v>77</v>
      </c>
      <c r="P425" s="27" t="s">
        <v>54</v>
      </c>
      <c r="Q425" s="27" t="n">
        <v>0</v>
      </c>
      <c r="R425" s="27"/>
      <c r="S425" s="27" t="s">
        <v>41</v>
      </c>
      <c r="T425" s="27"/>
      <c r="U425" s="27"/>
      <c r="V425" s="27"/>
      <c r="W425" s="27"/>
      <c r="X425" s="27"/>
      <c r="Y425" s="27" t="s">
        <v>41</v>
      </c>
      <c r="Z425" s="27" t="n">
        <v>-7.21438</v>
      </c>
      <c r="AA425" s="27" t="n">
        <v>-48.253205</v>
      </c>
      <c r="AB425" s="37" t="s">
        <v>2338</v>
      </c>
      <c r="AC425" s="27" t="s">
        <v>2339</v>
      </c>
    </row>
    <row r="426" customFormat="false" ht="15" hidden="false" customHeight="false" outlineLevel="0" collapsed="false">
      <c r="A426" s="27" t="n">
        <v>425</v>
      </c>
      <c r="B426" s="27" t="s">
        <v>1499</v>
      </c>
      <c r="C426" s="27" t="s">
        <v>2842</v>
      </c>
      <c r="D426" s="27" t="s">
        <v>1498</v>
      </c>
      <c r="E426" s="27" t="s">
        <v>1500</v>
      </c>
      <c r="F426" s="32" t="n">
        <v>34.1625646534796</v>
      </c>
      <c r="G426" s="28" t="n">
        <v>3880.84347161984</v>
      </c>
      <c r="H426" s="28" t="n">
        <v>3880.84347161984</v>
      </c>
      <c r="I426" s="5" t="s">
        <v>22</v>
      </c>
      <c r="J426" s="27" t="s">
        <v>303</v>
      </c>
      <c r="K426" s="27" t="s">
        <v>461</v>
      </c>
      <c r="L426" s="27" t="n">
        <v>16</v>
      </c>
      <c r="M426" s="27" t="s">
        <v>41</v>
      </c>
      <c r="N426" s="27" t="s">
        <v>2336</v>
      </c>
      <c r="O426" s="27" t="s">
        <v>77</v>
      </c>
      <c r="P426" s="27" t="s">
        <v>54</v>
      </c>
      <c r="Q426" s="27" t="n">
        <v>0</v>
      </c>
      <c r="R426" s="27"/>
      <c r="S426" s="27" t="s">
        <v>41</v>
      </c>
      <c r="T426" s="27"/>
      <c r="U426" s="27"/>
      <c r="V426" s="27"/>
      <c r="W426" s="27"/>
      <c r="X426" s="27"/>
      <c r="Y426" s="27" t="s">
        <v>41</v>
      </c>
      <c r="Z426" s="27" t="n">
        <v>-7.214326</v>
      </c>
      <c r="AA426" s="27" t="n">
        <v>-48.2534045</v>
      </c>
      <c r="AB426" s="37" t="s">
        <v>2338</v>
      </c>
      <c r="AC426" s="27" t="s">
        <v>2339</v>
      </c>
    </row>
    <row r="427" customFormat="false" ht="15" hidden="false" customHeight="false" outlineLevel="0" collapsed="false">
      <c r="A427" s="27" t="n">
        <v>426</v>
      </c>
      <c r="B427" s="27" t="s">
        <v>1501</v>
      </c>
      <c r="C427" s="27" t="s">
        <v>2843</v>
      </c>
      <c r="D427" s="27" t="s">
        <v>1494</v>
      </c>
      <c r="E427" s="27" t="s">
        <v>1502</v>
      </c>
      <c r="F427" s="32" t="n">
        <v>17.6401212623621</v>
      </c>
      <c r="G427" s="28" t="n">
        <v>3852.85862120682</v>
      </c>
      <c r="H427" s="28" t="n">
        <v>3852.85862120682</v>
      </c>
      <c r="I427" s="5" t="s">
        <v>22</v>
      </c>
      <c r="J427" s="27" t="s">
        <v>303</v>
      </c>
      <c r="K427" s="27" t="s">
        <v>461</v>
      </c>
      <c r="L427" s="27" t="n">
        <v>16</v>
      </c>
      <c r="M427" s="27" t="s">
        <v>41</v>
      </c>
      <c r="N427" s="27" t="s">
        <v>2336</v>
      </c>
      <c r="O427" s="27" t="s">
        <v>77</v>
      </c>
      <c r="P427" s="27" t="s">
        <v>54</v>
      </c>
      <c r="Q427" s="27" t="n">
        <v>0</v>
      </c>
      <c r="R427" s="27"/>
      <c r="S427" s="27" t="s">
        <v>41</v>
      </c>
      <c r="T427" s="27"/>
      <c r="U427" s="27"/>
      <c r="V427" s="27"/>
      <c r="W427" s="27"/>
      <c r="X427" s="27"/>
      <c r="Y427" s="27" t="s">
        <v>41</v>
      </c>
      <c r="Z427" s="27" t="n">
        <v>-7.2144135</v>
      </c>
      <c r="AA427" s="27" t="n">
        <v>-48.2530775</v>
      </c>
      <c r="AB427" s="37" t="s">
        <v>2338</v>
      </c>
      <c r="AC427" s="27" t="s">
        <v>2339</v>
      </c>
    </row>
    <row r="428" customFormat="false" ht="15" hidden="false" customHeight="false" outlineLevel="0" collapsed="false">
      <c r="A428" s="27" t="n">
        <v>427</v>
      </c>
      <c r="B428" s="27" t="s">
        <v>1503</v>
      </c>
      <c r="C428" s="27" t="s">
        <v>2844</v>
      </c>
      <c r="D428" s="27" t="s">
        <v>1490</v>
      </c>
      <c r="E428" s="27" t="s">
        <v>1504</v>
      </c>
      <c r="F428" s="32" t="n">
        <v>85.4231233694765</v>
      </c>
      <c r="G428" s="28" t="n">
        <v>3754.53087300716</v>
      </c>
      <c r="H428" s="28" t="n">
        <v>3754.53087300716</v>
      </c>
      <c r="I428" s="5" t="s">
        <v>22</v>
      </c>
      <c r="J428" s="27" t="s">
        <v>303</v>
      </c>
      <c r="K428" s="27" t="s">
        <v>461</v>
      </c>
      <c r="L428" s="27" t="n">
        <v>16</v>
      </c>
      <c r="M428" s="27" t="s">
        <v>41</v>
      </c>
      <c r="N428" s="27" t="s">
        <v>2336</v>
      </c>
      <c r="O428" s="27" t="s">
        <v>77</v>
      </c>
      <c r="P428" s="27" t="s">
        <v>143</v>
      </c>
      <c r="Q428" s="27" t="n">
        <v>1</v>
      </c>
      <c r="R428" s="27"/>
      <c r="S428" s="27" t="s">
        <v>41</v>
      </c>
      <c r="T428" s="27"/>
      <c r="U428" s="27"/>
      <c r="V428" s="27"/>
      <c r="W428" s="27"/>
      <c r="X428" s="27"/>
      <c r="Y428" s="27" t="s">
        <v>41</v>
      </c>
      <c r="Z428" s="27" t="n">
        <v>-7.2157415</v>
      </c>
      <c r="AA428" s="27" t="n">
        <v>-48.2539115</v>
      </c>
      <c r="AB428" s="37" t="s">
        <v>2338</v>
      </c>
      <c r="AC428" s="27" t="s">
        <v>2339</v>
      </c>
    </row>
    <row r="429" customFormat="false" ht="15" hidden="false" customHeight="false" outlineLevel="0" collapsed="false">
      <c r="A429" s="27" t="n">
        <v>428</v>
      </c>
      <c r="B429" s="27" t="s">
        <v>1505</v>
      </c>
      <c r="C429" s="27" t="s">
        <v>2845</v>
      </c>
      <c r="D429" s="27" t="s">
        <v>1504</v>
      </c>
      <c r="E429" s="27" t="s">
        <v>1506</v>
      </c>
      <c r="F429" s="32" t="n">
        <v>85.0248604600912</v>
      </c>
      <c r="G429" s="28" t="n">
        <v>3839.55573346725</v>
      </c>
      <c r="H429" s="28" t="n">
        <v>3839.55573346725</v>
      </c>
      <c r="I429" s="5" t="s">
        <v>22</v>
      </c>
      <c r="J429" s="27" t="s">
        <v>303</v>
      </c>
      <c r="K429" s="27" t="s">
        <v>461</v>
      </c>
      <c r="L429" s="27" t="n">
        <v>16</v>
      </c>
      <c r="M429" s="27" t="s">
        <v>41</v>
      </c>
      <c r="N429" s="27" t="s">
        <v>2336</v>
      </c>
      <c r="O429" s="27" t="s">
        <v>77</v>
      </c>
      <c r="P429" s="27" t="s">
        <v>143</v>
      </c>
      <c r="Q429" s="27" t="n">
        <v>1</v>
      </c>
      <c r="R429" s="27"/>
      <c r="S429" s="27" t="s">
        <v>41</v>
      </c>
      <c r="T429" s="27"/>
      <c r="U429" s="27"/>
      <c r="V429" s="27"/>
      <c r="W429" s="27"/>
      <c r="X429" s="27"/>
      <c r="Y429" s="27" t="s">
        <v>41</v>
      </c>
      <c r="Z429" s="27" t="n">
        <v>-7.215546</v>
      </c>
      <c r="AA429" s="27" t="n">
        <v>-48.2546585</v>
      </c>
      <c r="AB429" s="37" t="s">
        <v>2338</v>
      </c>
      <c r="AC429" s="27" t="s">
        <v>2339</v>
      </c>
    </row>
    <row r="430" customFormat="false" ht="15" hidden="false" customHeight="false" outlineLevel="0" collapsed="false">
      <c r="A430" s="27" t="n">
        <v>429</v>
      </c>
      <c r="B430" s="27" t="s">
        <v>1507</v>
      </c>
      <c r="C430" s="27" t="s">
        <v>2846</v>
      </c>
      <c r="D430" s="27" t="s">
        <v>1506</v>
      </c>
      <c r="E430" s="27" t="s">
        <v>1508</v>
      </c>
      <c r="F430" s="32" t="n">
        <v>40.3273634992182</v>
      </c>
      <c r="G430" s="28" t="n">
        <v>3879.88309696647</v>
      </c>
      <c r="H430" s="28" t="n">
        <v>3879.88309696647</v>
      </c>
      <c r="I430" s="5" t="s">
        <v>22</v>
      </c>
      <c r="J430" s="27" t="s">
        <v>303</v>
      </c>
      <c r="K430" s="27" t="s">
        <v>461</v>
      </c>
      <c r="L430" s="27" t="n">
        <v>16</v>
      </c>
      <c r="M430" s="27" t="s">
        <v>41</v>
      </c>
      <c r="N430" s="27" t="s">
        <v>2336</v>
      </c>
      <c r="O430" s="27" t="s">
        <v>77</v>
      </c>
      <c r="P430" s="27" t="s">
        <v>54</v>
      </c>
      <c r="Q430" s="27" t="n">
        <v>0</v>
      </c>
      <c r="R430" s="27"/>
      <c r="S430" s="27" t="s">
        <v>41</v>
      </c>
      <c r="T430" s="27"/>
      <c r="U430" s="27"/>
      <c r="V430" s="27"/>
      <c r="W430" s="27"/>
      <c r="X430" s="27"/>
      <c r="Y430" s="27" t="s">
        <v>41</v>
      </c>
      <c r="Z430" s="27" t="n">
        <v>-7.2152725</v>
      </c>
      <c r="AA430" s="27" t="n">
        <v>-48.254985</v>
      </c>
      <c r="AB430" s="37" t="s">
        <v>2338</v>
      </c>
      <c r="AC430" s="27" t="s">
        <v>2339</v>
      </c>
    </row>
    <row r="431" customFormat="false" ht="15" hidden="false" customHeight="false" outlineLevel="0" collapsed="false">
      <c r="A431" s="27" t="n">
        <v>430</v>
      </c>
      <c r="B431" s="27" t="s">
        <v>1509</v>
      </c>
      <c r="C431" s="27" t="s">
        <v>2847</v>
      </c>
      <c r="D431" s="27" t="s">
        <v>1508</v>
      </c>
      <c r="E431" s="27" t="s">
        <v>1510</v>
      </c>
      <c r="F431" s="32" t="n">
        <v>42.3755730827159</v>
      </c>
      <c r="G431" s="28" t="n">
        <v>3922.25867004918</v>
      </c>
      <c r="H431" s="28" t="n">
        <v>3922.25867004918</v>
      </c>
      <c r="I431" s="5" t="s">
        <v>22</v>
      </c>
      <c r="J431" s="27" t="s">
        <v>303</v>
      </c>
      <c r="K431" s="27" t="s">
        <v>461</v>
      </c>
      <c r="L431" s="27" t="n">
        <v>16</v>
      </c>
      <c r="M431" s="27" t="s">
        <v>41</v>
      </c>
      <c r="N431" s="27" t="s">
        <v>2336</v>
      </c>
      <c r="O431" s="27" t="s">
        <v>77</v>
      </c>
      <c r="P431" s="27" t="s">
        <v>54</v>
      </c>
      <c r="Q431" s="27" t="n">
        <v>0</v>
      </c>
      <c r="R431" s="27"/>
      <c r="S431" s="27" t="s">
        <v>41</v>
      </c>
      <c r="T431" s="27"/>
      <c r="U431" s="27"/>
      <c r="V431" s="27"/>
      <c r="W431" s="27"/>
      <c r="X431" s="27"/>
      <c r="Y431" s="27" t="s">
        <v>41</v>
      </c>
      <c r="Z431" s="27" t="n">
        <v>-7.2149125</v>
      </c>
      <c r="AA431" s="27" t="n">
        <v>-48.254891</v>
      </c>
      <c r="AB431" s="37" t="s">
        <v>2338</v>
      </c>
      <c r="AC431" s="27" t="s">
        <v>2339</v>
      </c>
    </row>
    <row r="432" customFormat="false" ht="15" hidden="false" customHeight="false" outlineLevel="0" collapsed="false">
      <c r="A432" s="27" t="n">
        <v>431</v>
      </c>
      <c r="B432" s="27" t="s">
        <v>1511</v>
      </c>
      <c r="C432" s="27" t="s">
        <v>2848</v>
      </c>
      <c r="D432" s="27" t="s">
        <v>1506</v>
      </c>
      <c r="E432" s="27" t="s">
        <v>1512</v>
      </c>
      <c r="F432" s="32" t="n">
        <v>38.6838633922849</v>
      </c>
      <c r="G432" s="28" t="n">
        <v>3878.23959685953</v>
      </c>
      <c r="H432" s="28" t="n">
        <v>3878.23959685953</v>
      </c>
      <c r="I432" s="5" t="s">
        <v>22</v>
      </c>
      <c r="J432" s="27" t="s">
        <v>303</v>
      </c>
      <c r="K432" s="27" t="s">
        <v>461</v>
      </c>
      <c r="L432" s="27" t="n">
        <v>16</v>
      </c>
      <c r="M432" s="27" t="s">
        <v>41</v>
      </c>
      <c r="N432" s="27" t="s">
        <v>2336</v>
      </c>
      <c r="O432" s="27" t="s">
        <v>77</v>
      </c>
      <c r="P432" s="27" t="s">
        <v>54</v>
      </c>
      <c r="Q432" s="27" t="n">
        <v>0</v>
      </c>
      <c r="R432" s="27"/>
      <c r="S432" s="27" t="s">
        <v>41</v>
      </c>
      <c r="T432" s="27"/>
      <c r="U432" s="27"/>
      <c r="V432" s="27"/>
      <c r="W432" s="27"/>
      <c r="X432" s="27"/>
      <c r="Y432" s="27" t="s">
        <v>41</v>
      </c>
      <c r="Z432" s="27" t="n">
        <v>-7.2154035</v>
      </c>
      <c r="AA432" s="27" t="n">
        <v>-48.2552005</v>
      </c>
      <c r="AB432" s="37" t="s">
        <v>2338</v>
      </c>
      <c r="AC432" s="27" t="s">
        <v>2339</v>
      </c>
    </row>
    <row r="433" customFormat="false" ht="15" hidden="false" customHeight="false" outlineLevel="0" collapsed="false">
      <c r="A433" s="27" t="n">
        <v>432</v>
      </c>
      <c r="B433" s="27" t="s">
        <v>1513</v>
      </c>
      <c r="C433" s="27" t="s">
        <v>2849</v>
      </c>
      <c r="D433" s="27" t="s">
        <v>1506</v>
      </c>
      <c r="E433" s="27" t="s">
        <v>1514</v>
      </c>
      <c r="F433" s="32" t="n">
        <v>89.9027974542875</v>
      </c>
      <c r="G433" s="28" t="n">
        <v>3929.45853092154</v>
      </c>
      <c r="H433" s="28" t="n">
        <v>3929.45853092154</v>
      </c>
      <c r="I433" s="5" t="s">
        <v>22</v>
      </c>
      <c r="J433" s="27" t="s">
        <v>303</v>
      </c>
      <c r="K433" s="27" t="s">
        <v>461</v>
      </c>
      <c r="L433" s="27" t="n">
        <v>16</v>
      </c>
      <c r="M433" s="27" t="s">
        <v>41</v>
      </c>
      <c r="N433" s="27" t="s">
        <v>2336</v>
      </c>
      <c r="O433" s="27" t="s">
        <v>77</v>
      </c>
      <c r="P433" s="27" t="s">
        <v>143</v>
      </c>
      <c r="Q433" s="27" t="n">
        <v>1</v>
      </c>
      <c r="R433" s="27"/>
      <c r="S433" s="27" t="s">
        <v>41</v>
      </c>
      <c r="T433" s="27"/>
      <c r="U433" s="27"/>
      <c r="V433" s="27"/>
      <c r="W433" s="27"/>
      <c r="X433" s="27"/>
      <c r="Y433" s="27" t="s">
        <v>41</v>
      </c>
      <c r="Z433" s="27" t="n">
        <v>-7.215839</v>
      </c>
      <c r="AA433" s="27" t="n">
        <v>-48.2551345</v>
      </c>
      <c r="AB433" s="37" t="s">
        <v>2338</v>
      </c>
      <c r="AC433" s="27" t="s">
        <v>2339</v>
      </c>
    </row>
    <row r="434" customFormat="false" ht="15" hidden="false" customHeight="false" outlineLevel="0" collapsed="false">
      <c r="A434" s="27" t="n">
        <v>433</v>
      </c>
      <c r="B434" s="27" t="s">
        <v>1515</v>
      </c>
      <c r="C434" s="27" t="s">
        <v>2850</v>
      </c>
      <c r="D434" s="27" t="s">
        <v>1514</v>
      </c>
      <c r="E434" s="27" t="s">
        <v>1516</v>
      </c>
      <c r="F434" s="32" t="n">
        <v>29.7883869632817</v>
      </c>
      <c r="G434" s="28" t="n">
        <v>3959.24691788482</v>
      </c>
      <c r="H434" s="28" t="n">
        <v>3959.24691788482</v>
      </c>
      <c r="I434" s="5" t="s">
        <v>22</v>
      </c>
      <c r="J434" s="27" t="s">
        <v>303</v>
      </c>
      <c r="K434" s="27" t="s">
        <v>461</v>
      </c>
      <c r="L434" s="27" t="n">
        <v>16</v>
      </c>
      <c r="M434" s="27" t="s">
        <v>41</v>
      </c>
      <c r="N434" s="27" t="s">
        <v>2336</v>
      </c>
      <c r="O434" s="27" t="s">
        <v>77</v>
      </c>
      <c r="P434" s="27" t="s">
        <v>54</v>
      </c>
      <c r="Q434" s="27" t="n">
        <v>0</v>
      </c>
      <c r="R434" s="27"/>
      <c r="S434" s="27" t="s">
        <v>41</v>
      </c>
      <c r="T434" s="27"/>
      <c r="U434" s="27"/>
      <c r="V434" s="27"/>
      <c r="W434" s="27"/>
      <c r="X434" s="27"/>
      <c r="Y434" s="27" t="s">
        <v>41</v>
      </c>
      <c r="Z434" s="27" t="n">
        <v>-7.2163595</v>
      </c>
      <c r="AA434" s="27" t="n">
        <v>-48.2552725</v>
      </c>
      <c r="AB434" s="37" t="s">
        <v>2338</v>
      </c>
      <c r="AC434" s="27" t="s">
        <v>2339</v>
      </c>
    </row>
    <row r="435" customFormat="false" ht="15" hidden="false" customHeight="false" outlineLevel="0" collapsed="false">
      <c r="A435" s="27" t="n">
        <v>434</v>
      </c>
      <c r="B435" s="27" t="s">
        <v>1517</v>
      </c>
      <c r="C435" s="27" t="s">
        <v>2851</v>
      </c>
      <c r="D435" s="27" t="s">
        <v>1514</v>
      </c>
      <c r="E435" s="27" t="s">
        <v>1518</v>
      </c>
      <c r="F435" s="32" t="n">
        <v>3.29244013535154</v>
      </c>
      <c r="G435" s="28" t="n">
        <v>3932.75097105689</v>
      </c>
      <c r="H435" s="28" t="n">
        <v>3932.75097105689</v>
      </c>
      <c r="I435" s="5" t="s">
        <v>22</v>
      </c>
      <c r="J435" s="27" t="s">
        <v>303</v>
      </c>
      <c r="K435" s="27" t="s">
        <v>461</v>
      </c>
      <c r="L435" s="27" t="n">
        <v>16</v>
      </c>
      <c r="M435" s="27" t="s">
        <v>41</v>
      </c>
      <c r="N435" s="27" t="s">
        <v>2336</v>
      </c>
      <c r="O435" s="27" t="s">
        <v>77</v>
      </c>
      <c r="P435" s="27" t="s">
        <v>143</v>
      </c>
      <c r="Q435" s="27" t="n">
        <v>1</v>
      </c>
      <c r="R435" s="27" t="s">
        <v>1519</v>
      </c>
      <c r="S435" s="27" t="s">
        <v>41</v>
      </c>
      <c r="T435" s="27"/>
      <c r="U435" s="27"/>
      <c r="V435" s="27"/>
      <c r="W435" s="27"/>
      <c r="X435" s="27"/>
      <c r="Y435" s="27" t="s">
        <v>41</v>
      </c>
      <c r="Z435" s="27" t="n">
        <v>-7.2162265</v>
      </c>
      <c r="AA435" s="27" t="n">
        <v>-48.2552525</v>
      </c>
      <c r="AB435" s="37" t="s">
        <v>2338</v>
      </c>
      <c r="AC435" s="27" t="s">
        <v>2339</v>
      </c>
    </row>
    <row r="436" customFormat="false" ht="15" hidden="false" customHeight="false" outlineLevel="0" collapsed="false">
      <c r="A436" s="27" t="n">
        <v>435</v>
      </c>
      <c r="B436" s="27" t="s">
        <v>1520</v>
      </c>
      <c r="C436" s="27" t="s">
        <v>2852</v>
      </c>
      <c r="D436" s="27" t="s">
        <v>1518</v>
      </c>
      <c r="E436" s="27" t="s">
        <v>1521</v>
      </c>
      <c r="F436" s="32" t="n">
        <v>62.2950804590093</v>
      </c>
      <c r="G436" s="28" t="n">
        <v>3995.0460515159</v>
      </c>
      <c r="H436" s="28" t="n">
        <v>3995.0460515159</v>
      </c>
      <c r="I436" s="5" t="s">
        <v>22</v>
      </c>
      <c r="J436" s="27" t="s">
        <v>303</v>
      </c>
      <c r="K436" s="27" t="s">
        <v>461</v>
      </c>
      <c r="L436" s="27" t="n">
        <v>16</v>
      </c>
      <c r="M436" s="27" t="s">
        <v>41</v>
      </c>
      <c r="N436" s="27" t="s">
        <v>2336</v>
      </c>
      <c r="O436" s="27" t="s">
        <v>77</v>
      </c>
      <c r="P436" s="27" t="s">
        <v>143</v>
      </c>
      <c r="Q436" s="27" t="n">
        <v>1</v>
      </c>
      <c r="R436" s="27"/>
      <c r="S436" s="27" t="s">
        <v>41</v>
      </c>
      <c r="T436" s="27"/>
      <c r="U436" s="27"/>
      <c r="V436" s="27"/>
      <c r="W436" s="27"/>
      <c r="X436" s="27"/>
      <c r="Y436" s="27" t="s">
        <v>41</v>
      </c>
      <c r="Z436" s="27" t="n">
        <v>-7.2161515</v>
      </c>
      <c r="AA436" s="27" t="n">
        <v>-48.25554</v>
      </c>
      <c r="AB436" s="37" t="s">
        <v>2338</v>
      </c>
      <c r="AC436" s="27" t="s">
        <v>2339</v>
      </c>
    </row>
    <row r="437" customFormat="false" ht="15" hidden="false" customHeight="false" outlineLevel="0" collapsed="false">
      <c r="A437" s="27" t="n">
        <v>436</v>
      </c>
      <c r="B437" s="27" t="s">
        <v>1522</v>
      </c>
      <c r="C437" s="27" t="s">
        <v>2853</v>
      </c>
      <c r="D437" s="27" t="s">
        <v>1521</v>
      </c>
      <c r="E437" s="27" t="s">
        <v>1523</v>
      </c>
      <c r="F437" s="32" t="n">
        <v>3.74747930334253</v>
      </c>
      <c r="G437" s="28" t="n">
        <v>3998.79353081924</v>
      </c>
      <c r="H437" s="28" t="n">
        <v>3998.79353081924</v>
      </c>
      <c r="I437" s="5" t="s">
        <v>22</v>
      </c>
      <c r="J437" s="27" t="s">
        <v>303</v>
      </c>
      <c r="K437" s="27" t="s">
        <v>461</v>
      </c>
      <c r="L437" s="27" t="n">
        <v>16</v>
      </c>
      <c r="M437" s="27" t="s">
        <v>41</v>
      </c>
      <c r="N437" s="27" t="s">
        <v>2336</v>
      </c>
      <c r="O437" s="27" t="s">
        <v>77</v>
      </c>
      <c r="P437" s="27" t="s">
        <v>143</v>
      </c>
      <c r="Q437" s="27" t="n">
        <v>1</v>
      </c>
      <c r="R437" s="27"/>
      <c r="S437" s="27" t="s">
        <v>41</v>
      </c>
      <c r="T437" s="27"/>
      <c r="U437" s="27"/>
      <c r="V437" s="27"/>
      <c r="W437" s="27"/>
      <c r="X437" s="27"/>
      <c r="Y437" s="27" t="s">
        <v>41</v>
      </c>
      <c r="Z437" s="27" t="n">
        <v>-7.216076</v>
      </c>
      <c r="AA437" s="27" t="n">
        <v>-48.2558295</v>
      </c>
      <c r="AB437" s="37" t="s">
        <v>2338</v>
      </c>
      <c r="AC437" s="27" t="s">
        <v>2339</v>
      </c>
    </row>
    <row r="438" customFormat="false" ht="15" hidden="false" customHeight="false" outlineLevel="0" collapsed="false">
      <c r="A438" s="27" t="n">
        <v>437</v>
      </c>
      <c r="B438" s="27" t="s">
        <v>1524</v>
      </c>
      <c r="C438" s="27" t="s">
        <v>2854</v>
      </c>
      <c r="D438" s="27" t="s">
        <v>1523</v>
      </c>
      <c r="E438" s="27" t="s">
        <v>1525</v>
      </c>
      <c r="F438" s="32" t="n">
        <v>12.6911348920472</v>
      </c>
      <c r="G438" s="28" t="n">
        <v>4011.48466571129</v>
      </c>
      <c r="H438" s="28" t="n">
        <v>4011.48466571129</v>
      </c>
      <c r="I438" s="5" t="s">
        <v>22</v>
      </c>
      <c r="J438" s="27" t="s">
        <v>303</v>
      </c>
      <c r="K438" s="27" t="s">
        <v>461</v>
      </c>
      <c r="L438" s="27" t="n">
        <v>16</v>
      </c>
      <c r="M438" s="27" t="s">
        <v>41</v>
      </c>
      <c r="N438" s="27" t="s">
        <v>2336</v>
      </c>
      <c r="O438" s="27" t="s">
        <v>77</v>
      </c>
      <c r="P438" s="27" t="s">
        <v>143</v>
      </c>
      <c r="Q438" s="27" t="n">
        <v>1</v>
      </c>
      <c r="R438" s="27"/>
      <c r="S438" s="27" t="s">
        <v>41</v>
      </c>
      <c r="T438" s="27"/>
      <c r="U438" s="27"/>
      <c r="V438" s="27"/>
      <c r="W438" s="27"/>
      <c r="X438" s="27"/>
      <c r="Y438" s="27" t="s">
        <v>41</v>
      </c>
      <c r="Z438" s="27" t="n">
        <v>-7.216057</v>
      </c>
      <c r="AA438" s="27" t="n">
        <v>-48.2559015</v>
      </c>
      <c r="AB438" s="37" t="s">
        <v>2338</v>
      </c>
      <c r="AC438" s="27" t="s">
        <v>2339</v>
      </c>
    </row>
    <row r="439" customFormat="false" ht="15" hidden="false" customHeight="false" outlineLevel="0" collapsed="false">
      <c r="A439" s="27" t="n">
        <v>438</v>
      </c>
      <c r="B439" s="27" t="s">
        <v>1526</v>
      </c>
      <c r="C439" s="27" t="s">
        <v>2855</v>
      </c>
      <c r="D439" s="27" t="s">
        <v>1525</v>
      </c>
      <c r="E439" s="27" t="s">
        <v>1527</v>
      </c>
      <c r="F439" s="32" t="n">
        <v>120.137798547367</v>
      </c>
      <c r="G439" s="28" t="n">
        <v>4131.62246425865</v>
      </c>
      <c r="H439" s="28" t="n">
        <v>4131.62246425865</v>
      </c>
      <c r="I439" s="5" t="s">
        <v>22</v>
      </c>
      <c r="J439" s="27" t="s">
        <v>303</v>
      </c>
      <c r="K439" s="27" t="s">
        <v>461</v>
      </c>
      <c r="L439" s="27" t="n">
        <v>16</v>
      </c>
      <c r="M439" s="27" t="s">
        <v>41</v>
      </c>
      <c r="N439" s="27" t="s">
        <v>2336</v>
      </c>
      <c r="O439" s="27" t="s">
        <v>77</v>
      </c>
      <c r="P439" s="27" t="s">
        <v>54</v>
      </c>
      <c r="Q439" s="27" t="n">
        <v>0</v>
      </c>
      <c r="R439" s="27"/>
      <c r="S439" s="27" t="s">
        <v>41</v>
      </c>
      <c r="T439" s="27"/>
      <c r="U439" s="27"/>
      <c r="V439" s="27"/>
      <c r="W439" s="27"/>
      <c r="X439" s="27"/>
      <c r="Y439" s="27" t="s">
        <v>41</v>
      </c>
      <c r="Z439" s="27" t="n">
        <v>-7.2155045</v>
      </c>
      <c r="AA439" s="27" t="n">
        <v>-48.2559025</v>
      </c>
      <c r="AB439" s="37" t="s">
        <v>2338</v>
      </c>
      <c r="AC439" s="27" t="s">
        <v>2339</v>
      </c>
    </row>
    <row r="440" customFormat="false" ht="15" hidden="false" customHeight="false" outlineLevel="0" collapsed="false">
      <c r="A440" s="27" t="n">
        <v>439</v>
      </c>
      <c r="B440" s="27" t="s">
        <v>1528</v>
      </c>
      <c r="C440" s="27" t="s">
        <v>2856</v>
      </c>
      <c r="D440" s="27" t="s">
        <v>1527</v>
      </c>
      <c r="E440" s="27" t="s">
        <v>1529</v>
      </c>
      <c r="F440" s="32" t="n">
        <v>8.80933267473131</v>
      </c>
      <c r="G440" s="28" t="n">
        <v>4140.43179693338</v>
      </c>
      <c r="H440" s="28" t="n">
        <v>4140.43179693338</v>
      </c>
      <c r="I440" s="5" t="s">
        <v>22</v>
      </c>
      <c r="J440" s="27" t="s">
        <v>303</v>
      </c>
      <c r="K440" s="27" t="s">
        <v>461</v>
      </c>
      <c r="L440" s="27" t="n">
        <v>16</v>
      </c>
      <c r="M440" s="27" t="s">
        <v>41</v>
      </c>
      <c r="N440" s="27" t="s">
        <v>2336</v>
      </c>
      <c r="O440" s="27" t="s">
        <v>77</v>
      </c>
      <c r="P440" s="27" t="s">
        <v>54</v>
      </c>
      <c r="Q440" s="27" t="n">
        <v>0</v>
      </c>
      <c r="R440" s="27"/>
      <c r="S440" s="27" t="s">
        <v>41</v>
      </c>
      <c r="T440" s="27"/>
      <c r="U440" s="27"/>
      <c r="V440" s="27"/>
      <c r="W440" s="27"/>
      <c r="X440" s="27"/>
      <c r="Y440" s="27" t="s">
        <v>41</v>
      </c>
      <c r="Z440" s="27" t="n">
        <v>-7.2149775</v>
      </c>
      <c r="AA440" s="27" t="n">
        <v>-48.2558095</v>
      </c>
      <c r="AB440" s="37" t="s">
        <v>2338</v>
      </c>
      <c r="AC440" s="27" t="s">
        <v>2339</v>
      </c>
    </row>
    <row r="441" customFormat="false" ht="15" hidden="false" customHeight="false" outlineLevel="0" collapsed="false">
      <c r="A441" s="27" t="n">
        <v>440</v>
      </c>
      <c r="B441" s="27" t="s">
        <v>1530</v>
      </c>
      <c r="C441" s="27" t="s">
        <v>2857</v>
      </c>
      <c r="D441" s="27" t="s">
        <v>1527</v>
      </c>
      <c r="E441" s="27" t="s">
        <v>1531</v>
      </c>
      <c r="F441" s="32" t="n">
        <v>19.2283292862693</v>
      </c>
      <c r="G441" s="28" t="n">
        <v>4150.85079354492</v>
      </c>
      <c r="H441" s="28" t="n">
        <v>4150.85079354492</v>
      </c>
      <c r="I441" s="5" t="s">
        <v>22</v>
      </c>
      <c r="J441" s="27" t="s">
        <v>303</v>
      </c>
      <c r="K441" s="27" t="s">
        <v>461</v>
      </c>
      <c r="L441" s="27" t="n">
        <v>16</v>
      </c>
      <c r="M441" s="27" t="s">
        <v>41</v>
      </c>
      <c r="N441" s="27" t="s">
        <v>2336</v>
      </c>
      <c r="O441" s="27" t="s">
        <v>77</v>
      </c>
      <c r="P441" s="27" t="s">
        <v>54</v>
      </c>
      <c r="Q441" s="27" t="n">
        <v>0</v>
      </c>
      <c r="R441" s="27"/>
      <c r="S441" s="27" t="s">
        <v>41</v>
      </c>
      <c r="T441" s="27"/>
      <c r="U441" s="27"/>
      <c r="V441" s="27"/>
      <c r="W441" s="27"/>
      <c r="X441" s="27"/>
      <c r="Y441" s="27" t="s">
        <v>41</v>
      </c>
      <c r="Z441" s="27" t="n">
        <v>-7.214881</v>
      </c>
      <c r="AA441" s="27" t="n">
        <v>-48.255839</v>
      </c>
      <c r="AB441" s="37" t="s">
        <v>2338</v>
      </c>
      <c r="AC441" s="27" t="s">
        <v>2339</v>
      </c>
    </row>
    <row r="442" customFormat="false" ht="15" hidden="false" customHeight="false" outlineLevel="0" collapsed="false">
      <c r="A442" s="27" t="n">
        <v>441</v>
      </c>
      <c r="B442" s="27" t="s">
        <v>1532</v>
      </c>
      <c r="C442" s="27" t="s">
        <v>2858</v>
      </c>
      <c r="D442" s="27" t="s">
        <v>1527</v>
      </c>
      <c r="E442" s="27" t="s">
        <v>1533</v>
      </c>
      <c r="F442" s="32" t="n">
        <v>85.5591691222867</v>
      </c>
      <c r="G442" s="28" t="n">
        <v>4217.18163338094</v>
      </c>
      <c r="H442" s="28" t="n">
        <v>4217.18163338094</v>
      </c>
      <c r="I442" s="5" t="s">
        <v>22</v>
      </c>
      <c r="J442" s="27" t="s">
        <v>303</v>
      </c>
      <c r="K442" s="27" t="s">
        <v>461</v>
      </c>
      <c r="L442" s="27" t="n">
        <v>16</v>
      </c>
      <c r="M442" s="27" t="s">
        <v>41</v>
      </c>
      <c r="N442" s="27" t="s">
        <v>2336</v>
      </c>
      <c r="O442" s="27" t="s">
        <v>77</v>
      </c>
      <c r="P442" s="27" t="s">
        <v>54</v>
      </c>
      <c r="Q442" s="27" t="n">
        <v>0</v>
      </c>
      <c r="R442" s="27"/>
      <c r="S442" s="27" t="s">
        <v>41</v>
      </c>
      <c r="T442" s="27"/>
      <c r="U442" s="27"/>
      <c r="V442" s="27"/>
      <c r="W442" s="27"/>
      <c r="X442" s="27"/>
      <c r="Y442" s="27" t="s">
        <v>41</v>
      </c>
      <c r="Z442" s="27" t="n">
        <v>-7.2148635</v>
      </c>
      <c r="AA442" s="27" t="n">
        <v>-48.2562215</v>
      </c>
      <c r="AB442" s="37" t="s">
        <v>2338</v>
      </c>
      <c r="AC442" s="27" t="s">
        <v>2339</v>
      </c>
    </row>
    <row r="443" customFormat="false" ht="15" hidden="false" customHeight="false" outlineLevel="0" collapsed="false">
      <c r="A443" s="27" t="n">
        <v>442</v>
      </c>
      <c r="B443" s="27" t="s">
        <v>1534</v>
      </c>
      <c r="C443" s="27" t="s">
        <v>2859</v>
      </c>
      <c r="D443" s="27" t="s">
        <v>1533</v>
      </c>
      <c r="E443" s="27" t="s">
        <v>1535</v>
      </c>
      <c r="F443" s="32" t="n">
        <v>50.3984777824347</v>
      </c>
      <c r="G443" s="28" t="n">
        <v>4267.58011116338</v>
      </c>
      <c r="H443" s="28" t="n">
        <v>4267.58011116338</v>
      </c>
      <c r="I443" s="5" t="s">
        <v>22</v>
      </c>
      <c r="J443" s="27" t="s">
        <v>303</v>
      </c>
      <c r="K443" s="27" t="s">
        <v>461</v>
      </c>
      <c r="L443" s="27" t="n">
        <v>16</v>
      </c>
      <c r="M443" s="27" t="s">
        <v>41</v>
      </c>
      <c r="N443" s="27" t="s">
        <v>2336</v>
      </c>
      <c r="O443" s="27" t="s">
        <v>77</v>
      </c>
      <c r="P443" s="27" t="s">
        <v>54</v>
      </c>
      <c r="Q443" s="27" t="n">
        <v>0</v>
      </c>
      <c r="R443" s="27"/>
      <c r="S443" s="27" t="s">
        <v>41</v>
      </c>
      <c r="T443" s="27"/>
      <c r="U443" s="27"/>
      <c r="V443" s="27"/>
      <c r="W443" s="27"/>
      <c r="X443" s="27"/>
      <c r="Y443" s="27" t="s">
        <v>41</v>
      </c>
      <c r="Z443" s="27" t="n">
        <v>-7.214699</v>
      </c>
      <c r="AA443" s="27" t="n">
        <v>-48.256815</v>
      </c>
      <c r="AB443" s="37" t="s">
        <v>2338</v>
      </c>
      <c r="AC443" s="27" t="s">
        <v>2339</v>
      </c>
    </row>
    <row r="444" customFormat="false" ht="15" hidden="false" customHeight="false" outlineLevel="0" collapsed="false">
      <c r="A444" s="27" t="n">
        <v>443</v>
      </c>
      <c r="B444" s="27" t="s">
        <v>1536</v>
      </c>
      <c r="C444" s="27" t="s">
        <v>2860</v>
      </c>
      <c r="D444" s="27" t="s">
        <v>1525</v>
      </c>
      <c r="E444" s="27" t="s">
        <v>1537</v>
      </c>
      <c r="F444" s="32" t="n">
        <v>21.2006361543284</v>
      </c>
      <c r="G444" s="28" t="n">
        <v>4032.68530186562</v>
      </c>
      <c r="H444" s="28" t="n">
        <v>4032.68530186562</v>
      </c>
      <c r="I444" s="5" t="s">
        <v>22</v>
      </c>
      <c r="J444" s="27" t="s">
        <v>303</v>
      </c>
      <c r="K444" s="27" t="s">
        <v>461</v>
      </c>
      <c r="L444" s="27" t="n">
        <v>16</v>
      </c>
      <c r="M444" s="27" t="s">
        <v>41</v>
      </c>
      <c r="N444" s="27" t="s">
        <v>2336</v>
      </c>
      <c r="O444" s="27" t="s">
        <v>77</v>
      </c>
      <c r="P444" s="27" t="s">
        <v>54</v>
      </c>
      <c r="Q444" s="27" t="n">
        <v>0</v>
      </c>
      <c r="R444" s="27"/>
      <c r="S444" s="27" t="s">
        <v>41</v>
      </c>
      <c r="T444" s="27"/>
      <c r="U444" s="27"/>
      <c r="V444" s="27"/>
      <c r="W444" s="27"/>
      <c r="X444" s="27"/>
      <c r="Y444" s="27" t="s">
        <v>41</v>
      </c>
      <c r="Z444" s="27" t="n">
        <v>-7.216137</v>
      </c>
      <c r="AA444" s="27" t="n">
        <v>-48.255965</v>
      </c>
      <c r="AB444" s="37" t="s">
        <v>2338</v>
      </c>
      <c r="AC444" s="27" t="s">
        <v>2339</v>
      </c>
    </row>
    <row r="445" customFormat="false" ht="15" hidden="false" customHeight="false" outlineLevel="0" collapsed="false">
      <c r="A445" s="27" t="n">
        <v>444</v>
      </c>
      <c r="B445" s="27" t="s">
        <v>1538</v>
      </c>
      <c r="C445" s="27" t="s">
        <v>2861</v>
      </c>
      <c r="D445" s="27" t="s">
        <v>1525</v>
      </c>
      <c r="E445" s="27" t="s">
        <v>1539</v>
      </c>
      <c r="F445" s="32" t="n">
        <v>72.7607259532869</v>
      </c>
      <c r="G445" s="28" t="n">
        <v>4084.24539166457</v>
      </c>
      <c r="H445" s="28" t="n">
        <v>4084.24539166457</v>
      </c>
      <c r="I445" s="5" t="s">
        <v>22</v>
      </c>
      <c r="J445" s="27" t="s">
        <v>303</v>
      </c>
      <c r="K445" s="27" t="s">
        <v>461</v>
      </c>
      <c r="L445" s="27" t="n">
        <v>16</v>
      </c>
      <c r="M445" s="27" t="s">
        <v>41</v>
      </c>
      <c r="N445" s="27" t="s">
        <v>2336</v>
      </c>
      <c r="O445" s="27" t="s">
        <v>77</v>
      </c>
      <c r="P445" s="27" t="s">
        <v>143</v>
      </c>
      <c r="Q445" s="27" t="n">
        <v>1</v>
      </c>
      <c r="R445" s="27"/>
      <c r="S445" s="27" t="s">
        <v>41</v>
      </c>
      <c r="T445" s="27"/>
      <c r="U445" s="27"/>
      <c r="V445" s="27"/>
      <c r="W445" s="27"/>
      <c r="X445" s="27"/>
      <c r="Y445" s="27" t="s">
        <v>41</v>
      </c>
      <c r="Z445" s="27" t="n">
        <v>-7.215959</v>
      </c>
      <c r="AA445" s="27" t="n">
        <v>-48.256276</v>
      </c>
      <c r="AB445" s="37" t="s">
        <v>2338</v>
      </c>
      <c r="AC445" s="27" t="s">
        <v>2339</v>
      </c>
    </row>
    <row r="446" customFormat="false" ht="15" hidden="false" customHeight="false" outlineLevel="0" collapsed="false">
      <c r="A446" s="27" t="n">
        <v>445</v>
      </c>
      <c r="B446" s="27" t="s">
        <v>1540</v>
      </c>
      <c r="C446" s="27" t="s">
        <v>2862</v>
      </c>
      <c r="D446" s="27" t="s">
        <v>1539</v>
      </c>
      <c r="E446" s="27" t="s">
        <v>1541</v>
      </c>
      <c r="F446" s="32" t="n">
        <v>45.7226202211167</v>
      </c>
      <c r="G446" s="28" t="n">
        <v>4129.96801188569</v>
      </c>
      <c r="H446" s="28" t="n">
        <v>4129.96801188569</v>
      </c>
      <c r="I446" s="5" t="s">
        <v>22</v>
      </c>
      <c r="J446" s="27" t="s">
        <v>303</v>
      </c>
      <c r="K446" s="27" t="s">
        <v>461</v>
      </c>
      <c r="L446" s="27" t="n">
        <v>16</v>
      </c>
      <c r="M446" s="27" t="s">
        <v>41</v>
      </c>
      <c r="N446" s="27" t="s">
        <v>2336</v>
      </c>
      <c r="O446" s="27" t="s">
        <v>77</v>
      </c>
      <c r="P446" s="27" t="s">
        <v>143</v>
      </c>
      <c r="Q446" s="27" t="n">
        <v>1</v>
      </c>
      <c r="R446" s="27"/>
      <c r="S446" s="27" t="s">
        <v>41</v>
      </c>
      <c r="T446" s="27"/>
      <c r="U446" s="27"/>
      <c r="V446" s="27"/>
      <c r="W446" s="27"/>
      <c r="X446" s="27"/>
      <c r="Y446" s="27" t="s">
        <v>41</v>
      </c>
      <c r="Z446" s="27" t="n">
        <v>-7.215824</v>
      </c>
      <c r="AA446" s="27" t="n">
        <v>-48.2567955</v>
      </c>
      <c r="AB446" s="37" t="s">
        <v>2338</v>
      </c>
      <c r="AC446" s="27" t="s">
        <v>2339</v>
      </c>
    </row>
    <row r="447" customFormat="false" ht="15" hidden="false" customHeight="false" outlineLevel="0" collapsed="false">
      <c r="A447" s="27" t="n">
        <v>446</v>
      </c>
      <c r="B447" s="27" t="s">
        <v>1542</v>
      </c>
      <c r="C447" s="27" t="s">
        <v>2863</v>
      </c>
      <c r="D447" s="27" t="s">
        <v>1541</v>
      </c>
      <c r="E447" s="27" t="s">
        <v>1543</v>
      </c>
      <c r="F447" s="32" t="n">
        <v>105.188507905734</v>
      </c>
      <c r="G447" s="28" t="n">
        <v>4235.15651979142</v>
      </c>
      <c r="H447" s="28" t="n">
        <v>4235.15651979142</v>
      </c>
      <c r="I447" s="5" t="s">
        <v>22</v>
      </c>
      <c r="J447" s="27" t="s">
        <v>303</v>
      </c>
      <c r="K447" s="27" t="s">
        <v>461</v>
      </c>
      <c r="L447" s="27" t="n">
        <v>16</v>
      </c>
      <c r="M447" s="27" t="s">
        <v>41</v>
      </c>
      <c r="N447" s="27" t="s">
        <v>2336</v>
      </c>
      <c r="O447" s="27" t="s">
        <v>77</v>
      </c>
      <c r="P447" s="27" t="s">
        <v>143</v>
      </c>
      <c r="Q447" s="27" t="n">
        <v>1</v>
      </c>
      <c r="R447" s="27"/>
      <c r="S447" s="27" t="s">
        <v>41</v>
      </c>
      <c r="T447" s="27"/>
      <c r="U447" s="27"/>
      <c r="V447" s="27"/>
      <c r="W447" s="27"/>
      <c r="X447" s="27"/>
      <c r="Y447" s="27" t="s">
        <v>41</v>
      </c>
      <c r="Z447" s="27" t="n">
        <v>-7.2156495</v>
      </c>
      <c r="AA447" s="27" t="n">
        <v>-48.2574565</v>
      </c>
      <c r="AB447" s="37" t="s">
        <v>2338</v>
      </c>
      <c r="AC447" s="27" t="s">
        <v>2339</v>
      </c>
    </row>
    <row r="448" customFormat="false" ht="15" hidden="false" customHeight="false" outlineLevel="0" collapsed="false">
      <c r="A448" s="27" t="n">
        <v>447</v>
      </c>
      <c r="B448" s="27" t="s">
        <v>1544</v>
      </c>
      <c r="C448" s="27" t="s">
        <v>2864</v>
      </c>
      <c r="D448" s="27" t="s">
        <v>1543</v>
      </c>
      <c r="E448" s="27" t="s">
        <v>1545</v>
      </c>
      <c r="F448" s="32" t="n">
        <v>25.9932056251869</v>
      </c>
      <c r="G448" s="28" t="n">
        <v>4261.14972541661</v>
      </c>
      <c r="H448" s="28" t="n">
        <v>4261.14972541661</v>
      </c>
      <c r="I448" s="5" t="s">
        <v>22</v>
      </c>
      <c r="J448" s="27" t="s">
        <v>303</v>
      </c>
      <c r="K448" s="27" t="s">
        <v>461</v>
      </c>
      <c r="L448" s="27" t="n">
        <v>16</v>
      </c>
      <c r="M448" s="27" t="s">
        <v>41</v>
      </c>
      <c r="N448" s="27" t="s">
        <v>2336</v>
      </c>
      <c r="O448" s="27" t="s">
        <v>77</v>
      </c>
      <c r="P448" s="27" t="s">
        <v>54</v>
      </c>
      <c r="Q448" s="27" t="n">
        <v>0</v>
      </c>
      <c r="R448" s="27"/>
      <c r="S448" s="27" t="s">
        <v>41</v>
      </c>
      <c r="T448" s="27"/>
      <c r="U448" s="27"/>
      <c r="V448" s="27"/>
      <c r="W448" s="27"/>
      <c r="X448" s="27"/>
      <c r="Y448" s="27" t="s">
        <v>41</v>
      </c>
      <c r="Z448" s="27" t="n">
        <v>-7.2154975</v>
      </c>
      <c r="AA448" s="27" t="n">
        <v>-48.258031</v>
      </c>
      <c r="AB448" s="37" t="s">
        <v>2338</v>
      </c>
      <c r="AC448" s="27" t="s">
        <v>2339</v>
      </c>
    </row>
    <row r="449" customFormat="false" ht="15" hidden="false" customHeight="false" outlineLevel="0" collapsed="false">
      <c r="A449" s="27" t="n">
        <v>448</v>
      </c>
      <c r="B449" s="27" t="s">
        <v>1546</v>
      </c>
      <c r="C449" s="27" t="s">
        <v>2865</v>
      </c>
      <c r="D449" s="27" t="s">
        <v>1543</v>
      </c>
      <c r="E449" s="27" t="s">
        <v>1547</v>
      </c>
      <c r="F449" s="32" t="n">
        <v>0.676228123583476</v>
      </c>
      <c r="G449" s="28" t="n">
        <v>4235.83274791501</v>
      </c>
      <c r="H449" s="28" t="n">
        <v>4235.83274791501</v>
      </c>
      <c r="I449" s="5" t="s">
        <v>22</v>
      </c>
      <c r="J449" s="27" t="s">
        <v>303</v>
      </c>
      <c r="K449" s="27" t="s">
        <v>461</v>
      </c>
      <c r="L449" s="27" t="n">
        <v>16</v>
      </c>
      <c r="M449" s="27" t="s">
        <v>41</v>
      </c>
      <c r="N449" s="27" t="s">
        <v>2336</v>
      </c>
      <c r="O449" s="27" t="s">
        <v>77</v>
      </c>
      <c r="P449" s="27" t="s">
        <v>143</v>
      </c>
      <c r="Q449" s="27" t="n">
        <v>1</v>
      </c>
      <c r="R449" s="27"/>
      <c r="S449" s="27" t="s">
        <v>41</v>
      </c>
      <c r="T449" s="27"/>
      <c r="U449" s="27"/>
      <c r="V449" s="27"/>
      <c r="W449" s="27"/>
      <c r="X449" s="27"/>
      <c r="Y449" s="27" t="s">
        <v>41</v>
      </c>
      <c r="Z449" s="27" t="n">
        <v>-7.21553</v>
      </c>
      <c r="AA449" s="27" t="n">
        <v>-48.2579165</v>
      </c>
      <c r="AB449" s="37" t="s">
        <v>2338</v>
      </c>
      <c r="AC449" s="27" t="s">
        <v>2339</v>
      </c>
    </row>
    <row r="450" customFormat="false" ht="15" hidden="false" customHeight="false" outlineLevel="0" collapsed="false">
      <c r="A450" s="27" t="n">
        <v>449</v>
      </c>
      <c r="B450" s="27" t="s">
        <v>1548</v>
      </c>
      <c r="C450" s="27" t="s">
        <v>2866</v>
      </c>
      <c r="D450" s="27" t="s">
        <v>1443</v>
      </c>
      <c r="E450" s="27" t="s">
        <v>1549</v>
      </c>
      <c r="F450" s="32" t="n">
        <v>15.7531266798728</v>
      </c>
      <c r="G450" s="28" t="n">
        <v>3258.8609389103</v>
      </c>
      <c r="H450" s="28" t="n">
        <v>3258.8609389103</v>
      </c>
      <c r="I450" s="5" t="s">
        <v>22</v>
      </c>
      <c r="J450" s="27" t="s">
        <v>303</v>
      </c>
      <c r="K450" s="27" t="s">
        <v>461</v>
      </c>
      <c r="L450" s="27" t="n">
        <v>16</v>
      </c>
      <c r="M450" s="27" t="s">
        <v>41</v>
      </c>
      <c r="N450" s="27" t="s">
        <v>2336</v>
      </c>
      <c r="O450" s="27" t="s">
        <v>77</v>
      </c>
      <c r="P450" s="27" t="s">
        <v>145</v>
      </c>
      <c r="Q450" s="27" t="n">
        <v>1</v>
      </c>
      <c r="R450" s="27"/>
      <c r="S450" s="27" t="s">
        <v>41</v>
      </c>
      <c r="T450" s="27"/>
      <c r="U450" s="27"/>
      <c r="V450" s="27"/>
      <c r="W450" s="27"/>
      <c r="X450" s="27"/>
      <c r="Y450" s="27" t="s">
        <v>41</v>
      </c>
      <c r="Z450" s="27" t="n">
        <v>-7.216866</v>
      </c>
      <c r="AA450" s="27" t="n">
        <v>-48.249899</v>
      </c>
      <c r="AB450" s="37" t="s">
        <v>2338</v>
      </c>
      <c r="AC450" s="27" t="s">
        <v>2339</v>
      </c>
    </row>
    <row r="451" customFormat="false" ht="15" hidden="false" customHeight="false" outlineLevel="0" collapsed="false">
      <c r="A451" s="27" t="n">
        <v>450</v>
      </c>
      <c r="B451" s="27" t="s">
        <v>1550</v>
      </c>
      <c r="C451" s="27" t="s">
        <v>2867</v>
      </c>
      <c r="D451" s="27" t="s">
        <v>1549</v>
      </c>
      <c r="E451" s="27" t="s">
        <v>1551</v>
      </c>
      <c r="F451" s="32" t="n">
        <v>3.45060978457824</v>
      </c>
      <c r="G451" s="28" t="n">
        <v>3262.31154869488</v>
      </c>
      <c r="H451" s="28" t="n">
        <v>3262.31154869488</v>
      </c>
      <c r="I451" s="5" t="s">
        <v>22</v>
      </c>
      <c r="J451" s="27" t="s">
        <v>303</v>
      </c>
      <c r="K451" s="27" t="s">
        <v>461</v>
      </c>
      <c r="L451" s="27" t="n">
        <v>16</v>
      </c>
      <c r="M451" s="27" t="s">
        <v>41</v>
      </c>
      <c r="N451" s="27" t="s">
        <v>2336</v>
      </c>
      <c r="O451" s="27" t="s">
        <v>77</v>
      </c>
      <c r="P451" s="27" t="s">
        <v>145</v>
      </c>
      <c r="Q451" s="27" t="n">
        <v>1</v>
      </c>
      <c r="R451" s="27" t="s">
        <v>1552</v>
      </c>
      <c r="S451" s="27" t="s">
        <v>41</v>
      </c>
      <c r="T451" s="27"/>
      <c r="U451" s="27"/>
      <c r="V451" s="27"/>
      <c r="W451" s="27"/>
      <c r="X451" s="27"/>
      <c r="Y451" s="27" t="s">
        <v>41</v>
      </c>
      <c r="Z451" s="27" t="n">
        <v>-7.216949</v>
      </c>
      <c r="AA451" s="27" t="n">
        <v>-48.249923</v>
      </c>
      <c r="AB451" s="37" t="s">
        <v>2338</v>
      </c>
      <c r="AC451" s="27" t="s">
        <v>2339</v>
      </c>
    </row>
    <row r="452" customFormat="false" ht="15" hidden="false" customHeight="false" outlineLevel="0" collapsed="false">
      <c r="A452" s="27" t="n">
        <v>451</v>
      </c>
      <c r="B452" s="27" t="s">
        <v>1553</v>
      </c>
      <c r="C452" s="27" t="s">
        <v>2868</v>
      </c>
      <c r="D452" s="27" t="s">
        <v>1551</v>
      </c>
      <c r="E452" s="27" t="s">
        <v>1554</v>
      </c>
      <c r="F452" s="32" t="n">
        <v>132.032083367581</v>
      </c>
      <c r="G452" s="28" t="n">
        <v>3394.34363206246</v>
      </c>
      <c r="H452" s="28" t="n">
        <v>3394.34363206246</v>
      </c>
      <c r="I452" s="5" t="s">
        <v>22</v>
      </c>
      <c r="J452" s="27" t="s">
        <v>303</v>
      </c>
      <c r="K452" s="27" t="s">
        <v>461</v>
      </c>
      <c r="L452" s="27" t="n">
        <v>16</v>
      </c>
      <c r="M452" s="27" t="s">
        <v>41</v>
      </c>
      <c r="N452" s="27" t="s">
        <v>2336</v>
      </c>
      <c r="O452" s="27" t="s">
        <v>77</v>
      </c>
      <c r="P452" s="27" t="s">
        <v>145</v>
      </c>
      <c r="Q452" s="27" t="n">
        <v>1</v>
      </c>
      <c r="R452" s="27"/>
      <c r="S452" s="27" t="s">
        <v>41</v>
      </c>
      <c r="T452" s="27"/>
      <c r="U452" s="27"/>
      <c r="V452" s="27"/>
      <c r="W452" s="27"/>
      <c r="X452" s="27"/>
      <c r="Y452" s="27" t="s">
        <v>41</v>
      </c>
      <c r="Z452" s="27" t="n">
        <v>-7.217539</v>
      </c>
      <c r="AA452" s="27" t="n">
        <v>-48.250076</v>
      </c>
      <c r="AB452" s="37" t="s">
        <v>2338</v>
      </c>
      <c r="AC452" s="27" t="s">
        <v>2339</v>
      </c>
    </row>
    <row r="453" customFormat="false" ht="15" hidden="false" customHeight="false" outlineLevel="0" collapsed="false">
      <c r="A453" s="27" t="n">
        <v>452</v>
      </c>
      <c r="B453" s="27" t="s">
        <v>1555</v>
      </c>
      <c r="C453" s="27" t="s">
        <v>2869</v>
      </c>
      <c r="D453" s="27" t="s">
        <v>1554</v>
      </c>
      <c r="E453" s="27" t="s">
        <v>1556</v>
      </c>
      <c r="F453" s="32" t="n">
        <v>35.1730508100063</v>
      </c>
      <c r="G453" s="28" t="n">
        <v>3429.51668287247</v>
      </c>
      <c r="H453" s="28" t="n">
        <v>3429.51668287247</v>
      </c>
      <c r="I453" s="5" t="s">
        <v>22</v>
      </c>
      <c r="J453" s="27" t="s">
        <v>303</v>
      </c>
      <c r="K453" s="27" t="s">
        <v>461</v>
      </c>
      <c r="L453" s="27" t="n">
        <v>16</v>
      </c>
      <c r="M453" s="27" t="s">
        <v>41</v>
      </c>
      <c r="N453" s="27" t="s">
        <v>2336</v>
      </c>
      <c r="O453" s="27" t="s">
        <v>77</v>
      </c>
      <c r="P453" s="27" t="s">
        <v>54</v>
      </c>
      <c r="Q453" s="27" t="n">
        <v>0</v>
      </c>
      <c r="R453" s="27"/>
      <c r="S453" s="27" t="s">
        <v>41</v>
      </c>
      <c r="T453" s="27"/>
      <c r="U453" s="27"/>
      <c r="V453" s="27"/>
      <c r="W453" s="27"/>
      <c r="X453" s="27"/>
      <c r="Y453" s="27" t="s">
        <v>41</v>
      </c>
      <c r="Z453" s="27" t="n">
        <v>-7.218153</v>
      </c>
      <c r="AA453" s="27" t="n">
        <v>-48.2500705</v>
      </c>
      <c r="AB453" s="37" t="s">
        <v>2338</v>
      </c>
      <c r="AC453" s="27" t="s">
        <v>2339</v>
      </c>
    </row>
    <row r="454" customFormat="false" ht="15" hidden="false" customHeight="false" outlineLevel="0" collapsed="false">
      <c r="A454" s="27" t="n">
        <v>453</v>
      </c>
      <c r="B454" s="27" t="s">
        <v>1557</v>
      </c>
      <c r="C454" s="27" t="s">
        <v>2870</v>
      </c>
      <c r="D454" s="27" t="s">
        <v>1554</v>
      </c>
      <c r="E454" s="27" t="s">
        <v>1558</v>
      </c>
      <c r="F454" s="32" t="n">
        <v>25.0170640908781</v>
      </c>
      <c r="G454" s="28" t="n">
        <v>3419.36069615334</v>
      </c>
      <c r="H454" s="28" t="n">
        <v>3419.36069615334</v>
      </c>
      <c r="I454" s="5" t="s">
        <v>22</v>
      </c>
      <c r="J454" s="27" t="s">
        <v>303</v>
      </c>
      <c r="K454" s="27" t="s">
        <v>461</v>
      </c>
      <c r="L454" s="27" t="n">
        <v>16</v>
      </c>
      <c r="M454" s="27" t="s">
        <v>41</v>
      </c>
      <c r="N454" s="27" t="s">
        <v>2336</v>
      </c>
      <c r="O454" s="27" t="s">
        <v>77</v>
      </c>
      <c r="P454" s="27" t="s">
        <v>145</v>
      </c>
      <c r="Q454" s="27" t="n">
        <v>1</v>
      </c>
      <c r="R454" s="27"/>
      <c r="S454" s="27" t="s">
        <v>41</v>
      </c>
      <c r="T454" s="27"/>
      <c r="U454" s="27"/>
      <c r="V454" s="27"/>
      <c r="W454" s="27"/>
      <c r="X454" s="27"/>
      <c r="Y454" s="27" t="s">
        <v>41</v>
      </c>
      <c r="Z454" s="27" t="n">
        <v>-7.218083</v>
      </c>
      <c r="AA454" s="27" t="n">
        <v>-48.250334</v>
      </c>
      <c r="AB454" s="37" t="s">
        <v>2338</v>
      </c>
      <c r="AC454" s="27" t="s">
        <v>2339</v>
      </c>
    </row>
    <row r="455" customFormat="false" ht="15" hidden="false" customHeight="false" outlineLevel="0" collapsed="false">
      <c r="A455" s="27" t="n">
        <v>454</v>
      </c>
      <c r="B455" s="27" t="s">
        <v>1559</v>
      </c>
      <c r="C455" s="27" t="s">
        <v>2871</v>
      </c>
      <c r="D455" s="27" t="s">
        <v>1558</v>
      </c>
      <c r="E455" s="27" t="s">
        <v>1560</v>
      </c>
      <c r="F455" s="32" t="n">
        <v>3.29242761801587</v>
      </c>
      <c r="G455" s="28" t="n">
        <v>3422.65312377136</v>
      </c>
      <c r="H455" s="28" t="n">
        <v>3422.65312377136</v>
      </c>
      <c r="I455" s="5" t="s">
        <v>22</v>
      </c>
      <c r="J455" s="27" t="s">
        <v>303</v>
      </c>
      <c r="K455" s="27" t="s">
        <v>461</v>
      </c>
      <c r="L455" s="27" t="n">
        <v>16</v>
      </c>
      <c r="M455" s="27" t="s">
        <v>41</v>
      </c>
      <c r="N455" s="27" t="s">
        <v>2336</v>
      </c>
      <c r="O455" s="27" t="s">
        <v>77</v>
      </c>
      <c r="P455" s="27" t="s">
        <v>145</v>
      </c>
      <c r="Q455" s="27" t="n">
        <v>1</v>
      </c>
      <c r="R455" s="27"/>
      <c r="S455" s="27" t="s">
        <v>41</v>
      </c>
      <c r="T455" s="27"/>
      <c r="U455" s="27"/>
      <c r="V455" s="27"/>
      <c r="W455" s="27"/>
      <c r="X455" s="27"/>
      <c r="Y455" s="27" t="s">
        <v>41</v>
      </c>
      <c r="Z455" s="27" t="n">
        <v>-7.2180485</v>
      </c>
      <c r="AA455" s="27" t="n">
        <v>-48.2504575</v>
      </c>
      <c r="AB455" s="37" t="s">
        <v>2338</v>
      </c>
      <c r="AC455" s="27" t="s">
        <v>2339</v>
      </c>
    </row>
    <row r="456" customFormat="false" ht="15" hidden="false" customHeight="false" outlineLevel="0" collapsed="false">
      <c r="A456" s="27" t="n">
        <v>455</v>
      </c>
      <c r="B456" s="27" t="s">
        <v>1561</v>
      </c>
      <c r="C456" s="27" t="s">
        <v>2872</v>
      </c>
      <c r="D456" s="27" t="s">
        <v>1443</v>
      </c>
      <c r="E456" s="27" t="s">
        <v>1562</v>
      </c>
      <c r="F456" s="32" t="n">
        <v>26.3103529877237</v>
      </c>
      <c r="G456" s="28" t="n">
        <v>3269.41816521815</v>
      </c>
      <c r="H456" s="28" t="n">
        <v>3269.41816521815</v>
      </c>
      <c r="I456" s="5" t="s">
        <v>22</v>
      </c>
      <c r="J456" s="27" t="s">
        <v>303</v>
      </c>
      <c r="K456" s="27" t="s">
        <v>461</v>
      </c>
      <c r="L456" s="27" t="n">
        <v>16</v>
      </c>
      <c r="M456" s="27" t="s">
        <v>41</v>
      </c>
      <c r="N456" s="27" t="s">
        <v>2336</v>
      </c>
      <c r="O456" s="27" t="s">
        <v>77</v>
      </c>
      <c r="P456" s="27" t="s">
        <v>54</v>
      </c>
      <c r="Q456" s="27" t="n">
        <v>0</v>
      </c>
      <c r="R456" s="27"/>
      <c r="S456" s="27" t="s">
        <v>41</v>
      </c>
      <c r="T456" s="27"/>
      <c r="U456" s="27"/>
      <c r="V456" s="27"/>
      <c r="W456" s="27"/>
      <c r="X456" s="27"/>
      <c r="Y456" s="27" t="s">
        <v>41</v>
      </c>
      <c r="Z456" s="27" t="n">
        <v>-7.216683</v>
      </c>
      <c r="AA456" s="27" t="n">
        <v>-48.249851</v>
      </c>
      <c r="AB456" s="37" t="s">
        <v>2338</v>
      </c>
      <c r="AC456" s="27" t="s">
        <v>2339</v>
      </c>
    </row>
    <row r="457" customFormat="false" ht="15" hidden="false" customHeight="false" outlineLevel="0" collapsed="false">
      <c r="A457" s="27" t="n">
        <v>456</v>
      </c>
      <c r="B457" s="27" t="s">
        <v>1563</v>
      </c>
      <c r="C457" s="27" t="s">
        <v>2873</v>
      </c>
      <c r="D457" s="27" t="s">
        <v>1437</v>
      </c>
      <c r="E457" s="27" t="s">
        <v>1564</v>
      </c>
      <c r="F457" s="32" t="n">
        <v>34.4909387857465</v>
      </c>
      <c r="G457" s="28" t="n">
        <v>3121.34010570986</v>
      </c>
      <c r="H457" s="28" t="n">
        <v>3121.34010570986</v>
      </c>
      <c r="I457" s="5" t="s">
        <v>22</v>
      </c>
      <c r="J457" s="27" t="s">
        <v>303</v>
      </c>
      <c r="K457" s="27" t="s">
        <v>461</v>
      </c>
      <c r="L457" s="27" t="n">
        <v>16</v>
      </c>
      <c r="M457" s="27" t="s">
        <v>41</v>
      </c>
      <c r="N457" s="27" t="s">
        <v>2336</v>
      </c>
      <c r="O457" s="27" t="s">
        <v>77</v>
      </c>
      <c r="P457" s="27" t="s">
        <v>54</v>
      </c>
      <c r="Q457" s="27" t="n">
        <v>0</v>
      </c>
      <c r="R457" s="27"/>
      <c r="S457" s="27" t="s">
        <v>41</v>
      </c>
      <c r="T457" s="27"/>
      <c r="U457" s="27"/>
      <c r="V457" s="27"/>
      <c r="W457" s="27"/>
      <c r="X457" s="27"/>
      <c r="Y457" s="27" t="s">
        <v>41</v>
      </c>
      <c r="Z457" s="27" t="n">
        <v>-7.2172925</v>
      </c>
      <c r="AA457" s="27" t="n">
        <v>-48.248572</v>
      </c>
      <c r="AB457" s="37" t="s">
        <v>2338</v>
      </c>
      <c r="AC457" s="27" t="s">
        <v>2339</v>
      </c>
    </row>
    <row r="458" customFormat="false" ht="15" hidden="false" customHeight="false" outlineLevel="0" collapsed="false">
      <c r="A458" s="27" t="n">
        <v>457</v>
      </c>
      <c r="B458" s="27" t="s">
        <v>1565</v>
      </c>
      <c r="C458" s="27" t="s">
        <v>2874</v>
      </c>
      <c r="D458" s="27" t="s">
        <v>1435</v>
      </c>
      <c r="E458" s="27" t="s">
        <v>1566</v>
      </c>
      <c r="F458" s="32" t="n">
        <v>15.2981980377333</v>
      </c>
      <c r="G458" s="28" t="n">
        <v>3063.96325571157</v>
      </c>
      <c r="H458" s="28" t="n">
        <v>3063.96325571157</v>
      </c>
      <c r="I458" s="5" t="s">
        <v>22</v>
      </c>
      <c r="J458" s="27" t="s">
        <v>303</v>
      </c>
      <c r="K458" s="27" t="s">
        <v>461</v>
      </c>
      <c r="L458" s="27" t="n">
        <v>16</v>
      </c>
      <c r="M458" s="27" t="s">
        <v>41</v>
      </c>
      <c r="N458" s="27" t="s">
        <v>2336</v>
      </c>
      <c r="O458" s="27" t="s">
        <v>77</v>
      </c>
      <c r="P458" s="27" t="s">
        <v>54</v>
      </c>
      <c r="Q458" s="27" t="n">
        <v>0</v>
      </c>
      <c r="R458" s="27"/>
      <c r="S458" s="27" t="s">
        <v>41</v>
      </c>
      <c r="T458" s="27"/>
      <c r="U458" s="27"/>
      <c r="V458" s="27"/>
      <c r="W458" s="27"/>
      <c r="X458" s="27"/>
      <c r="Y458" s="27" t="s">
        <v>41</v>
      </c>
      <c r="Z458" s="27" t="n">
        <v>-7.2167815</v>
      </c>
      <c r="AA458" s="27" t="n">
        <v>-48.248324</v>
      </c>
      <c r="AB458" s="37" t="s">
        <v>2338</v>
      </c>
      <c r="AC458" s="27" t="s">
        <v>2339</v>
      </c>
    </row>
    <row r="459" customFormat="false" ht="15" hidden="false" customHeight="false" outlineLevel="0" collapsed="false">
      <c r="A459" s="27" t="n">
        <v>458</v>
      </c>
      <c r="B459" s="27" t="s">
        <v>1567</v>
      </c>
      <c r="C459" s="27" t="s">
        <v>2875</v>
      </c>
      <c r="D459" s="27" t="s">
        <v>1566</v>
      </c>
      <c r="E459" s="27" t="s">
        <v>1568</v>
      </c>
      <c r="F459" s="32" t="n">
        <v>3.61925718794551</v>
      </c>
      <c r="G459" s="28" t="n">
        <v>3067.58251289951</v>
      </c>
      <c r="H459" s="28" t="n">
        <v>3067.58251289951</v>
      </c>
      <c r="I459" s="5" t="s">
        <v>22</v>
      </c>
      <c r="J459" s="27" t="s">
        <v>303</v>
      </c>
      <c r="K459" s="27" t="s">
        <v>461</v>
      </c>
      <c r="L459" s="27" t="n">
        <v>16</v>
      </c>
      <c r="M459" s="27" t="s">
        <v>41</v>
      </c>
      <c r="N459" s="27" t="s">
        <v>2336</v>
      </c>
      <c r="O459" s="27" t="s">
        <v>77</v>
      </c>
      <c r="P459" s="27" t="s">
        <v>54</v>
      </c>
      <c r="Q459" s="27" t="n">
        <v>0</v>
      </c>
      <c r="R459" s="27"/>
      <c r="S459" s="27" t="s">
        <v>41</v>
      </c>
      <c r="T459" s="27"/>
      <c r="U459" s="27"/>
      <c r="V459" s="27"/>
      <c r="W459" s="27"/>
      <c r="X459" s="27"/>
      <c r="Y459" s="27" t="s">
        <v>41</v>
      </c>
      <c r="Z459" s="27" t="n">
        <v>-7.2167055</v>
      </c>
      <c r="AA459" s="27" t="n">
        <v>-48.248286</v>
      </c>
      <c r="AB459" s="37" t="s">
        <v>2338</v>
      </c>
      <c r="AC459" s="27" t="s">
        <v>2339</v>
      </c>
    </row>
    <row r="460" customFormat="false" ht="15" hidden="false" customHeight="false" outlineLevel="0" collapsed="false">
      <c r="A460" s="27" t="n">
        <v>459</v>
      </c>
      <c r="B460" s="27" t="s">
        <v>1569</v>
      </c>
      <c r="C460" s="27" t="s">
        <v>2876</v>
      </c>
      <c r="D460" s="27" t="s">
        <v>1568</v>
      </c>
      <c r="E460" s="27" t="s">
        <v>1570</v>
      </c>
      <c r="F460" s="32" t="n">
        <v>9.67961766206481</v>
      </c>
      <c r="G460" s="28" t="n">
        <v>3077.26213056158</v>
      </c>
      <c r="H460" s="28" t="n">
        <v>3077.26213056158</v>
      </c>
      <c r="I460" s="5" t="s">
        <v>22</v>
      </c>
      <c r="J460" s="27" t="s">
        <v>303</v>
      </c>
      <c r="K460" s="27" t="s">
        <v>461</v>
      </c>
      <c r="L460" s="27" t="n">
        <v>16</v>
      </c>
      <c r="M460" s="27" t="s">
        <v>41</v>
      </c>
      <c r="N460" s="27" t="s">
        <v>2336</v>
      </c>
      <c r="O460" s="27" t="s">
        <v>77</v>
      </c>
      <c r="P460" s="27" t="s">
        <v>54</v>
      </c>
      <c r="Q460" s="27" t="n">
        <v>0</v>
      </c>
      <c r="R460" s="27"/>
      <c r="S460" s="27" t="s">
        <v>41</v>
      </c>
      <c r="T460" s="27"/>
      <c r="U460" s="27"/>
      <c r="V460" s="27"/>
      <c r="W460" s="27"/>
      <c r="X460" s="27"/>
      <c r="Y460" s="27" t="s">
        <v>41</v>
      </c>
      <c r="Z460" s="27" t="n">
        <v>-7.2166465</v>
      </c>
      <c r="AA460" s="27" t="n">
        <v>-48.2482795</v>
      </c>
      <c r="AB460" s="37" t="s">
        <v>2338</v>
      </c>
      <c r="AC460" s="27" t="s">
        <v>2339</v>
      </c>
    </row>
    <row r="461" customFormat="false" ht="15" hidden="false" customHeight="false" outlineLevel="0" collapsed="false">
      <c r="A461" s="27" t="n">
        <v>460</v>
      </c>
      <c r="B461" s="27" t="s">
        <v>1571</v>
      </c>
      <c r="C461" s="27" t="s">
        <v>2877</v>
      </c>
      <c r="D461" s="27" t="s">
        <v>1435</v>
      </c>
      <c r="E461" s="27" t="s">
        <v>1572</v>
      </c>
      <c r="F461" s="32" t="n">
        <v>15.7180443990306</v>
      </c>
      <c r="G461" s="28" t="n">
        <v>3064.38310207286</v>
      </c>
      <c r="H461" s="28" t="n">
        <v>3064.38310207286</v>
      </c>
      <c r="I461" s="5" t="s">
        <v>22</v>
      </c>
      <c r="J461" s="27" t="s">
        <v>303</v>
      </c>
      <c r="K461" s="27" t="s">
        <v>461</v>
      </c>
      <c r="L461" s="27" t="n">
        <v>16</v>
      </c>
      <c r="M461" s="27" t="s">
        <v>41</v>
      </c>
      <c r="N461" s="27" t="s">
        <v>2336</v>
      </c>
      <c r="O461" s="27" t="s">
        <v>77</v>
      </c>
      <c r="P461" s="27" t="s">
        <v>54</v>
      </c>
      <c r="Q461" s="27" t="n">
        <v>0</v>
      </c>
      <c r="R461" s="27"/>
      <c r="S461" s="27" t="s">
        <v>41</v>
      </c>
      <c r="T461" s="27"/>
      <c r="U461" s="27"/>
      <c r="V461" s="27"/>
      <c r="W461" s="27"/>
      <c r="X461" s="27"/>
      <c r="Y461" s="27" t="s">
        <v>41</v>
      </c>
      <c r="Z461" s="27" t="n">
        <v>-7.216809</v>
      </c>
      <c r="AA461" s="27" t="n">
        <v>-48.24842</v>
      </c>
      <c r="AB461" s="37" t="s">
        <v>2338</v>
      </c>
      <c r="AC461" s="27" t="s">
        <v>2339</v>
      </c>
    </row>
    <row r="462" customFormat="false" ht="15" hidden="false" customHeight="false" outlineLevel="0" collapsed="false">
      <c r="A462" s="27" t="n">
        <v>461</v>
      </c>
      <c r="B462" s="27" t="s">
        <v>1573</v>
      </c>
      <c r="C462" s="27" t="s">
        <v>2878</v>
      </c>
      <c r="D462" s="27" t="s">
        <v>1243</v>
      </c>
      <c r="E462" s="27" t="s">
        <v>1574</v>
      </c>
      <c r="F462" s="32" t="n">
        <v>7.00651122654419</v>
      </c>
      <c r="G462" s="28" t="n">
        <v>2543.87800178852</v>
      </c>
      <c r="H462" s="28" t="n">
        <v>2543.87800178852</v>
      </c>
      <c r="I462" s="5" t="s">
        <v>22</v>
      </c>
      <c r="J462" s="27" t="s">
        <v>303</v>
      </c>
      <c r="K462" s="27" t="s">
        <v>461</v>
      </c>
      <c r="L462" s="27" t="n">
        <v>16</v>
      </c>
      <c r="M462" s="27" t="s">
        <v>41</v>
      </c>
      <c r="N462" s="27" t="s">
        <v>2336</v>
      </c>
      <c r="O462" s="27" t="s">
        <v>77</v>
      </c>
      <c r="P462" s="27" t="s">
        <v>54</v>
      </c>
      <c r="Q462" s="27" t="n">
        <v>0</v>
      </c>
      <c r="R462" s="27"/>
      <c r="S462" s="27" t="s">
        <v>41</v>
      </c>
      <c r="T462" s="27"/>
      <c r="U462" s="27"/>
      <c r="V462" s="27"/>
      <c r="W462" s="27"/>
      <c r="X462" s="27"/>
      <c r="Y462" s="27" t="s">
        <v>41</v>
      </c>
      <c r="Z462" s="27" t="n">
        <v>-7.214986</v>
      </c>
      <c r="AA462" s="27" t="n">
        <v>-48.2456155</v>
      </c>
      <c r="AB462" s="37" t="s">
        <v>2338</v>
      </c>
      <c r="AC462" s="27" t="s">
        <v>2339</v>
      </c>
    </row>
    <row r="463" customFormat="false" ht="15" hidden="false" customHeight="false" outlineLevel="0" collapsed="false">
      <c r="A463" s="27" t="n">
        <v>462</v>
      </c>
      <c r="B463" s="27" t="s">
        <v>1575</v>
      </c>
      <c r="C463" s="27" t="s">
        <v>2879</v>
      </c>
      <c r="D463" s="27" t="s">
        <v>1241</v>
      </c>
      <c r="E463" s="27" t="s">
        <v>1576</v>
      </c>
      <c r="F463" s="32" t="n">
        <v>4.47276096543768</v>
      </c>
      <c r="G463" s="28" t="n">
        <v>2492.10972649283</v>
      </c>
      <c r="H463" s="28" t="n">
        <v>2492.10972649283</v>
      </c>
      <c r="I463" s="5" t="s">
        <v>22</v>
      </c>
      <c r="J463" s="27" t="s">
        <v>303</v>
      </c>
      <c r="K463" s="27" t="s">
        <v>461</v>
      </c>
      <c r="L463" s="27" t="n">
        <v>16</v>
      </c>
      <c r="M463" s="27" t="s">
        <v>41</v>
      </c>
      <c r="N463" s="27" t="s">
        <v>2336</v>
      </c>
      <c r="O463" s="27" t="s">
        <v>77</v>
      </c>
      <c r="P463" s="27" t="s">
        <v>147</v>
      </c>
      <c r="Q463" s="27" t="n">
        <v>1</v>
      </c>
      <c r="R463" s="27"/>
      <c r="S463" s="27" t="s">
        <v>41</v>
      </c>
      <c r="T463" s="27"/>
      <c r="U463" s="27"/>
      <c r="V463" s="27"/>
      <c r="W463" s="27"/>
      <c r="X463" s="27"/>
      <c r="Y463" s="27" t="s">
        <v>41</v>
      </c>
      <c r="Z463" s="27" t="n">
        <v>-7.2146225</v>
      </c>
      <c r="AA463" s="27" t="n">
        <v>-48.2453465</v>
      </c>
      <c r="AB463" s="37" t="s">
        <v>2338</v>
      </c>
      <c r="AC463" s="27" t="s">
        <v>2339</v>
      </c>
    </row>
    <row r="464" customFormat="false" ht="15" hidden="false" customHeight="false" outlineLevel="0" collapsed="false">
      <c r="A464" s="27" t="n">
        <v>463</v>
      </c>
      <c r="B464" s="27" t="s">
        <v>1577</v>
      </c>
      <c r="C464" s="27" t="s">
        <v>2880</v>
      </c>
      <c r="D464" s="27" t="s">
        <v>1314</v>
      </c>
      <c r="E464" s="27" t="s">
        <v>1578</v>
      </c>
      <c r="F464" s="32" t="n">
        <v>103.770061530563</v>
      </c>
      <c r="G464" s="28" t="n">
        <v>4959.61549364897</v>
      </c>
      <c r="H464" s="28" t="n">
        <v>103.770061530562</v>
      </c>
      <c r="I464" s="7" t="s">
        <v>24</v>
      </c>
      <c r="J464" s="27" t="s">
        <v>303</v>
      </c>
      <c r="K464" s="27" t="s">
        <v>461</v>
      </c>
      <c r="L464" s="27" t="n">
        <v>17</v>
      </c>
      <c r="M464" s="27" t="s">
        <v>79</v>
      </c>
      <c r="N464" s="27" t="s">
        <v>2640</v>
      </c>
      <c r="O464" s="27" t="s">
        <v>80</v>
      </c>
      <c r="P464" s="27" t="s">
        <v>2881</v>
      </c>
      <c r="Q464" s="27" t="n">
        <v>17</v>
      </c>
      <c r="R464" s="27"/>
      <c r="S464" s="27" t="s">
        <v>41</v>
      </c>
      <c r="T464" s="27" t="s">
        <v>79</v>
      </c>
      <c r="U464" s="27"/>
      <c r="V464" s="27"/>
      <c r="W464" s="27"/>
      <c r="X464" s="27"/>
      <c r="Y464" s="27" t="s">
        <v>2882</v>
      </c>
      <c r="Z464" s="27" t="n">
        <v>-7.231022</v>
      </c>
      <c r="AA464" s="27" t="n">
        <v>-48.255795</v>
      </c>
      <c r="AB464" s="37" t="s">
        <v>2338</v>
      </c>
      <c r="AC464" s="27" t="s">
        <v>2883</v>
      </c>
    </row>
    <row r="465" customFormat="false" ht="15" hidden="false" customHeight="false" outlineLevel="0" collapsed="false">
      <c r="A465" s="27" t="n">
        <v>464</v>
      </c>
      <c r="B465" s="27" t="s">
        <v>1579</v>
      </c>
      <c r="C465" s="27" t="s">
        <v>2884</v>
      </c>
      <c r="D465" s="27" t="s">
        <v>1578</v>
      </c>
      <c r="E465" s="27" t="s">
        <v>1580</v>
      </c>
      <c r="F465" s="32" t="n">
        <v>138.480663749315</v>
      </c>
      <c r="G465" s="28" t="n">
        <v>5098.09615739828</v>
      </c>
      <c r="H465" s="28" t="n">
        <v>242.250725279877</v>
      </c>
      <c r="I465" s="7" t="s">
        <v>24</v>
      </c>
      <c r="J465" s="27" t="s">
        <v>303</v>
      </c>
      <c r="K465" s="27" t="s">
        <v>461</v>
      </c>
      <c r="L465" s="27" t="n">
        <v>17</v>
      </c>
      <c r="M465" s="27" t="s">
        <v>79</v>
      </c>
      <c r="N465" s="27" t="s">
        <v>2640</v>
      </c>
      <c r="O465" s="27" t="s">
        <v>80</v>
      </c>
      <c r="P465" s="27" t="s">
        <v>2885</v>
      </c>
      <c r="Q465" s="27" t="n">
        <v>16</v>
      </c>
      <c r="R465" s="27"/>
      <c r="S465" s="27" t="s">
        <v>41</v>
      </c>
      <c r="T465" s="27" t="s">
        <v>79</v>
      </c>
      <c r="U465" s="27"/>
      <c r="V465" s="27"/>
      <c r="W465" s="27"/>
      <c r="X465" s="27"/>
      <c r="Y465" s="27" t="s">
        <v>2882</v>
      </c>
      <c r="Z465" s="27" t="n">
        <v>-7.2306985</v>
      </c>
      <c r="AA465" s="27" t="n">
        <v>-48.2568435</v>
      </c>
      <c r="AB465" s="37" t="s">
        <v>2338</v>
      </c>
      <c r="AC465" s="27" t="s">
        <v>2883</v>
      </c>
    </row>
    <row r="466" customFormat="false" ht="15" hidden="false" customHeight="false" outlineLevel="0" collapsed="false">
      <c r="A466" s="27" t="n">
        <v>465</v>
      </c>
      <c r="B466" s="27" t="s">
        <v>1581</v>
      </c>
      <c r="C466" s="27" t="s">
        <v>2886</v>
      </c>
      <c r="D466" s="27" t="s">
        <v>1580</v>
      </c>
      <c r="E466" s="27" t="s">
        <v>1582</v>
      </c>
      <c r="F466" s="32" t="n">
        <v>3.93073683289801</v>
      </c>
      <c r="G466" s="28" t="n">
        <v>5102.02689423118</v>
      </c>
      <c r="H466" s="28" t="n">
        <v>246.181462112775</v>
      </c>
      <c r="I466" s="7" t="s">
        <v>24</v>
      </c>
      <c r="J466" s="27" t="s">
        <v>303</v>
      </c>
      <c r="K466" s="27" t="s">
        <v>461</v>
      </c>
      <c r="L466" s="27" t="n">
        <v>17</v>
      </c>
      <c r="M466" s="27" t="s">
        <v>79</v>
      </c>
      <c r="N466" s="27" t="s">
        <v>2640</v>
      </c>
      <c r="O466" s="27" t="s">
        <v>80</v>
      </c>
      <c r="P466" s="27" t="s">
        <v>54</v>
      </c>
      <c r="Q466" s="27" t="n">
        <v>0</v>
      </c>
      <c r="R466" s="27"/>
      <c r="S466" s="27" t="s">
        <v>41</v>
      </c>
      <c r="T466" s="27" t="s">
        <v>79</v>
      </c>
      <c r="U466" s="27"/>
      <c r="V466" s="27"/>
      <c r="W466" s="27"/>
      <c r="X466" s="27"/>
      <c r="Y466" s="27" t="s">
        <v>2882</v>
      </c>
      <c r="Z466" s="27" t="n">
        <v>-7.2305005</v>
      </c>
      <c r="AA466" s="27" t="n">
        <v>-48.2574545</v>
      </c>
      <c r="AB466" s="37" t="s">
        <v>2338</v>
      </c>
      <c r="AC466" s="27" t="s">
        <v>2883</v>
      </c>
    </row>
    <row r="467" customFormat="false" ht="15" hidden="false" customHeight="false" outlineLevel="0" collapsed="false">
      <c r="A467" s="27" t="n">
        <v>466</v>
      </c>
      <c r="B467" s="27" t="s">
        <v>1583</v>
      </c>
      <c r="C467" s="27" t="s">
        <v>2887</v>
      </c>
      <c r="D467" s="27" t="s">
        <v>1580</v>
      </c>
      <c r="E467" s="27" t="s">
        <v>1584</v>
      </c>
      <c r="F467" s="32" t="n">
        <v>223.051605580443</v>
      </c>
      <c r="G467" s="28" t="n">
        <v>5321.14776297873</v>
      </c>
      <c r="H467" s="28" t="n">
        <v>465.30233086032</v>
      </c>
      <c r="I467" s="7" t="s">
        <v>24</v>
      </c>
      <c r="J467" s="27" t="s">
        <v>303</v>
      </c>
      <c r="K467" s="27" t="s">
        <v>461</v>
      </c>
      <c r="L467" s="27" t="n">
        <v>17</v>
      </c>
      <c r="M467" s="27" t="s">
        <v>79</v>
      </c>
      <c r="N467" s="27" t="s">
        <v>2640</v>
      </c>
      <c r="O467" s="27" t="s">
        <v>80</v>
      </c>
      <c r="P467" s="27" t="s">
        <v>2885</v>
      </c>
      <c r="Q467" s="27" t="n">
        <v>16</v>
      </c>
      <c r="R467" s="27"/>
      <c r="S467" s="27" t="s">
        <v>41</v>
      </c>
      <c r="T467" s="27" t="s">
        <v>79</v>
      </c>
      <c r="U467" s="27"/>
      <c r="V467" s="27"/>
      <c r="W467" s="27"/>
      <c r="X467" s="27"/>
      <c r="Y467" s="27" t="s">
        <v>2882</v>
      </c>
      <c r="Z467" s="27" t="n">
        <v>-7.2315115</v>
      </c>
      <c r="AA467" s="27" t="n">
        <v>-48.2575485</v>
      </c>
      <c r="AB467" s="37" t="s">
        <v>2338</v>
      </c>
      <c r="AC467" s="27" t="s">
        <v>2883</v>
      </c>
    </row>
    <row r="468" customFormat="false" ht="15" hidden="false" customHeight="false" outlineLevel="0" collapsed="false">
      <c r="A468" s="27" t="n">
        <v>467</v>
      </c>
      <c r="B468" s="27" t="s">
        <v>1585</v>
      </c>
      <c r="C468" s="27" t="s">
        <v>2888</v>
      </c>
      <c r="D468" s="27" t="s">
        <v>1584</v>
      </c>
      <c r="E468" s="27" t="s">
        <v>1586</v>
      </c>
      <c r="F468" s="32" t="n">
        <v>450.103076029033</v>
      </c>
      <c r="G468" s="28" t="n">
        <v>5771.25083900776</v>
      </c>
      <c r="H468" s="28" t="n">
        <v>915.405406889353</v>
      </c>
      <c r="I468" s="7" t="s">
        <v>24</v>
      </c>
      <c r="J468" s="27" t="s">
        <v>303</v>
      </c>
      <c r="K468" s="27" t="s">
        <v>461</v>
      </c>
      <c r="L468" s="27" t="n">
        <v>17</v>
      </c>
      <c r="M468" s="27" t="s">
        <v>79</v>
      </c>
      <c r="N468" s="27" t="s">
        <v>2640</v>
      </c>
      <c r="O468" s="27" t="s">
        <v>80</v>
      </c>
      <c r="P468" s="27" t="s">
        <v>2889</v>
      </c>
      <c r="Q468" s="27" t="n">
        <v>14</v>
      </c>
      <c r="R468" s="27"/>
      <c r="S468" s="27" t="s">
        <v>41</v>
      </c>
      <c r="T468" s="27" t="s">
        <v>79</v>
      </c>
      <c r="U468" s="27"/>
      <c r="V468" s="27"/>
      <c r="W468" s="27"/>
      <c r="X468" s="27"/>
      <c r="Y468" s="27" t="s">
        <v>2882</v>
      </c>
      <c r="Z468" s="27" t="n">
        <v>-7.2345175</v>
      </c>
      <c r="AA468" s="27" t="n">
        <v>-48.2579055</v>
      </c>
      <c r="AB468" s="37" t="s">
        <v>2338</v>
      </c>
      <c r="AC468" s="27" t="s">
        <v>2883</v>
      </c>
    </row>
    <row r="469" customFormat="false" ht="15" hidden="false" customHeight="false" outlineLevel="0" collapsed="false">
      <c r="A469" s="27" t="n">
        <v>468</v>
      </c>
      <c r="B469" s="27" t="s">
        <v>1587</v>
      </c>
      <c r="C469" s="27" t="s">
        <v>2890</v>
      </c>
      <c r="D469" s="27" t="s">
        <v>1586</v>
      </c>
      <c r="E469" s="27" t="s">
        <v>1588</v>
      </c>
      <c r="F469" s="32" t="n">
        <v>20.4065455604285</v>
      </c>
      <c r="G469" s="28" t="n">
        <v>5791.65738456819</v>
      </c>
      <c r="H469" s="28" t="n">
        <v>935.811952449782</v>
      </c>
      <c r="I469" s="7" t="s">
        <v>24</v>
      </c>
      <c r="J469" s="27" t="s">
        <v>303</v>
      </c>
      <c r="K469" s="27" t="s">
        <v>461</v>
      </c>
      <c r="L469" s="27" t="n">
        <v>17</v>
      </c>
      <c r="M469" s="27" t="s">
        <v>79</v>
      </c>
      <c r="N469" s="27" t="s">
        <v>2640</v>
      </c>
      <c r="O469" s="27" t="s">
        <v>80</v>
      </c>
      <c r="P469" s="27" t="s">
        <v>54</v>
      </c>
      <c r="Q469" s="27" t="n">
        <v>0</v>
      </c>
      <c r="R469" s="27"/>
      <c r="S469" s="27" t="s">
        <v>41</v>
      </c>
      <c r="T469" s="27" t="s">
        <v>79</v>
      </c>
      <c r="U469" s="27"/>
      <c r="V469" s="27"/>
      <c r="W469" s="27"/>
      <c r="X469" s="27"/>
      <c r="Y469" s="27" t="s">
        <v>2882</v>
      </c>
      <c r="Z469" s="27" t="n">
        <v>-7.2364855</v>
      </c>
      <c r="AA469" s="27" t="n">
        <v>-48.258074</v>
      </c>
      <c r="AB469" s="37" t="s">
        <v>2338</v>
      </c>
      <c r="AC469" s="27" t="s">
        <v>2883</v>
      </c>
    </row>
    <row r="470" customFormat="false" ht="15" hidden="false" customHeight="false" outlineLevel="0" collapsed="false">
      <c r="A470" s="27" t="n">
        <v>469</v>
      </c>
      <c r="B470" s="27" t="s">
        <v>1589</v>
      </c>
      <c r="C470" s="27" t="s">
        <v>2891</v>
      </c>
      <c r="D470" s="27" t="s">
        <v>1586</v>
      </c>
      <c r="E470" s="27" t="s">
        <v>1590</v>
      </c>
      <c r="F470" s="32" t="n">
        <v>4.45326523178018</v>
      </c>
      <c r="G470" s="28" t="n">
        <v>5775.70410423954</v>
      </c>
      <c r="H470" s="28" t="n">
        <v>919.858672121133</v>
      </c>
      <c r="I470" s="7" t="s">
        <v>24</v>
      </c>
      <c r="J470" s="27" t="s">
        <v>303</v>
      </c>
      <c r="K470" s="27" t="s">
        <v>461</v>
      </c>
      <c r="L470" s="27" t="n">
        <v>17</v>
      </c>
      <c r="M470" s="27" t="s">
        <v>79</v>
      </c>
      <c r="N470" s="27" t="s">
        <v>2640</v>
      </c>
      <c r="O470" s="27" t="s">
        <v>80</v>
      </c>
      <c r="P470" s="27" t="s">
        <v>2889</v>
      </c>
      <c r="Q470" s="27" t="n">
        <v>14</v>
      </c>
      <c r="R470" s="27"/>
      <c r="S470" s="27" t="s">
        <v>41</v>
      </c>
      <c r="T470" s="27" t="s">
        <v>79</v>
      </c>
      <c r="U470" s="27"/>
      <c r="V470" s="27"/>
      <c r="W470" s="27"/>
      <c r="X470" s="27"/>
      <c r="Y470" s="27" t="s">
        <v>2882</v>
      </c>
      <c r="Z470" s="27" t="n">
        <v>-7.236546</v>
      </c>
      <c r="AA470" s="27" t="n">
        <v>-48.258158</v>
      </c>
      <c r="AB470" s="37" t="s">
        <v>2338</v>
      </c>
      <c r="AC470" s="27" t="s">
        <v>2883</v>
      </c>
    </row>
    <row r="471" customFormat="false" ht="15" hidden="false" customHeight="false" outlineLevel="0" collapsed="false">
      <c r="A471" s="27" t="n">
        <v>470</v>
      </c>
      <c r="B471" s="27" t="s">
        <v>1591</v>
      </c>
      <c r="C471" s="27" t="s">
        <v>2892</v>
      </c>
      <c r="D471" s="27" t="s">
        <v>1590</v>
      </c>
      <c r="E471" s="27" t="s">
        <v>1592</v>
      </c>
      <c r="F471" s="32" t="n">
        <v>10.0566665671299</v>
      </c>
      <c r="G471" s="28" t="n">
        <v>5785.76077080667</v>
      </c>
      <c r="H471" s="28" t="n">
        <v>929.915338688263</v>
      </c>
      <c r="I471" s="7" t="s">
        <v>24</v>
      </c>
      <c r="J471" s="27" t="s">
        <v>303</v>
      </c>
      <c r="K471" s="27" t="s">
        <v>461</v>
      </c>
      <c r="L471" s="27" t="n">
        <v>17</v>
      </c>
      <c r="M471" s="27" t="s">
        <v>79</v>
      </c>
      <c r="N471" s="27" t="s">
        <v>2640</v>
      </c>
      <c r="O471" s="27" t="s">
        <v>80</v>
      </c>
      <c r="P471" s="27" t="s">
        <v>2889</v>
      </c>
      <c r="Q471" s="27" t="n">
        <v>14</v>
      </c>
      <c r="R471" s="27"/>
      <c r="S471" s="27" t="s">
        <v>41</v>
      </c>
      <c r="T471" s="27" t="s">
        <v>79</v>
      </c>
      <c r="U471" s="27"/>
      <c r="V471" s="27"/>
      <c r="W471" s="27"/>
      <c r="X471" s="27"/>
      <c r="Y471" s="27" t="s">
        <v>2882</v>
      </c>
      <c r="Z471" s="27" t="n">
        <v>-7.236611</v>
      </c>
      <c r="AA471" s="27" t="n">
        <v>-48.2581635</v>
      </c>
      <c r="AB471" s="37" t="s">
        <v>2338</v>
      </c>
      <c r="AC471" s="27" t="s">
        <v>2883</v>
      </c>
    </row>
    <row r="472" customFormat="false" ht="15" hidden="false" customHeight="false" outlineLevel="0" collapsed="false">
      <c r="A472" s="27" t="n">
        <v>471</v>
      </c>
      <c r="B472" s="27" t="s">
        <v>1593</v>
      </c>
      <c r="C472" s="27" t="s">
        <v>2893</v>
      </c>
      <c r="D472" s="27" t="s">
        <v>1586</v>
      </c>
      <c r="E472" s="27" t="s">
        <v>1594</v>
      </c>
      <c r="F472" s="32" t="n">
        <v>70.7138093593791</v>
      </c>
      <c r="G472" s="28" t="n">
        <v>5841.96464836714</v>
      </c>
      <c r="H472" s="28" t="n">
        <v>986.119216248732</v>
      </c>
      <c r="I472" s="7" t="s">
        <v>24</v>
      </c>
      <c r="J472" s="27" t="s">
        <v>303</v>
      </c>
      <c r="K472" s="27" t="s">
        <v>461</v>
      </c>
      <c r="L472" s="27" t="n">
        <v>17</v>
      </c>
      <c r="M472" s="27" t="s">
        <v>79</v>
      </c>
      <c r="N472" s="27" t="s">
        <v>2640</v>
      </c>
      <c r="O472" s="27" t="s">
        <v>80</v>
      </c>
      <c r="P472" s="27" t="s">
        <v>54</v>
      </c>
      <c r="Q472" s="27" t="n">
        <v>0</v>
      </c>
      <c r="R472" s="27"/>
      <c r="S472" s="27" t="s">
        <v>41</v>
      </c>
      <c r="T472" s="27" t="s">
        <v>79</v>
      </c>
      <c r="U472" s="27"/>
      <c r="V472" s="27"/>
      <c r="W472" s="27"/>
      <c r="X472" s="27"/>
      <c r="Y472" s="27" t="s">
        <v>2882</v>
      </c>
      <c r="Z472" s="27" t="n">
        <v>-7.2366715</v>
      </c>
      <c r="AA472" s="27" t="n">
        <v>-48.258442</v>
      </c>
      <c r="AB472" s="37" t="s">
        <v>2338</v>
      </c>
      <c r="AC472" s="27" t="s">
        <v>2883</v>
      </c>
    </row>
    <row r="473" customFormat="false" ht="15" hidden="false" customHeight="false" outlineLevel="0" collapsed="false">
      <c r="A473" s="27" t="n">
        <v>472</v>
      </c>
      <c r="B473" s="27" t="s">
        <v>1595</v>
      </c>
      <c r="C473" s="27" t="s">
        <v>2894</v>
      </c>
      <c r="D473" s="27" t="s">
        <v>1594</v>
      </c>
      <c r="E473" s="27" t="s">
        <v>1596</v>
      </c>
      <c r="F473" s="32" t="n">
        <v>47.3895668827574</v>
      </c>
      <c r="G473" s="28" t="n">
        <v>5889.3542152499</v>
      </c>
      <c r="H473" s="28" t="n">
        <v>1033.50878313149</v>
      </c>
      <c r="I473" s="7" t="s">
        <v>24</v>
      </c>
      <c r="J473" s="27" t="s">
        <v>303</v>
      </c>
      <c r="K473" s="27" t="s">
        <v>461</v>
      </c>
      <c r="L473" s="27" t="n">
        <v>17</v>
      </c>
      <c r="M473" s="27" t="s">
        <v>79</v>
      </c>
      <c r="N473" s="27" t="s">
        <v>2640</v>
      </c>
      <c r="O473" s="27" t="s">
        <v>80</v>
      </c>
      <c r="P473" s="27" t="s">
        <v>54</v>
      </c>
      <c r="Q473" s="27" t="n">
        <v>0</v>
      </c>
      <c r="R473" s="27"/>
      <c r="S473" s="27" t="s">
        <v>41</v>
      </c>
      <c r="T473" s="27" t="s">
        <v>79</v>
      </c>
      <c r="U473" s="27"/>
      <c r="V473" s="27"/>
      <c r="W473" s="27"/>
      <c r="X473" s="27"/>
      <c r="Y473" s="27" t="s">
        <v>2882</v>
      </c>
      <c r="Z473" s="27" t="n">
        <v>-7.2369145</v>
      </c>
      <c r="AA473" s="27" t="n">
        <v>-48.258918</v>
      </c>
      <c r="AB473" s="37" t="s">
        <v>2338</v>
      </c>
      <c r="AC473" s="27" t="s">
        <v>2883</v>
      </c>
    </row>
    <row r="474" customFormat="false" ht="15" hidden="false" customHeight="false" outlineLevel="0" collapsed="false">
      <c r="A474" s="27" t="n">
        <v>473</v>
      </c>
      <c r="B474" s="27" t="s">
        <v>1597</v>
      </c>
      <c r="C474" s="27" t="s">
        <v>2895</v>
      </c>
      <c r="D474" s="27" t="s">
        <v>1584</v>
      </c>
      <c r="E474" s="27" t="s">
        <v>1598</v>
      </c>
      <c r="F474" s="32" t="n">
        <v>2.98045025432761</v>
      </c>
      <c r="G474" s="28" t="n">
        <v>5324.12821323305</v>
      </c>
      <c r="H474" s="28" t="n">
        <v>468.282781114647</v>
      </c>
      <c r="I474" s="7" t="s">
        <v>24</v>
      </c>
      <c r="J474" s="27" t="s">
        <v>303</v>
      </c>
      <c r="K474" s="27" t="s">
        <v>461</v>
      </c>
      <c r="L474" s="27" t="n">
        <v>17</v>
      </c>
      <c r="M474" s="27" t="s">
        <v>79</v>
      </c>
      <c r="N474" s="27" t="s">
        <v>2640</v>
      </c>
      <c r="O474" s="27" t="s">
        <v>80</v>
      </c>
      <c r="P474" s="27" t="s">
        <v>2896</v>
      </c>
      <c r="Q474" s="27" t="n">
        <v>2</v>
      </c>
      <c r="R474" s="27"/>
      <c r="S474" s="27" t="s">
        <v>41</v>
      </c>
      <c r="T474" s="27" t="s">
        <v>79</v>
      </c>
      <c r="U474" s="27"/>
      <c r="V474" s="27"/>
      <c r="W474" s="27"/>
      <c r="X474" s="27"/>
      <c r="Y474" s="27" t="s">
        <v>2882</v>
      </c>
      <c r="Z474" s="27" t="n">
        <v>-7.2325095</v>
      </c>
      <c r="AA474" s="27" t="n">
        <v>-48.2576675</v>
      </c>
      <c r="AB474" s="37" t="s">
        <v>2338</v>
      </c>
      <c r="AC474" s="27" t="s">
        <v>2883</v>
      </c>
    </row>
    <row r="475" customFormat="false" ht="15" hidden="false" customHeight="false" outlineLevel="0" collapsed="false">
      <c r="A475" s="27" t="n">
        <v>474</v>
      </c>
      <c r="B475" s="27" t="s">
        <v>1599</v>
      </c>
      <c r="C475" s="27" t="s">
        <v>2897</v>
      </c>
      <c r="D475" s="27" t="s">
        <v>1580</v>
      </c>
      <c r="E475" s="27" t="s">
        <v>1600</v>
      </c>
      <c r="F475" s="32" t="n">
        <v>13.252197429845</v>
      </c>
      <c r="G475" s="28" t="n">
        <v>5111.34835482813</v>
      </c>
      <c r="H475" s="28" t="n">
        <v>255.502922709722</v>
      </c>
      <c r="I475" s="7" t="s">
        <v>24</v>
      </c>
      <c r="J475" s="27" t="s">
        <v>303</v>
      </c>
      <c r="K475" s="27" t="s">
        <v>461</v>
      </c>
      <c r="L475" s="27" t="n">
        <v>17</v>
      </c>
      <c r="M475" s="27" t="s">
        <v>79</v>
      </c>
      <c r="N475" s="27" t="s">
        <v>2640</v>
      </c>
      <c r="O475" s="27" t="s">
        <v>80</v>
      </c>
      <c r="P475" s="27" t="s">
        <v>54</v>
      </c>
      <c r="Q475" s="27" t="n">
        <v>0</v>
      </c>
      <c r="R475" s="27"/>
      <c r="S475" s="27" t="s">
        <v>41</v>
      </c>
      <c r="T475" s="27" t="s">
        <v>79</v>
      </c>
      <c r="U475" s="27"/>
      <c r="V475" s="27"/>
      <c r="W475" s="27"/>
      <c r="X475" s="27"/>
      <c r="Y475" s="27" t="s">
        <v>2882</v>
      </c>
      <c r="Z475" s="27" t="n">
        <v>-7.2304985</v>
      </c>
      <c r="AA475" s="27" t="n">
        <v>-48.257501</v>
      </c>
      <c r="AB475" s="37" t="s">
        <v>2338</v>
      </c>
      <c r="AC475" s="27" t="s">
        <v>2883</v>
      </c>
    </row>
    <row r="476" customFormat="false" ht="15" hidden="false" customHeight="false" outlineLevel="0" collapsed="false">
      <c r="A476" s="27" t="n">
        <v>475</v>
      </c>
      <c r="B476" s="27" t="s">
        <v>1601</v>
      </c>
      <c r="C476" s="27" t="s">
        <v>2898</v>
      </c>
      <c r="D476" s="27" t="s">
        <v>1578</v>
      </c>
      <c r="E476" s="27" t="s">
        <v>1602</v>
      </c>
      <c r="F476" s="32" t="n">
        <v>0.469887911715338</v>
      </c>
      <c r="G476" s="28" t="n">
        <v>4960.08538156068</v>
      </c>
      <c r="H476" s="28" t="n">
        <v>104.239949442277</v>
      </c>
      <c r="I476" s="7" t="s">
        <v>24</v>
      </c>
      <c r="J476" s="27" t="s">
        <v>303</v>
      </c>
      <c r="K476" s="27" t="s">
        <v>461</v>
      </c>
      <c r="L476" s="27" t="n">
        <v>17</v>
      </c>
      <c r="M476" s="27" t="s">
        <v>79</v>
      </c>
      <c r="N476" s="27" t="s">
        <v>2640</v>
      </c>
      <c r="O476" s="27" t="s">
        <v>80</v>
      </c>
      <c r="P476" s="27" t="s">
        <v>113</v>
      </c>
      <c r="Q476" s="27" t="n">
        <v>1</v>
      </c>
      <c r="R476" s="27"/>
      <c r="S476" s="27" t="s">
        <v>41</v>
      </c>
      <c r="T476" s="27" t="s">
        <v>79</v>
      </c>
      <c r="U476" s="27"/>
      <c r="V476" s="27"/>
      <c r="W476" s="27"/>
      <c r="X476" s="27"/>
      <c r="Y476" s="27" t="s">
        <v>2882</v>
      </c>
      <c r="Z476" s="27" t="n">
        <v>-7.2308815</v>
      </c>
      <c r="AA476" s="27" t="n">
        <v>-48.2562425</v>
      </c>
      <c r="AB476" s="37" t="s">
        <v>2338</v>
      </c>
      <c r="AC476" s="27" t="s">
        <v>2883</v>
      </c>
    </row>
    <row r="477" customFormat="false" ht="15" hidden="false" customHeight="false" outlineLevel="0" collapsed="false">
      <c r="A477" s="27" t="n">
        <v>476</v>
      </c>
      <c r="B477" s="27" t="s">
        <v>1603</v>
      </c>
      <c r="C477" s="27" t="s">
        <v>2899</v>
      </c>
      <c r="D477" s="27" t="s">
        <v>1592</v>
      </c>
      <c r="E477" s="27" t="s">
        <v>1604</v>
      </c>
      <c r="F477" s="32" t="n">
        <v>315.994317322758</v>
      </c>
      <c r="G477" s="28" t="n">
        <v>6101.75508812943</v>
      </c>
      <c r="H477" s="28" t="n">
        <v>315.994317322758</v>
      </c>
      <c r="I477" s="7" t="s">
        <v>24</v>
      </c>
      <c r="J477" s="27" t="s">
        <v>303</v>
      </c>
      <c r="K477" s="27" t="s">
        <v>461</v>
      </c>
      <c r="L477" s="27" t="n">
        <v>18</v>
      </c>
      <c r="M477" s="27" t="s">
        <v>81</v>
      </c>
      <c r="N477" s="27" t="s">
        <v>2655</v>
      </c>
      <c r="O477" s="27" t="s">
        <v>82</v>
      </c>
      <c r="P477" s="27" t="s">
        <v>2900</v>
      </c>
      <c r="Q477" s="27" t="n">
        <v>13</v>
      </c>
      <c r="R477" s="27"/>
      <c r="S477" s="27" t="s">
        <v>41</v>
      </c>
      <c r="T477" s="27" t="s">
        <v>79</v>
      </c>
      <c r="U477" s="27" t="s">
        <v>81</v>
      </c>
      <c r="V477" s="27"/>
      <c r="W477" s="27"/>
      <c r="X477" s="27"/>
      <c r="Y477" s="27" t="s">
        <v>2901</v>
      </c>
      <c r="Z477" s="27" t="n">
        <v>-7.2380665</v>
      </c>
      <c r="AA477" s="27" t="n">
        <v>-48.258341</v>
      </c>
      <c r="AB477" s="37" t="s">
        <v>2338</v>
      </c>
      <c r="AC477" s="27" t="s">
        <v>2902</v>
      </c>
    </row>
    <row r="478" customFormat="false" ht="15" hidden="false" customHeight="false" outlineLevel="0" collapsed="false">
      <c r="A478" s="27" t="n">
        <v>477</v>
      </c>
      <c r="B478" s="27" t="s">
        <v>1605</v>
      </c>
      <c r="C478" s="27" t="s">
        <v>2903</v>
      </c>
      <c r="D478" s="27" t="s">
        <v>1604</v>
      </c>
      <c r="E478" s="27" t="s">
        <v>1606</v>
      </c>
      <c r="F478" s="32" t="n">
        <v>3.06513971936592</v>
      </c>
      <c r="G478" s="28" t="n">
        <v>6104.82022784879</v>
      </c>
      <c r="H478" s="28" t="n">
        <v>319.059457042124</v>
      </c>
      <c r="I478" s="7" t="s">
        <v>24</v>
      </c>
      <c r="J478" s="27" t="s">
        <v>303</v>
      </c>
      <c r="K478" s="27" t="s">
        <v>461</v>
      </c>
      <c r="L478" s="27" t="n">
        <v>18</v>
      </c>
      <c r="M478" s="27" t="s">
        <v>81</v>
      </c>
      <c r="N478" s="27" t="s">
        <v>2655</v>
      </c>
      <c r="O478" s="27" t="s">
        <v>82</v>
      </c>
      <c r="P478" s="27" t="s">
        <v>2900</v>
      </c>
      <c r="Q478" s="27" t="n">
        <v>13</v>
      </c>
      <c r="R478" s="27"/>
      <c r="S478" s="27" t="s">
        <v>41</v>
      </c>
      <c r="T478" s="27" t="s">
        <v>79</v>
      </c>
      <c r="U478" s="27" t="s">
        <v>81</v>
      </c>
      <c r="V478" s="27"/>
      <c r="W478" s="27"/>
      <c r="X478" s="27"/>
      <c r="Y478" s="27" t="s">
        <v>2901</v>
      </c>
      <c r="Z478" s="27" t="n">
        <v>-7.2394875</v>
      </c>
      <c r="AA478" s="27" t="n">
        <v>-48.258523</v>
      </c>
      <c r="AB478" s="37" t="s">
        <v>2338</v>
      </c>
      <c r="AC478" s="27" t="s">
        <v>2902</v>
      </c>
    </row>
    <row r="479" customFormat="false" ht="15" hidden="false" customHeight="false" outlineLevel="0" collapsed="false">
      <c r="A479" s="27" t="n">
        <v>478</v>
      </c>
      <c r="B479" s="27" t="s">
        <v>1607</v>
      </c>
      <c r="C479" s="27" t="s">
        <v>2904</v>
      </c>
      <c r="D479" s="27" t="s">
        <v>1606</v>
      </c>
      <c r="E479" s="27" t="s">
        <v>1608</v>
      </c>
      <c r="F479" s="32" t="n">
        <v>499.576321789972</v>
      </c>
      <c r="G479" s="28" t="n">
        <v>6604.39654963876</v>
      </c>
      <c r="H479" s="28" t="n">
        <v>818.635778832096</v>
      </c>
      <c r="I479" s="7" t="s">
        <v>24</v>
      </c>
      <c r="J479" s="27" t="s">
        <v>303</v>
      </c>
      <c r="K479" s="27" t="s">
        <v>461</v>
      </c>
      <c r="L479" s="27" t="n">
        <v>18</v>
      </c>
      <c r="M479" s="27" t="s">
        <v>81</v>
      </c>
      <c r="N479" s="27" t="s">
        <v>2655</v>
      </c>
      <c r="O479" s="27" t="s">
        <v>82</v>
      </c>
      <c r="P479" s="27" t="s">
        <v>2900</v>
      </c>
      <c r="Q479" s="27" t="n">
        <v>13</v>
      </c>
      <c r="R479" s="27"/>
      <c r="S479" s="27" t="s">
        <v>41</v>
      </c>
      <c r="T479" s="27" t="s">
        <v>79</v>
      </c>
      <c r="U479" s="27" t="s">
        <v>81</v>
      </c>
      <c r="V479" s="27"/>
      <c r="W479" s="27"/>
      <c r="X479" s="27"/>
      <c r="Y479" s="27" t="s">
        <v>2901</v>
      </c>
      <c r="Z479" s="27" t="n">
        <v>-7.2400805</v>
      </c>
      <c r="AA479" s="27" t="n">
        <v>-48.260719</v>
      </c>
      <c r="AB479" s="37" t="s">
        <v>2338</v>
      </c>
      <c r="AC479" s="27" t="s">
        <v>2902</v>
      </c>
    </row>
    <row r="480" customFormat="false" ht="15" hidden="false" customHeight="false" outlineLevel="0" collapsed="false">
      <c r="A480" s="27" t="n">
        <v>479</v>
      </c>
      <c r="B480" s="27" t="s">
        <v>1609</v>
      </c>
      <c r="C480" s="27" t="s">
        <v>2905</v>
      </c>
      <c r="D480" s="27" t="s">
        <v>1608</v>
      </c>
      <c r="E480" s="27" t="s">
        <v>1610</v>
      </c>
      <c r="F480" s="32" t="n">
        <v>441.233006623099</v>
      </c>
      <c r="G480" s="28" t="n">
        <v>7045.62955626186</v>
      </c>
      <c r="H480" s="28" t="n">
        <v>1259.86878545519</v>
      </c>
      <c r="I480" s="7" t="s">
        <v>24</v>
      </c>
      <c r="J480" s="27" t="s">
        <v>303</v>
      </c>
      <c r="K480" s="27" t="s">
        <v>461</v>
      </c>
      <c r="L480" s="27" t="n">
        <v>18</v>
      </c>
      <c r="M480" s="27" t="s">
        <v>81</v>
      </c>
      <c r="N480" s="27" t="s">
        <v>2655</v>
      </c>
      <c r="O480" s="27" t="s">
        <v>82</v>
      </c>
      <c r="P480" s="27" t="s">
        <v>2906</v>
      </c>
      <c r="Q480" s="27" t="n">
        <v>12</v>
      </c>
      <c r="R480" s="27"/>
      <c r="S480" s="27" t="s">
        <v>41</v>
      </c>
      <c r="T480" s="27" t="s">
        <v>79</v>
      </c>
      <c r="U480" s="27" t="s">
        <v>81</v>
      </c>
      <c r="V480" s="27"/>
      <c r="W480" s="27"/>
      <c r="X480" s="27"/>
      <c r="Y480" s="27" t="s">
        <v>2901</v>
      </c>
      <c r="Z480" s="27" t="n">
        <v>-7.2411815</v>
      </c>
      <c r="AA480" s="27" t="n">
        <v>-48.2648365</v>
      </c>
      <c r="AB480" s="37" t="s">
        <v>2338</v>
      </c>
      <c r="AC480" s="27" t="s">
        <v>2902</v>
      </c>
    </row>
    <row r="481" customFormat="false" ht="15" hidden="false" customHeight="false" outlineLevel="0" collapsed="false">
      <c r="A481" s="27" t="n">
        <v>480</v>
      </c>
      <c r="B481" s="27" t="s">
        <v>1611</v>
      </c>
      <c r="C481" s="27" t="s">
        <v>2907</v>
      </c>
      <c r="D481" s="27" t="s">
        <v>1610</v>
      </c>
      <c r="E481" s="27" t="s">
        <v>1612</v>
      </c>
      <c r="F481" s="32" t="n">
        <v>100.64635137308</v>
      </c>
      <c r="G481" s="28" t="n">
        <v>7146.27590763494</v>
      </c>
      <c r="H481" s="28" t="n">
        <v>1360.51513682828</v>
      </c>
      <c r="I481" s="7" t="s">
        <v>24</v>
      </c>
      <c r="J481" s="27" t="s">
        <v>303</v>
      </c>
      <c r="K481" s="27" t="s">
        <v>461</v>
      </c>
      <c r="L481" s="27" t="n">
        <v>18</v>
      </c>
      <c r="M481" s="27" t="s">
        <v>81</v>
      </c>
      <c r="N481" s="27" t="s">
        <v>2655</v>
      </c>
      <c r="O481" s="27" t="s">
        <v>82</v>
      </c>
      <c r="P481" s="27" t="s">
        <v>2908</v>
      </c>
      <c r="Q481" s="27" t="n">
        <v>11</v>
      </c>
      <c r="R481" s="27"/>
      <c r="S481" s="27" t="s">
        <v>41</v>
      </c>
      <c r="T481" s="27" t="s">
        <v>79</v>
      </c>
      <c r="U481" s="27" t="s">
        <v>81</v>
      </c>
      <c r="V481" s="27"/>
      <c r="W481" s="27"/>
      <c r="X481" s="27"/>
      <c r="Y481" s="27" t="s">
        <v>2901</v>
      </c>
      <c r="Z481" s="27" t="n">
        <v>-7.241841</v>
      </c>
      <c r="AA481" s="27" t="n">
        <v>-48.2672005</v>
      </c>
      <c r="AB481" s="37" t="s">
        <v>2338</v>
      </c>
      <c r="AC481" s="27" t="s">
        <v>2902</v>
      </c>
    </row>
    <row r="482" customFormat="false" ht="15" hidden="false" customHeight="false" outlineLevel="0" collapsed="false">
      <c r="A482" s="27" t="n">
        <v>481</v>
      </c>
      <c r="B482" s="27" t="s">
        <v>1613</v>
      </c>
      <c r="C482" s="27" t="s">
        <v>2909</v>
      </c>
      <c r="D482" s="27" t="s">
        <v>1612</v>
      </c>
      <c r="E482" s="27" t="s">
        <v>1614</v>
      </c>
      <c r="F482" s="32" t="n">
        <v>2.52254102348848</v>
      </c>
      <c r="G482" s="28" t="n">
        <v>7148.79844865843</v>
      </c>
      <c r="H482" s="28" t="n">
        <v>1363.03767785176</v>
      </c>
      <c r="I482" s="7" t="s">
        <v>24</v>
      </c>
      <c r="J482" s="27" t="s">
        <v>303</v>
      </c>
      <c r="K482" s="27" t="s">
        <v>461</v>
      </c>
      <c r="L482" s="27" t="n">
        <v>18</v>
      </c>
      <c r="M482" s="27" t="s">
        <v>81</v>
      </c>
      <c r="N482" s="27" t="s">
        <v>2655</v>
      </c>
      <c r="O482" s="27" t="s">
        <v>82</v>
      </c>
      <c r="P482" s="27" t="s">
        <v>2910</v>
      </c>
      <c r="Q482" s="27" t="n">
        <v>10</v>
      </c>
      <c r="R482" s="27"/>
      <c r="S482" s="27" t="s">
        <v>41</v>
      </c>
      <c r="T482" s="27" t="s">
        <v>79</v>
      </c>
      <c r="U482" s="27" t="s">
        <v>81</v>
      </c>
      <c r="V482" s="27"/>
      <c r="W482" s="27"/>
      <c r="X482" s="27"/>
      <c r="Y482" s="27" t="s">
        <v>2901</v>
      </c>
      <c r="Z482" s="27" t="n">
        <v>-7.2419765</v>
      </c>
      <c r="AA482" s="27" t="n">
        <v>-48.267644</v>
      </c>
      <c r="AB482" s="37" t="s">
        <v>2338</v>
      </c>
      <c r="AC482" s="27" t="s">
        <v>2902</v>
      </c>
    </row>
    <row r="483" customFormat="false" ht="15" hidden="false" customHeight="false" outlineLevel="0" collapsed="false">
      <c r="A483" s="27" t="n">
        <v>482</v>
      </c>
      <c r="B483" s="27" t="s">
        <v>1615</v>
      </c>
      <c r="C483" s="27" t="s">
        <v>2911</v>
      </c>
      <c r="D483" s="27" t="s">
        <v>1614</v>
      </c>
      <c r="E483" s="27" t="s">
        <v>1616</v>
      </c>
      <c r="F483" s="32" t="n">
        <v>24.0521560976927</v>
      </c>
      <c r="G483" s="28" t="n">
        <v>7172.85060475612</v>
      </c>
      <c r="H483" s="28" t="n">
        <v>1387.08983394946</v>
      </c>
      <c r="I483" s="7" t="s">
        <v>24</v>
      </c>
      <c r="J483" s="27" t="s">
        <v>303</v>
      </c>
      <c r="K483" s="27" t="s">
        <v>461</v>
      </c>
      <c r="L483" s="27" t="n">
        <v>18</v>
      </c>
      <c r="M483" s="27" t="s">
        <v>81</v>
      </c>
      <c r="N483" s="27" t="s">
        <v>2655</v>
      </c>
      <c r="O483" s="27" t="s">
        <v>82</v>
      </c>
      <c r="P483" s="27" t="s">
        <v>2910</v>
      </c>
      <c r="Q483" s="27" t="n">
        <v>10</v>
      </c>
      <c r="R483" s="27"/>
      <c r="S483" s="27" t="s">
        <v>41</v>
      </c>
      <c r="T483" s="27" t="s">
        <v>79</v>
      </c>
      <c r="U483" s="27" t="s">
        <v>81</v>
      </c>
      <c r="V483" s="27"/>
      <c r="W483" s="27"/>
      <c r="X483" s="27"/>
      <c r="Y483" s="27" t="s">
        <v>2901</v>
      </c>
      <c r="Z483" s="27" t="n">
        <v>-7.2418655</v>
      </c>
      <c r="AA483" s="27" t="n">
        <v>-48.267678</v>
      </c>
      <c r="AB483" s="37" t="s">
        <v>2338</v>
      </c>
      <c r="AC483" s="27" t="s">
        <v>2902</v>
      </c>
    </row>
    <row r="484" customFormat="false" ht="15" hidden="false" customHeight="false" outlineLevel="0" collapsed="false">
      <c r="A484" s="27" t="n">
        <v>483</v>
      </c>
      <c r="B484" s="27" t="s">
        <v>1617</v>
      </c>
      <c r="C484" s="27" t="s">
        <v>2912</v>
      </c>
      <c r="D484" s="27" t="s">
        <v>1616</v>
      </c>
      <c r="E484" s="27" t="s">
        <v>1618</v>
      </c>
      <c r="F484" s="32" t="n">
        <v>13.338521920646</v>
      </c>
      <c r="G484" s="28" t="n">
        <v>7186.18912667677</v>
      </c>
      <c r="H484" s="28" t="n">
        <v>1400.4283558701</v>
      </c>
      <c r="I484" s="7" t="s">
        <v>24</v>
      </c>
      <c r="J484" s="27" t="s">
        <v>303</v>
      </c>
      <c r="K484" s="27" t="s">
        <v>461</v>
      </c>
      <c r="L484" s="27" t="n">
        <v>18</v>
      </c>
      <c r="M484" s="27" t="s">
        <v>81</v>
      </c>
      <c r="N484" s="27" t="s">
        <v>2655</v>
      </c>
      <c r="O484" s="27" t="s">
        <v>82</v>
      </c>
      <c r="P484" s="27" t="s">
        <v>2910</v>
      </c>
      <c r="Q484" s="27" t="n">
        <v>10</v>
      </c>
      <c r="R484" s="27"/>
      <c r="S484" s="27" t="s">
        <v>41</v>
      </c>
      <c r="T484" s="27" t="s">
        <v>79</v>
      </c>
      <c r="U484" s="27" t="s">
        <v>81</v>
      </c>
      <c r="V484" s="27"/>
      <c r="W484" s="27"/>
      <c r="X484" s="27"/>
      <c r="Y484" s="27" t="s">
        <v>2901</v>
      </c>
      <c r="Z484" s="27" t="n">
        <v>-7.24174</v>
      </c>
      <c r="AA484" s="27" t="n">
        <v>-48.267759</v>
      </c>
      <c r="AB484" s="37" t="s">
        <v>2338</v>
      </c>
      <c r="AC484" s="27" t="s">
        <v>2902</v>
      </c>
    </row>
    <row r="485" customFormat="false" ht="15" hidden="false" customHeight="false" outlineLevel="0" collapsed="false">
      <c r="A485" s="27" t="n">
        <v>484</v>
      </c>
      <c r="B485" s="27" t="s">
        <v>1619</v>
      </c>
      <c r="C485" s="27" t="s">
        <v>2913</v>
      </c>
      <c r="D485" s="27" t="s">
        <v>1612</v>
      </c>
      <c r="E485" s="27" t="s">
        <v>1620</v>
      </c>
      <c r="F485" s="32" t="n">
        <v>1.69158118526993</v>
      </c>
      <c r="G485" s="28" t="n">
        <v>7147.96748882021</v>
      </c>
      <c r="H485" s="28" t="n">
        <v>1362.20671801355</v>
      </c>
      <c r="I485" s="7" t="s">
        <v>24</v>
      </c>
      <c r="J485" s="27" t="s">
        <v>303</v>
      </c>
      <c r="K485" s="27" t="s">
        <v>461</v>
      </c>
      <c r="L485" s="27" t="n">
        <v>18</v>
      </c>
      <c r="M485" s="27" t="s">
        <v>81</v>
      </c>
      <c r="N485" s="27" t="s">
        <v>2655</v>
      </c>
      <c r="O485" s="27" t="s">
        <v>82</v>
      </c>
      <c r="P485" s="27" t="s">
        <v>103</v>
      </c>
      <c r="Q485" s="27" t="n">
        <v>1</v>
      </c>
      <c r="R485" s="27"/>
      <c r="S485" s="27" t="s">
        <v>41</v>
      </c>
      <c r="T485" s="27" t="s">
        <v>79</v>
      </c>
      <c r="U485" s="27" t="s">
        <v>81</v>
      </c>
      <c r="V485" s="27"/>
      <c r="W485" s="27"/>
      <c r="X485" s="27"/>
      <c r="Y485" s="27" t="s">
        <v>2901</v>
      </c>
      <c r="Z485" s="27" t="n">
        <v>-7.241989</v>
      </c>
      <c r="AA485" s="27" t="n">
        <v>-48.267637</v>
      </c>
      <c r="AB485" s="37" t="s">
        <v>2338</v>
      </c>
      <c r="AC485" s="27" t="s">
        <v>2902</v>
      </c>
    </row>
    <row r="486" customFormat="false" ht="15" hidden="false" customHeight="false" outlineLevel="0" collapsed="false">
      <c r="A486" s="27" t="n">
        <v>485</v>
      </c>
      <c r="B486" s="27" t="s">
        <v>1621</v>
      </c>
      <c r="C486" s="27" t="s">
        <v>2914</v>
      </c>
      <c r="D486" s="27" t="s">
        <v>1620</v>
      </c>
      <c r="E486" s="27" t="s">
        <v>1622</v>
      </c>
      <c r="F486" s="32" t="n">
        <v>3.46444657589393</v>
      </c>
      <c r="G486" s="28" t="n">
        <v>7151.43193539611</v>
      </c>
      <c r="H486" s="28" t="n">
        <v>1365.67116458944</v>
      </c>
      <c r="I486" s="7" t="s">
        <v>24</v>
      </c>
      <c r="J486" s="27" t="s">
        <v>303</v>
      </c>
      <c r="K486" s="27" t="s">
        <v>461</v>
      </c>
      <c r="L486" s="27" t="n">
        <v>18</v>
      </c>
      <c r="M486" s="27" t="s">
        <v>81</v>
      </c>
      <c r="N486" s="27" t="s">
        <v>2655</v>
      </c>
      <c r="O486" s="27" t="s">
        <v>82</v>
      </c>
      <c r="P486" s="27" t="s">
        <v>103</v>
      </c>
      <c r="Q486" s="27" t="n">
        <v>1</v>
      </c>
      <c r="R486" s="27"/>
      <c r="S486" s="27" t="s">
        <v>41</v>
      </c>
      <c r="T486" s="27" t="s">
        <v>79</v>
      </c>
      <c r="U486" s="27" t="s">
        <v>81</v>
      </c>
      <c r="V486" s="27"/>
      <c r="W486" s="27"/>
      <c r="X486" s="27"/>
      <c r="Y486" s="27" t="s">
        <v>2901</v>
      </c>
      <c r="Z486" s="27" t="n">
        <v>-7.2419985</v>
      </c>
      <c r="AA486" s="27" t="n">
        <v>-48.2676555</v>
      </c>
      <c r="AB486" s="37" t="s">
        <v>2338</v>
      </c>
      <c r="AC486" s="27" t="s">
        <v>2902</v>
      </c>
    </row>
    <row r="487" customFormat="false" ht="15" hidden="false" customHeight="false" outlineLevel="0" collapsed="false">
      <c r="A487" s="27" t="n">
        <v>486</v>
      </c>
      <c r="B487" s="27" t="s">
        <v>1623</v>
      </c>
      <c r="C487" s="27" t="s">
        <v>2915</v>
      </c>
      <c r="D487" s="27" t="s">
        <v>1610</v>
      </c>
      <c r="E487" s="27" t="s">
        <v>1624</v>
      </c>
      <c r="F487" s="32" t="n">
        <v>6.79375718136633</v>
      </c>
      <c r="G487" s="28" t="n">
        <v>7052.42331344323</v>
      </c>
      <c r="H487" s="28" t="n">
        <v>1266.66254263656</v>
      </c>
      <c r="I487" s="7" t="s">
        <v>24</v>
      </c>
      <c r="J487" s="27" t="s">
        <v>303</v>
      </c>
      <c r="K487" s="27" t="s">
        <v>461</v>
      </c>
      <c r="L487" s="27" t="n">
        <v>18</v>
      </c>
      <c r="M487" s="27" t="s">
        <v>81</v>
      </c>
      <c r="N487" s="27" t="s">
        <v>2655</v>
      </c>
      <c r="O487" s="27" t="s">
        <v>82</v>
      </c>
      <c r="P487" s="27" t="s">
        <v>105</v>
      </c>
      <c r="Q487" s="27" t="n">
        <v>1</v>
      </c>
      <c r="R487" s="27"/>
      <c r="S487" s="27" t="s">
        <v>41</v>
      </c>
      <c r="T487" s="27" t="s">
        <v>79</v>
      </c>
      <c r="U487" s="27" t="s">
        <v>81</v>
      </c>
      <c r="V487" s="27"/>
      <c r="W487" s="27"/>
      <c r="X487" s="27"/>
      <c r="Y487" s="27" t="s">
        <v>2901</v>
      </c>
      <c r="Z487" s="27" t="n">
        <v>-7.2417295</v>
      </c>
      <c r="AA487" s="27" t="n">
        <v>-48.266775</v>
      </c>
      <c r="AB487" s="37" t="s">
        <v>2338</v>
      </c>
      <c r="AC487" s="27" t="s">
        <v>2902</v>
      </c>
    </row>
    <row r="488" customFormat="false" ht="15" hidden="false" customHeight="false" outlineLevel="0" collapsed="false">
      <c r="A488" s="27" t="n">
        <v>487</v>
      </c>
      <c r="B488" s="27" t="s">
        <v>1625</v>
      </c>
      <c r="C488" s="27" t="s">
        <v>2916</v>
      </c>
      <c r="D488" s="27" t="s">
        <v>1608</v>
      </c>
      <c r="E488" s="27" t="s">
        <v>1626</v>
      </c>
      <c r="F488" s="32" t="n">
        <v>10.410399770049</v>
      </c>
      <c r="G488" s="28" t="n">
        <v>6614.80694940881</v>
      </c>
      <c r="H488" s="28" t="n">
        <v>829.046178602145</v>
      </c>
      <c r="I488" s="7" t="s">
        <v>24</v>
      </c>
      <c r="J488" s="27" t="s">
        <v>303</v>
      </c>
      <c r="K488" s="27" t="s">
        <v>461</v>
      </c>
      <c r="L488" s="27" t="n">
        <v>18</v>
      </c>
      <c r="M488" s="27" t="s">
        <v>81</v>
      </c>
      <c r="N488" s="27" t="s">
        <v>2655</v>
      </c>
      <c r="O488" s="27" t="s">
        <v>82</v>
      </c>
      <c r="P488" s="27" t="s">
        <v>107</v>
      </c>
      <c r="Q488" s="27" t="n">
        <v>1</v>
      </c>
      <c r="R488" s="27"/>
      <c r="S488" s="27" t="s">
        <v>41</v>
      </c>
      <c r="T488" s="27" t="s">
        <v>79</v>
      </c>
      <c r="U488" s="27" t="s">
        <v>81</v>
      </c>
      <c r="V488" s="27"/>
      <c r="W488" s="27"/>
      <c r="X488" s="27"/>
      <c r="Y488" s="27" t="s">
        <v>2901</v>
      </c>
      <c r="Z488" s="27" t="n">
        <v>-7.240708</v>
      </c>
      <c r="AA488" s="27" t="n">
        <v>-48.262893</v>
      </c>
      <c r="AB488" s="37" t="s">
        <v>2338</v>
      </c>
      <c r="AC488" s="27" t="s">
        <v>2902</v>
      </c>
    </row>
    <row r="489" customFormat="false" ht="15" hidden="false" customHeight="false" outlineLevel="0" collapsed="false">
      <c r="A489" s="27" t="n">
        <v>488</v>
      </c>
      <c r="B489" s="27" t="s">
        <v>1627</v>
      </c>
      <c r="C489" s="27" t="s">
        <v>2917</v>
      </c>
      <c r="D489" s="27" t="s">
        <v>1618</v>
      </c>
      <c r="E489" s="27" t="s">
        <v>1628</v>
      </c>
      <c r="F489" s="32" t="n">
        <v>119.610489115734</v>
      </c>
      <c r="G489" s="28" t="n">
        <v>7305.7996157925</v>
      </c>
      <c r="H489" s="28" t="n">
        <v>119.610489115734</v>
      </c>
      <c r="I489" s="7" t="s">
        <v>24</v>
      </c>
      <c r="J489" s="27" t="s">
        <v>303</v>
      </c>
      <c r="K489" s="27" t="s">
        <v>461</v>
      </c>
      <c r="L489" s="27" t="n">
        <v>19</v>
      </c>
      <c r="M489" s="27" t="s">
        <v>83</v>
      </c>
      <c r="N489" s="27" t="s">
        <v>2655</v>
      </c>
      <c r="O489" s="27" t="s">
        <v>84</v>
      </c>
      <c r="P489" s="27" t="s">
        <v>2918</v>
      </c>
      <c r="Q489" s="27" t="n">
        <v>9</v>
      </c>
      <c r="R489" s="27"/>
      <c r="S489" s="27" t="s">
        <v>41</v>
      </c>
      <c r="T489" s="27" t="s">
        <v>79</v>
      </c>
      <c r="U489" s="27" t="s">
        <v>81</v>
      </c>
      <c r="V489" s="27" t="s">
        <v>83</v>
      </c>
      <c r="W489" s="27"/>
      <c r="X489" s="27"/>
      <c r="Y489" s="27" t="s">
        <v>2919</v>
      </c>
      <c r="Z489" s="27" t="n">
        <v>-7.2415375</v>
      </c>
      <c r="AA489" s="27" t="n">
        <v>-48.268326</v>
      </c>
      <c r="AB489" s="37" t="s">
        <v>2338</v>
      </c>
      <c r="AC489" s="27" t="s">
        <v>2920</v>
      </c>
    </row>
    <row r="490" customFormat="false" ht="15" hidden="false" customHeight="false" outlineLevel="0" collapsed="false">
      <c r="A490" s="27" t="n">
        <v>489</v>
      </c>
      <c r="B490" s="27" t="s">
        <v>1629</v>
      </c>
      <c r="C490" s="27" t="s">
        <v>2921</v>
      </c>
      <c r="D490" s="27" t="s">
        <v>1628</v>
      </c>
      <c r="E490" s="27" t="s">
        <v>1630</v>
      </c>
      <c r="F490" s="32" t="n">
        <v>1.83798678121092</v>
      </c>
      <c r="G490" s="28" t="n">
        <v>7307.63760257372</v>
      </c>
      <c r="H490" s="28" t="n">
        <v>121.448475896945</v>
      </c>
      <c r="I490" s="7" t="s">
        <v>24</v>
      </c>
      <c r="J490" s="27" t="s">
        <v>303</v>
      </c>
      <c r="K490" s="27" t="s">
        <v>461</v>
      </c>
      <c r="L490" s="27" t="n">
        <v>19</v>
      </c>
      <c r="M490" s="27" t="s">
        <v>83</v>
      </c>
      <c r="N490" s="27" t="s">
        <v>2655</v>
      </c>
      <c r="O490" s="27" t="s">
        <v>84</v>
      </c>
      <c r="P490" s="27" t="s">
        <v>2918</v>
      </c>
      <c r="Q490" s="27" t="n">
        <v>9</v>
      </c>
      <c r="R490" s="27"/>
      <c r="S490" s="27" t="s">
        <v>41</v>
      </c>
      <c r="T490" s="27" t="s">
        <v>79</v>
      </c>
      <c r="U490" s="27" t="s">
        <v>81</v>
      </c>
      <c r="V490" s="27" t="s">
        <v>83</v>
      </c>
      <c r="W490" s="27"/>
      <c r="X490" s="27"/>
      <c r="Y490" s="27" t="s">
        <v>2919</v>
      </c>
      <c r="Z490" s="27" t="n">
        <v>-7.2413475</v>
      </c>
      <c r="AA490" s="27" t="n">
        <v>-48.2688325</v>
      </c>
      <c r="AB490" s="37" t="s">
        <v>2338</v>
      </c>
      <c r="AC490" s="27" t="s">
        <v>2920</v>
      </c>
    </row>
    <row r="491" customFormat="false" ht="15" hidden="false" customHeight="false" outlineLevel="0" collapsed="false">
      <c r="A491" s="27" t="n">
        <v>490</v>
      </c>
      <c r="B491" s="27" t="s">
        <v>1631</v>
      </c>
      <c r="C491" s="27" t="s">
        <v>2922</v>
      </c>
      <c r="D491" s="27" t="s">
        <v>1630</v>
      </c>
      <c r="E491" s="27" t="s">
        <v>1632</v>
      </c>
      <c r="F491" s="32" t="n">
        <v>22.8469625700488</v>
      </c>
      <c r="G491" s="28" t="n">
        <v>7330.48456514376</v>
      </c>
      <c r="H491" s="28" t="n">
        <v>144.295438466994</v>
      </c>
      <c r="I491" s="7" t="s">
        <v>24</v>
      </c>
      <c r="J491" s="27" t="s">
        <v>303</v>
      </c>
      <c r="K491" s="27" t="s">
        <v>461</v>
      </c>
      <c r="L491" s="27" t="n">
        <v>19</v>
      </c>
      <c r="M491" s="27" t="s">
        <v>83</v>
      </c>
      <c r="N491" s="27" t="s">
        <v>2655</v>
      </c>
      <c r="O491" s="27" t="s">
        <v>84</v>
      </c>
      <c r="P491" s="27" t="s">
        <v>2918</v>
      </c>
      <c r="Q491" s="27" t="n">
        <v>9</v>
      </c>
      <c r="R491" s="27"/>
      <c r="S491" s="27" t="s">
        <v>41</v>
      </c>
      <c r="T491" s="27" t="s">
        <v>79</v>
      </c>
      <c r="U491" s="27" t="s">
        <v>81</v>
      </c>
      <c r="V491" s="27" t="s">
        <v>83</v>
      </c>
      <c r="W491" s="27"/>
      <c r="X491" s="27"/>
      <c r="Y491" s="27" t="s">
        <v>2919</v>
      </c>
      <c r="Z491" s="27" t="n">
        <v>-7.241247</v>
      </c>
      <c r="AA491" s="27" t="n">
        <v>-48.268785</v>
      </c>
      <c r="AB491" s="37" t="s">
        <v>2338</v>
      </c>
      <c r="AC491" s="27" t="s">
        <v>2920</v>
      </c>
    </row>
    <row r="492" customFormat="false" ht="15" hidden="false" customHeight="false" outlineLevel="0" collapsed="false">
      <c r="A492" s="27" t="n">
        <v>491</v>
      </c>
      <c r="B492" s="27" t="s">
        <v>1633</v>
      </c>
      <c r="C492" s="27" t="s">
        <v>2923</v>
      </c>
      <c r="D492" s="27" t="s">
        <v>1632</v>
      </c>
      <c r="E492" s="27" t="s">
        <v>1634</v>
      </c>
      <c r="F492" s="32" t="n">
        <v>14.894644796194</v>
      </c>
      <c r="G492" s="28" t="n">
        <v>7345.37920993996</v>
      </c>
      <c r="H492" s="28" t="n">
        <v>159.190083263188</v>
      </c>
      <c r="I492" s="7" t="s">
        <v>24</v>
      </c>
      <c r="J492" s="27" t="s">
        <v>303</v>
      </c>
      <c r="K492" s="27" t="s">
        <v>461</v>
      </c>
      <c r="L492" s="27" t="n">
        <v>19</v>
      </c>
      <c r="M492" s="27" t="s">
        <v>83</v>
      </c>
      <c r="N492" s="27" t="s">
        <v>2655</v>
      </c>
      <c r="O492" s="27" t="s">
        <v>84</v>
      </c>
      <c r="P492" s="27" t="s">
        <v>2918</v>
      </c>
      <c r="Q492" s="27" t="n">
        <v>9</v>
      </c>
      <c r="R492" s="27"/>
      <c r="S492" s="27" t="s">
        <v>41</v>
      </c>
      <c r="T492" s="27" t="s">
        <v>79</v>
      </c>
      <c r="U492" s="27" t="s">
        <v>81</v>
      </c>
      <c r="V492" s="27" t="s">
        <v>83</v>
      </c>
      <c r="W492" s="27"/>
      <c r="X492" s="27"/>
      <c r="Y492" s="27" t="s">
        <v>2919</v>
      </c>
      <c r="Z492" s="27" t="n">
        <v>-7.241094</v>
      </c>
      <c r="AA492" s="27" t="n">
        <v>-48.268771</v>
      </c>
      <c r="AB492" s="37" t="s">
        <v>2338</v>
      </c>
      <c r="AC492" s="27" t="s">
        <v>2920</v>
      </c>
    </row>
    <row r="493" customFormat="false" ht="15" hidden="false" customHeight="false" outlineLevel="0" collapsed="false">
      <c r="A493" s="27" t="n">
        <v>492</v>
      </c>
      <c r="B493" s="27" t="s">
        <v>1635</v>
      </c>
      <c r="C493" s="27" t="s">
        <v>2924</v>
      </c>
      <c r="D493" s="27" t="s">
        <v>1628</v>
      </c>
      <c r="E493" s="27" t="s">
        <v>1636</v>
      </c>
      <c r="F493" s="32" t="n">
        <v>140.828167589904</v>
      </c>
      <c r="G493" s="28" t="n">
        <v>7446.62778338241</v>
      </c>
      <c r="H493" s="28" t="n">
        <v>260.438656705637</v>
      </c>
      <c r="I493" s="7" t="s">
        <v>24</v>
      </c>
      <c r="J493" s="27" t="s">
        <v>303</v>
      </c>
      <c r="K493" s="27" t="s">
        <v>461</v>
      </c>
      <c r="L493" s="27" t="n">
        <v>19</v>
      </c>
      <c r="M493" s="27" t="s">
        <v>83</v>
      </c>
      <c r="N493" s="27" t="s">
        <v>2655</v>
      </c>
      <c r="O493" s="27" t="s">
        <v>84</v>
      </c>
      <c r="P493" s="27" t="s">
        <v>54</v>
      </c>
      <c r="Q493" s="27" t="n">
        <v>0</v>
      </c>
      <c r="R493" s="27"/>
      <c r="S493" s="27" t="s">
        <v>41</v>
      </c>
      <c r="T493" s="27" t="s">
        <v>79</v>
      </c>
      <c r="U493" s="27" t="s">
        <v>81</v>
      </c>
      <c r="V493" s="27" t="s">
        <v>83</v>
      </c>
      <c r="W493" s="27"/>
      <c r="X493" s="27"/>
      <c r="Y493" s="27" t="s">
        <v>2919</v>
      </c>
      <c r="Z493" s="27" t="n">
        <v>-7.2411575</v>
      </c>
      <c r="AA493" s="27" t="n">
        <v>-48.2694425</v>
      </c>
      <c r="AB493" s="37" t="s">
        <v>2338</v>
      </c>
      <c r="AC493" s="27" t="s">
        <v>2920</v>
      </c>
    </row>
    <row r="494" customFormat="false" ht="15" hidden="false" customHeight="false" outlineLevel="0" collapsed="false">
      <c r="A494" s="27" t="n">
        <v>493</v>
      </c>
      <c r="B494" s="27" t="s">
        <v>1637</v>
      </c>
      <c r="C494" s="27" t="s">
        <v>2925</v>
      </c>
      <c r="D494" s="27" t="s">
        <v>1634</v>
      </c>
      <c r="E494" s="27" t="s">
        <v>1638</v>
      </c>
      <c r="F494" s="32" t="n">
        <v>416.610383924797</v>
      </c>
      <c r="G494" s="28" t="n">
        <v>7761.98959386476</v>
      </c>
      <c r="H494" s="28" t="n">
        <v>416.610383924797</v>
      </c>
      <c r="I494" s="7" t="s">
        <v>24</v>
      </c>
      <c r="J494" s="27" t="s">
        <v>303</v>
      </c>
      <c r="K494" s="27" t="s">
        <v>461</v>
      </c>
      <c r="L494" s="27" t="n">
        <v>20</v>
      </c>
      <c r="M494" s="27" t="s">
        <v>85</v>
      </c>
      <c r="N494" s="27" t="s">
        <v>2640</v>
      </c>
      <c r="O494" s="27" t="s">
        <v>86</v>
      </c>
      <c r="P494" s="27" t="s">
        <v>2926</v>
      </c>
      <c r="Q494" s="27" t="n">
        <v>8</v>
      </c>
      <c r="R494" s="27"/>
      <c r="S494" s="27" t="s">
        <v>41</v>
      </c>
      <c r="T494" s="27" t="s">
        <v>79</v>
      </c>
      <c r="U494" s="27" t="s">
        <v>81</v>
      </c>
      <c r="V494" s="27" t="s">
        <v>83</v>
      </c>
      <c r="W494" s="27" t="s">
        <v>85</v>
      </c>
      <c r="X494" s="27"/>
      <c r="Y494" s="27" t="s">
        <v>2927</v>
      </c>
      <c r="Z494" s="27" t="n">
        <v>-7.2393465</v>
      </c>
      <c r="AA494" s="27" t="n">
        <v>-48.269621</v>
      </c>
      <c r="AB494" s="37" t="s">
        <v>2338</v>
      </c>
      <c r="AC494" s="27" t="s">
        <v>2928</v>
      </c>
    </row>
    <row r="495" customFormat="false" ht="15" hidden="false" customHeight="false" outlineLevel="0" collapsed="false">
      <c r="A495" s="27" t="n">
        <v>494</v>
      </c>
      <c r="B495" s="27" t="s">
        <v>1639</v>
      </c>
      <c r="C495" s="27" t="s">
        <v>2929</v>
      </c>
      <c r="D495" s="27" t="s">
        <v>1638</v>
      </c>
      <c r="E495" s="27" t="s">
        <v>1640</v>
      </c>
      <c r="F495" s="32" t="n">
        <v>28.2078751590338</v>
      </c>
      <c r="G495" s="28" t="n">
        <v>7790.19746902379</v>
      </c>
      <c r="H495" s="28" t="n">
        <v>444.818259083831</v>
      </c>
      <c r="I495" s="7" t="s">
        <v>24</v>
      </c>
      <c r="J495" s="27" t="s">
        <v>303</v>
      </c>
      <c r="K495" s="27" t="s">
        <v>461</v>
      </c>
      <c r="L495" s="27" t="n">
        <v>20</v>
      </c>
      <c r="M495" s="27" t="s">
        <v>85</v>
      </c>
      <c r="N495" s="27" t="s">
        <v>2640</v>
      </c>
      <c r="O495" s="27" t="s">
        <v>86</v>
      </c>
      <c r="P495" s="27" t="s">
        <v>2930</v>
      </c>
      <c r="Q495" s="27" t="n">
        <v>3</v>
      </c>
      <c r="R495" s="27"/>
      <c r="S495" s="27" t="s">
        <v>41</v>
      </c>
      <c r="T495" s="27" t="s">
        <v>79</v>
      </c>
      <c r="U495" s="27" t="s">
        <v>81</v>
      </c>
      <c r="V495" s="27" t="s">
        <v>83</v>
      </c>
      <c r="W495" s="27" t="s">
        <v>85</v>
      </c>
      <c r="X495" s="27"/>
      <c r="Y495" s="27" t="s">
        <v>2927</v>
      </c>
      <c r="Z495" s="27" t="n">
        <v>-7.237557</v>
      </c>
      <c r="AA495" s="27" t="n">
        <v>-48.270517</v>
      </c>
      <c r="AB495" s="37" t="s">
        <v>2338</v>
      </c>
      <c r="AC495" s="27" t="s">
        <v>2928</v>
      </c>
    </row>
    <row r="496" customFormat="false" ht="15" hidden="false" customHeight="false" outlineLevel="0" collapsed="false">
      <c r="A496" s="27" t="n">
        <v>495</v>
      </c>
      <c r="B496" s="27" t="s">
        <v>1641</v>
      </c>
      <c r="C496" s="27" t="s">
        <v>2931</v>
      </c>
      <c r="D496" s="27" t="s">
        <v>1640</v>
      </c>
      <c r="E496" s="27" t="s">
        <v>1642</v>
      </c>
      <c r="F496" s="32" t="n">
        <v>3.65437278533774</v>
      </c>
      <c r="G496" s="28" t="n">
        <v>7793.85184180913</v>
      </c>
      <c r="H496" s="28" t="n">
        <v>448.472631869168</v>
      </c>
      <c r="I496" s="7" t="s">
        <v>24</v>
      </c>
      <c r="J496" s="27" t="s">
        <v>303</v>
      </c>
      <c r="K496" s="27" t="s">
        <v>461</v>
      </c>
      <c r="L496" s="27" t="n">
        <v>20</v>
      </c>
      <c r="M496" s="27" t="s">
        <v>85</v>
      </c>
      <c r="N496" s="27" t="s">
        <v>2640</v>
      </c>
      <c r="O496" s="27" t="s">
        <v>86</v>
      </c>
      <c r="P496" s="27" t="s">
        <v>2932</v>
      </c>
      <c r="Q496" s="27" t="n">
        <v>2</v>
      </c>
      <c r="R496" s="27"/>
      <c r="S496" s="27" t="s">
        <v>41</v>
      </c>
      <c r="T496" s="27" t="s">
        <v>79</v>
      </c>
      <c r="U496" s="27" t="s">
        <v>81</v>
      </c>
      <c r="V496" s="27" t="s">
        <v>83</v>
      </c>
      <c r="W496" s="27" t="s">
        <v>85</v>
      </c>
      <c r="X496" s="27"/>
      <c r="Y496" s="27" t="s">
        <v>2927</v>
      </c>
      <c r="Z496" s="27" t="n">
        <v>-7.2374395</v>
      </c>
      <c r="AA496" s="27" t="n">
        <v>-48.2705985</v>
      </c>
      <c r="AB496" s="37" t="s">
        <v>2338</v>
      </c>
      <c r="AC496" s="27" t="s">
        <v>2928</v>
      </c>
    </row>
    <row r="497" customFormat="false" ht="15" hidden="false" customHeight="false" outlineLevel="0" collapsed="false">
      <c r="A497" s="27" t="n">
        <v>496</v>
      </c>
      <c r="B497" s="27" t="s">
        <v>1643</v>
      </c>
      <c r="C497" s="27" t="s">
        <v>2933</v>
      </c>
      <c r="D497" s="27" t="s">
        <v>1642</v>
      </c>
      <c r="E497" s="27" t="s">
        <v>1644</v>
      </c>
      <c r="F497" s="32" t="n">
        <v>652.192762097589</v>
      </c>
      <c r="G497" s="28" t="n">
        <v>8446.04460390672</v>
      </c>
      <c r="H497" s="28" t="n">
        <v>1100.66539396676</v>
      </c>
      <c r="I497" s="7" t="s">
        <v>24</v>
      </c>
      <c r="J497" s="27" t="s">
        <v>303</v>
      </c>
      <c r="K497" s="27" t="s">
        <v>461</v>
      </c>
      <c r="L497" s="27" t="n">
        <v>20</v>
      </c>
      <c r="M497" s="27" t="s">
        <v>85</v>
      </c>
      <c r="N497" s="27" t="s">
        <v>2640</v>
      </c>
      <c r="O497" s="27" t="s">
        <v>86</v>
      </c>
      <c r="P497" s="27" t="s">
        <v>2932</v>
      </c>
      <c r="Q497" s="27" t="n">
        <v>2</v>
      </c>
      <c r="R497" s="27"/>
      <c r="S497" s="27" t="s">
        <v>41</v>
      </c>
      <c r="T497" s="27" t="s">
        <v>79</v>
      </c>
      <c r="U497" s="27" t="s">
        <v>81</v>
      </c>
      <c r="V497" s="27" t="s">
        <v>83</v>
      </c>
      <c r="W497" s="27" t="s">
        <v>85</v>
      </c>
      <c r="X497" s="27"/>
      <c r="Y497" s="27" t="s">
        <v>2927</v>
      </c>
      <c r="Z497" s="27" t="n">
        <v>-7.234531</v>
      </c>
      <c r="AA497" s="27" t="n">
        <v>-48.2710885</v>
      </c>
      <c r="AB497" s="37" t="s">
        <v>2338</v>
      </c>
      <c r="AC497" s="27" t="s">
        <v>2928</v>
      </c>
    </row>
    <row r="498" customFormat="false" ht="15" hidden="false" customHeight="false" outlineLevel="0" collapsed="false">
      <c r="A498" s="27" t="n">
        <v>497</v>
      </c>
      <c r="B498" s="27" t="s">
        <v>1645</v>
      </c>
      <c r="C498" s="27" t="s">
        <v>2934</v>
      </c>
      <c r="D498" s="27" t="s">
        <v>1644</v>
      </c>
      <c r="E498" s="27" t="s">
        <v>1646</v>
      </c>
      <c r="F498" s="32" t="n">
        <v>1.57285855279127</v>
      </c>
      <c r="G498" s="28" t="n">
        <v>8447.61746245951</v>
      </c>
      <c r="H498" s="28" t="n">
        <v>1102.23825251955</v>
      </c>
      <c r="I498" s="7" t="s">
        <v>24</v>
      </c>
      <c r="J498" s="27" t="s">
        <v>303</v>
      </c>
      <c r="K498" s="27" t="s">
        <v>461</v>
      </c>
      <c r="L498" s="27" t="n">
        <v>20</v>
      </c>
      <c r="M498" s="27" t="s">
        <v>85</v>
      </c>
      <c r="N498" s="27" t="s">
        <v>2640</v>
      </c>
      <c r="O498" s="27" t="s">
        <v>86</v>
      </c>
      <c r="P498" s="27" t="s">
        <v>87</v>
      </c>
      <c r="Q498" s="27" t="n">
        <v>1</v>
      </c>
      <c r="R498" s="27"/>
      <c r="S498" s="27" t="s">
        <v>41</v>
      </c>
      <c r="T498" s="27" t="s">
        <v>79</v>
      </c>
      <c r="U498" s="27" t="s">
        <v>81</v>
      </c>
      <c r="V498" s="27" t="s">
        <v>83</v>
      </c>
      <c r="W498" s="27" t="s">
        <v>85</v>
      </c>
      <c r="X498" s="27"/>
      <c r="Y498" s="27" t="s">
        <v>2927</v>
      </c>
      <c r="Z498" s="27" t="n">
        <v>-7.2316335</v>
      </c>
      <c r="AA498" s="27" t="n">
        <v>-48.2715785</v>
      </c>
      <c r="AB498" s="37" t="s">
        <v>2338</v>
      </c>
      <c r="AC498" s="27" t="s">
        <v>2928</v>
      </c>
    </row>
    <row r="499" customFormat="false" ht="15" hidden="false" customHeight="false" outlineLevel="0" collapsed="false">
      <c r="A499" s="27" t="n">
        <v>498</v>
      </c>
      <c r="B499" s="27" t="s">
        <v>1647</v>
      </c>
      <c r="C499" s="27" t="s">
        <v>2935</v>
      </c>
      <c r="D499" s="27" t="s">
        <v>1646</v>
      </c>
      <c r="E499" s="27" t="s">
        <v>1648</v>
      </c>
      <c r="F499" s="32" t="n">
        <v>3.90586704031708</v>
      </c>
      <c r="G499" s="28" t="n">
        <v>8451.52332949982</v>
      </c>
      <c r="H499" s="28" t="n">
        <v>1106.14411955987</v>
      </c>
      <c r="I499" s="7" t="s">
        <v>24</v>
      </c>
      <c r="J499" s="27" t="s">
        <v>303</v>
      </c>
      <c r="K499" s="27" t="s">
        <v>461</v>
      </c>
      <c r="L499" s="27" t="n">
        <v>20</v>
      </c>
      <c r="M499" s="27" t="s">
        <v>85</v>
      </c>
      <c r="N499" s="27" t="s">
        <v>2640</v>
      </c>
      <c r="O499" s="27" t="s">
        <v>86</v>
      </c>
      <c r="P499" s="27" t="s">
        <v>87</v>
      </c>
      <c r="Q499" s="27" t="n">
        <v>1</v>
      </c>
      <c r="R499" s="27"/>
      <c r="S499" s="27" t="s">
        <v>41</v>
      </c>
      <c r="T499" s="27" t="s">
        <v>79</v>
      </c>
      <c r="U499" s="27" t="s">
        <v>81</v>
      </c>
      <c r="V499" s="27" t="s">
        <v>83</v>
      </c>
      <c r="W499" s="27" t="s">
        <v>85</v>
      </c>
      <c r="X499" s="27"/>
      <c r="Y499" s="27" t="s">
        <v>2927</v>
      </c>
      <c r="Z499" s="27" t="n">
        <v>-7.2316115</v>
      </c>
      <c r="AA499" s="27" t="n">
        <v>-48.2715855</v>
      </c>
      <c r="AB499" s="37" t="s">
        <v>2338</v>
      </c>
      <c r="AC499" s="27" t="s">
        <v>2928</v>
      </c>
    </row>
    <row r="500" customFormat="false" ht="15" hidden="false" customHeight="false" outlineLevel="0" collapsed="false">
      <c r="A500" s="27" t="n">
        <v>499</v>
      </c>
      <c r="B500" s="27" t="s">
        <v>1649</v>
      </c>
      <c r="C500" s="27" t="s">
        <v>2936</v>
      </c>
      <c r="D500" s="27" t="s">
        <v>1644</v>
      </c>
      <c r="E500" s="27" t="s">
        <v>1650</v>
      </c>
      <c r="F500" s="32" t="n">
        <v>3.3432264244528</v>
      </c>
      <c r="G500" s="28" t="n">
        <v>8449.38783033117</v>
      </c>
      <c r="H500" s="28" t="n">
        <v>1104.00862039121</v>
      </c>
      <c r="I500" s="7" t="s">
        <v>24</v>
      </c>
      <c r="J500" s="27" t="s">
        <v>303</v>
      </c>
      <c r="K500" s="27" t="s">
        <v>461</v>
      </c>
      <c r="L500" s="27" t="n">
        <v>20</v>
      </c>
      <c r="M500" s="27" t="s">
        <v>85</v>
      </c>
      <c r="N500" s="27" t="s">
        <v>2640</v>
      </c>
      <c r="O500" s="27" t="s">
        <v>86</v>
      </c>
      <c r="P500" s="27" t="s">
        <v>89</v>
      </c>
      <c r="Q500" s="27" t="n">
        <v>1</v>
      </c>
      <c r="R500" s="27"/>
      <c r="S500" s="27" t="s">
        <v>41</v>
      </c>
      <c r="T500" s="27" t="s">
        <v>79</v>
      </c>
      <c r="U500" s="27" t="s">
        <v>81</v>
      </c>
      <c r="V500" s="27" t="s">
        <v>83</v>
      </c>
      <c r="W500" s="27" t="s">
        <v>85</v>
      </c>
      <c r="X500" s="27"/>
      <c r="Y500" s="27" t="s">
        <v>2927</v>
      </c>
      <c r="Z500" s="27" t="n">
        <v>-7.2316235</v>
      </c>
      <c r="AA500" s="27" t="n">
        <v>-48.271569</v>
      </c>
      <c r="AB500" s="37" t="s">
        <v>2338</v>
      </c>
      <c r="AC500" s="27" t="s">
        <v>2928</v>
      </c>
    </row>
    <row r="501" customFormat="false" ht="15" hidden="false" customHeight="false" outlineLevel="0" collapsed="false">
      <c r="A501" s="27" t="n">
        <v>500</v>
      </c>
      <c r="B501" s="27" t="s">
        <v>1651</v>
      </c>
      <c r="C501" s="27" t="s">
        <v>2937</v>
      </c>
      <c r="D501" s="27" t="s">
        <v>1650</v>
      </c>
      <c r="E501" s="27" t="s">
        <v>1652</v>
      </c>
      <c r="F501" s="32" t="n">
        <v>20.6043448991646</v>
      </c>
      <c r="G501" s="28" t="n">
        <v>8469.99217523033</v>
      </c>
      <c r="H501" s="28" t="n">
        <v>1124.61296529038</v>
      </c>
      <c r="I501" s="7" t="s">
        <v>24</v>
      </c>
      <c r="J501" s="27" t="s">
        <v>303</v>
      </c>
      <c r="K501" s="27" t="s">
        <v>461</v>
      </c>
      <c r="L501" s="27" t="n">
        <v>20</v>
      </c>
      <c r="M501" s="27" t="s">
        <v>85</v>
      </c>
      <c r="N501" s="27" t="s">
        <v>2640</v>
      </c>
      <c r="O501" s="27" t="s">
        <v>86</v>
      </c>
      <c r="P501" s="27" t="s">
        <v>89</v>
      </c>
      <c r="Q501" s="27" t="n">
        <v>1</v>
      </c>
      <c r="R501" s="27"/>
      <c r="S501" s="27" t="s">
        <v>41</v>
      </c>
      <c r="T501" s="27" t="s">
        <v>79</v>
      </c>
      <c r="U501" s="27" t="s">
        <v>81</v>
      </c>
      <c r="V501" s="27" t="s">
        <v>83</v>
      </c>
      <c r="W501" s="27" t="s">
        <v>85</v>
      </c>
      <c r="X501" s="27"/>
      <c r="Y501" s="27" t="s">
        <v>2927</v>
      </c>
      <c r="Z501" s="27" t="n">
        <v>-7.231526</v>
      </c>
      <c r="AA501" s="27" t="n">
        <v>-48.2715235</v>
      </c>
      <c r="AB501" s="37" t="s">
        <v>2338</v>
      </c>
      <c r="AC501" s="27" t="s">
        <v>2928</v>
      </c>
    </row>
    <row r="502" customFormat="false" ht="15" hidden="false" customHeight="false" outlineLevel="0" collapsed="false">
      <c r="A502" s="27" t="n">
        <v>501</v>
      </c>
      <c r="B502" s="27" t="s">
        <v>1653</v>
      </c>
      <c r="C502" s="27" t="s">
        <v>2938</v>
      </c>
      <c r="D502" s="27" t="s">
        <v>1652</v>
      </c>
      <c r="E502" s="27" t="s">
        <v>1654</v>
      </c>
      <c r="F502" s="32" t="n">
        <v>12.6919145748965</v>
      </c>
      <c r="G502" s="28" t="n">
        <v>8482.68408980523</v>
      </c>
      <c r="H502" s="28" t="n">
        <v>1137.30487986527</v>
      </c>
      <c r="I502" s="7" t="s">
        <v>24</v>
      </c>
      <c r="J502" s="27" t="s">
        <v>303</v>
      </c>
      <c r="K502" s="27" t="s">
        <v>461</v>
      </c>
      <c r="L502" s="27" t="n">
        <v>20</v>
      </c>
      <c r="M502" s="27" t="s">
        <v>85</v>
      </c>
      <c r="N502" s="27" t="s">
        <v>2640</v>
      </c>
      <c r="O502" s="27" t="s">
        <v>86</v>
      </c>
      <c r="P502" s="27" t="s">
        <v>89</v>
      </c>
      <c r="Q502" s="27" t="n">
        <v>1</v>
      </c>
      <c r="R502" s="27"/>
      <c r="S502" s="27" t="s">
        <v>41</v>
      </c>
      <c r="T502" s="27" t="s">
        <v>79</v>
      </c>
      <c r="U502" s="27" t="s">
        <v>81</v>
      </c>
      <c r="V502" s="27" t="s">
        <v>83</v>
      </c>
      <c r="W502" s="27" t="s">
        <v>85</v>
      </c>
      <c r="X502" s="27"/>
      <c r="Y502" s="27" t="s">
        <v>2927</v>
      </c>
      <c r="Z502" s="27" t="n">
        <v>-7.231404</v>
      </c>
      <c r="AA502" s="27" t="n">
        <v>-48.27144</v>
      </c>
      <c r="AB502" s="37" t="s">
        <v>2338</v>
      </c>
      <c r="AC502" s="27" t="s">
        <v>2928</v>
      </c>
    </row>
    <row r="503" customFormat="false" ht="15" hidden="false" customHeight="false" outlineLevel="0" collapsed="false">
      <c r="A503" s="27" t="n">
        <v>502</v>
      </c>
      <c r="B503" s="27" t="s">
        <v>1655</v>
      </c>
      <c r="C503" s="27" t="s">
        <v>2939</v>
      </c>
      <c r="D503" s="27" t="s">
        <v>1640</v>
      </c>
      <c r="E503" s="27" t="s">
        <v>1656</v>
      </c>
      <c r="F503" s="32" t="n">
        <v>1.54832378973002</v>
      </c>
      <c r="G503" s="28" t="n">
        <v>7791.74579281352</v>
      </c>
      <c r="H503" s="28" t="n">
        <v>446.36658287356</v>
      </c>
      <c r="I503" s="7" t="s">
        <v>24</v>
      </c>
      <c r="J503" s="27" t="s">
        <v>303</v>
      </c>
      <c r="K503" s="27" t="s">
        <v>461</v>
      </c>
      <c r="L503" s="27" t="n">
        <v>20</v>
      </c>
      <c r="M503" s="27" t="s">
        <v>85</v>
      </c>
      <c r="N503" s="27" t="s">
        <v>2640</v>
      </c>
      <c r="O503" s="27" t="s">
        <v>86</v>
      </c>
      <c r="P503" s="27" t="s">
        <v>91</v>
      </c>
      <c r="Q503" s="27" t="n">
        <v>1</v>
      </c>
      <c r="R503" s="27"/>
      <c r="S503" s="27" t="s">
        <v>41</v>
      </c>
      <c r="T503" s="27" t="s">
        <v>79</v>
      </c>
      <c r="U503" s="27" t="s">
        <v>81</v>
      </c>
      <c r="V503" s="27" t="s">
        <v>83</v>
      </c>
      <c r="W503" s="27" t="s">
        <v>85</v>
      </c>
      <c r="X503" s="27"/>
      <c r="Y503" s="27" t="s">
        <v>2927</v>
      </c>
      <c r="Z503" s="27" t="n">
        <v>-7.2374555</v>
      </c>
      <c r="AA503" s="27" t="n">
        <v>-48.2706</v>
      </c>
      <c r="AB503" s="37" t="s">
        <v>2338</v>
      </c>
      <c r="AC503" s="27" t="s">
        <v>2928</v>
      </c>
    </row>
    <row r="504" customFormat="false" ht="15" hidden="false" customHeight="false" outlineLevel="0" collapsed="false">
      <c r="A504" s="27" t="n">
        <v>503</v>
      </c>
      <c r="B504" s="27" t="s">
        <v>1657</v>
      </c>
      <c r="C504" s="27" t="s">
        <v>2940</v>
      </c>
      <c r="D504" s="27" t="s">
        <v>1656</v>
      </c>
      <c r="E504" s="27" t="s">
        <v>1658</v>
      </c>
      <c r="F504" s="32" t="n">
        <v>16.3179249853851</v>
      </c>
      <c r="G504" s="28" t="n">
        <v>7808.0637177989</v>
      </c>
      <c r="H504" s="28" t="n">
        <v>462.684507858945</v>
      </c>
      <c r="I504" s="7" t="s">
        <v>24</v>
      </c>
      <c r="J504" s="27" t="s">
        <v>303</v>
      </c>
      <c r="K504" s="27" t="s">
        <v>461</v>
      </c>
      <c r="L504" s="27" t="n">
        <v>20</v>
      </c>
      <c r="M504" s="27" t="s">
        <v>85</v>
      </c>
      <c r="N504" s="27" t="s">
        <v>2640</v>
      </c>
      <c r="O504" s="27" t="s">
        <v>86</v>
      </c>
      <c r="P504" s="27" t="s">
        <v>91</v>
      </c>
      <c r="Q504" s="27" t="n">
        <v>1</v>
      </c>
      <c r="R504" s="27"/>
      <c r="S504" s="27" t="s">
        <v>41</v>
      </c>
      <c r="T504" s="27" t="s">
        <v>79</v>
      </c>
      <c r="U504" s="27" t="s">
        <v>81</v>
      </c>
      <c r="V504" s="27" t="s">
        <v>83</v>
      </c>
      <c r="W504" s="27" t="s">
        <v>85</v>
      </c>
      <c r="X504" s="27"/>
      <c r="Y504" s="27" t="s">
        <v>2927</v>
      </c>
      <c r="Z504" s="27" t="n">
        <v>-7.237426</v>
      </c>
      <c r="AA504" s="27" t="n">
        <v>-48.2706745</v>
      </c>
      <c r="AB504" s="37" t="s">
        <v>2338</v>
      </c>
      <c r="AC504" s="27" t="s">
        <v>2928</v>
      </c>
    </row>
    <row r="505" customFormat="false" ht="15" hidden="false" customHeight="false" outlineLevel="0" collapsed="false">
      <c r="A505" s="27" t="n">
        <v>504</v>
      </c>
      <c r="B505" s="27" t="s">
        <v>1659</v>
      </c>
      <c r="C505" s="27" t="s">
        <v>2941</v>
      </c>
      <c r="D505" s="27" t="s">
        <v>1638</v>
      </c>
      <c r="E505" s="27" t="s">
        <v>1660</v>
      </c>
      <c r="F505" s="32" t="n">
        <v>1.87525193861004</v>
      </c>
      <c r="G505" s="28" t="n">
        <v>7763.86484580337</v>
      </c>
      <c r="H505" s="28" t="n">
        <v>418.485635863407</v>
      </c>
      <c r="I505" s="7" t="s">
        <v>24</v>
      </c>
      <c r="J505" s="27" t="s">
        <v>303</v>
      </c>
      <c r="K505" s="27" t="s">
        <v>461</v>
      </c>
      <c r="L505" s="27" t="n">
        <v>20</v>
      </c>
      <c r="M505" s="27" t="s">
        <v>85</v>
      </c>
      <c r="N505" s="27" t="s">
        <v>2640</v>
      </c>
      <c r="O505" s="27" t="s">
        <v>86</v>
      </c>
      <c r="P505" s="27" t="s">
        <v>2942</v>
      </c>
      <c r="Q505" s="27" t="n">
        <v>5</v>
      </c>
      <c r="R505" s="27"/>
      <c r="S505" s="27" t="s">
        <v>41</v>
      </c>
      <c r="T505" s="27" t="s">
        <v>79</v>
      </c>
      <c r="U505" s="27" t="s">
        <v>81</v>
      </c>
      <c r="V505" s="27" t="s">
        <v>83</v>
      </c>
      <c r="W505" s="27" t="s">
        <v>85</v>
      </c>
      <c r="X505" s="27"/>
      <c r="Y505" s="27" t="s">
        <v>2927</v>
      </c>
      <c r="Z505" s="27" t="n">
        <v>-7.237659</v>
      </c>
      <c r="AA505" s="27" t="n">
        <v>-48.2704495</v>
      </c>
      <c r="AB505" s="37" t="s">
        <v>2338</v>
      </c>
      <c r="AC505" s="27" t="s">
        <v>2928</v>
      </c>
    </row>
    <row r="506" customFormat="false" ht="15" hidden="false" customHeight="false" outlineLevel="0" collapsed="false">
      <c r="A506" s="27" t="n">
        <v>505</v>
      </c>
      <c r="B506" s="27" t="s">
        <v>1661</v>
      </c>
      <c r="C506" s="27" t="s">
        <v>2943</v>
      </c>
      <c r="D506" s="27" t="s">
        <v>1660</v>
      </c>
      <c r="E506" s="27" t="s">
        <v>1662</v>
      </c>
      <c r="F506" s="32" t="n">
        <v>103.04588553051</v>
      </c>
      <c r="G506" s="28" t="n">
        <v>7866.91073133388</v>
      </c>
      <c r="H506" s="28" t="n">
        <v>521.531521393917</v>
      </c>
      <c r="I506" s="7" t="s">
        <v>24</v>
      </c>
      <c r="J506" s="27" t="s">
        <v>303</v>
      </c>
      <c r="K506" s="27" t="s">
        <v>461</v>
      </c>
      <c r="L506" s="27" t="n">
        <v>20</v>
      </c>
      <c r="M506" s="27" t="s">
        <v>85</v>
      </c>
      <c r="N506" s="27" t="s">
        <v>2640</v>
      </c>
      <c r="O506" s="27" t="s">
        <v>86</v>
      </c>
      <c r="P506" s="27" t="s">
        <v>2942</v>
      </c>
      <c r="Q506" s="27" t="n">
        <v>5</v>
      </c>
      <c r="R506" s="27"/>
      <c r="S506" s="27" t="s">
        <v>41</v>
      </c>
      <c r="T506" s="27" t="s">
        <v>79</v>
      </c>
      <c r="U506" s="27" t="s">
        <v>81</v>
      </c>
      <c r="V506" s="27" t="s">
        <v>83</v>
      </c>
      <c r="W506" s="27" t="s">
        <v>85</v>
      </c>
      <c r="X506" s="27"/>
      <c r="Y506" s="27" t="s">
        <v>2927</v>
      </c>
      <c r="Z506" s="27" t="n">
        <v>-7.2376675</v>
      </c>
      <c r="AA506" s="27" t="n">
        <v>-48.270925</v>
      </c>
      <c r="AB506" s="37" t="s">
        <v>2338</v>
      </c>
      <c r="AC506" s="27" t="s">
        <v>2928</v>
      </c>
    </row>
    <row r="507" customFormat="false" ht="15" hidden="false" customHeight="false" outlineLevel="0" collapsed="false">
      <c r="A507" s="27" t="n">
        <v>506</v>
      </c>
      <c r="B507" s="27" t="s">
        <v>1663</v>
      </c>
      <c r="C507" s="27" t="s">
        <v>2944</v>
      </c>
      <c r="D507" s="27" t="s">
        <v>1662</v>
      </c>
      <c r="E507" s="27" t="s">
        <v>1664</v>
      </c>
      <c r="F507" s="32" t="n">
        <v>598.650322216791</v>
      </c>
      <c r="G507" s="28" t="n">
        <v>8465.56105355067</v>
      </c>
      <c r="H507" s="28" t="n">
        <v>1120.18184361071</v>
      </c>
      <c r="I507" s="7" t="s">
        <v>24</v>
      </c>
      <c r="J507" s="27" t="s">
        <v>303</v>
      </c>
      <c r="K507" s="27" t="s">
        <v>461</v>
      </c>
      <c r="L507" s="27" t="n">
        <v>20</v>
      </c>
      <c r="M507" s="27" t="s">
        <v>85</v>
      </c>
      <c r="N507" s="27" t="s">
        <v>2640</v>
      </c>
      <c r="O507" s="27" t="s">
        <v>86</v>
      </c>
      <c r="P507" s="27" t="s">
        <v>2945</v>
      </c>
      <c r="Q507" s="27" t="n">
        <v>4</v>
      </c>
      <c r="R507" s="27"/>
      <c r="S507" s="27" t="s">
        <v>41</v>
      </c>
      <c r="T507" s="27" t="s">
        <v>79</v>
      </c>
      <c r="U507" s="27" t="s">
        <v>81</v>
      </c>
      <c r="V507" s="27" t="s">
        <v>83</v>
      </c>
      <c r="W507" s="27" t="s">
        <v>85</v>
      </c>
      <c r="X507" s="27"/>
      <c r="Y507" s="27" t="s">
        <v>2927</v>
      </c>
      <c r="Z507" s="27" t="n">
        <v>-7.2376665</v>
      </c>
      <c r="AA507" s="27" t="n">
        <v>-48.2741055</v>
      </c>
      <c r="AB507" s="37" t="s">
        <v>2338</v>
      </c>
      <c r="AC507" s="27" t="s">
        <v>2928</v>
      </c>
    </row>
    <row r="508" customFormat="false" ht="15" hidden="false" customHeight="false" outlineLevel="0" collapsed="false">
      <c r="A508" s="27" t="n">
        <v>507</v>
      </c>
      <c r="B508" s="27" t="s">
        <v>1665</v>
      </c>
      <c r="C508" s="27" t="s">
        <v>2946</v>
      </c>
      <c r="D508" s="27" t="s">
        <v>1664</v>
      </c>
      <c r="E508" s="27" t="s">
        <v>1666</v>
      </c>
      <c r="F508" s="32" t="n">
        <v>2.02868172867159</v>
      </c>
      <c r="G508" s="28" t="n">
        <v>8467.58973527934</v>
      </c>
      <c r="H508" s="28" t="n">
        <v>1122.21052533938</v>
      </c>
      <c r="I508" s="7" t="s">
        <v>24</v>
      </c>
      <c r="J508" s="27" t="s">
        <v>303</v>
      </c>
      <c r="K508" s="27" t="s">
        <v>461</v>
      </c>
      <c r="L508" s="27" t="n">
        <v>20</v>
      </c>
      <c r="M508" s="27" t="s">
        <v>85</v>
      </c>
      <c r="N508" s="27" t="s">
        <v>2640</v>
      </c>
      <c r="O508" s="27" t="s">
        <v>86</v>
      </c>
      <c r="P508" s="27" t="s">
        <v>2947</v>
      </c>
      <c r="Q508" s="27" t="n">
        <v>2</v>
      </c>
      <c r="R508" s="27"/>
      <c r="S508" s="27" t="s">
        <v>41</v>
      </c>
      <c r="T508" s="27" t="s">
        <v>79</v>
      </c>
      <c r="U508" s="27" t="s">
        <v>81</v>
      </c>
      <c r="V508" s="27" t="s">
        <v>83</v>
      </c>
      <c r="W508" s="27" t="s">
        <v>85</v>
      </c>
      <c r="X508" s="27"/>
      <c r="Y508" s="27" t="s">
        <v>2927</v>
      </c>
      <c r="Z508" s="27" t="n">
        <v>-7.237648</v>
      </c>
      <c r="AA508" s="27" t="n">
        <v>-48.2768175</v>
      </c>
      <c r="AB508" s="37" t="s">
        <v>2338</v>
      </c>
      <c r="AC508" s="27" t="s">
        <v>2928</v>
      </c>
    </row>
    <row r="509" customFormat="false" ht="15" hidden="false" customHeight="false" outlineLevel="0" collapsed="false">
      <c r="A509" s="27" t="n">
        <v>508</v>
      </c>
      <c r="B509" s="27" t="s">
        <v>1667</v>
      </c>
      <c r="C509" s="27" t="s">
        <v>2948</v>
      </c>
      <c r="D509" s="27" t="s">
        <v>1666</v>
      </c>
      <c r="E509" s="27" t="s">
        <v>1668</v>
      </c>
      <c r="F509" s="32" t="n">
        <v>233.189742451623</v>
      </c>
      <c r="G509" s="28" t="n">
        <v>8700.77947773096</v>
      </c>
      <c r="H509" s="28" t="n">
        <v>1355.400267791</v>
      </c>
      <c r="I509" s="7" t="s">
        <v>24</v>
      </c>
      <c r="J509" s="27" t="s">
        <v>303</v>
      </c>
      <c r="K509" s="27" t="s">
        <v>461</v>
      </c>
      <c r="L509" s="27" t="n">
        <v>20</v>
      </c>
      <c r="M509" s="27" t="s">
        <v>85</v>
      </c>
      <c r="N509" s="27" t="s">
        <v>2640</v>
      </c>
      <c r="O509" s="27" t="s">
        <v>86</v>
      </c>
      <c r="P509" s="27" t="s">
        <v>2947</v>
      </c>
      <c r="Q509" s="27" t="n">
        <v>2</v>
      </c>
      <c r="R509" s="27"/>
      <c r="S509" s="27" t="s">
        <v>41</v>
      </c>
      <c r="T509" s="27" t="s">
        <v>79</v>
      </c>
      <c r="U509" s="27" t="s">
        <v>81</v>
      </c>
      <c r="V509" s="27" t="s">
        <v>83</v>
      </c>
      <c r="W509" s="27" t="s">
        <v>85</v>
      </c>
      <c r="X509" s="27"/>
      <c r="Y509" s="27" t="s">
        <v>2927</v>
      </c>
      <c r="Z509" s="27" t="n">
        <v>-7.2365965</v>
      </c>
      <c r="AA509" s="27" t="n">
        <v>-48.2767025</v>
      </c>
      <c r="AB509" s="37" t="s">
        <v>2338</v>
      </c>
      <c r="AC509" s="27" t="s">
        <v>2928</v>
      </c>
    </row>
    <row r="510" customFormat="false" ht="15" hidden="false" customHeight="false" outlineLevel="0" collapsed="false">
      <c r="A510" s="27" t="n">
        <v>509</v>
      </c>
      <c r="B510" s="27" t="s">
        <v>1669</v>
      </c>
      <c r="C510" s="27" t="s">
        <v>2949</v>
      </c>
      <c r="D510" s="27" t="s">
        <v>1668</v>
      </c>
      <c r="E510" s="27" t="s">
        <v>1670</v>
      </c>
      <c r="F510" s="32" t="n">
        <v>201.244017683956</v>
      </c>
      <c r="G510" s="28" t="n">
        <v>8902.02349541492</v>
      </c>
      <c r="H510" s="28" t="n">
        <v>1556.64428547496</v>
      </c>
      <c r="I510" s="7" t="s">
        <v>24</v>
      </c>
      <c r="J510" s="27" t="s">
        <v>303</v>
      </c>
      <c r="K510" s="27" t="s">
        <v>461</v>
      </c>
      <c r="L510" s="27" t="n">
        <v>20</v>
      </c>
      <c r="M510" s="27" t="s">
        <v>85</v>
      </c>
      <c r="N510" s="27" t="s">
        <v>2640</v>
      </c>
      <c r="O510" s="27" t="s">
        <v>86</v>
      </c>
      <c r="P510" s="27" t="s">
        <v>93</v>
      </c>
      <c r="Q510" s="27" t="n">
        <v>1</v>
      </c>
      <c r="R510" s="27"/>
      <c r="S510" s="27" t="s">
        <v>41</v>
      </c>
      <c r="T510" s="27" t="s">
        <v>79</v>
      </c>
      <c r="U510" s="27" t="s">
        <v>81</v>
      </c>
      <c r="V510" s="27" t="s">
        <v>83</v>
      </c>
      <c r="W510" s="27" t="s">
        <v>85</v>
      </c>
      <c r="X510" s="27"/>
      <c r="Y510" s="27" t="s">
        <v>2927</v>
      </c>
      <c r="Z510" s="27" t="n">
        <v>-7.2346505</v>
      </c>
      <c r="AA510" s="27" t="n">
        <v>-48.276538</v>
      </c>
      <c r="AB510" s="37" t="s">
        <v>2338</v>
      </c>
      <c r="AC510" s="27" t="s">
        <v>2928</v>
      </c>
    </row>
    <row r="511" customFormat="false" ht="15" hidden="false" customHeight="false" outlineLevel="0" collapsed="false">
      <c r="A511" s="27" t="n">
        <v>510</v>
      </c>
      <c r="B511" s="27" t="s">
        <v>1671</v>
      </c>
      <c r="C511" s="27" t="s">
        <v>2950</v>
      </c>
      <c r="D511" s="27" t="s">
        <v>1670</v>
      </c>
      <c r="E511" s="27" t="s">
        <v>1672</v>
      </c>
      <c r="F511" s="32" t="n">
        <v>3.71065254264066</v>
      </c>
      <c r="G511" s="28" t="n">
        <v>8905.73414795756</v>
      </c>
      <c r="H511" s="28" t="n">
        <v>1560.3549380176</v>
      </c>
      <c r="I511" s="7" t="s">
        <v>24</v>
      </c>
      <c r="J511" s="27" t="s">
        <v>303</v>
      </c>
      <c r="K511" s="27" t="s">
        <v>461</v>
      </c>
      <c r="L511" s="27" t="n">
        <v>20</v>
      </c>
      <c r="M511" s="27" t="s">
        <v>85</v>
      </c>
      <c r="N511" s="27" t="s">
        <v>2640</v>
      </c>
      <c r="O511" s="27" t="s">
        <v>86</v>
      </c>
      <c r="P511" s="27" t="s">
        <v>93</v>
      </c>
      <c r="Q511" s="27" t="n">
        <v>1</v>
      </c>
      <c r="R511" s="27"/>
      <c r="S511" s="27" t="s">
        <v>41</v>
      </c>
      <c r="T511" s="27" t="s">
        <v>79</v>
      </c>
      <c r="U511" s="27" t="s">
        <v>81</v>
      </c>
      <c r="V511" s="27" t="s">
        <v>83</v>
      </c>
      <c r="W511" s="27" t="s">
        <v>85</v>
      </c>
      <c r="X511" s="27"/>
      <c r="Y511" s="27" t="s">
        <v>2927</v>
      </c>
      <c r="Z511" s="27" t="n">
        <v>-7.2337305</v>
      </c>
      <c r="AA511" s="27" t="n">
        <v>-48.2764895</v>
      </c>
      <c r="AB511" s="37" t="s">
        <v>2338</v>
      </c>
      <c r="AC511" s="27" t="s">
        <v>2928</v>
      </c>
    </row>
    <row r="512" customFormat="false" ht="15" hidden="false" customHeight="false" outlineLevel="0" collapsed="false">
      <c r="A512" s="27" t="n">
        <v>511</v>
      </c>
      <c r="B512" s="27" t="s">
        <v>1673</v>
      </c>
      <c r="C512" s="27" t="s">
        <v>2951</v>
      </c>
      <c r="D512" s="27" t="s">
        <v>1672</v>
      </c>
      <c r="E512" s="27" t="s">
        <v>1674</v>
      </c>
      <c r="F512" s="32" t="n">
        <v>373.663098948559</v>
      </c>
      <c r="G512" s="28" t="n">
        <v>9279.39724690612</v>
      </c>
      <c r="H512" s="28" t="n">
        <v>1934.01803696616</v>
      </c>
      <c r="I512" s="7" t="s">
        <v>24</v>
      </c>
      <c r="J512" s="27" t="s">
        <v>303</v>
      </c>
      <c r="K512" s="27" t="s">
        <v>461</v>
      </c>
      <c r="L512" s="27" t="n">
        <v>20</v>
      </c>
      <c r="M512" s="27" t="s">
        <v>85</v>
      </c>
      <c r="N512" s="27" t="s">
        <v>2640</v>
      </c>
      <c r="O512" s="27" t="s">
        <v>86</v>
      </c>
      <c r="P512" s="27" t="s">
        <v>93</v>
      </c>
      <c r="Q512" s="27" t="n">
        <v>1</v>
      </c>
      <c r="R512" s="27"/>
      <c r="S512" s="27" t="s">
        <v>41</v>
      </c>
      <c r="T512" s="27" t="s">
        <v>79</v>
      </c>
      <c r="U512" s="27" t="s">
        <v>81</v>
      </c>
      <c r="V512" s="27" t="s">
        <v>83</v>
      </c>
      <c r="W512" s="27" t="s">
        <v>85</v>
      </c>
      <c r="X512" s="27"/>
      <c r="Y512" s="27" t="s">
        <v>2927</v>
      </c>
      <c r="Z512" s="27" t="n">
        <v>-7.2322075</v>
      </c>
      <c r="AA512" s="27" t="n">
        <v>-48.277242</v>
      </c>
      <c r="AB512" s="37" t="s">
        <v>2338</v>
      </c>
      <c r="AC512" s="27" t="s">
        <v>2928</v>
      </c>
    </row>
    <row r="513" customFormat="false" ht="15" hidden="false" customHeight="false" outlineLevel="0" collapsed="false">
      <c r="A513" s="27" t="n">
        <v>512</v>
      </c>
      <c r="B513" s="27" t="s">
        <v>1675</v>
      </c>
      <c r="C513" s="27" t="s">
        <v>2952</v>
      </c>
      <c r="D513" s="27" t="s">
        <v>1674</v>
      </c>
      <c r="E513" s="27" t="s">
        <v>1676</v>
      </c>
      <c r="F513" s="32" t="n">
        <v>12.6504359807866</v>
      </c>
      <c r="G513" s="28" t="n">
        <v>9292.0476828869</v>
      </c>
      <c r="H513" s="28" t="n">
        <v>1946.66847294694</v>
      </c>
      <c r="I513" s="7" t="s">
        <v>24</v>
      </c>
      <c r="J513" s="27" t="s">
        <v>303</v>
      </c>
      <c r="K513" s="27" t="s">
        <v>461</v>
      </c>
      <c r="L513" s="27" t="n">
        <v>20</v>
      </c>
      <c r="M513" s="27" t="s">
        <v>85</v>
      </c>
      <c r="N513" s="27" t="s">
        <v>2640</v>
      </c>
      <c r="O513" s="27" t="s">
        <v>86</v>
      </c>
      <c r="P513" s="27" t="s">
        <v>93</v>
      </c>
      <c r="Q513" s="27" t="n">
        <v>1</v>
      </c>
      <c r="R513" s="27"/>
      <c r="S513" s="27" t="s">
        <v>41</v>
      </c>
      <c r="T513" s="27" t="s">
        <v>79</v>
      </c>
      <c r="U513" s="27" t="s">
        <v>81</v>
      </c>
      <c r="V513" s="27" t="s">
        <v>83</v>
      </c>
      <c r="W513" s="27" t="s">
        <v>85</v>
      </c>
      <c r="X513" s="27"/>
      <c r="Y513" s="27" t="s">
        <v>2927</v>
      </c>
      <c r="Z513" s="27" t="n">
        <v>-7.230675</v>
      </c>
      <c r="AA513" s="27" t="n">
        <v>-48.278043</v>
      </c>
      <c r="AB513" s="37" t="s">
        <v>2338</v>
      </c>
      <c r="AC513" s="27" t="s">
        <v>2928</v>
      </c>
    </row>
    <row r="514" customFormat="false" ht="15" hidden="false" customHeight="false" outlineLevel="0" collapsed="false">
      <c r="A514" s="27" t="n">
        <v>513</v>
      </c>
      <c r="B514" s="27" t="s">
        <v>1677</v>
      </c>
      <c r="C514" s="27" t="s">
        <v>2953</v>
      </c>
      <c r="D514" s="27" t="s">
        <v>1668</v>
      </c>
      <c r="E514" s="27" t="s">
        <v>1678</v>
      </c>
      <c r="F514" s="32" t="n">
        <v>2.88738033700113</v>
      </c>
      <c r="G514" s="28" t="n">
        <v>8703.66685806796</v>
      </c>
      <c r="H514" s="28" t="n">
        <v>1358.287648128</v>
      </c>
      <c r="I514" s="7" t="s">
        <v>24</v>
      </c>
      <c r="J514" s="27" t="s">
        <v>303</v>
      </c>
      <c r="K514" s="27" t="s">
        <v>461</v>
      </c>
      <c r="L514" s="27" t="n">
        <v>20</v>
      </c>
      <c r="M514" s="27" t="s">
        <v>85</v>
      </c>
      <c r="N514" s="27" t="s">
        <v>2640</v>
      </c>
      <c r="O514" s="27" t="s">
        <v>86</v>
      </c>
      <c r="P514" s="27" t="s">
        <v>95</v>
      </c>
      <c r="Q514" s="27" t="n">
        <v>1</v>
      </c>
      <c r="R514" s="27"/>
      <c r="S514" s="27" t="s">
        <v>41</v>
      </c>
      <c r="T514" s="27" t="s">
        <v>79</v>
      </c>
      <c r="U514" s="27" t="s">
        <v>81</v>
      </c>
      <c r="V514" s="27" t="s">
        <v>83</v>
      </c>
      <c r="W514" s="27" t="s">
        <v>85</v>
      </c>
      <c r="X514" s="27"/>
      <c r="Y514" s="27" t="s">
        <v>2927</v>
      </c>
      <c r="Z514" s="27" t="n">
        <v>-7.2355555</v>
      </c>
      <c r="AA514" s="27" t="n">
        <v>-48.276576</v>
      </c>
      <c r="AB514" s="37" t="s">
        <v>2338</v>
      </c>
      <c r="AC514" s="27" t="s">
        <v>2928</v>
      </c>
    </row>
    <row r="515" customFormat="false" ht="15" hidden="false" customHeight="false" outlineLevel="0" collapsed="false">
      <c r="A515" s="27" t="n">
        <v>514</v>
      </c>
      <c r="B515" s="27" t="s">
        <v>1679</v>
      </c>
      <c r="C515" s="27" t="s">
        <v>2954</v>
      </c>
      <c r="D515" s="27" t="s">
        <v>1664</v>
      </c>
      <c r="E515" s="27" t="s">
        <v>1680</v>
      </c>
      <c r="F515" s="32" t="n">
        <v>100.161503753377</v>
      </c>
      <c r="G515" s="28" t="n">
        <v>8565.72255730404</v>
      </c>
      <c r="H515" s="28" t="n">
        <v>1220.34334736409</v>
      </c>
      <c r="I515" s="7" t="s">
        <v>24</v>
      </c>
      <c r="J515" s="27" t="s">
        <v>303</v>
      </c>
      <c r="K515" s="27" t="s">
        <v>461</v>
      </c>
      <c r="L515" s="27" t="n">
        <v>20</v>
      </c>
      <c r="M515" s="27" t="s">
        <v>85</v>
      </c>
      <c r="N515" s="27" t="s">
        <v>2640</v>
      </c>
      <c r="O515" s="27" t="s">
        <v>86</v>
      </c>
      <c r="P515" s="27" t="s">
        <v>2955</v>
      </c>
      <c r="Q515" s="27" t="n">
        <v>2</v>
      </c>
      <c r="R515" s="27"/>
      <c r="S515" s="27" t="s">
        <v>41</v>
      </c>
      <c r="T515" s="27" t="s">
        <v>79</v>
      </c>
      <c r="U515" s="27" t="s">
        <v>81</v>
      </c>
      <c r="V515" s="27" t="s">
        <v>83</v>
      </c>
      <c r="W515" s="27" t="s">
        <v>85</v>
      </c>
      <c r="X515" s="27"/>
      <c r="Y515" s="27" t="s">
        <v>2927</v>
      </c>
      <c r="Z515" s="27" t="n">
        <v>-7.237655</v>
      </c>
      <c r="AA515" s="27" t="n">
        <v>-48.277273</v>
      </c>
      <c r="AB515" s="37" t="s">
        <v>2338</v>
      </c>
      <c r="AC515" s="27" t="s">
        <v>2928</v>
      </c>
    </row>
    <row r="516" customFormat="false" ht="15" hidden="false" customHeight="false" outlineLevel="0" collapsed="false">
      <c r="A516" s="27" t="n">
        <v>515</v>
      </c>
      <c r="B516" s="27" t="s">
        <v>1681</v>
      </c>
      <c r="C516" s="27" t="s">
        <v>2956</v>
      </c>
      <c r="D516" s="27" t="s">
        <v>1680</v>
      </c>
      <c r="E516" s="27" t="s">
        <v>1682</v>
      </c>
      <c r="F516" s="32" t="n">
        <v>3.18968137612021</v>
      </c>
      <c r="G516" s="28" t="n">
        <v>8568.91223868016</v>
      </c>
      <c r="H516" s="28" t="n">
        <v>1223.53302874021</v>
      </c>
      <c r="I516" s="7" t="s">
        <v>24</v>
      </c>
      <c r="J516" s="27" t="s">
        <v>303</v>
      </c>
      <c r="K516" s="27" t="s">
        <v>461</v>
      </c>
      <c r="L516" s="27" t="n">
        <v>20</v>
      </c>
      <c r="M516" s="27" t="s">
        <v>85</v>
      </c>
      <c r="N516" s="27" t="s">
        <v>2640</v>
      </c>
      <c r="O516" s="27" t="s">
        <v>86</v>
      </c>
      <c r="P516" s="27" t="s">
        <v>2955</v>
      </c>
      <c r="Q516" s="27" t="n">
        <v>2</v>
      </c>
      <c r="R516" s="27"/>
      <c r="S516" s="27" t="s">
        <v>41</v>
      </c>
      <c r="T516" s="27" t="s">
        <v>79</v>
      </c>
      <c r="U516" s="27" t="s">
        <v>81</v>
      </c>
      <c r="V516" s="27" t="s">
        <v>83</v>
      </c>
      <c r="W516" s="27" t="s">
        <v>85</v>
      </c>
      <c r="X516" s="27"/>
      <c r="Y516" s="27" t="s">
        <v>2927</v>
      </c>
      <c r="Z516" s="27" t="n">
        <v>-7.237661</v>
      </c>
      <c r="AA516" s="27" t="n">
        <v>-48.277739</v>
      </c>
      <c r="AB516" s="37" t="s">
        <v>2338</v>
      </c>
      <c r="AC516" s="27" t="s">
        <v>2928</v>
      </c>
    </row>
    <row r="517" customFormat="false" ht="15" hidden="false" customHeight="false" outlineLevel="0" collapsed="false">
      <c r="A517" s="27" t="n">
        <v>516</v>
      </c>
      <c r="B517" s="27" t="s">
        <v>1683</v>
      </c>
      <c r="C517" s="27" t="s">
        <v>2957</v>
      </c>
      <c r="D517" s="27" t="s">
        <v>1682</v>
      </c>
      <c r="E517" s="27" t="s">
        <v>1684</v>
      </c>
      <c r="F517" s="32" t="n">
        <v>117.908663759386</v>
      </c>
      <c r="G517" s="28" t="n">
        <v>8686.82090243955</v>
      </c>
      <c r="H517" s="28" t="n">
        <v>1341.44169249959</v>
      </c>
      <c r="I517" s="7" t="s">
        <v>24</v>
      </c>
      <c r="J517" s="27" t="s">
        <v>303</v>
      </c>
      <c r="K517" s="27" t="s">
        <v>461</v>
      </c>
      <c r="L517" s="27" t="n">
        <v>20</v>
      </c>
      <c r="M517" s="27" t="s">
        <v>85</v>
      </c>
      <c r="N517" s="27" t="s">
        <v>2640</v>
      </c>
      <c r="O517" s="27" t="s">
        <v>86</v>
      </c>
      <c r="P517" s="27" t="s">
        <v>2955</v>
      </c>
      <c r="Q517" s="27" t="n">
        <v>2</v>
      </c>
      <c r="R517" s="27"/>
      <c r="S517" s="27" t="s">
        <v>41</v>
      </c>
      <c r="T517" s="27" t="s">
        <v>79</v>
      </c>
      <c r="U517" s="27" t="s">
        <v>81</v>
      </c>
      <c r="V517" s="27" t="s">
        <v>83</v>
      </c>
      <c r="W517" s="27" t="s">
        <v>85</v>
      </c>
      <c r="X517" s="27"/>
      <c r="Y517" s="27" t="s">
        <v>2927</v>
      </c>
      <c r="Z517" s="27" t="n">
        <v>-7.2381675</v>
      </c>
      <c r="AA517" s="27" t="n">
        <v>-48.277933</v>
      </c>
      <c r="AB517" s="37" t="s">
        <v>2338</v>
      </c>
      <c r="AC517" s="27" t="s">
        <v>2928</v>
      </c>
    </row>
    <row r="518" customFormat="false" ht="15" hidden="false" customHeight="false" outlineLevel="0" collapsed="false">
      <c r="A518" s="27" t="n">
        <v>517</v>
      </c>
      <c r="B518" s="27" t="s">
        <v>1685</v>
      </c>
      <c r="C518" s="27" t="s">
        <v>2958</v>
      </c>
      <c r="D518" s="27" t="s">
        <v>1684</v>
      </c>
      <c r="E518" s="27" t="s">
        <v>1686</v>
      </c>
      <c r="F518" s="32" t="n">
        <v>81.2313749308868</v>
      </c>
      <c r="G518" s="28" t="n">
        <v>8768.05227737044</v>
      </c>
      <c r="H518" s="28" t="n">
        <v>1422.67306743048</v>
      </c>
      <c r="I518" s="7" t="s">
        <v>24</v>
      </c>
      <c r="J518" s="27" t="s">
        <v>303</v>
      </c>
      <c r="K518" s="27" t="s">
        <v>461</v>
      </c>
      <c r="L518" s="27" t="n">
        <v>20</v>
      </c>
      <c r="M518" s="27" t="s">
        <v>85</v>
      </c>
      <c r="N518" s="27" t="s">
        <v>2640</v>
      </c>
      <c r="O518" s="27" t="s">
        <v>86</v>
      </c>
      <c r="P518" s="27" t="s">
        <v>2955</v>
      </c>
      <c r="Q518" s="27" t="n">
        <v>2</v>
      </c>
      <c r="R518" s="27"/>
      <c r="S518" s="27" t="s">
        <v>41</v>
      </c>
      <c r="T518" s="27" t="s">
        <v>79</v>
      </c>
      <c r="U518" s="27" t="s">
        <v>81</v>
      </c>
      <c r="V518" s="27" t="s">
        <v>83</v>
      </c>
      <c r="W518" s="27" t="s">
        <v>85</v>
      </c>
      <c r="X518" s="27"/>
      <c r="Y518" s="27" t="s">
        <v>2927</v>
      </c>
      <c r="Z518" s="27" t="n">
        <v>-7.2390125</v>
      </c>
      <c r="AA518" s="27" t="n">
        <v>-48.2782315</v>
      </c>
      <c r="AB518" s="37" t="s">
        <v>2338</v>
      </c>
      <c r="AC518" s="27" t="s">
        <v>2928</v>
      </c>
    </row>
    <row r="519" customFormat="false" ht="15" hidden="false" customHeight="false" outlineLevel="0" collapsed="false">
      <c r="A519" s="27" t="n">
        <v>518</v>
      </c>
      <c r="B519" s="27" t="s">
        <v>1687</v>
      </c>
      <c r="C519" s="27" t="s">
        <v>2959</v>
      </c>
      <c r="D519" s="27" t="s">
        <v>1686</v>
      </c>
      <c r="E519" s="27" t="s">
        <v>1688</v>
      </c>
      <c r="F519" s="32" t="n">
        <v>1.95878731920292</v>
      </c>
      <c r="G519" s="28" t="n">
        <v>8770.01106468964</v>
      </c>
      <c r="H519" s="28" t="n">
        <v>1424.63185474968</v>
      </c>
      <c r="I519" s="7" t="s">
        <v>24</v>
      </c>
      <c r="J519" s="27" t="s">
        <v>303</v>
      </c>
      <c r="K519" s="27" t="s">
        <v>461</v>
      </c>
      <c r="L519" s="27" t="n">
        <v>20</v>
      </c>
      <c r="M519" s="27" t="s">
        <v>85</v>
      </c>
      <c r="N519" s="27" t="s">
        <v>2640</v>
      </c>
      <c r="O519" s="27" t="s">
        <v>86</v>
      </c>
      <c r="P519" s="27" t="s">
        <v>97</v>
      </c>
      <c r="Q519" s="27" t="n">
        <v>1</v>
      </c>
      <c r="R519" s="27"/>
      <c r="S519" s="27" t="s">
        <v>41</v>
      </c>
      <c r="T519" s="27" t="s">
        <v>79</v>
      </c>
      <c r="U519" s="27" t="s">
        <v>81</v>
      </c>
      <c r="V519" s="27" t="s">
        <v>83</v>
      </c>
      <c r="W519" s="27" t="s">
        <v>85</v>
      </c>
      <c r="X519" s="27"/>
      <c r="Y519" s="27" t="s">
        <v>2927</v>
      </c>
      <c r="Z519" s="27" t="n">
        <v>-7.239365</v>
      </c>
      <c r="AA519" s="27" t="n">
        <v>-48.2783415</v>
      </c>
      <c r="AB519" s="37" t="s">
        <v>2338</v>
      </c>
      <c r="AC519" s="27" t="s">
        <v>2928</v>
      </c>
    </row>
    <row r="520" customFormat="false" ht="15" hidden="false" customHeight="false" outlineLevel="0" collapsed="false">
      <c r="A520" s="27" t="n">
        <v>519</v>
      </c>
      <c r="B520" s="27" t="s">
        <v>1689</v>
      </c>
      <c r="C520" s="27" t="s">
        <v>2960</v>
      </c>
      <c r="D520" s="27" t="s">
        <v>1688</v>
      </c>
      <c r="E520" s="27" t="s">
        <v>1690</v>
      </c>
      <c r="F520" s="32" t="n">
        <v>224.288171597639</v>
      </c>
      <c r="G520" s="28" t="n">
        <v>8994.29923628728</v>
      </c>
      <c r="H520" s="28" t="n">
        <v>1648.92002634732</v>
      </c>
      <c r="I520" s="7" t="s">
        <v>24</v>
      </c>
      <c r="J520" s="27" t="s">
        <v>303</v>
      </c>
      <c r="K520" s="27" t="s">
        <v>461</v>
      </c>
      <c r="L520" s="27" t="n">
        <v>20</v>
      </c>
      <c r="M520" s="27" t="s">
        <v>85</v>
      </c>
      <c r="N520" s="27" t="s">
        <v>2640</v>
      </c>
      <c r="O520" s="27" t="s">
        <v>86</v>
      </c>
      <c r="P520" s="27" t="s">
        <v>97</v>
      </c>
      <c r="Q520" s="27" t="n">
        <v>1</v>
      </c>
      <c r="R520" s="27"/>
      <c r="S520" s="27" t="s">
        <v>41</v>
      </c>
      <c r="T520" s="27" t="s">
        <v>79</v>
      </c>
      <c r="U520" s="27" t="s">
        <v>81</v>
      </c>
      <c r="V520" s="27" t="s">
        <v>83</v>
      </c>
      <c r="W520" s="27" t="s">
        <v>85</v>
      </c>
      <c r="X520" s="27"/>
      <c r="Y520" s="27" t="s">
        <v>2927</v>
      </c>
      <c r="Z520" s="27" t="n">
        <v>-7.2400375</v>
      </c>
      <c r="AA520" s="27" t="n">
        <v>-48.277572</v>
      </c>
      <c r="AB520" s="37" t="s">
        <v>2338</v>
      </c>
      <c r="AC520" s="27" t="s">
        <v>2928</v>
      </c>
    </row>
    <row r="521" customFormat="false" ht="15" hidden="false" customHeight="false" outlineLevel="0" collapsed="false">
      <c r="A521" s="27" t="n">
        <v>520</v>
      </c>
      <c r="B521" s="27" t="s">
        <v>1691</v>
      </c>
      <c r="C521" s="27" t="s">
        <v>2961</v>
      </c>
      <c r="D521" s="27" t="s">
        <v>1690</v>
      </c>
      <c r="E521" s="27" t="s">
        <v>1692</v>
      </c>
      <c r="F521" s="32" t="n">
        <v>5.64936481114176</v>
      </c>
      <c r="G521" s="28" t="n">
        <v>8999.94860109842</v>
      </c>
      <c r="H521" s="28" t="n">
        <v>1654.56939115846</v>
      </c>
      <c r="I521" s="7" t="s">
        <v>24</v>
      </c>
      <c r="J521" s="27" t="s">
        <v>303</v>
      </c>
      <c r="K521" s="27" t="s">
        <v>461</v>
      </c>
      <c r="L521" s="27" t="n">
        <v>20</v>
      </c>
      <c r="M521" s="27" t="s">
        <v>85</v>
      </c>
      <c r="N521" s="27" t="s">
        <v>2640</v>
      </c>
      <c r="O521" s="27" t="s">
        <v>86</v>
      </c>
      <c r="P521" s="27" t="s">
        <v>97</v>
      </c>
      <c r="Q521" s="27" t="n">
        <v>1</v>
      </c>
      <c r="R521" s="27"/>
      <c r="S521" s="27" t="s">
        <v>41</v>
      </c>
      <c r="T521" s="27" t="s">
        <v>79</v>
      </c>
      <c r="U521" s="27" t="s">
        <v>81</v>
      </c>
      <c r="V521" s="27" t="s">
        <v>83</v>
      </c>
      <c r="W521" s="27" t="s">
        <v>85</v>
      </c>
      <c r="X521" s="27"/>
      <c r="Y521" s="27" t="s">
        <v>2927</v>
      </c>
      <c r="Z521" s="27" t="n">
        <v>-7.240717</v>
      </c>
      <c r="AA521" s="27" t="n">
        <v>-48.276787</v>
      </c>
      <c r="AB521" s="37" t="s">
        <v>2338</v>
      </c>
      <c r="AC521" s="27" t="s">
        <v>2928</v>
      </c>
    </row>
    <row r="522" customFormat="false" ht="15" hidden="false" customHeight="false" outlineLevel="0" collapsed="false">
      <c r="A522" s="27" t="n">
        <v>521</v>
      </c>
      <c r="B522" s="27" t="s">
        <v>1693</v>
      </c>
      <c r="C522" s="27" t="s">
        <v>2962</v>
      </c>
      <c r="D522" s="27" t="s">
        <v>1686</v>
      </c>
      <c r="E522" s="27" t="s">
        <v>1694</v>
      </c>
      <c r="F522" s="32" t="n">
        <v>145.738316624731</v>
      </c>
      <c r="G522" s="28" t="n">
        <v>8913.79059399517</v>
      </c>
      <c r="H522" s="28" t="n">
        <v>1568.41138405521</v>
      </c>
      <c r="I522" s="7" t="s">
        <v>24</v>
      </c>
      <c r="J522" s="27" t="s">
        <v>303</v>
      </c>
      <c r="K522" s="27" t="s">
        <v>461</v>
      </c>
      <c r="L522" s="27" t="n">
        <v>20</v>
      </c>
      <c r="M522" s="27" t="s">
        <v>85</v>
      </c>
      <c r="N522" s="27" t="s">
        <v>2640</v>
      </c>
      <c r="O522" s="27" t="s">
        <v>86</v>
      </c>
      <c r="P522" s="27" t="s">
        <v>99</v>
      </c>
      <c r="Q522" s="27" t="n">
        <v>1</v>
      </c>
      <c r="R522" s="27"/>
      <c r="S522" s="27" t="s">
        <v>41</v>
      </c>
      <c r="T522" s="27" t="s">
        <v>79</v>
      </c>
      <c r="U522" s="27" t="s">
        <v>81</v>
      </c>
      <c r="V522" s="27" t="s">
        <v>83</v>
      </c>
      <c r="W522" s="27" t="s">
        <v>85</v>
      </c>
      <c r="X522" s="27"/>
      <c r="Y522" s="27" t="s">
        <v>2927</v>
      </c>
      <c r="Z522" s="27" t="n">
        <v>-7.23998</v>
      </c>
      <c r="AA522" s="27" t="n">
        <v>-48.278559</v>
      </c>
      <c r="AB522" s="37" t="s">
        <v>2338</v>
      </c>
      <c r="AC522" s="27" t="s">
        <v>2928</v>
      </c>
    </row>
    <row r="523" customFormat="false" ht="15" hidden="false" customHeight="false" outlineLevel="0" collapsed="false">
      <c r="A523" s="27" t="n">
        <v>522</v>
      </c>
      <c r="B523" s="27" t="s">
        <v>1695</v>
      </c>
      <c r="C523" s="27" t="s">
        <v>2963</v>
      </c>
      <c r="D523" s="27" t="s">
        <v>1694</v>
      </c>
      <c r="E523" s="27" t="s">
        <v>1696</v>
      </c>
      <c r="F523" s="32" t="n">
        <v>10.312716796396</v>
      </c>
      <c r="G523" s="28" t="n">
        <v>8924.10331079156</v>
      </c>
      <c r="H523" s="28" t="n">
        <v>1578.72410085161</v>
      </c>
      <c r="I523" s="7" t="s">
        <v>24</v>
      </c>
      <c r="J523" s="27" t="s">
        <v>303</v>
      </c>
      <c r="K523" s="27" t="s">
        <v>461</v>
      </c>
      <c r="L523" s="27" t="n">
        <v>20</v>
      </c>
      <c r="M523" s="27" t="s">
        <v>85</v>
      </c>
      <c r="N523" s="27" t="s">
        <v>2640</v>
      </c>
      <c r="O523" s="27" t="s">
        <v>86</v>
      </c>
      <c r="P523" s="27" t="s">
        <v>99</v>
      </c>
      <c r="Q523" s="27" t="n">
        <v>1</v>
      </c>
      <c r="R523" s="27"/>
      <c r="S523" s="27" t="s">
        <v>41</v>
      </c>
      <c r="T523" s="27" t="s">
        <v>79</v>
      </c>
      <c r="U523" s="27" t="s">
        <v>81</v>
      </c>
      <c r="V523" s="27" t="s">
        <v>83</v>
      </c>
      <c r="W523" s="27" t="s">
        <v>85</v>
      </c>
      <c r="X523" s="27"/>
      <c r="Y523" s="27" t="s">
        <v>2927</v>
      </c>
      <c r="Z523" s="27" t="n">
        <v>-7.240644</v>
      </c>
      <c r="AA523" s="27" t="n">
        <v>-48.2787875</v>
      </c>
      <c r="AB523" s="37" t="s">
        <v>2338</v>
      </c>
      <c r="AC523" s="27" t="s">
        <v>2928</v>
      </c>
    </row>
    <row r="524" customFormat="false" ht="15" hidden="false" customHeight="false" outlineLevel="0" collapsed="false">
      <c r="A524" s="27" t="n">
        <v>523</v>
      </c>
      <c r="B524" s="27" t="s">
        <v>1697</v>
      </c>
      <c r="C524" s="27" t="s">
        <v>2964</v>
      </c>
      <c r="D524" s="27" t="s">
        <v>1662</v>
      </c>
      <c r="E524" s="27" t="s">
        <v>1698</v>
      </c>
      <c r="F524" s="32" t="n">
        <v>4.73359068593325</v>
      </c>
      <c r="G524" s="28" t="n">
        <v>7871.64432201981</v>
      </c>
      <c r="H524" s="28" t="n">
        <v>526.26511207985</v>
      </c>
      <c r="I524" s="7" t="s">
        <v>24</v>
      </c>
      <c r="J524" s="27" t="s">
        <v>303</v>
      </c>
      <c r="K524" s="27" t="s">
        <v>461</v>
      </c>
      <c r="L524" s="27" t="n">
        <v>20</v>
      </c>
      <c r="M524" s="27" t="s">
        <v>85</v>
      </c>
      <c r="N524" s="27" t="s">
        <v>2640</v>
      </c>
      <c r="O524" s="27" t="s">
        <v>86</v>
      </c>
      <c r="P524" s="27" t="s">
        <v>101</v>
      </c>
      <c r="Q524" s="27" t="n">
        <v>1</v>
      </c>
      <c r="R524" s="27"/>
      <c r="S524" s="27" t="s">
        <v>41</v>
      </c>
      <c r="T524" s="27" t="s">
        <v>79</v>
      </c>
      <c r="U524" s="27" t="s">
        <v>81</v>
      </c>
      <c r="V524" s="27" t="s">
        <v>83</v>
      </c>
      <c r="W524" s="27" t="s">
        <v>85</v>
      </c>
      <c r="X524" s="27"/>
      <c r="Y524" s="27" t="s">
        <v>2927</v>
      </c>
      <c r="Z524" s="27" t="n">
        <v>-7.237697</v>
      </c>
      <c r="AA524" s="27" t="n">
        <v>-48.2713955</v>
      </c>
      <c r="AB524" s="37" t="s">
        <v>2338</v>
      </c>
      <c r="AC524" s="27" t="s">
        <v>2928</v>
      </c>
    </row>
    <row r="525" customFormat="false" ht="15" hidden="false" customHeight="false" outlineLevel="0" collapsed="false">
      <c r="A525" s="27" t="n">
        <v>524</v>
      </c>
      <c r="B525" s="27" t="s">
        <v>1699</v>
      </c>
      <c r="C525" s="27" t="s">
        <v>2965</v>
      </c>
      <c r="D525" s="27" t="s">
        <v>1648</v>
      </c>
      <c r="E525" s="27" t="s">
        <v>1700</v>
      </c>
      <c r="F525" s="32" t="n">
        <v>35.9284296513527</v>
      </c>
      <c r="G525" s="28" t="n">
        <v>8487.45175915118</v>
      </c>
      <c r="H525" s="28" t="n">
        <v>35.9284296513524</v>
      </c>
      <c r="I525" s="7" t="s">
        <v>24</v>
      </c>
      <c r="J525" s="27" t="s">
        <v>303</v>
      </c>
      <c r="K525" s="27" t="s">
        <v>461</v>
      </c>
      <c r="L525" s="27" t="n">
        <v>21</v>
      </c>
      <c r="M525" s="27" t="s">
        <v>87</v>
      </c>
      <c r="N525" s="27" t="s">
        <v>2640</v>
      </c>
      <c r="O525" s="27" t="s">
        <v>88</v>
      </c>
      <c r="P525" s="27" t="s">
        <v>54</v>
      </c>
      <c r="Q525" s="27" t="n">
        <v>0</v>
      </c>
      <c r="R525" s="27"/>
      <c r="S525" s="27" t="s">
        <v>41</v>
      </c>
      <c r="T525" s="27" t="s">
        <v>79</v>
      </c>
      <c r="U525" s="27" t="s">
        <v>81</v>
      </c>
      <c r="V525" s="27" t="s">
        <v>83</v>
      </c>
      <c r="W525" s="27" t="s">
        <v>85</v>
      </c>
      <c r="X525" s="27" t="s">
        <v>87</v>
      </c>
      <c r="Y525" s="27" t="s">
        <v>2966</v>
      </c>
      <c r="Z525" s="27" t="n">
        <v>-7.231433</v>
      </c>
      <c r="AA525" s="27" t="n">
        <v>-48.2716005</v>
      </c>
      <c r="AB525" s="37" t="s">
        <v>2338</v>
      </c>
      <c r="AC525" s="27" t="s">
        <v>2967</v>
      </c>
    </row>
    <row r="526" customFormat="false" ht="15" hidden="false" customHeight="false" outlineLevel="0" collapsed="false">
      <c r="A526" s="27" t="n">
        <v>525</v>
      </c>
      <c r="B526" s="27" t="s">
        <v>1701</v>
      </c>
      <c r="C526" s="27" t="s">
        <v>2968</v>
      </c>
      <c r="D526" s="27" t="s">
        <v>1654</v>
      </c>
      <c r="E526" s="27" t="s">
        <v>1702</v>
      </c>
      <c r="F526" s="32" t="n">
        <v>466.717236768371</v>
      </c>
      <c r="G526" s="28" t="n">
        <v>8949.4013265736</v>
      </c>
      <c r="H526" s="28" t="n">
        <v>466.717236768371</v>
      </c>
      <c r="I526" s="7" t="s">
        <v>24</v>
      </c>
      <c r="J526" s="27" t="s">
        <v>303</v>
      </c>
      <c r="K526" s="27" t="s">
        <v>461</v>
      </c>
      <c r="L526" s="27" t="n">
        <v>22</v>
      </c>
      <c r="M526" s="27" t="s">
        <v>89</v>
      </c>
      <c r="N526" s="27" t="s">
        <v>2640</v>
      </c>
      <c r="O526" s="27" t="s">
        <v>90</v>
      </c>
      <c r="P526" s="27" t="s">
        <v>54</v>
      </c>
      <c r="Q526" s="27" t="n">
        <v>0</v>
      </c>
      <c r="R526" s="27"/>
      <c r="S526" s="27" t="s">
        <v>41</v>
      </c>
      <c r="T526" s="27" t="s">
        <v>79</v>
      </c>
      <c r="U526" s="27" t="s">
        <v>81</v>
      </c>
      <c r="V526" s="27" t="s">
        <v>83</v>
      </c>
      <c r="W526" s="27" t="s">
        <v>85</v>
      </c>
      <c r="X526" s="27" t="s">
        <v>89</v>
      </c>
      <c r="Y526" s="27" t="s">
        <v>2969</v>
      </c>
      <c r="Z526" s="27" t="n">
        <v>-7.229733</v>
      </c>
      <c r="AA526" s="27" t="n">
        <v>-48.270068</v>
      </c>
      <c r="AB526" s="37" t="s">
        <v>2338</v>
      </c>
      <c r="AC526" s="27" t="s">
        <v>2970</v>
      </c>
    </row>
    <row r="527" customFormat="false" ht="15" hidden="false" customHeight="false" outlineLevel="0" collapsed="false">
      <c r="A527" s="27" t="n">
        <v>526</v>
      </c>
      <c r="B527" s="27" t="s">
        <v>1703</v>
      </c>
      <c r="C527" s="27" t="s">
        <v>2971</v>
      </c>
      <c r="D527" s="27" t="s">
        <v>1658</v>
      </c>
      <c r="E527" s="27" t="s">
        <v>1704</v>
      </c>
      <c r="F527" s="32" t="n">
        <v>261.896214627817</v>
      </c>
      <c r="G527" s="28" t="n">
        <v>8069.95993242672</v>
      </c>
      <c r="H527" s="28" t="n">
        <v>261.896214627816</v>
      </c>
      <c r="I527" s="7" t="s">
        <v>24</v>
      </c>
      <c r="J527" s="27" t="s">
        <v>303</v>
      </c>
      <c r="K527" s="27" t="s">
        <v>461</v>
      </c>
      <c r="L527" s="27" t="n">
        <v>23</v>
      </c>
      <c r="M527" s="27" t="s">
        <v>91</v>
      </c>
      <c r="N527" s="27" t="s">
        <v>2640</v>
      </c>
      <c r="O527" s="27" t="s">
        <v>92</v>
      </c>
      <c r="P527" s="27" t="s">
        <v>54</v>
      </c>
      <c r="Q527" s="27" t="n">
        <v>0</v>
      </c>
      <c r="R527" s="27"/>
      <c r="S527" s="27" t="s">
        <v>41</v>
      </c>
      <c r="T527" s="27" t="s">
        <v>79</v>
      </c>
      <c r="U527" s="27" t="s">
        <v>81</v>
      </c>
      <c r="V527" s="27" t="s">
        <v>83</v>
      </c>
      <c r="W527" s="27" t="s">
        <v>85</v>
      </c>
      <c r="X527" s="27" t="s">
        <v>91</v>
      </c>
      <c r="Y527" s="27" t="s">
        <v>2972</v>
      </c>
      <c r="Z527" s="27" t="n">
        <v>-7.2368975</v>
      </c>
      <c r="AA527" s="27" t="n">
        <v>-48.2718175</v>
      </c>
      <c r="AB527" s="37" t="s">
        <v>2338</v>
      </c>
      <c r="AC527" s="27" t="s">
        <v>2973</v>
      </c>
    </row>
    <row r="528" customFormat="false" ht="15" hidden="false" customHeight="false" outlineLevel="0" collapsed="false">
      <c r="A528" s="27" t="n">
        <v>527</v>
      </c>
      <c r="B528" s="27" t="s">
        <v>1705</v>
      </c>
      <c r="C528" s="27" t="s">
        <v>2974</v>
      </c>
      <c r="D528" s="27" t="s">
        <v>1676</v>
      </c>
      <c r="E528" s="27" t="s">
        <v>1706</v>
      </c>
      <c r="F528" s="32" t="n">
        <v>114.556695977505</v>
      </c>
      <c r="G528" s="28" t="n">
        <v>9406.60437886441</v>
      </c>
      <c r="H528" s="28" t="n">
        <v>114.556695977506</v>
      </c>
      <c r="I528" s="7" t="s">
        <v>24</v>
      </c>
      <c r="J528" s="27" t="s">
        <v>303</v>
      </c>
      <c r="K528" s="27" t="s">
        <v>461</v>
      </c>
      <c r="L528" s="27" t="n">
        <v>24</v>
      </c>
      <c r="M528" s="27" t="s">
        <v>93</v>
      </c>
      <c r="N528" s="27" t="s">
        <v>2640</v>
      </c>
      <c r="O528" s="27" t="s">
        <v>94</v>
      </c>
      <c r="P528" s="27" t="s">
        <v>54</v>
      </c>
      <c r="Q528" s="27" t="n">
        <v>0</v>
      </c>
      <c r="R528" s="27"/>
      <c r="S528" s="27" t="s">
        <v>41</v>
      </c>
      <c r="T528" s="27" t="s">
        <v>79</v>
      </c>
      <c r="U528" s="27" t="s">
        <v>81</v>
      </c>
      <c r="V528" s="27" t="s">
        <v>83</v>
      </c>
      <c r="W528" s="27" t="s">
        <v>85</v>
      </c>
      <c r="X528" s="27" t="s">
        <v>93</v>
      </c>
      <c r="Y528" s="27" t="s">
        <v>2975</v>
      </c>
      <c r="Z528" s="27" t="n">
        <v>-7.230411</v>
      </c>
      <c r="AA528" s="27" t="n">
        <v>-48.2785545</v>
      </c>
      <c r="AB528" s="37" t="s">
        <v>2338</v>
      </c>
      <c r="AC528" s="27" t="s">
        <v>2976</v>
      </c>
    </row>
    <row r="529" customFormat="false" ht="15" hidden="false" customHeight="false" outlineLevel="0" collapsed="false">
      <c r="A529" s="27" t="n">
        <v>528</v>
      </c>
      <c r="B529" s="27" t="s">
        <v>1707</v>
      </c>
      <c r="C529" s="27" t="s">
        <v>2977</v>
      </c>
      <c r="D529" s="27" t="s">
        <v>1678</v>
      </c>
      <c r="E529" s="27" t="s">
        <v>1708</v>
      </c>
      <c r="F529" s="32" t="n">
        <v>26.2377575313957</v>
      </c>
      <c r="G529" s="28" t="n">
        <v>8729.90461559936</v>
      </c>
      <c r="H529" s="28" t="n">
        <v>26.2377575313949</v>
      </c>
      <c r="I529" s="7" t="s">
        <v>24</v>
      </c>
      <c r="J529" s="27" t="s">
        <v>303</v>
      </c>
      <c r="K529" s="27" t="s">
        <v>461</v>
      </c>
      <c r="L529" s="27" t="n">
        <v>25</v>
      </c>
      <c r="M529" s="27" t="s">
        <v>95</v>
      </c>
      <c r="N529" s="27" t="s">
        <v>2640</v>
      </c>
      <c r="O529" s="27" t="s">
        <v>96</v>
      </c>
      <c r="P529" s="27" t="s">
        <v>54</v>
      </c>
      <c r="Q529" s="27" t="n">
        <v>0</v>
      </c>
      <c r="R529" s="27"/>
      <c r="S529" s="27" t="s">
        <v>41</v>
      </c>
      <c r="T529" s="27" t="s">
        <v>79</v>
      </c>
      <c r="U529" s="27" t="s">
        <v>81</v>
      </c>
      <c r="V529" s="27" t="s">
        <v>83</v>
      </c>
      <c r="W529" s="27" t="s">
        <v>85</v>
      </c>
      <c r="X529" s="27" t="s">
        <v>95</v>
      </c>
      <c r="Y529" s="27" t="s">
        <v>2978</v>
      </c>
      <c r="Z529" s="27" t="n">
        <v>-7.235567</v>
      </c>
      <c r="AA529" s="27" t="n">
        <v>-48.2764445</v>
      </c>
      <c r="AB529" s="37" t="s">
        <v>2338</v>
      </c>
      <c r="AC529" s="27" t="s">
        <v>2979</v>
      </c>
    </row>
    <row r="530" customFormat="false" ht="15" hidden="false" customHeight="false" outlineLevel="0" collapsed="false">
      <c r="A530" s="27" t="n">
        <v>529</v>
      </c>
      <c r="B530" s="27" t="s">
        <v>1709</v>
      </c>
      <c r="C530" s="27" t="s">
        <v>2980</v>
      </c>
      <c r="D530" s="27" t="s">
        <v>1708</v>
      </c>
      <c r="E530" s="27" t="s">
        <v>1710</v>
      </c>
      <c r="F530" s="32" t="n">
        <v>2.30486111415395</v>
      </c>
      <c r="G530" s="28" t="n">
        <v>8732.20947671351</v>
      </c>
      <c r="H530" s="28" t="n">
        <v>28.5426186455497</v>
      </c>
      <c r="I530" s="7" t="s">
        <v>24</v>
      </c>
      <c r="J530" s="27" t="s">
        <v>303</v>
      </c>
      <c r="K530" s="27" t="s">
        <v>461</v>
      </c>
      <c r="L530" s="27" t="n">
        <v>25</v>
      </c>
      <c r="M530" s="27" t="s">
        <v>95</v>
      </c>
      <c r="N530" s="27" t="s">
        <v>2640</v>
      </c>
      <c r="O530" s="27" t="s">
        <v>96</v>
      </c>
      <c r="P530" s="27" t="s">
        <v>54</v>
      </c>
      <c r="Q530" s="27" t="n">
        <v>0</v>
      </c>
      <c r="R530" s="27"/>
      <c r="S530" s="27" t="s">
        <v>41</v>
      </c>
      <c r="T530" s="27" t="s">
        <v>79</v>
      </c>
      <c r="U530" s="27" t="s">
        <v>81</v>
      </c>
      <c r="V530" s="27" t="s">
        <v>83</v>
      </c>
      <c r="W530" s="27" t="s">
        <v>85</v>
      </c>
      <c r="X530" s="27" t="s">
        <v>95</v>
      </c>
      <c r="Y530" s="27" t="s">
        <v>2978</v>
      </c>
      <c r="Z530" s="27" t="n">
        <v>-7.23558</v>
      </c>
      <c r="AA530" s="27" t="n">
        <v>-48.276316</v>
      </c>
      <c r="AB530" s="37" t="s">
        <v>2338</v>
      </c>
      <c r="AC530" s="27" t="s">
        <v>2979</v>
      </c>
    </row>
    <row r="531" customFormat="false" ht="15" hidden="false" customHeight="false" outlineLevel="0" collapsed="false">
      <c r="A531" s="27" t="n">
        <v>530</v>
      </c>
      <c r="B531" s="27" t="s">
        <v>1711</v>
      </c>
      <c r="C531" s="27" t="s">
        <v>2981</v>
      </c>
      <c r="D531" s="27" t="s">
        <v>1710</v>
      </c>
      <c r="E531" s="27" t="s">
        <v>1712</v>
      </c>
      <c r="F531" s="32" t="n">
        <v>77.8131128508133</v>
      </c>
      <c r="G531" s="28" t="n">
        <v>8810.02258956433</v>
      </c>
      <c r="H531" s="28" t="n">
        <v>106.355731496364</v>
      </c>
      <c r="I531" s="7" t="s">
        <v>24</v>
      </c>
      <c r="J531" s="27" t="s">
        <v>303</v>
      </c>
      <c r="K531" s="27" t="s">
        <v>461</v>
      </c>
      <c r="L531" s="27" t="n">
        <v>25</v>
      </c>
      <c r="M531" s="27" t="s">
        <v>95</v>
      </c>
      <c r="N531" s="27" t="s">
        <v>2640</v>
      </c>
      <c r="O531" s="27" t="s">
        <v>96</v>
      </c>
      <c r="P531" s="27" t="s">
        <v>54</v>
      </c>
      <c r="Q531" s="27" t="n">
        <v>0</v>
      </c>
      <c r="R531" s="27"/>
      <c r="S531" s="27" t="s">
        <v>41</v>
      </c>
      <c r="T531" s="27" t="s">
        <v>79</v>
      </c>
      <c r="U531" s="27" t="s">
        <v>81</v>
      </c>
      <c r="V531" s="27" t="s">
        <v>83</v>
      </c>
      <c r="W531" s="27" t="s">
        <v>85</v>
      </c>
      <c r="X531" s="27" t="s">
        <v>95</v>
      </c>
      <c r="Y531" s="27" t="s">
        <v>2978</v>
      </c>
      <c r="Z531" s="27" t="n">
        <v>-7.235757</v>
      </c>
      <c r="AA531" s="27" t="n">
        <v>-48.276</v>
      </c>
      <c r="AB531" s="37" t="s">
        <v>2338</v>
      </c>
      <c r="AC531" s="27" t="s">
        <v>2979</v>
      </c>
    </row>
    <row r="532" customFormat="false" ht="15" hidden="false" customHeight="false" outlineLevel="0" collapsed="false">
      <c r="A532" s="27" t="n">
        <v>531</v>
      </c>
      <c r="B532" s="27" t="s">
        <v>1713</v>
      </c>
      <c r="C532" s="27" t="s">
        <v>2982</v>
      </c>
      <c r="D532" s="27" t="s">
        <v>1692</v>
      </c>
      <c r="E532" s="27" t="s">
        <v>1714</v>
      </c>
      <c r="F532" s="32" t="n">
        <v>50.2992505888517</v>
      </c>
      <c r="G532" s="28" t="n">
        <v>9050.24785168727</v>
      </c>
      <c r="H532" s="28" t="n">
        <v>50.2992505888524</v>
      </c>
      <c r="I532" s="7" t="s">
        <v>24</v>
      </c>
      <c r="J532" s="27" t="s">
        <v>303</v>
      </c>
      <c r="K532" s="27" t="s">
        <v>461</v>
      </c>
      <c r="L532" s="27" t="n">
        <v>26</v>
      </c>
      <c r="M532" s="27" t="s">
        <v>97</v>
      </c>
      <c r="N532" s="27" t="s">
        <v>2640</v>
      </c>
      <c r="O532" s="27" t="s">
        <v>98</v>
      </c>
      <c r="P532" s="27" t="s">
        <v>54</v>
      </c>
      <c r="Q532" s="27" t="n">
        <v>0</v>
      </c>
      <c r="R532" s="27"/>
      <c r="S532" s="27" t="s">
        <v>41</v>
      </c>
      <c r="T532" s="27" t="s">
        <v>79</v>
      </c>
      <c r="U532" s="27" t="s">
        <v>81</v>
      </c>
      <c r="V532" s="27" t="s">
        <v>83</v>
      </c>
      <c r="W532" s="27" t="s">
        <v>85</v>
      </c>
      <c r="X532" s="27" t="s">
        <v>97</v>
      </c>
      <c r="Y532" s="27" t="s">
        <v>2983</v>
      </c>
      <c r="Z532" s="27" t="n">
        <v>-7.240843</v>
      </c>
      <c r="AA532" s="27" t="n">
        <v>-48.2765675</v>
      </c>
      <c r="AB532" s="37" t="s">
        <v>2338</v>
      </c>
      <c r="AC532" s="27" t="s">
        <v>2984</v>
      </c>
    </row>
    <row r="533" customFormat="false" ht="15" hidden="false" customHeight="false" outlineLevel="0" collapsed="false">
      <c r="A533" s="27" t="n">
        <v>532</v>
      </c>
      <c r="B533" s="27" t="s">
        <v>1715</v>
      </c>
      <c r="C533" s="27" t="s">
        <v>2985</v>
      </c>
      <c r="D533" s="27" t="s">
        <v>1696</v>
      </c>
      <c r="E533" s="27" t="s">
        <v>1716</v>
      </c>
      <c r="F533" s="32" t="n">
        <v>92.2586306696714</v>
      </c>
      <c r="G533" s="28" t="n">
        <v>9016.36194146124</v>
      </c>
      <c r="H533" s="28" t="n">
        <v>92.2586306696721</v>
      </c>
      <c r="I533" s="7" t="s">
        <v>24</v>
      </c>
      <c r="J533" s="27" t="s">
        <v>303</v>
      </c>
      <c r="K533" s="27" t="s">
        <v>461</v>
      </c>
      <c r="L533" s="27" t="n">
        <v>27</v>
      </c>
      <c r="M533" s="27" t="s">
        <v>99</v>
      </c>
      <c r="N533" s="27" t="s">
        <v>2640</v>
      </c>
      <c r="O533" s="27" t="s">
        <v>100</v>
      </c>
      <c r="P533" s="27" t="s">
        <v>54</v>
      </c>
      <c r="Q533" s="27" t="n">
        <v>0</v>
      </c>
      <c r="R533" s="27"/>
      <c r="S533" s="27" t="s">
        <v>41</v>
      </c>
      <c r="T533" s="27" t="s">
        <v>79</v>
      </c>
      <c r="U533" s="27" t="s">
        <v>81</v>
      </c>
      <c r="V533" s="27" t="s">
        <v>83</v>
      </c>
      <c r="W533" s="27" t="s">
        <v>85</v>
      </c>
      <c r="X533" s="27" t="s">
        <v>99</v>
      </c>
      <c r="Y533" s="27" t="s">
        <v>2986</v>
      </c>
      <c r="Z533" s="27" t="n">
        <v>-7.2410725</v>
      </c>
      <c r="AA533" s="27" t="n">
        <v>-48.2789595</v>
      </c>
      <c r="AB533" s="37" t="s">
        <v>2338</v>
      </c>
      <c r="AC533" s="27" t="s">
        <v>2987</v>
      </c>
    </row>
    <row r="534" customFormat="false" ht="15" hidden="false" customHeight="false" outlineLevel="0" collapsed="false">
      <c r="A534" s="27" t="n">
        <v>533</v>
      </c>
      <c r="B534" s="27" t="s">
        <v>1717</v>
      </c>
      <c r="C534" s="27" t="s">
        <v>2988</v>
      </c>
      <c r="D534" s="27" t="s">
        <v>1698</v>
      </c>
      <c r="E534" s="27" t="s">
        <v>1718</v>
      </c>
      <c r="F534" s="32" t="n">
        <v>252.909183033416</v>
      </c>
      <c r="G534" s="28" t="n">
        <v>8124.55350505322</v>
      </c>
      <c r="H534" s="28" t="n">
        <v>252.909183033416</v>
      </c>
      <c r="I534" s="7" t="s">
        <v>24</v>
      </c>
      <c r="J534" s="27" t="s">
        <v>303</v>
      </c>
      <c r="K534" s="27" t="s">
        <v>461</v>
      </c>
      <c r="L534" s="27" t="n">
        <v>28</v>
      </c>
      <c r="M534" s="27" t="s">
        <v>101</v>
      </c>
      <c r="N534" s="27" t="s">
        <v>2640</v>
      </c>
      <c r="O534" s="27" t="s">
        <v>102</v>
      </c>
      <c r="P534" s="27" t="s">
        <v>54</v>
      </c>
      <c r="Q534" s="27" t="n">
        <v>0</v>
      </c>
      <c r="R534" s="27"/>
      <c r="S534" s="27" t="s">
        <v>41</v>
      </c>
      <c r="T534" s="27" t="s">
        <v>79</v>
      </c>
      <c r="U534" s="27" t="s">
        <v>81</v>
      </c>
      <c r="V534" s="27" t="s">
        <v>83</v>
      </c>
      <c r="W534" s="27" t="s">
        <v>85</v>
      </c>
      <c r="X534" s="27" t="s">
        <v>101</v>
      </c>
      <c r="Y534" s="27" t="s">
        <v>2989</v>
      </c>
      <c r="Z534" s="27" t="n">
        <v>-7.238823</v>
      </c>
      <c r="AA534" s="27" t="n">
        <v>-48.27167</v>
      </c>
      <c r="AB534" s="37" t="s">
        <v>2338</v>
      </c>
      <c r="AC534" s="27" t="s">
        <v>2990</v>
      </c>
    </row>
    <row r="535" customFormat="false" ht="15" hidden="false" customHeight="false" outlineLevel="0" collapsed="false">
      <c r="A535" s="27" t="n">
        <v>534</v>
      </c>
      <c r="B535" s="27" t="s">
        <v>1719</v>
      </c>
      <c r="C535" s="27" t="s">
        <v>2991</v>
      </c>
      <c r="D535" s="27" t="s">
        <v>1622</v>
      </c>
      <c r="E535" s="27" t="s">
        <v>1720</v>
      </c>
      <c r="F535" s="32" t="n">
        <v>30.8355904582397</v>
      </c>
      <c r="G535" s="28" t="n">
        <v>7182.26752585435</v>
      </c>
      <c r="H535" s="28" t="n">
        <v>30.8355904582395</v>
      </c>
      <c r="I535" s="7" t="s">
        <v>24</v>
      </c>
      <c r="J535" s="27" t="s">
        <v>303</v>
      </c>
      <c r="K535" s="27" t="s">
        <v>461</v>
      </c>
      <c r="L535" s="27" t="n">
        <v>29</v>
      </c>
      <c r="M535" s="27" t="s">
        <v>103</v>
      </c>
      <c r="N535" s="27" t="s">
        <v>2640</v>
      </c>
      <c r="O535" s="27" t="s">
        <v>104</v>
      </c>
      <c r="P535" s="27" t="s">
        <v>54</v>
      </c>
      <c r="Q535" s="27" t="n">
        <v>0</v>
      </c>
      <c r="R535" s="27"/>
      <c r="S535" s="27" t="s">
        <v>41</v>
      </c>
      <c r="T535" s="27" t="s">
        <v>79</v>
      </c>
      <c r="U535" s="27" t="s">
        <v>81</v>
      </c>
      <c r="V535" s="27" t="s">
        <v>103</v>
      </c>
      <c r="W535" s="27"/>
      <c r="X535" s="27"/>
      <c r="Y535" s="27" t="s">
        <v>2992</v>
      </c>
      <c r="Z535" s="27" t="n">
        <v>-7.242023</v>
      </c>
      <c r="AA535" s="27" t="n">
        <v>-48.267809</v>
      </c>
      <c r="AB535" s="37" t="s">
        <v>2338</v>
      </c>
      <c r="AC535" s="27" t="s">
        <v>2993</v>
      </c>
    </row>
    <row r="536" customFormat="false" ht="15" hidden="false" customHeight="false" outlineLevel="0" collapsed="false">
      <c r="A536" s="27" t="n">
        <v>535</v>
      </c>
      <c r="B536" s="27" t="s">
        <v>1721</v>
      </c>
      <c r="C536" s="27" t="s">
        <v>2994</v>
      </c>
      <c r="D536" s="27" t="s">
        <v>1624</v>
      </c>
      <c r="E536" s="27" t="s">
        <v>1722</v>
      </c>
      <c r="F536" s="32" t="n">
        <v>60.4709293449866</v>
      </c>
      <c r="G536" s="28" t="n">
        <v>7112.89424278822</v>
      </c>
      <c r="H536" s="28" t="n">
        <v>60.4709293449869</v>
      </c>
      <c r="I536" s="7" t="s">
        <v>24</v>
      </c>
      <c r="J536" s="27" t="s">
        <v>303</v>
      </c>
      <c r="K536" s="27" t="s">
        <v>461</v>
      </c>
      <c r="L536" s="27" t="n">
        <v>30</v>
      </c>
      <c r="M536" s="27" t="s">
        <v>105</v>
      </c>
      <c r="N536" s="27" t="s">
        <v>2640</v>
      </c>
      <c r="O536" s="27" t="s">
        <v>106</v>
      </c>
      <c r="P536" s="27" t="s">
        <v>54</v>
      </c>
      <c r="Q536" s="27" t="n">
        <v>0</v>
      </c>
      <c r="R536" s="27"/>
      <c r="S536" s="27" t="s">
        <v>41</v>
      </c>
      <c r="T536" s="27" t="s">
        <v>79</v>
      </c>
      <c r="U536" s="27" t="s">
        <v>81</v>
      </c>
      <c r="V536" s="27" t="s">
        <v>105</v>
      </c>
      <c r="W536" s="27"/>
      <c r="X536" s="27"/>
      <c r="Y536" s="27" t="s">
        <v>2995</v>
      </c>
      <c r="Z536" s="27" t="n">
        <v>-7.2420215</v>
      </c>
      <c r="AA536" s="27" t="n">
        <v>-48.2668545</v>
      </c>
      <c r="AB536" s="37" t="s">
        <v>2338</v>
      </c>
      <c r="AC536" s="27" t="s">
        <v>2996</v>
      </c>
    </row>
    <row r="537" customFormat="false" ht="15" hidden="false" customHeight="false" outlineLevel="0" collapsed="false">
      <c r="A537" s="27" t="n">
        <v>536</v>
      </c>
      <c r="B537" s="27" t="s">
        <v>1723</v>
      </c>
      <c r="C537" s="27" t="s">
        <v>2997</v>
      </c>
      <c r="D537" s="27" t="s">
        <v>1626</v>
      </c>
      <c r="E537" s="27" t="s">
        <v>1724</v>
      </c>
      <c r="F537" s="32" t="n">
        <v>347.967746604303</v>
      </c>
      <c r="G537" s="28" t="n">
        <v>6962.77469601312</v>
      </c>
      <c r="H537" s="28" t="n">
        <v>347.967746604302</v>
      </c>
      <c r="I537" s="7" t="s">
        <v>24</v>
      </c>
      <c r="J537" s="27" t="s">
        <v>303</v>
      </c>
      <c r="K537" s="27" t="s">
        <v>461</v>
      </c>
      <c r="L537" s="27" t="n">
        <v>31</v>
      </c>
      <c r="M537" s="27" t="s">
        <v>107</v>
      </c>
      <c r="N537" s="27" t="s">
        <v>2640</v>
      </c>
      <c r="O537" s="27" t="s">
        <v>108</v>
      </c>
      <c r="P537" s="27" t="s">
        <v>54</v>
      </c>
      <c r="Q537" s="27" t="n">
        <v>0</v>
      </c>
      <c r="R537" s="27"/>
      <c r="S537" s="27" t="s">
        <v>41</v>
      </c>
      <c r="T537" s="27" t="s">
        <v>79</v>
      </c>
      <c r="U537" s="27" t="s">
        <v>81</v>
      </c>
      <c r="V537" s="27" t="s">
        <v>107</v>
      </c>
      <c r="W537" s="27"/>
      <c r="X537" s="27"/>
      <c r="Y537" s="27" t="s">
        <v>2998</v>
      </c>
      <c r="Z537" s="27" t="n">
        <v>-7.242262</v>
      </c>
      <c r="AA537" s="27" t="n">
        <v>-48.262463</v>
      </c>
      <c r="AB537" s="37" t="s">
        <v>2338</v>
      </c>
      <c r="AC537" s="27" t="s">
        <v>2999</v>
      </c>
    </row>
    <row r="538" customFormat="false" ht="15" hidden="false" customHeight="false" outlineLevel="0" collapsed="false">
      <c r="A538" s="27" t="n">
        <v>537</v>
      </c>
      <c r="B538" s="27" t="s">
        <v>1725</v>
      </c>
      <c r="C538" s="27" t="s">
        <v>3000</v>
      </c>
      <c r="D538" s="27" t="s">
        <v>1598</v>
      </c>
      <c r="E538" s="27" t="s">
        <v>1726</v>
      </c>
      <c r="F538" s="32" t="n">
        <v>26.5868499866944</v>
      </c>
      <c r="G538" s="28" t="n">
        <v>5350.71506321975</v>
      </c>
      <c r="H538" s="28" t="n">
        <v>26.5868499866947</v>
      </c>
      <c r="I538" s="7" t="s">
        <v>24</v>
      </c>
      <c r="J538" s="27" t="s">
        <v>303</v>
      </c>
      <c r="K538" s="27" t="s">
        <v>461</v>
      </c>
      <c r="L538" s="27" t="n">
        <v>32</v>
      </c>
      <c r="M538" s="27" t="s">
        <v>109</v>
      </c>
      <c r="N538" s="27" t="s">
        <v>2640</v>
      </c>
      <c r="O538" s="27" t="s">
        <v>110</v>
      </c>
      <c r="P538" s="27" t="s">
        <v>111</v>
      </c>
      <c r="Q538" s="27" t="n">
        <v>1</v>
      </c>
      <c r="R538" s="27"/>
      <c r="S538" s="27" t="s">
        <v>41</v>
      </c>
      <c r="T538" s="27" t="s">
        <v>79</v>
      </c>
      <c r="U538" s="27" t="s">
        <v>109</v>
      </c>
      <c r="V538" s="27"/>
      <c r="W538" s="27"/>
      <c r="X538" s="27"/>
      <c r="Y538" s="27" t="s">
        <v>3001</v>
      </c>
      <c r="Z538" s="27" t="n">
        <v>-7.2325115</v>
      </c>
      <c r="AA538" s="27" t="n">
        <v>-48.2578015</v>
      </c>
      <c r="AB538" s="37" t="s">
        <v>2338</v>
      </c>
      <c r="AC538" s="27" t="s">
        <v>3002</v>
      </c>
    </row>
    <row r="539" customFormat="false" ht="15" hidden="false" customHeight="false" outlineLevel="0" collapsed="false">
      <c r="A539" s="27" t="n">
        <v>538</v>
      </c>
      <c r="B539" s="27" t="s">
        <v>1727</v>
      </c>
      <c r="C539" s="27" t="s">
        <v>3003</v>
      </c>
      <c r="D539" s="27" t="s">
        <v>1726</v>
      </c>
      <c r="E539" s="27" t="s">
        <v>1728</v>
      </c>
      <c r="F539" s="32" t="n">
        <v>123.220553366382</v>
      </c>
      <c r="G539" s="28" t="n">
        <v>5473.93561658613</v>
      </c>
      <c r="H539" s="28" t="n">
        <v>149.807403353077</v>
      </c>
      <c r="I539" s="7" t="s">
        <v>24</v>
      </c>
      <c r="J539" s="27" t="s">
        <v>303</v>
      </c>
      <c r="K539" s="27" t="s">
        <v>461</v>
      </c>
      <c r="L539" s="27" t="n">
        <v>32</v>
      </c>
      <c r="M539" s="27" t="s">
        <v>109</v>
      </c>
      <c r="N539" s="27" t="s">
        <v>2640</v>
      </c>
      <c r="O539" s="27" t="s">
        <v>110</v>
      </c>
      <c r="P539" s="27" t="s">
        <v>111</v>
      </c>
      <c r="Q539" s="27" t="n">
        <v>1</v>
      </c>
      <c r="R539" s="27"/>
      <c r="S539" s="27" t="s">
        <v>41</v>
      </c>
      <c r="T539" s="27" t="s">
        <v>79</v>
      </c>
      <c r="U539" s="27" t="s">
        <v>109</v>
      </c>
      <c r="V539" s="27"/>
      <c r="W539" s="27"/>
      <c r="X539" s="27"/>
      <c r="Y539" s="27" t="s">
        <v>3001</v>
      </c>
      <c r="Z539" s="27" t="n">
        <v>-7.2325085</v>
      </c>
      <c r="AA539" s="27" t="n">
        <v>-48.2584805</v>
      </c>
      <c r="AB539" s="37" t="s">
        <v>2338</v>
      </c>
      <c r="AC539" s="27" t="s">
        <v>3002</v>
      </c>
    </row>
    <row r="540" customFormat="false" ht="15" hidden="false" customHeight="false" outlineLevel="0" collapsed="false">
      <c r="A540" s="27" t="n">
        <v>539</v>
      </c>
      <c r="B540" s="27" t="s">
        <v>1729</v>
      </c>
      <c r="C540" s="27" t="s">
        <v>3004</v>
      </c>
      <c r="D540" s="27" t="s">
        <v>1728</v>
      </c>
      <c r="E540" s="27" t="s">
        <v>1730</v>
      </c>
      <c r="F540" s="32" t="n">
        <v>68.5040769042433</v>
      </c>
      <c r="G540" s="28" t="n">
        <v>5542.43969349037</v>
      </c>
      <c r="H540" s="28" t="n">
        <v>218.31148025732</v>
      </c>
      <c r="I540" s="7" t="s">
        <v>24</v>
      </c>
      <c r="J540" s="27" t="s">
        <v>303</v>
      </c>
      <c r="K540" s="27" t="s">
        <v>461</v>
      </c>
      <c r="L540" s="27" t="n">
        <v>32</v>
      </c>
      <c r="M540" s="27" t="s">
        <v>109</v>
      </c>
      <c r="N540" s="27" t="s">
        <v>2640</v>
      </c>
      <c r="O540" s="27" t="s">
        <v>110</v>
      </c>
      <c r="P540" s="27" t="s">
        <v>111</v>
      </c>
      <c r="Q540" s="27" t="n">
        <v>1</v>
      </c>
      <c r="R540" s="27"/>
      <c r="S540" s="27" t="s">
        <v>41</v>
      </c>
      <c r="T540" s="27" t="s">
        <v>79</v>
      </c>
      <c r="U540" s="27" t="s">
        <v>109</v>
      </c>
      <c r="V540" s="27"/>
      <c r="W540" s="27"/>
      <c r="X540" s="27"/>
      <c r="Y540" s="27" t="s">
        <v>3001</v>
      </c>
      <c r="Z540" s="27" t="n">
        <v>-7.232502</v>
      </c>
      <c r="AA540" s="27" t="n">
        <v>-48.2593495</v>
      </c>
      <c r="AB540" s="37" t="s">
        <v>2338</v>
      </c>
      <c r="AC540" s="27" t="s">
        <v>3002</v>
      </c>
    </row>
    <row r="541" customFormat="false" ht="15" hidden="false" customHeight="false" outlineLevel="0" collapsed="false">
      <c r="A541" s="27" t="n">
        <v>540</v>
      </c>
      <c r="B541" s="27" t="s">
        <v>1731</v>
      </c>
      <c r="C541" s="27" t="s">
        <v>3005</v>
      </c>
      <c r="D541" s="27" t="s">
        <v>1730</v>
      </c>
      <c r="E541" s="27" t="s">
        <v>1732</v>
      </c>
      <c r="F541" s="32" t="n">
        <v>3.75713431119004</v>
      </c>
      <c r="G541" s="28" t="n">
        <v>5546.19682780156</v>
      </c>
      <c r="H541" s="28" t="n">
        <v>222.06861456851</v>
      </c>
      <c r="I541" s="7" t="s">
        <v>24</v>
      </c>
      <c r="J541" s="27" t="s">
        <v>303</v>
      </c>
      <c r="K541" s="27" t="s">
        <v>461</v>
      </c>
      <c r="L541" s="27" t="n">
        <v>32</v>
      </c>
      <c r="M541" s="27" t="s">
        <v>109</v>
      </c>
      <c r="N541" s="27" t="s">
        <v>2640</v>
      </c>
      <c r="O541" s="27" t="s">
        <v>110</v>
      </c>
      <c r="P541" s="27" t="s">
        <v>111</v>
      </c>
      <c r="Q541" s="27" t="n">
        <v>1</v>
      </c>
      <c r="R541" s="27"/>
      <c r="S541" s="27" t="s">
        <v>41</v>
      </c>
      <c r="T541" s="27" t="s">
        <v>79</v>
      </c>
      <c r="U541" s="27" t="s">
        <v>109</v>
      </c>
      <c r="V541" s="27"/>
      <c r="W541" s="27"/>
      <c r="X541" s="27"/>
      <c r="Y541" s="27" t="s">
        <v>3001</v>
      </c>
      <c r="Z541" s="27" t="n">
        <v>-7.232499</v>
      </c>
      <c r="AA541" s="27" t="n">
        <v>-48.259677</v>
      </c>
      <c r="AB541" s="37" t="s">
        <v>2338</v>
      </c>
      <c r="AC541" s="27" t="s">
        <v>3002</v>
      </c>
    </row>
    <row r="542" customFormat="false" ht="15" hidden="false" customHeight="false" outlineLevel="0" collapsed="false">
      <c r="A542" s="27" t="n">
        <v>541</v>
      </c>
      <c r="B542" s="27" t="s">
        <v>1733</v>
      </c>
      <c r="C542" s="27" t="s">
        <v>3006</v>
      </c>
      <c r="D542" s="27" t="s">
        <v>1732</v>
      </c>
      <c r="E542" s="27" t="s">
        <v>1734</v>
      </c>
      <c r="F542" s="32" t="n">
        <v>30.5559251209662</v>
      </c>
      <c r="G542" s="28" t="n">
        <v>5576.75275292253</v>
      </c>
      <c r="H542" s="28" t="n">
        <v>252.624539689477</v>
      </c>
      <c r="I542" s="7" t="s">
        <v>24</v>
      </c>
      <c r="J542" s="27" t="s">
        <v>303</v>
      </c>
      <c r="K542" s="27" t="s">
        <v>461</v>
      </c>
      <c r="L542" s="27" t="n">
        <v>32</v>
      </c>
      <c r="M542" s="27" t="s">
        <v>109</v>
      </c>
      <c r="N542" s="27" t="s">
        <v>2640</v>
      </c>
      <c r="O542" s="27" t="s">
        <v>110</v>
      </c>
      <c r="P542" s="27" t="s">
        <v>111</v>
      </c>
      <c r="Q542" s="27" t="n">
        <v>1</v>
      </c>
      <c r="R542" s="27"/>
      <c r="S542" s="27" t="s">
        <v>41</v>
      </c>
      <c r="T542" s="27" t="s">
        <v>79</v>
      </c>
      <c r="U542" s="27" t="s">
        <v>109</v>
      </c>
      <c r="V542" s="27"/>
      <c r="W542" s="27"/>
      <c r="X542" s="27"/>
      <c r="Y542" s="27" t="s">
        <v>3001</v>
      </c>
      <c r="Z542" s="27" t="n">
        <v>-7.232498</v>
      </c>
      <c r="AA542" s="27" t="n">
        <v>-48.2598325</v>
      </c>
      <c r="AB542" s="37" t="s">
        <v>2338</v>
      </c>
      <c r="AC542" s="27" t="s">
        <v>3002</v>
      </c>
    </row>
    <row r="543" customFormat="false" ht="15" hidden="false" customHeight="false" outlineLevel="0" collapsed="false">
      <c r="A543" s="27" t="n">
        <v>542</v>
      </c>
      <c r="B543" s="27" t="s">
        <v>1735</v>
      </c>
      <c r="C543" s="27" t="s">
        <v>3007</v>
      </c>
      <c r="D543" s="27" t="s">
        <v>1734</v>
      </c>
      <c r="E543" s="27" t="s">
        <v>1736</v>
      </c>
      <c r="F543" s="32" t="n">
        <v>3.75054676572778</v>
      </c>
      <c r="G543" s="28" t="n">
        <v>5580.50329968826</v>
      </c>
      <c r="H543" s="28" t="n">
        <v>256.375086455204</v>
      </c>
      <c r="I543" s="7" t="s">
        <v>24</v>
      </c>
      <c r="J543" s="27" t="s">
        <v>303</v>
      </c>
      <c r="K543" s="27" t="s">
        <v>461</v>
      </c>
      <c r="L543" s="27" t="n">
        <v>32</v>
      </c>
      <c r="M543" s="27" t="s">
        <v>109</v>
      </c>
      <c r="N543" s="27" t="s">
        <v>2640</v>
      </c>
      <c r="O543" s="27" t="s">
        <v>110</v>
      </c>
      <c r="P543" s="27" t="s">
        <v>111</v>
      </c>
      <c r="Q543" s="27" t="n">
        <v>1</v>
      </c>
      <c r="R543" s="27"/>
      <c r="S543" s="27" t="s">
        <v>41</v>
      </c>
      <c r="T543" s="27" t="s">
        <v>79</v>
      </c>
      <c r="U543" s="27" t="s">
        <v>109</v>
      </c>
      <c r="V543" s="27"/>
      <c r="W543" s="27"/>
      <c r="X543" s="27"/>
      <c r="Y543" s="27" t="s">
        <v>3001</v>
      </c>
      <c r="Z543" s="27" t="n">
        <v>-7.232498</v>
      </c>
      <c r="AA543" s="27" t="n">
        <v>-48.259988</v>
      </c>
      <c r="AB543" s="37" t="s">
        <v>2338</v>
      </c>
      <c r="AC543" s="27" t="s">
        <v>3002</v>
      </c>
    </row>
    <row r="544" customFormat="false" ht="15" hidden="false" customHeight="false" outlineLevel="0" collapsed="false">
      <c r="A544" s="27" t="n">
        <v>543</v>
      </c>
      <c r="B544" s="27" t="s">
        <v>1737</v>
      </c>
      <c r="C544" s="27" t="s">
        <v>3008</v>
      </c>
      <c r="D544" s="27" t="s">
        <v>1726</v>
      </c>
      <c r="E544" s="27" t="s">
        <v>1738</v>
      </c>
      <c r="F544" s="32" t="n">
        <v>5.47639670458367</v>
      </c>
      <c r="G544" s="28" t="n">
        <v>5356.19145992433</v>
      </c>
      <c r="H544" s="28" t="n">
        <v>32.0632466912784</v>
      </c>
      <c r="I544" s="7" t="s">
        <v>24</v>
      </c>
      <c r="J544" s="27" t="s">
        <v>303</v>
      </c>
      <c r="K544" s="27" t="s">
        <v>461</v>
      </c>
      <c r="L544" s="27" t="n">
        <v>32</v>
      </c>
      <c r="M544" s="27" t="s">
        <v>109</v>
      </c>
      <c r="N544" s="27" t="s">
        <v>2640</v>
      </c>
      <c r="O544" s="27" t="s">
        <v>110</v>
      </c>
      <c r="P544" s="27" t="s">
        <v>54</v>
      </c>
      <c r="Q544" s="27" t="n">
        <v>0</v>
      </c>
      <c r="R544" s="27"/>
      <c r="S544" s="27" t="s">
        <v>41</v>
      </c>
      <c r="T544" s="27" t="s">
        <v>79</v>
      </c>
      <c r="U544" s="27" t="s">
        <v>109</v>
      </c>
      <c r="V544" s="27"/>
      <c r="W544" s="27"/>
      <c r="X544" s="27"/>
      <c r="Y544" s="27" t="s">
        <v>3001</v>
      </c>
      <c r="Z544" s="27" t="n">
        <v>-7.2325375</v>
      </c>
      <c r="AA544" s="27" t="n">
        <v>-48.2579245</v>
      </c>
      <c r="AB544" s="37" t="s">
        <v>2338</v>
      </c>
      <c r="AC544" s="27" t="s">
        <v>3002</v>
      </c>
    </row>
    <row r="545" customFormat="false" ht="15" hidden="false" customHeight="false" outlineLevel="0" collapsed="false">
      <c r="A545" s="27" t="n">
        <v>544</v>
      </c>
      <c r="B545" s="27" t="s">
        <v>1739</v>
      </c>
      <c r="C545" s="27" t="s">
        <v>3009</v>
      </c>
      <c r="D545" s="27" t="s">
        <v>1726</v>
      </c>
      <c r="E545" s="27" t="s">
        <v>1740</v>
      </c>
      <c r="F545" s="32" t="n">
        <v>147.165839843106</v>
      </c>
      <c r="G545" s="28" t="n">
        <v>5497.88090306285</v>
      </c>
      <c r="H545" s="28" t="n">
        <v>173.752689829801</v>
      </c>
      <c r="I545" s="7" t="s">
        <v>24</v>
      </c>
      <c r="J545" s="27" t="s">
        <v>303</v>
      </c>
      <c r="K545" s="27" t="s">
        <v>461</v>
      </c>
      <c r="L545" s="27" t="n">
        <v>32</v>
      </c>
      <c r="M545" s="27" t="s">
        <v>109</v>
      </c>
      <c r="N545" s="27" t="s">
        <v>2640</v>
      </c>
      <c r="O545" s="27" t="s">
        <v>110</v>
      </c>
      <c r="P545" s="27" t="s">
        <v>54</v>
      </c>
      <c r="Q545" s="27" t="n">
        <v>0</v>
      </c>
      <c r="R545" s="27"/>
      <c r="S545" s="27" t="s">
        <v>41</v>
      </c>
      <c r="T545" s="27" t="s">
        <v>79</v>
      </c>
      <c r="U545" s="27" t="s">
        <v>109</v>
      </c>
      <c r="V545" s="27"/>
      <c r="W545" s="27"/>
      <c r="X545" s="27"/>
      <c r="Y545" s="27" t="s">
        <v>3001</v>
      </c>
      <c r="Z545" s="27" t="n">
        <v>-7.2318545</v>
      </c>
      <c r="AA545" s="27" t="n">
        <v>-48.257856</v>
      </c>
      <c r="AB545" s="37" t="s">
        <v>2338</v>
      </c>
      <c r="AC545" s="27" t="s">
        <v>3002</v>
      </c>
    </row>
    <row r="546" customFormat="false" ht="15" hidden="false" customHeight="false" outlineLevel="0" collapsed="false">
      <c r="A546" s="27" t="n">
        <v>545</v>
      </c>
      <c r="B546" s="27" t="s">
        <v>1741</v>
      </c>
      <c r="C546" s="27" t="s">
        <v>3010</v>
      </c>
      <c r="D546" s="27" t="s">
        <v>1740</v>
      </c>
      <c r="E546" s="27" t="s">
        <v>1742</v>
      </c>
      <c r="F546" s="32" t="n">
        <v>11.9218355989046</v>
      </c>
      <c r="G546" s="28" t="n">
        <v>5509.80273866176</v>
      </c>
      <c r="H546" s="28" t="n">
        <v>185.674525428705</v>
      </c>
      <c r="I546" s="7" t="s">
        <v>24</v>
      </c>
      <c r="J546" s="27" t="s">
        <v>303</v>
      </c>
      <c r="K546" s="27" t="s">
        <v>461</v>
      </c>
      <c r="L546" s="27" t="n">
        <v>32</v>
      </c>
      <c r="M546" s="27" t="s">
        <v>109</v>
      </c>
      <c r="N546" s="27" t="s">
        <v>2640</v>
      </c>
      <c r="O546" s="27" t="s">
        <v>110</v>
      </c>
      <c r="P546" s="27" t="s">
        <v>54</v>
      </c>
      <c r="Q546" s="27" t="n">
        <v>0</v>
      </c>
      <c r="R546" s="27"/>
      <c r="S546" s="27" t="s">
        <v>41</v>
      </c>
      <c r="T546" s="27" t="s">
        <v>79</v>
      </c>
      <c r="U546" s="27" t="s">
        <v>109</v>
      </c>
      <c r="V546" s="27"/>
      <c r="W546" s="27"/>
      <c r="X546" s="27"/>
      <c r="Y546" s="27" t="s">
        <v>3001</v>
      </c>
      <c r="Z546" s="27" t="n">
        <v>-7.231198</v>
      </c>
      <c r="AA546" s="27" t="n">
        <v>-48.257736</v>
      </c>
      <c r="AB546" s="37" t="s">
        <v>2338</v>
      </c>
      <c r="AC546" s="27" t="s">
        <v>3002</v>
      </c>
    </row>
    <row r="547" customFormat="false" ht="15" hidden="false" customHeight="false" outlineLevel="0" collapsed="false">
      <c r="A547" s="27" t="n">
        <v>546</v>
      </c>
      <c r="B547" s="27" t="s">
        <v>1743</v>
      </c>
      <c r="C547" s="27" t="s">
        <v>3011</v>
      </c>
      <c r="D547" s="27" t="s">
        <v>1740</v>
      </c>
      <c r="E547" s="27" t="s">
        <v>1744</v>
      </c>
      <c r="F547" s="32" t="n">
        <v>7.24868452055278</v>
      </c>
      <c r="G547" s="28" t="n">
        <v>5505.12958758341</v>
      </c>
      <c r="H547" s="28" t="n">
        <v>181.001374350354</v>
      </c>
      <c r="I547" s="7" t="s">
        <v>24</v>
      </c>
      <c r="J547" s="27" t="s">
        <v>303</v>
      </c>
      <c r="K547" s="27" t="s">
        <v>461</v>
      </c>
      <c r="L547" s="27" t="n">
        <v>32</v>
      </c>
      <c r="M547" s="27" t="s">
        <v>109</v>
      </c>
      <c r="N547" s="27" t="s">
        <v>2640</v>
      </c>
      <c r="O547" s="27" t="s">
        <v>110</v>
      </c>
      <c r="P547" s="27" t="s">
        <v>54</v>
      </c>
      <c r="Q547" s="27" t="n">
        <v>0</v>
      </c>
      <c r="R547" s="27"/>
      <c r="S547" s="27" t="s">
        <v>41</v>
      </c>
      <c r="T547" s="27" t="s">
        <v>79</v>
      </c>
      <c r="U547" s="27" t="s">
        <v>109</v>
      </c>
      <c r="V547" s="27"/>
      <c r="W547" s="27"/>
      <c r="X547" s="27"/>
      <c r="Y547" s="27" t="s">
        <v>3001</v>
      </c>
      <c r="Z547" s="27" t="n">
        <v>-7.2311635</v>
      </c>
      <c r="AA547" s="27" t="n">
        <v>-48.2577875</v>
      </c>
      <c r="AB547" s="37" t="s">
        <v>2338</v>
      </c>
      <c r="AC547" s="27" t="s">
        <v>3002</v>
      </c>
    </row>
    <row r="548" customFormat="false" ht="15" hidden="false" customHeight="false" outlineLevel="0" collapsed="false">
      <c r="A548" s="27" t="n">
        <v>547</v>
      </c>
      <c r="B548" s="27" t="s">
        <v>1745</v>
      </c>
      <c r="C548" s="27" t="s">
        <v>3012</v>
      </c>
      <c r="D548" s="27" t="s">
        <v>1740</v>
      </c>
      <c r="E548" s="27" t="s">
        <v>1746</v>
      </c>
      <c r="F548" s="32" t="n">
        <v>93.819375956426</v>
      </c>
      <c r="G548" s="28" t="n">
        <v>5591.70027901928</v>
      </c>
      <c r="H548" s="28" t="n">
        <v>267.572065786227</v>
      </c>
      <c r="I548" s="7" t="s">
        <v>24</v>
      </c>
      <c r="J548" s="27" t="s">
        <v>303</v>
      </c>
      <c r="K548" s="27" t="s">
        <v>461</v>
      </c>
      <c r="L548" s="27" t="n">
        <v>32</v>
      </c>
      <c r="M548" s="27" t="s">
        <v>109</v>
      </c>
      <c r="N548" s="27" t="s">
        <v>2640</v>
      </c>
      <c r="O548" s="27" t="s">
        <v>110</v>
      </c>
      <c r="P548" s="27" t="s">
        <v>54</v>
      </c>
      <c r="Q548" s="27" t="n">
        <v>0</v>
      </c>
      <c r="R548" s="27"/>
      <c r="S548" s="27" t="s">
        <v>41</v>
      </c>
      <c r="T548" s="27" t="s">
        <v>79</v>
      </c>
      <c r="U548" s="27" t="s">
        <v>109</v>
      </c>
      <c r="V548" s="27"/>
      <c r="W548" s="27"/>
      <c r="X548" s="27"/>
      <c r="Y548" s="27" t="s">
        <v>3001</v>
      </c>
      <c r="Z548" s="27" t="n">
        <v>-7.2311815</v>
      </c>
      <c r="AA548" s="27" t="n">
        <v>-48.258215</v>
      </c>
      <c r="AB548" s="37" t="s">
        <v>2338</v>
      </c>
      <c r="AC548" s="27" t="s">
        <v>3002</v>
      </c>
    </row>
    <row r="549" customFormat="false" ht="15" hidden="false" customHeight="false" outlineLevel="0" collapsed="false">
      <c r="A549" s="27" t="n">
        <v>548</v>
      </c>
      <c r="B549" s="27" t="s">
        <v>1747</v>
      </c>
      <c r="C549" s="27" t="s">
        <v>3013</v>
      </c>
      <c r="D549" s="27" t="s">
        <v>1746</v>
      </c>
      <c r="E549" s="27" t="s">
        <v>1748</v>
      </c>
      <c r="F549" s="32" t="n">
        <v>37.3050150326239</v>
      </c>
      <c r="G549" s="28" t="n">
        <v>5629.0052940519</v>
      </c>
      <c r="H549" s="28" t="n">
        <v>304.87708081885</v>
      </c>
      <c r="I549" s="7" t="s">
        <v>24</v>
      </c>
      <c r="J549" s="27" t="s">
        <v>303</v>
      </c>
      <c r="K549" s="27" t="s">
        <v>461</v>
      </c>
      <c r="L549" s="27" t="n">
        <v>32</v>
      </c>
      <c r="M549" s="27" t="s">
        <v>109</v>
      </c>
      <c r="N549" s="27" t="s">
        <v>2640</v>
      </c>
      <c r="O549" s="27" t="s">
        <v>110</v>
      </c>
      <c r="P549" s="27" t="s">
        <v>54</v>
      </c>
      <c r="Q549" s="27" t="n">
        <v>0</v>
      </c>
      <c r="R549" s="27"/>
      <c r="S549" s="27" t="s">
        <v>41</v>
      </c>
      <c r="T549" s="27" t="s">
        <v>79</v>
      </c>
      <c r="U549" s="27" t="s">
        <v>109</v>
      </c>
      <c r="V549" s="27"/>
      <c r="W549" s="27"/>
      <c r="X549" s="27"/>
      <c r="Y549" s="27" t="s">
        <v>3001</v>
      </c>
      <c r="Z549" s="27" t="n">
        <v>-7.2311615</v>
      </c>
      <c r="AA549" s="27" t="n">
        <v>-48.258809</v>
      </c>
      <c r="AB549" s="37" t="s">
        <v>2338</v>
      </c>
      <c r="AC549" s="27" t="s">
        <v>3002</v>
      </c>
    </row>
    <row r="550" customFormat="false" ht="15" hidden="false" customHeight="false" outlineLevel="0" collapsed="false">
      <c r="A550" s="27" t="n">
        <v>549</v>
      </c>
      <c r="B550" s="27" t="s">
        <v>1749</v>
      </c>
      <c r="C550" s="27" t="s">
        <v>3014</v>
      </c>
      <c r="D550" s="27" t="s">
        <v>1736</v>
      </c>
      <c r="E550" s="27" t="s">
        <v>1750</v>
      </c>
      <c r="F550" s="32" t="n">
        <v>139.766606355592</v>
      </c>
      <c r="G550" s="28" t="n">
        <v>5720.26990604385</v>
      </c>
      <c r="H550" s="28" t="n">
        <v>139.766606355593</v>
      </c>
      <c r="I550" s="7" t="s">
        <v>24</v>
      </c>
      <c r="J550" s="27" t="s">
        <v>303</v>
      </c>
      <c r="K550" s="27" t="s">
        <v>461</v>
      </c>
      <c r="L550" s="27" t="n">
        <v>33</v>
      </c>
      <c r="M550" s="27" t="s">
        <v>111</v>
      </c>
      <c r="N550" s="27" t="s">
        <v>2640</v>
      </c>
      <c r="O550" s="27" t="s">
        <v>112</v>
      </c>
      <c r="P550" s="27" t="s">
        <v>54</v>
      </c>
      <c r="Q550" s="27" t="n">
        <v>0</v>
      </c>
      <c r="R550" s="27"/>
      <c r="S550" s="27" t="s">
        <v>41</v>
      </c>
      <c r="T550" s="27" t="s">
        <v>79</v>
      </c>
      <c r="U550" s="27" t="s">
        <v>109</v>
      </c>
      <c r="V550" s="27" t="s">
        <v>111</v>
      </c>
      <c r="W550" s="27"/>
      <c r="X550" s="27"/>
      <c r="Y550" s="27" t="s">
        <v>3015</v>
      </c>
      <c r="Z550" s="27" t="n">
        <v>-7.2324935</v>
      </c>
      <c r="AA550" s="27" t="n">
        <v>-48.2606385</v>
      </c>
      <c r="AB550" s="37" t="s">
        <v>2338</v>
      </c>
      <c r="AC550" s="27" t="s">
        <v>3016</v>
      </c>
    </row>
    <row r="551" customFormat="false" ht="15" hidden="false" customHeight="false" outlineLevel="0" collapsed="false">
      <c r="A551" s="27" t="n">
        <v>550</v>
      </c>
      <c r="B551" s="27" t="s">
        <v>1751</v>
      </c>
      <c r="C551" s="27" t="s">
        <v>3017</v>
      </c>
      <c r="D551" s="27" t="s">
        <v>1750</v>
      </c>
      <c r="E551" s="27" t="s">
        <v>1752</v>
      </c>
      <c r="F551" s="32" t="n">
        <v>4.08753170589217</v>
      </c>
      <c r="G551" s="28" t="n">
        <v>5724.35743774974</v>
      </c>
      <c r="H551" s="28" t="n">
        <v>143.854138061485</v>
      </c>
      <c r="I551" s="7" t="s">
        <v>24</v>
      </c>
      <c r="J551" s="27" t="s">
        <v>303</v>
      </c>
      <c r="K551" s="27" t="s">
        <v>461</v>
      </c>
      <c r="L551" s="27" t="n">
        <v>33</v>
      </c>
      <c r="M551" s="27" t="s">
        <v>111</v>
      </c>
      <c r="N551" s="27" t="s">
        <v>2640</v>
      </c>
      <c r="O551" s="27" t="s">
        <v>112</v>
      </c>
      <c r="P551" s="27" t="s">
        <v>54</v>
      </c>
      <c r="Q551" s="27" t="n">
        <v>0</v>
      </c>
      <c r="R551" s="27"/>
      <c r="S551" s="27" t="s">
        <v>41</v>
      </c>
      <c r="T551" s="27" t="s">
        <v>79</v>
      </c>
      <c r="U551" s="27" t="s">
        <v>109</v>
      </c>
      <c r="V551" s="27" t="s">
        <v>111</v>
      </c>
      <c r="W551" s="27"/>
      <c r="X551" s="27"/>
      <c r="Y551" s="27" t="s">
        <v>3015</v>
      </c>
      <c r="Z551" s="27" t="n">
        <v>-7.232488</v>
      </c>
      <c r="AA551" s="27" t="n">
        <v>-48.2612905</v>
      </c>
      <c r="AB551" s="37" t="s">
        <v>2338</v>
      </c>
      <c r="AC551" s="27" t="s">
        <v>3016</v>
      </c>
    </row>
    <row r="552" customFormat="false" ht="15" hidden="false" customHeight="false" outlineLevel="0" collapsed="false">
      <c r="A552" s="27" t="n">
        <v>551</v>
      </c>
      <c r="B552" s="27" t="s">
        <v>1753</v>
      </c>
      <c r="C552" s="27" t="s">
        <v>3018</v>
      </c>
      <c r="D552" s="27" t="s">
        <v>1752</v>
      </c>
      <c r="E552" s="27" t="s">
        <v>1754</v>
      </c>
      <c r="F552" s="32" t="n">
        <v>2.58493986503466</v>
      </c>
      <c r="G552" s="28" t="n">
        <v>5726.94237761478</v>
      </c>
      <c r="H552" s="28" t="n">
        <v>146.43907792652</v>
      </c>
      <c r="I552" s="7" t="s">
        <v>24</v>
      </c>
      <c r="J552" s="27" t="s">
        <v>303</v>
      </c>
      <c r="K552" s="27" t="s">
        <v>461</v>
      </c>
      <c r="L552" s="27" t="n">
        <v>33</v>
      </c>
      <c r="M552" s="27" t="s">
        <v>111</v>
      </c>
      <c r="N552" s="27" t="s">
        <v>2640</v>
      </c>
      <c r="O552" s="27" t="s">
        <v>112</v>
      </c>
      <c r="P552" s="27" t="s">
        <v>54</v>
      </c>
      <c r="Q552" s="27" t="n">
        <v>0</v>
      </c>
      <c r="R552" s="27"/>
      <c r="S552" s="27" t="s">
        <v>41</v>
      </c>
      <c r="T552" s="27" t="s">
        <v>79</v>
      </c>
      <c r="U552" s="27" t="s">
        <v>109</v>
      </c>
      <c r="V552" s="27" t="s">
        <v>111</v>
      </c>
      <c r="W552" s="27"/>
      <c r="X552" s="27"/>
      <c r="Y552" s="27" t="s">
        <v>3015</v>
      </c>
      <c r="Z552" s="27" t="n">
        <v>-7.232495</v>
      </c>
      <c r="AA552" s="27" t="n">
        <v>-48.2613175</v>
      </c>
      <c r="AB552" s="37" t="s">
        <v>2338</v>
      </c>
      <c r="AC552" s="27" t="s">
        <v>3016</v>
      </c>
    </row>
    <row r="553" customFormat="false" ht="15" hidden="false" customHeight="false" outlineLevel="0" collapsed="false">
      <c r="A553" s="27" t="n">
        <v>552</v>
      </c>
      <c r="B553" s="27" t="s">
        <v>1755</v>
      </c>
      <c r="C553" s="27" t="s">
        <v>3019</v>
      </c>
      <c r="D553" s="27" t="s">
        <v>1754</v>
      </c>
      <c r="E553" s="27" t="s">
        <v>1756</v>
      </c>
      <c r="F553" s="32" t="n">
        <v>109.865550184637</v>
      </c>
      <c r="G553" s="28" t="n">
        <v>5836.80792779941</v>
      </c>
      <c r="H553" s="28" t="n">
        <v>256.304628111157</v>
      </c>
      <c r="I553" s="7" t="s">
        <v>24</v>
      </c>
      <c r="J553" s="27" t="s">
        <v>303</v>
      </c>
      <c r="K553" s="27" t="s">
        <v>461</v>
      </c>
      <c r="L553" s="27" t="n">
        <v>33</v>
      </c>
      <c r="M553" s="27" t="s">
        <v>111</v>
      </c>
      <c r="N553" s="27" t="s">
        <v>2640</v>
      </c>
      <c r="O553" s="27" t="s">
        <v>112</v>
      </c>
      <c r="P553" s="27" t="s">
        <v>54</v>
      </c>
      <c r="Q553" s="27" t="n">
        <v>0</v>
      </c>
      <c r="R553" s="27"/>
      <c r="S553" s="27" t="s">
        <v>41</v>
      </c>
      <c r="T553" s="27" t="s">
        <v>79</v>
      </c>
      <c r="U553" s="27" t="s">
        <v>109</v>
      </c>
      <c r="V553" s="27" t="s">
        <v>111</v>
      </c>
      <c r="W553" s="27"/>
      <c r="X553" s="27"/>
      <c r="Y553" s="27" t="s">
        <v>3015</v>
      </c>
      <c r="Z553" s="27" t="n">
        <v>-7.232994</v>
      </c>
      <c r="AA553" s="27" t="n">
        <v>-48.261381</v>
      </c>
      <c r="AB553" s="37" t="s">
        <v>2338</v>
      </c>
      <c r="AC553" s="27" t="s">
        <v>3016</v>
      </c>
    </row>
    <row r="554" customFormat="false" ht="15" hidden="false" customHeight="false" outlineLevel="0" collapsed="false">
      <c r="A554" s="27" t="n">
        <v>553</v>
      </c>
      <c r="B554" s="27" t="s">
        <v>1757</v>
      </c>
      <c r="C554" s="27" t="s">
        <v>3020</v>
      </c>
      <c r="D554" s="27" t="s">
        <v>1756</v>
      </c>
      <c r="E554" s="27" t="s">
        <v>1758</v>
      </c>
      <c r="F554" s="32" t="n">
        <v>2.5460400789428</v>
      </c>
      <c r="G554" s="28" t="n">
        <v>5839.35396787836</v>
      </c>
      <c r="H554" s="28" t="n">
        <v>258.850668190099</v>
      </c>
      <c r="I554" s="7" t="s">
        <v>24</v>
      </c>
      <c r="J554" s="27" t="s">
        <v>303</v>
      </c>
      <c r="K554" s="27" t="s">
        <v>461</v>
      </c>
      <c r="L554" s="27" t="n">
        <v>33</v>
      </c>
      <c r="M554" s="27" t="s">
        <v>111</v>
      </c>
      <c r="N554" s="27" t="s">
        <v>2640</v>
      </c>
      <c r="O554" s="27" t="s">
        <v>112</v>
      </c>
      <c r="P554" s="27" t="s">
        <v>54</v>
      </c>
      <c r="Q554" s="27" t="n">
        <v>0</v>
      </c>
      <c r="R554" s="27"/>
      <c r="S554" s="27" t="s">
        <v>41</v>
      </c>
      <c r="T554" s="27" t="s">
        <v>79</v>
      </c>
      <c r="U554" s="27" t="s">
        <v>109</v>
      </c>
      <c r="V554" s="27" t="s">
        <v>111</v>
      </c>
      <c r="W554" s="27"/>
      <c r="X554" s="27"/>
      <c r="Y554" s="27" t="s">
        <v>3015</v>
      </c>
      <c r="Z554" s="27" t="n">
        <v>-7.2334915</v>
      </c>
      <c r="AA554" s="27" t="n">
        <v>-48.2614455</v>
      </c>
      <c r="AB554" s="37" t="s">
        <v>2338</v>
      </c>
      <c r="AC554" s="27" t="s">
        <v>3016</v>
      </c>
    </row>
    <row r="555" customFormat="false" ht="15" hidden="false" customHeight="false" outlineLevel="0" collapsed="false">
      <c r="A555" s="27" t="n">
        <v>554</v>
      </c>
      <c r="B555" s="27" t="s">
        <v>1759</v>
      </c>
      <c r="C555" s="27" t="s">
        <v>3021</v>
      </c>
      <c r="D555" s="27" t="s">
        <v>1758</v>
      </c>
      <c r="E555" s="27" t="s">
        <v>1760</v>
      </c>
      <c r="F555" s="32" t="n">
        <v>306.427641038309</v>
      </c>
      <c r="G555" s="28" t="n">
        <v>6145.78160891666</v>
      </c>
      <c r="H555" s="28" t="n">
        <v>565.278309228407</v>
      </c>
      <c r="I555" s="7" t="s">
        <v>24</v>
      </c>
      <c r="J555" s="27" t="s">
        <v>303</v>
      </c>
      <c r="K555" s="27" t="s">
        <v>461</v>
      </c>
      <c r="L555" s="27" t="n">
        <v>33</v>
      </c>
      <c r="M555" s="27" t="s">
        <v>111</v>
      </c>
      <c r="N555" s="27" t="s">
        <v>2640</v>
      </c>
      <c r="O555" s="27" t="s">
        <v>112</v>
      </c>
      <c r="P555" s="27" t="s">
        <v>54</v>
      </c>
      <c r="Q555" s="27" t="n">
        <v>0</v>
      </c>
      <c r="R555" s="27"/>
      <c r="S555" s="27" t="s">
        <v>41</v>
      </c>
      <c r="T555" s="27" t="s">
        <v>79</v>
      </c>
      <c r="U555" s="27" t="s">
        <v>109</v>
      </c>
      <c r="V555" s="27" t="s">
        <v>111</v>
      </c>
      <c r="W555" s="27"/>
      <c r="X555" s="27"/>
      <c r="Y555" s="27" t="s">
        <v>3015</v>
      </c>
      <c r="Z555" s="27" t="n">
        <v>-7.233682</v>
      </c>
      <c r="AA555" s="27" t="n">
        <v>-48.2628315</v>
      </c>
      <c r="AB555" s="37" t="s">
        <v>2338</v>
      </c>
      <c r="AC555" s="27" t="s">
        <v>3016</v>
      </c>
    </row>
    <row r="556" customFormat="false" ht="15" hidden="false" customHeight="false" outlineLevel="0" collapsed="false">
      <c r="A556" s="27" t="n">
        <v>555</v>
      </c>
      <c r="B556" s="27" t="s">
        <v>1761</v>
      </c>
      <c r="C556" s="27" t="s">
        <v>3022</v>
      </c>
      <c r="D556" s="27" t="s">
        <v>1750</v>
      </c>
      <c r="E556" s="27" t="s">
        <v>1762</v>
      </c>
      <c r="F556" s="32" t="n">
        <v>1.89352962106654</v>
      </c>
      <c r="G556" s="28" t="n">
        <v>5722.16343566492</v>
      </c>
      <c r="H556" s="28" t="n">
        <v>141.660135976659</v>
      </c>
      <c r="I556" s="7" t="s">
        <v>24</v>
      </c>
      <c r="J556" s="27" t="s">
        <v>303</v>
      </c>
      <c r="K556" s="27" t="s">
        <v>461</v>
      </c>
      <c r="L556" s="27" t="n">
        <v>33</v>
      </c>
      <c r="M556" s="27" t="s">
        <v>111</v>
      </c>
      <c r="N556" s="27" t="s">
        <v>2640</v>
      </c>
      <c r="O556" s="27" t="s">
        <v>112</v>
      </c>
      <c r="P556" s="27" t="s">
        <v>54</v>
      </c>
      <c r="Q556" s="27" t="n">
        <v>0</v>
      </c>
      <c r="R556" s="27"/>
      <c r="S556" s="27" t="s">
        <v>41</v>
      </c>
      <c r="T556" s="27" t="s">
        <v>79</v>
      </c>
      <c r="U556" s="27" t="s">
        <v>109</v>
      </c>
      <c r="V556" s="27" t="s">
        <v>111</v>
      </c>
      <c r="W556" s="27"/>
      <c r="X556" s="27"/>
      <c r="Y556" s="27" t="s">
        <v>3015</v>
      </c>
      <c r="Z556" s="27" t="n">
        <v>-7.2324805</v>
      </c>
      <c r="AA556" s="27" t="n">
        <v>-48.2612725</v>
      </c>
      <c r="AB556" s="37" t="s">
        <v>2338</v>
      </c>
      <c r="AC556" s="27" t="s">
        <v>3016</v>
      </c>
    </row>
    <row r="557" customFormat="false" ht="15" hidden="false" customHeight="false" outlineLevel="0" collapsed="false">
      <c r="A557" s="27" t="n">
        <v>556</v>
      </c>
      <c r="B557" s="27" t="s">
        <v>1763</v>
      </c>
      <c r="C557" s="27" t="s">
        <v>3023</v>
      </c>
      <c r="D557" s="27" t="s">
        <v>1762</v>
      </c>
      <c r="E557" s="27" t="s">
        <v>1764</v>
      </c>
      <c r="F557" s="32" t="n">
        <v>49.1446408317515</v>
      </c>
      <c r="G557" s="28" t="n">
        <v>5771.30807649667</v>
      </c>
      <c r="H557" s="28" t="n">
        <v>190.804776808411</v>
      </c>
      <c r="I557" s="7" t="s">
        <v>24</v>
      </c>
      <c r="J557" s="27" t="s">
        <v>303</v>
      </c>
      <c r="K557" s="27" t="s">
        <v>461</v>
      </c>
      <c r="L557" s="27" t="n">
        <v>33</v>
      </c>
      <c r="M557" s="27" t="s">
        <v>111</v>
      </c>
      <c r="N557" s="27" t="s">
        <v>2640</v>
      </c>
      <c r="O557" s="27" t="s">
        <v>112</v>
      </c>
      <c r="P557" s="27" t="s">
        <v>54</v>
      </c>
      <c r="Q557" s="27" t="n">
        <v>0</v>
      </c>
      <c r="R557" s="27"/>
      <c r="S557" s="27" t="s">
        <v>41</v>
      </c>
      <c r="T557" s="27" t="s">
        <v>79</v>
      </c>
      <c r="U557" s="27" t="s">
        <v>109</v>
      </c>
      <c r="V557" s="27" t="s">
        <v>111</v>
      </c>
      <c r="W557" s="27"/>
      <c r="X557" s="27"/>
      <c r="Y557" s="27" t="s">
        <v>3015</v>
      </c>
      <c r="Z557" s="27" t="n">
        <v>-7.232252</v>
      </c>
      <c r="AA557" s="27" t="n">
        <v>-48.261294</v>
      </c>
      <c r="AB557" s="37" t="s">
        <v>2338</v>
      </c>
      <c r="AC557" s="27" t="s">
        <v>3016</v>
      </c>
    </row>
    <row r="558" customFormat="false" ht="15" hidden="false" customHeight="false" outlineLevel="0" collapsed="false">
      <c r="A558" s="27" t="n">
        <v>557</v>
      </c>
      <c r="B558" s="27" t="s">
        <v>1765</v>
      </c>
      <c r="C558" s="27" t="s">
        <v>3024</v>
      </c>
      <c r="D558" s="27" t="s">
        <v>1764</v>
      </c>
      <c r="E558" s="27" t="s">
        <v>1766</v>
      </c>
      <c r="F558" s="32" t="n">
        <v>2.74150260460197</v>
      </c>
      <c r="G558" s="28" t="n">
        <v>5774.04957910127</v>
      </c>
      <c r="H558" s="28" t="n">
        <v>193.546279413013</v>
      </c>
      <c r="I558" s="7" t="s">
        <v>24</v>
      </c>
      <c r="J558" s="27" t="s">
        <v>303</v>
      </c>
      <c r="K558" s="27" t="s">
        <v>461</v>
      </c>
      <c r="L558" s="27" t="n">
        <v>33</v>
      </c>
      <c r="M558" s="27" t="s">
        <v>111</v>
      </c>
      <c r="N558" s="27" t="s">
        <v>2640</v>
      </c>
      <c r="O558" s="27" t="s">
        <v>112</v>
      </c>
      <c r="P558" s="27" t="s">
        <v>54</v>
      </c>
      <c r="Q558" s="27" t="n">
        <v>0</v>
      </c>
      <c r="R558" s="27"/>
      <c r="S558" s="27" t="s">
        <v>41</v>
      </c>
      <c r="T558" s="27" t="s">
        <v>79</v>
      </c>
      <c r="U558" s="27" t="s">
        <v>109</v>
      </c>
      <c r="V558" s="27" t="s">
        <v>111</v>
      </c>
      <c r="W558" s="27"/>
      <c r="X558" s="27"/>
      <c r="Y558" s="27" t="s">
        <v>3015</v>
      </c>
      <c r="Z558" s="27" t="n">
        <v>-7.2320235</v>
      </c>
      <c r="AA558" s="27" t="n">
        <v>-48.261324</v>
      </c>
      <c r="AB558" s="37" t="s">
        <v>2338</v>
      </c>
      <c r="AC558" s="27" t="s">
        <v>3016</v>
      </c>
    </row>
    <row r="559" customFormat="false" ht="15" hidden="false" customHeight="false" outlineLevel="0" collapsed="false">
      <c r="A559" s="27" t="n">
        <v>558</v>
      </c>
      <c r="B559" s="27" t="s">
        <v>1767</v>
      </c>
      <c r="C559" s="27" t="s">
        <v>3025</v>
      </c>
      <c r="D559" s="27" t="s">
        <v>1766</v>
      </c>
      <c r="E559" s="27" t="s">
        <v>1768</v>
      </c>
      <c r="F559" s="32" t="n">
        <v>28.2449137582555</v>
      </c>
      <c r="G559" s="28" t="n">
        <v>5802.29449285952</v>
      </c>
      <c r="H559" s="28" t="n">
        <v>221.791193171268</v>
      </c>
      <c r="I559" s="7" t="s">
        <v>24</v>
      </c>
      <c r="J559" s="27" t="s">
        <v>303</v>
      </c>
      <c r="K559" s="27" t="s">
        <v>461</v>
      </c>
      <c r="L559" s="27" t="n">
        <v>33</v>
      </c>
      <c r="M559" s="27" t="s">
        <v>111</v>
      </c>
      <c r="N559" s="27" t="s">
        <v>2640</v>
      </c>
      <c r="O559" s="27" t="s">
        <v>112</v>
      </c>
      <c r="P559" s="27" t="s">
        <v>54</v>
      </c>
      <c r="Q559" s="27" t="n">
        <v>0</v>
      </c>
      <c r="R559" s="27"/>
      <c r="S559" s="27" t="s">
        <v>41</v>
      </c>
      <c r="T559" s="27" t="s">
        <v>79</v>
      </c>
      <c r="U559" s="27" t="s">
        <v>109</v>
      </c>
      <c r="V559" s="27" t="s">
        <v>111</v>
      </c>
      <c r="W559" s="27"/>
      <c r="X559" s="27"/>
      <c r="Y559" s="27" t="s">
        <v>3015</v>
      </c>
      <c r="Z559" s="27" t="n">
        <v>-7.2320125</v>
      </c>
      <c r="AA559" s="27" t="n">
        <v>-48.261461</v>
      </c>
      <c r="AB559" s="37" t="s">
        <v>2338</v>
      </c>
      <c r="AC559" s="27" t="s">
        <v>3016</v>
      </c>
    </row>
    <row r="560" customFormat="false" ht="15" hidden="false" customHeight="false" outlineLevel="0" collapsed="false">
      <c r="A560" s="27" t="n">
        <v>559</v>
      </c>
      <c r="B560" s="27" t="s">
        <v>1769</v>
      </c>
      <c r="C560" s="27" t="s">
        <v>3026</v>
      </c>
      <c r="D560" s="27" t="s">
        <v>1602</v>
      </c>
      <c r="E560" s="27" t="s">
        <v>1770</v>
      </c>
      <c r="F560" s="32" t="n">
        <v>4.40698922337228</v>
      </c>
      <c r="G560" s="28" t="n">
        <v>4964.49237078405</v>
      </c>
      <c r="H560" s="28" t="n">
        <v>4.40698922337197</v>
      </c>
      <c r="I560" s="7" t="s">
        <v>24</v>
      </c>
      <c r="J560" s="27" t="s">
        <v>303</v>
      </c>
      <c r="K560" s="27" t="s">
        <v>461</v>
      </c>
      <c r="L560" s="27" t="n">
        <v>34</v>
      </c>
      <c r="M560" s="27" t="s">
        <v>113</v>
      </c>
      <c r="N560" s="27" t="s">
        <v>2640</v>
      </c>
      <c r="O560" s="27" t="s">
        <v>114</v>
      </c>
      <c r="P560" s="27" t="s">
        <v>54</v>
      </c>
      <c r="Q560" s="27" t="n">
        <v>0</v>
      </c>
      <c r="R560" s="27"/>
      <c r="S560" s="27" t="s">
        <v>41</v>
      </c>
      <c r="T560" s="27" t="s">
        <v>79</v>
      </c>
      <c r="U560" s="27" t="s">
        <v>113</v>
      </c>
      <c r="V560" s="27"/>
      <c r="W560" s="27"/>
      <c r="X560" s="27"/>
      <c r="Y560" s="27" t="s">
        <v>3027</v>
      </c>
      <c r="Z560" s="27" t="n">
        <v>-7.2308675</v>
      </c>
      <c r="AA560" s="27" t="n">
        <v>-48.2562255</v>
      </c>
      <c r="AB560" s="37" t="s">
        <v>2338</v>
      </c>
      <c r="AC560" s="27" t="s">
        <v>3028</v>
      </c>
    </row>
    <row r="561" customFormat="false" ht="15" hidden="false" customHeight="false" outlineLevel="0" collapsed="false">
      <c r="A561" s="27" t="n">
        <v>560</v>
      </c>
      <c r="B561" s="27" t="s">
        <v>1771</v>
      </c>
      <c r="C561" s="27" t="s">
        <v>3029</v>
      </c>
      <c r="D561" s="27" t="s">
        <v>1770</v>
      </c>
      <c r="E561" s="27" t="s">
        <v>1772</v>
      </c>
      <c r="F561" s="32" t="n">
        <v>9.63305176597405</v>
      </c>
      <c r="G561" s="28" t="n">
        <v>4974.12542255003</v>
      </c>
      <c r="H561" s="28" t="n">
        <v>14.0400409893464</v>
      </c>
      <c r="I561" s="7" t="s">
        <v>24</v>
      </c>
      <c r="J561" s="27" t="s">
        <v>303</v>
      </c>
      <c r="K561" s="27" t="s">
        <v>461</v>
      </c>
      <c r="L561" s="27" t="n">
        <v>34</v>
      </c>
      <c r="M561" s="27" t="s">
        <v>113</v>
      </c>
      <c r="N561" s="27" t="s">
        <v>2640</v>
      </c>
      <c r="O561" s="27" t="s">
        <v>114</v>
      </c>
      <c r="P561" s="27" t="s">
        <v>54</v>
      </c>
      <c r="Q561" s="27" t="n">
        <v>0</v>
      </c>
      <c r="R561" s="27"/>
      <c r="S561" s="27" t="s">
        <v>41</v>
      </c>
      <c r="T561" s="27" t="s">
        <v>79</v>
      </c>
      <c r="U561" s="27" t="s">
        <v>113</v>
      </c>
      <c r="V561" s="27"/>
      <c r="W561" s="27"/>
      <c r="X561" s="27"/>
      <c r="Y561" s="27" t="s">
        <v>3027</v>
      </c>
      <c r="Z561" s="27" t="n">
        <v>-7.230816</v>
      </c>
      <c r="AA561" s="27" t="n">
        <v>-48.256191</v>
      </c>
      <c r="AB561" s="37" t="s">
        <v>2338</v>
      </c>
      <c r="AC561" s="27" t="s">
        <v>3028</v>
      </c>
    </row>
    <row r="562" customFormat="false" ht="15" hidden="false" customHeight="false" outlineLevel="0" collapsed="false">
      <c r="A562" s="27" t="n">
        <v>561</v>
      </c>
      <c r="B562" s="27" t="s">
        <v>1773</v>
      </c>
      <c r="C562" s="27" t="s">
        <v>3030</v>
      </c>
      <c r="D562" s="27" t="s">
        <v>1770</v>
      </c>
      <c r="E562" s="27" t="s">
        <v>1774</v>
      </c>
      <c r="F562" s="32" t="n">
        <v>9.48717357694129</v>
      </c>
      <c r="G562" s="28" t="n">
        <v>4973.979544361</v>
      </c>
      <c r="H562" s="28" t="n">
        <v>13.8941628003131</v>
      </c>
      <c r="I562" s="7" t="s">
        <v>24</v>
      </c>
      <c r="J562" s="27" t="s">
        <v>303</v>
      </c>
      <c r="K562" s="27" t="s">
        <v>461</v>
      </c>
      <c r="L562" s="27" t="n">
        <v>34</v>
      </c>
      <c r="M562" s="27" t="s">
        <v>113</v>
      </c>
      <c r="N562" s="27" t="s">
        <v>2640</v>
      </c>
      <c r="O562" s="27" t="s">
        <v>114</v>
      </c>
      <c r="P562" s="27" t="s">
        <v>54</v>
      </c>
      <c r="Q562" s="27" t="n">
        <v>0</v>
      </c>
      <c r="R562" s="27"/>
      <c r="S562" s="27" t="s">
        <v>41</v>
      </c>
      <c r="T562" s="27" t="s">
        <v>79</v>
      </c>
      <c r="U562" s="27" t="s">
        <v>113</v>
      </c>
      <c r="V562" s="27"/>
      <c r="W562" s="27"/>
      <c r="X562" s="27"/>
      <c r="Y562" s="27" t="s">
        <v>3027</v>
      </c>
      <c r="Z562" s="27" t="n">
        <v>-7.2308615</v>
      </c>
      <c r="AA562" s="27" t="n">
        <v>-48.2561675</v>
      </c>
      <c r="AB562" s="37" t="s">
        <v>2338</v>
      </c>
      <c r="AC562" s="27" t="s">
        <v>3028</v>
      </c>
    </row>
    <row r="563" customFormat="false" ht="15" hidden="false" customHeight="false" outlineLevel="0" collapsed="false">
      <c r="A563" s="27" t="n">
        <v>562</v>
      </c>
      <c r="B563" s="27" t="s">
        <v>1775</v>
      </c>
      <c r="C563" s="27" t="s">
        <v>3031</v>
      </c>
      <c r="D563" s="27" t="s">
        <v>1324</v>
      </c>
      <c r="E563" s="27" t="s">
        <v>1776</v>
      </c>
      <c r="F563" s="32" t="n">
        <v>5.88642000860117</v>
      </c>
      <c r="G563" s="28" t="n">
        <v>5014.62820037172</v>
      </c>
      <c r="H563" s="28" t="n">
        <v>5.88642000860091</v>
      </c>
      <c r="I563" s="7" t="s">
        <v>24</v>
      </c>
      <c r="J563" s="27" t="s">
        <v>303</v>
      </c>
      <c r="K563" s="27" t="s">
        <v>461</v>
      </c>
      <c r="L563" s="27" t="n">
        <v>35</v>
      </c>
      <c r="M563" s="27" t="s">
        <v>115</v>
      </c>
      <c r="N563" s="27" t="s">
        <v>2640</v>
      </c>
      <c r="O563" s="27" t="s">
        <v>116</v>
      </c>
      <c r="P563" s="27" t="s">
        <v>54</v>
      </c>
      <c r="Q563" s="27" t="n">
        <v>0</v>
      </c>
      <c r="R563" s="27"/>
      <c r="S563" s="27" t="s">
        <v>41</v>
      </c>
      <c r="T563" s="27" t="s">
        <v>115</v>
      </c>
      <c r="U563" s="27"/>
      <c r="V563" s="27"/>
      <c r="W563" s="27"/>
      <c r="X563" s="27"/>
      <c r="Y563" s="27" t="s">
        <v>3032</v>
      </c>
      <c r="Z563" s="27" t="n">
        <v>-7.231079</v>
      </c>
      <c r="AA563" s="27" t="n">
        <v>-48.253276</v>
      </c>
      <c r="AB563" s="37" t="s">
        <v>2338</v>
      </c>
      <c r="AC563" s="27" t="s">
        <v>3033</v>
      </c>
    </row>
    <row r="564" customFormat="false" ht="15" hidden="false" customHeight="false" outlineLevel="0" collapsed="false">
      <c r="A564" s="27" t="n">
        <v>563</v>
      </c>
      <c r="B564" s="27" t="s">
        <v>1777</v>
      </c>
      <c r="C564" s="27" t="s">
        <v>3034</v>
      </c>
      <c r="D564" s="27" t="s">
        <v>1776</v>
      </c>
      <c r="E564" s="27" t="s">
        <v>1778</v>
      </c>
      <c r="F564" s="32" t="n">
        <v>9.08910096545118</v>
      </c>
      <c r="G564" s="28" t="n">
        <v>5023.71730133717</v>
      </c>
      <c r="H564" s="28" t="n">
        <v>14.9755209740524</v>
      </c>
      <c r="I564" s="7" t="s">
        <v>24</v>
      </c>
      <c r="J564" s="27" t="s">
        <v>303</v>
      </c>
      <c r="K564" s="27" t="s">
        <v>461</v>
      </c>
      <c r="L564" s="27" t="n">
        <v>35</v>
      </c>
      <c r="M564" s="27" t="s">
        <v>115</v>
      </c>
      <c r="N564" s="27" t="s">
        <v>2640</v>
      </c>
      <c r="O564" s="27" t="s">
        <v>116</v>
      </c>
      <c r="P564" s="27" t="s">
        <v>54</v>
      </c>
      <c r="Q564" s="27" t="n">
        <v>0</v>
      </c>
      <c r="R564" s="27"/>
      <c r="S564" s="27" t="s">
        <v>41</v>
      </c>
      <c r="T564" s="27" t="s">
        <v>115</v>
      </c>
      <c r="U564" s="27"/>
      <c r="V564" s="27"/>
      <c r="W564" s="27"/>
      <c r="X564" s="27"/>
      <c r="Y564" s="27" t="s">
        <v>3032</v>
      </c>
      <c r="Z564" s="27" t="n">
        <v>-7.231057</v>
      </c>
      <c r="AA564" s="27" t="n">
        <v>-48.25323</v>
      </c>
      <c r="AB564" s="37" t="s">
        <v>2338</v>
      </c>
      <c r="AC564" s="27" t="s">
        <v>3033</v>
      </c>
    </row>
    <row r="565" customFormat="false" ht="15" hidden="false" customHeight="false" outlineLevel="0" collapsed="false">
      <c r="A565" s="27" t="n">
        <v>564</v>
      </c>
      <c r="B565" s="27" t="s">
        <v>1779</v>
      </c>
      <c r="C565" s="27" t="s">
        <v>3035</v>
      </c>
      <c r="D565" s="27" t="s">
        <v>1373</v>
      </c>
      <c r="E565" s="27" t="s">
        <v>1780</v>
      </c>
      <c r="F565" s="32" t="n">
        <v>13.6181650270171</v>
      </c>
      <c r="G565" s="28" t="n">
        <v>6049.47748950901</v>
      </c>
      <c r="H565" s="28" t="n">
        <v>13.6181650270173</v>
      </c>
      <c r="I565" s="7" t="s">
        <v>24</v>
      </c>
      <c r="J565" s="27" t="s">
        <v>303</v>
      </c>
      <c r="K565" s="27" t="s">
        <v>461</v>
      </c>
      <c r="L565" s="27" t="n">
        <v>36</v>
      </c>
      <c r="M565" s="27" t="s">
        <v>117</v>
      </c>
      <c r="N565" s="27" t="s">
        <v>2640</v>
      </c>
      <c r="O565" s="27" t="s">
        <v>118</v>
      </c>
      <c r="P565" s="27" t="s">
        <v>54</v>
      </c>
      <c r="Q565" s="27" t="n">
        <v>0</v>
      </c>
      <c r="R565" s="27"/>
      <c r="S565" s="27" t="s">
        <v>41</v>
      </c>
      <c r="T565" s="27" t="s">
        <v>117</v>
      </c>
      <c r="U565" s="27"/>
      <c r="V565" s="27"/>
      <c r="W565" s="27"/>
      <c r="X565" s="27"/>
      <c r="Y565" s="27" t="s">
        <v>3036</v>
      </c>
      <c r="Z565" s="27" t="n">
        <v>-7.2264705</v>
      </c>
      <c r="AA565" s="27" t="n">
        <v>-48.262106</v>
      </c>
      <c r="AB565" s="37" t="s">
        <v>2338</v>
      </c>
      <c r="AC565" s="27" t="s">
        <v>3037</v>
      </c>
    </row>
    <row r="566" customFormat="false" ht="15" hidden="false" customHeight="false" outlineLevel="0" collapsed="false">
      <c r="A566" s="27" t="n">
        <v>565</v>
      </c>
      <c r="B566" s="27" t="s">
        <v>1781</v>
      </c>
      <c r="C566" s="27" t="s">
        <v>3038</v>
      </c>
      <c r="D566" s="27" t="s">
        <v>1375</v>
      </c>
      <c r="E566" s="27" t="s">
        <v>1782</v>
      </c>
      <c r="F566" s="32" t="n">
        <v>38.9465952288891</v>
      </c>
      <c r="G566" s="28" t="n">
        <v>5711.58025687161</v>
      </c>
      <c r="H566" s="28" t="n">
        <v>38.9465952288892</v>
      </c>
      <c r="I566" s="7" t="s">
        <v>24</v>
      </c>
      <c r="J566" s="27" t="s">
        <v>303</v>
      </c>
      <c r="K566" s="27" t="s">
        <v>461</v>
      </c>
      <c r="L566" s="27" t="n">
        <v>37</v>
      </c>
      <c r="M566" s="27" t="s">
        <v>119</v>
      </c>
      <c r="N566" s="27" t="s">
        <v>2640</v>
      </c>
      <c r="O566" s="27" t="s">
        <v>120</v>
      </c>
      <c r="P566" s="27" t="s">
        <v>54</v>
      </c>
      <c r="Q566" s="27" t="n">
        <v>0</v>
      </c>
      <c r="R566" s="27"/>
      <c r="S566" s="27" t="s">
        <v>41</v>
      </c>
      <c r="T566" s="27" t="s">
        <v>119</v>
      </c>
      <c r="U566" s="27"/>
      <c r="V566" s="27"/>
      <c r="W566" s="27"/>
      <c r="X566" s="27"/>
      <c r="Y566" s="27" t="s">
        <v>3039</v>
      </c>
      <c r="Z566" s="27" t="n">
        <v>-7.228666</v>
      </c>
      <c r="AA566" s="27" t="n">
        <v>-48.26075</v>
      </c>
      <c r="AB566" s="37" t="s">
        <v>2338</v>
      </c>
      <c r="AC566" s="27" t="s">
        <v>3040</v>
      </c>
    </row>
    <row r="567" customFormat="false" ht="15" hidden="false" customHeight="false" outlineLevel="0" collapsed="false">
      <c r="A567" s="27" t="n">
        <v>566</v>
      </c>
      <c r="B567" s="27" t="s">
        <v>1783</v>
      </c>
      <c r="C567" s="27" t="s">
        <v>3041</v>
      </c>
      <c r="D567" s="27" t="s">
        <v>1782</v>
      </c>
      <c r="E567" s="27" t="s">
        <v>1784</v>
      </c>
      <c r="F567" s="32" t="n">
        <v>120.221354364754</v>
      </c>
      <c r="G567" s="28" t="n">
        <v>5831.80161123637</v>
      </c>
      <c r="H567" s="28" t="n">
        <v>159.167949593643</v>
      </c>
      <c r="I567" s="7" t="s">
        <v>24</v>
      </c>
      <c r="J567" s="27" t="s">
        <v>303</v>
      </c>
      <c r="K567" s="27" t="s">
        <v>461</v>
      </c>
      <c r="L567" s="27" t="n">
        <v>37</v>
      </c>
      <c r="M567" s="27" t="s">
        <v>119</v>
      </c>
      <c r="N567" s="27" t="s">
        <v>2640</v>
      </c>
      <c r="O567" s="27" t="s">
        <v>120</v>
      </c>
      <c r="P567" s="27" t="s">
        <v>54</v>
      </c>
      <c r="Q567" s="27" t="n">
        <v>0</v>
      </c>
      <c r="R567" s="27"/>
      <c r="S567" s="27" t="s">
        <v>41</v>
      </c>
      <c r="T567" s="27" t="s">
        <v>119</v>
      </c>
      <c r="U567" s="27"/>
      <c r="V567" s="27"/>
      <c r="W567" s="27"/>
      <c r="X567" s="27"/>
      <c r="Y567" s="27" t="s">
        <v>3039</v>
      </c>
      <c r="Z567" s="27" t="n">
        <v>-7.2293715</v>
      </c>
      <c r="AA567" s="27" t="n">
        <v>-48.2606305</v>
      </c>
      <c r="AB567" s="37" t="s">
        <v>2338</v>
      </c>
      <c r="AC567" s="27" t="s">
        <v>3040</v>
      </c>
    </row>
    <row r="568" customFormat="false" ht="15" hidden="false" customHeight="false" outlineLevel="0" collapsed="false">
      <c r="A568" s="27" t="n">
        <v>567</v>
      </c>
      <c r="B568" s="27" t="s">
        <v>1785</v>
      </c>
      <c r="C568" s="27" t="s">
        <v>3042</v>
      </c>
      <c r="D568" s="27" t="s">
        <v>1784</v>
      </c>
      <c r="E568" s="27" t="s">
        <v>1786</v>
      </c>
      <c r="F568" s="32" t="n">
        <v>13.9975173257529</v>
      </c>
      <c r="G568" s="28" t="n">
        <v>5845.79912856212</v>
      </c>
      <c r="H568" s="28" t="n">
        <v>173.165466919396</v>
      </c>
      <c r="I568" s="7" t="s">
        <v>24</v>
      </c>
      <c r="J568" s="27" t="s">
        <v>303</v>
      </c>
      <c r="K568" s="27" t="s">
        <v>461</v>
      </c>
      <c r="L568" s="27" t="n">
        <v>37</v>
      </c>
      <c r="M568" s="27" t="s">
        <v>119</v>
      </c>
      <c r="N568" s="27" t="s">
        <v>2640</v>
      </c>
      <c r="O568" s="27" t="s">
        <v>120</v>
      </c>
      <c r="P568" s="27" t="s">
        <v>54</v>
      </c>
      <c r="Q568" s="27" t="n">
        <v>0</v>
      </c>
      <c r="R568" s="27"/>
      <c r="S568" s="27" t="s">
        <v>41</v>
      </c>
      <c r="T568" s="27" t="s">
        <v>119</v>
      </c>
      <c r="U568" s="27"/>
      <c r="V568" s="27"/>
      <c r="W568" s="27"/>
      <c r="X568" s="27"/>
      <c r="Y568" s="27" t="s">
        <v>3039</v>
      </c>
      <c r="Z568" s="27" t="n">
        <v>-7.2299645</v>
      </c>
      <c r="AA568" s="27" t="n">
        <v>-48.2605175</v>
      </c>
      <c r="AB568" s="37" t="s">
        <v>2338</v>
      </c>
      <c r="AC568" s="27" t="s">
        <v>3040</v>
      </c>
    </row>
    <row r="569" customFormat="false" ht="15" hidden="false" customHeight="false" outlineLevel="0" collapsed="false">
      <c r="A569" s="27" t="n">
        <v>568</v>
      </c>
      <c r="B569" s="27" t="s">
        <v>1787</v>
      </c>
      <c r="C569" s="27" t="s">
        <v>3043</v>
      </c>
      <c r="D569" s="27" t="s">
        <v>1784</v>
      </c>
      <c r="E569" s="27" t="s">
        <v>1788</v>
      </c>
      <c r="F569" s="32" t="n">
        <v>79.9492375112228</v>
      </c>
      <c r="G569" s="28" t="n">
        <v>5911.75084874759</v>
      </c>
      <c r="H569" s="28" t="n">
        <v>239.117187104866</v>
      </c>
      <c r="I569" s="7" t="s">
        <v>24</v>
      </c>
      <c r="J569" s="27" t="s">
        <v>303</v>
      </c>
      <c r="K569" s="27" t="s">
        <v>461</v>
      </c>
      <c r="L569" s="27" t="n">
        <v>37</v>
      </c>
      <c r="M569" s="27" t="s">
        <v>119</v>
      </c>
      <c r="N569" s="27" t="s">
        <v>2640</v>
      </c>
      <c r="O569" s="27" t="s">
        <v>120</v>
      </c>
      <c r="P569" s="27" t="s">
        <v>54</v>
      </c>
      <c r="Q569" s="27" t="n">
        <v>0</v>
      </c>
      <c r="R569" s="27"/>
      <c r="S569" s="27" t="s">
        <v>41</v>
      </c>
      <c r="T569" s="27" t="s">
        <v>119</v>
      </c>
      <c r="U569" s="27"/>
      <c r="V569" s="27"/>
      <c r="W569" s="27"/>
      <c r="X569" s="27"/>
      <c r="Y569" s="27" t="s">
        <v>3039</v>
      </c>
      <c r="Z569" s="27" t="n">
        <v>-7.229998</v>
      </c>
      <c r="AA569" s="27" t="n">
        <v>-48.2608805</v>
      </c>
      <c r="AB569" s="37" t="s">
        <v>2338</v>
      </c>
      <c r="AC569" s="27" t="s">
        <v>3040</v>
      </c>
    </row>
    <row r="570" customFormat="false" ht="15" hidden="false" customHeight="false" outlineLevel="0" collapsed="false">
      <c r="A570" s="27" t="n">
        <v>569</v>
      </c>
      <c r="B570" s="27" t="s">
        <v>1789</v>
      </c>
      <c r="C570" s="27" t="s">
        <v>3044</v>
      </c>
      <c r="D570" s="27" t="s">
        <v>1788</v>
      </c>
      <c r="E570" s="27" t="s">
        <v>1790</v>
      </c>
      <c r="F570" s="32" t="n">
        <v>31.3083331048289</v>
      </c>
      <c r="G570" s="28" t="n">
        <v>5943.05918185242</v>
      </c>
      <c r="H570" s="28" t="n">
        <v>270.425520209696</v>
      </c>
      <c r="I570" s="7" t="s">
        <v>24</v>
      </c>
      <c r="J570" s="27" t="s">
        <v>303</v>
      </c>
      <c r="K570" s="27" t="s">
        <v>461</v>
      </c>
      <c r="L570" s="27" t="n">
        <v>37</v>
      </c>
      <c r="M570" s="27" t="s">
        <v>119</v>
      </c>
      <c r="N570" s="27" t="s">
        <v>2640</v>
      </c>
      <c r="O570" s="27" t="s">
        <v>120</v>
      </c>
      <c r="P570" s="27" t="s">
        <v>54</v>
      </c>
      <c r="Q570" s="27" t="n">
        <v>0</v>
      </c>
      <c r="R570" s="27"/>
      <c r="S570" s="27" t="s">
        <v>41</v>
      </c>
      <c r="T570" s="27" t="s">
        <v>119</v>
      </c>
      <c r="U570" s="27"/>
      <c r="V570" s="27"/>
      <c r="W570" s="27"/>
      <c r="X570" s="27"/>
      <c r="Y570" s="27" t="s">
        <v>3039</v>
      </c>
      <c r="Z570" s="27" t="n">
        <v>-7.2301315</v>
      </c>
      <c r="AA570" s="27" t="n">
        <v>-48.2613665</v>
      </c>
      <c r="AB570" s="37" t="s">
        <v>2338</v>
      </c>
      <c r="AC570" s="27" t="s">
        <v>3040</v>
      </c>
    </row>
    <row r="571" customFormat="false" ht="15" hidden="false" customHeight="false" outlineLevel="0" collapsed="false">
      <c r="A571" s="27" t="n">
        <v>570</v>
      </c>
      <c r="B571" s="27" t="s">
        <v>1791</v>
      </c>
      <c r="C571" s="27" t="s">
        <v>3045</v>
      </c>
      <c r="D571" s="27" t="s">
        <v>1784</v>
      </c>
      <c r="E571" s="27" t="s">
        <v>1792</v>
      </c>
      <c r="F571" s="32" t="n">
        <v>14.9827087621032</v>
      </c>
      <c r="G571" s="28" t="n">
        <v>5846.78431999847</v>
      </c>
      <c r="H571" s="28" t="n">
        <v>174.150658355747</v>
      </c>
      <c r="I571" s="7" t="s">
        <v>24</v>
      </c>
      <c r="J571" s="27" t="s">
        <v>303</v>
      </c>
      <c r="K571" s="27" t="s">
        <v>461</v>
      </c>
      <c r="L571" s="27" t="n">
        <v>37</v>
      </c>
      <c r="M571" s="27" t="s">
        <v>119</v>
      </c>
      <c r="N571" s="27" t="s">
        <v>2640</v>
      </c>
      <c r="O571" s="27" t="s">
        <v>120</v>
      </c>
      <c r="P571" s="27" t="s">
        <v>54</v>
      </c>
      <c r="Q571" s="27" t="n">
        <v>0</v>
      </c>
      <c r="R571" s="27"/>
      <c r="S571" s="27" t="s">
        <v>41</v>
      </c>
      <c r="T571" s="27" t="s">
        <v>119</v>
      </c>
      <c r="U571" s="27"/>
      <c r="V571" s="27"/>
      <c r="W571" s="27"/>
      <c r="X571" s="27"/>
      <c r="Y571" s="27" t="s">
        <v>3039</v>
      </c>
      <c r="Z571" s="27" t="n">
        <v>-7.229892</v>
      </c>
      <c r="AA571" s="27" t="n">
        <v>-48.260464</v>
      </c>
      <c r="AB571" s="37" t="s">
        <v>2338</v>
      </c>
      <c r="AC571" s="27" t="s">
        <v>3040</v>
      </c>
    </row>
    <row r="572" customFormat="false" ht="15" hidden="false" customHeight="false" outlineLevel="0" collapsed="false">
      <c r="A572" s="27" t="n">
        <v>571</v>
      </c>
      <c r="B572" s="27" t="s">
        <v>1793</v>
      </c>
      <c r="C572" s="27" t="s">
        <v>3046</v>
      </c>
      <c r="D572" s="27" t="s">
        <v>1782</v>
      </c>
      <c r="E572" s="27" t="s">
        <v>1794</v>
      </c>
      <c r="F572" s="32" t="n">
        <v>3.57347025696645</v>
      </c>
      <c r="G572" s="28" t="n">
        <v>5715.15372712858</v>
      </c>
      <c r="H572" s="28" t="n">
        <v>42.5200654858554</v>
      </c>
      <c r="I572" s="7" t="s">
        <v>24</v>
      </c>
      <c r="J572" s="27" t="s">
        <v>303</v>
      </c>
      <c r="K572" s="27" t="s">
        <v>461</v>
      </c>
      <c r="L572" s="27" t="n">
        <v>37</v>
      </c>
      <c r="M572" s="27" t="s">
        <v>119</v>
      </c>
      <c r="N572" s="27" t="s">
        <v>2640</v>
      </c>
      <c r="O572" s="27" t="s">
        <v>120</v>
      </c>
      <c r="P572" s="27" t="s">
        <v>54</v>
      </c>
      <c r="Q572" s="27" t="n">
        <v>0</v>
      </c>
      <c r="R572" s="27"/>
      <c r="S572" s="27" t="s">
        <v>41</v>
      </c>
      <c r="T572" s="27" t="s">
        <v>119</v>
      </c>
      <c r="U572" s="27"/>
      <c r="V572" s="27"/>
      <c r="W572" s="27"/>
      <c r="X572" s="27"/>
      <c r="Y572" s="27" t="s">
        <v>3039</v>
      </c>
      <c r="Z572" s="27" t="n">
        <v>-7.2288425</v>
      </c>
      <c r="AA572" s="27" t="n">
        <v>-48.260746</v>
      </c>
      <c r="AB572" s="37" t="s">
        <v>2338</v>
      </c>
      <c r="AC572" s="27" t="s">
        <v>3040</v>
      </c>
    </row>
    <row r="573" customFormat="false" ht="15" hidden="false" customHeight="false" outlineLevel="0" collapsed="false">
      <c r="A573" s="27" t="n">
        <v>572</v>
      </c>
      <c r="B573" s="27" t="s">
        <v>1795</v>
      </c>
      <c r="C573" s="27" t="s">
        <v>3047</v>
      </c>
      <c r="D573" s="27" t="s">
        <v>1794</v>
      </c>
      <c r="E573" s="27" t="s">
        <v>1796</v>
      </c>
      <c r="F573" s="32" t="n">
        <v>59.2359804569457</v>
      </c>
      <c r="G573" s="28" t="n">
        <v>5774.38970758553</v>
      </c>
      <c r="H573" s="28" t="n">
        <v>101.756045942801</v>
      </c>
      <c r="I573" s="7" t="s">
        <v>24</v>
      </c>
      <c r="J573" s="27" t="s">
        <v>303</v>
      </c>
      <c r="K573" s="27" t="s">
        <v>461</v>
      </c>
      <c r="L573" s="27" t="n">
        <v>37</v>
      </c>
      <c r="M573" s="27" t="s">
        <v>119</v>
      </c>
      <c r="N573" s="27" t="s">
        <v>2640</v>
      </c>
      <c r="O573" s="27" t="s">
        <v>120</v>
      </c>
      <c r="P573" s="27" t="s">
        <v>54</v>
      </c>
      <c r="Q573" s="27" t="n">
        <v>0</v>
      </c>
      <c r="R573" s="27"/>
      <c r="S573" s="27" t="s">
        <v>41</v>
      </c>
      <c r="T573" s="27" t="s">
        <v>119</v>
      </c>
      <c r="U573" s="27"/>
      <c r="V573" s="27"/>
      <c r="W573" s="27"/>
      <c r="X573" s="27"/>
      <c r="Y573" s="27" t="s">
        <v>3039</v>
      </c>
      <c r="Z573" s="27" t="n">
        <v>-7.228917</v>
      </c>
      <c r="AA573" s="27" t="n">
        <v>-48.2610205</v>
      </c>
      <c r="AB573" s="37" t="s">
        <v>2338</v>
      </c>
      <c r="AC573" s="27" t="s">
        <v>3040</v>
      </c>
    </row>
    <row r="574" customFormat="false" ht="15" hidden="false" customHeight="false" outlineLevel="0" collapsed="false">
      <c r="A574" s="27" t="n">
        <v>573</v>
      </c>
      <c r="B574" s="27" t="s">
        <v>1797</v>
      </c>
      <c r="C574" s="27" t="s">
        <v>3048</v>
      </c>
      <c r="D574" s="27" t="s">
        <v>1796</v>
      </c>
      <c r="E574" s="27" t="s">
        <v>1798</v>
      </c>
      <c r="F574" s="32" t="n">
        <v>3.10840369118787</v>
      </c>
      <c r="G574" s="28" t="n">
        <v>5777.49811127671</v>
      </c>
      <c r="H574" s="28" t="n">
        <v>104.864449633989</v>
      </c>
      <c r="I574" s="7" t="s">
        <v>24</v>
      </c>
      <c r="J574" s="27" t="s">
        <v>303</v>
      </c>
      <c r="K574" s="27" t="s">
        <v>461</v>
      </c>
      <c r="L574" s="27" t="n">
        <v>37</v>
      </c>
      <c r="M574" s="27" t="s">
        <v>119</v>
      </c>
      <c r="N574" s="27" t="s">
        <v>2640</v>
      </c>
      <c r="O574" s="27" t="s">
        <v>120</v>
      </c>
      <c r="P574" s="27" t="s">
        <v>54</v>
      </c>
      <c r="Q574" s="27" t="n">
        <v>0</v>
      </c>
      <c r="R574" s="27"/>
      <c r="S574" s="27" t="s">
        <v>41</v>
      </c>
      <c r="T574" s="27" t="s">
        <v>119</v>
      </c>
      <c r="U574" s="27"/>
      <c r="V574" s="27"/>
      <c r="W574" s="27"/>
      <c r="X574" s="27"/>
      <c r="Y574" s="27" t="s">
        <v>3039</v>
      </c>
      <c r="Z574" s="27" t="n">
        <v>-7.228993</v>
      </c>
      <c r="AA574" s="27" t="n">
        <v>-48.2612925</v>
      </c>
      <c r="AB574" s="37" t="s">
        <v>2338</v>
      </c>
      <c r="AC574" s="27" t="s">
        <v>3040</v>
      </c>
    </row>
    <row r="575" customFormat="false" ht="15" hidden="false" customHeight="false" outlineLevel="0" collapsed="false">
      <c r="A575" s="27" t="n">
        <v>574</v>
      </c>
      <c r="B575" s="27" t="s">
        <v>1799</v>
      </c>
      <c r="C575" s="27" t="s">
        <v>3049</v>
      </c>
      <c r="D575" s="27" t="s">
        <v>1798</v>
      </c>
      <c r="E575" s="27" t="s">
        <v>1800</v>
      </c>
      <c r="F575" s="32" t="n">
        <v>98.9323594440273</v>
      </c>
      <c r="G575" s="28" t="n">
        <v>5876.43047072074</v>
      </c>
      <c r="H575" s="28" t="n">
        <v>203.796809078017</v>
      </c>
      <c r="I575" s="7" t="s">
        <v>24</v>
      </c>
      <c r="J575" s="27" t="s">
        <v>303</v>
      </c>
      <c r="K575" s="27" t="s">
        <v>461</v>
      </c>
      <c r="L575" s="27" t="n">
        <v>37</v>
      </c>
      <c r="M575" s="27" t="s">
        <v>119</v>
      </c>
      <c r="N575" s="27" t="s">
        <v>2640</v>
      </c>
      <c r="O575" s="27" t="s">
        <v>120</v>
      </c>
      <c r="P575" s="27" t="s">
        <v>54</v>
      </c>
      <c r="Q575" s="27" t="n">
        <v>0</v>
      </c>
      <c r="R575" s="27"/>
      <c r="S575" s="27" t="s">
        <v>41</v>
      </c>
      <c r="T575" s="27" t="s">
        <v>119</v>
      </c>
      <c r="U575" s="27"/>
      <c r="V575" s="27"/>
      <c r="W575" s="27"/>
      <c r="X575" s="27"/>
      <c r="Y575" s="27" t="s">
        <v>3039</v>
      </c>
      <c r="Z575" s="27" t="n">
        <v>-7.2291145</v>
      </c>
      <c r="AA575" s="27" t="n">
        <v>-48.2617385</v>
      </c>
      <c r="AB575" s="37" t="s">
        <v>2338</v>
      </c>
      <c r="AC575" s="27" t="s">
        <v>3040</v>
      </c>
    </row>
    <row r="576" customFormat="false" ht="15" hidden="false" customHeight="false" outlineLevel="0" collapsed="false">
      <c r="A576" s="27" t="n">
        <v>575</v>
      </c>
      <c r="B576" s="27" t="s">
        <v>1801</v>
      </c>
      <c r="C576" s="27" t="s">
        <v>3050</v>
      </c>
      <c r="D576" s="27" t="s">
        <v>1800</v>
      </c>
      <c r="E576" s="27" t="s">
        <v>1802</v>
      </c>
      <c r="F576" s="32" t="n">
        <v>34.7727144972965</v>
      </c>
      <c r="G576" s="28" t="n">
        <v>5911.20318521804</v>
      </c>
      <c r="H576" s="28" t="n">
        <v>238.569523575314</v>
      </c>
      <c r="I576" s="7" t="s">
        <v>24</v>
      </c>
      <c r="J576" s="27" t="s">
        <v>303</v>
      </c>
      <c r="K576" s="27" t="s">
        <v>461</v>
      </c>
      <c r="L576" s="27" t="n">
        <v>37</v>
      </c>
      <c r="M576" s="27" t="s">
        <v>119</v>
      </c>
      <c r="N576" s="27" t="s">
        <v>2640</v>
      </c>
      <c r="O576" s="27" t="s">
        <v>120</v>
      </c>
      <c r="P576" s="27" t="s">
        <v>54</v>
      </c>
      <c r="Q576" s="27" t="n">
        <v>0</v>
      </c>
      <c r="R576" s="27"/>
      <c r="S576" s="27" t="s">
        <v>41</v>
      </c>
      <c r="T576" s="27" t="s">
        <v>119</v>
      </c>
      <c r="U576" s="27"/>
      <c r="V576" s="27"/>
      <c r="W576" s="27"/>
      <c r="X576" s="27"/>
      <c r="Y576" s="27" t="s">
        <v>3039</v>
      </c>
      <c r="Z576" s="27" t="n">
        <v>-7.2292715</v>
      </c>
      <c r="AA576" s="27" t="n">
        <v>-48.2623235</v>
      </c>
      <c r="AB576" s="37" t="s">
        <v>2338</v>
      </c>
      <c r="AC576" s="27" t="s">
        <v>3040</v>
      </c>
    </row>
    <row r="577" customFormat="false" ht="15" hidden="false" customHeight="false" outlineLevel="0" collapsed="false">
      <c r="A577" s="27" t="n">
        <v>576</v>
      </c>
      <c r="B577" s="27" t="s">
        <v>1803</v>
      </c>
      <c r="C577" s="27" t="s">
        <v>3051</v>
      </c>
      <c r="D577" s="27" t="s">
        <v>1379</v>
      </c>
      <c r="E577" s="27" t="s">
        <v>1804</v>
      </c>
      <c r="F577" s="32" t="n">
        <v>99.536474084685</v>
      </c>
      <c r="G577" s="28" t="n">
        <v>5410.04105937846</v>
      </c>
      <c r="H577" s="28" t="n">
        <v>99.5364740846853</v>
      </c>
      <c r="I577" s="7" t="s">
        <v>24</v>
      </c>
      <c r="J577" s="27" t="s">
        <v>303</v>
      </c>
      <c r="K577" s="27" t="s">
        <v>461</v>
      </c>
      <c r="L577" s="27" t="n">
        <v>38</v>
      </c>
      <c r="M577" s="27" t="s">
        <v>121</v>
      </c>
      <c r="N577" s="27" t="s">
        <v>2635</v>
      </c>
      <c r="O577" s="27" t="s">
        <v>122</v>
      </c>
      <c r="P577" s="27" t="s">
        <v>54</v>
      </c>
      <c r="Q577" s="27" t="n">
        <v>0</v>
      </c>
      <c r="R577" s="27"/>
      <c r="S577" s="27" t="s">
        <v>41</v>
      </c>
      <c r="T577" s="27" t="s">
        <v>121</v>
      </c>
      <c r="U577" s="27"/>
      <c r="V577" s="27"/>
      <c r="W577" s="27"/>
      <c r="X577" s="27"/>
      <c r="Y577" s="27" t="s">
        <v>3052</v>
      </c>
      <c r="Z577" s="27" t="n">
        <v>-7.228803</v>
      </c>
      <c r="AA577" s="27" t="n">
        <v>-48.2576575</v>
      </c>
      <c r="AB577" s="37" t="s">
        <v>2338</v>
      </c>
      <c r="AC577" s="27" t="s">
        <v>3053</v>
      </c>
    </row>
    <row r="578" customFormat="false" ht="15" hidden="false" customHeight="false" outlineLevel="0" collapsed="false">
      <c r="A578" s="27" t="n">
        <v>577</v>
      </c>
      <c r="B578" s="27" t="s">
        <v>1805</v>
      </c>
      <c r="C578" s="27" t="s">
        <v>3054</v>
      </c>
      <c r="D578" s="27" t="s">
        <v>1397</v>
      </c>
      <c r="E578" s="27" t="s">
        <v>1806</v>
      </c>
      <c r="F578" s="32" t="n">
        <v>32.0944397337068</v>
      </c>
      <c r="G578" s="28" t="n">
        <v>4984.14936498756</v>
      </c>
      <c r="H578" s="28" t="n">
        <v>32.0944397337071</v>
      </c>
      <c r="I578" s="7" t="s">
        <v>24</v>
      </c>
      <c r="J578" s="27" t="s">
        <v>303</v>
      </c>
      <c r="K578" s="27" t="s">
        <v>461</v>
      </c>
      <c r="L578" s="27" t="n">
        <v>39</v>
      </c>
      <c r="M578" s="27" t="s">
        <v>123</v>
      </c>
      <c r="N578" s="27" t="s">
        <v>2640</v>
      </c>
      <c r="O578" s="27" t="s">
        <v>124</v>
      </c>
      <c r="P578" s="27" t="s">
        <v>54</v>
      </c>
      <c r="Q578" s="27" t="n">
        <v>0</v>
      </c>
      <c r="R578" s="27"/>
      <c r="S578" s="27" t="s">
        <v>41</v>
      </c>
      <c r="T578" s="27" t="s">
        <v>123</v>
      </c>
      <c r="U578" s="27"/>
      <c r="V578" s="27"/>
      <c r="W578" s="27"/>
      <c r="X578" s="27"/>
      <c r="Y578" s="27" t="s">
        <v>3055</v>
      </c>
      <c r="Z578" s="27" t="n">
        <v>-7.2326175</v>
      </c>
      <c r="AA578" s="27" t="n">
        <v>-48.2553985</v>
      </c>
      <c r="AB578" s="37" t="s">
        <v>2338</v>
      </c>
      <c r="AC578" s="27" t="s">
        <v>3056</v>
      </c>
    </row>
    <row r="579" customFormat="false" ht="15" hidden="false" customHeight="false" outlineLevel="0" collapsed="false">
      <c r="A579" s="27" t="n">
        <v>578</v>
      </c>
      <c r="B579" s="27" t="s">
        <v>1807</v>
      </c>
      <c r="C579" s="27" t="s">
        <v>3057</v>
      </c>
      <c r="D579" s="27" t="s">
        <v>1806</v>
      </c>
      <c r="E579" s="27" t="s">
        <v>1808</v>
      </c>
      <c r="F579" s="32" t="n">
        <v>1.89824230685377</v>
      </c>
      <c r="G579" s="28" t="n">
        <v>4986.04760729441</v>
      </c>
      <c r="H579" s="28" t="n">
        <v>33.9926820405608</v>
      </c>
      <c r="I579" s="7" t="s">
        <v>24</v>
      </c>
      <c r="J579" s="27" t="s">
        <v>303</v>
      </c>
      <c r="K579" s="27" t="s">
        <v>461</v>
      </c>
      <c r="L579" s="27" t="n">
        <v>39</v>
      </c>
      <c r="M579" s="27" t="s">
        <v>123</v>
      </c>
      <c r="N579" s="27" t="s">
        <v>2640</v>
      </c>
      <c r="O579" s="27" t="s">
        <v>124</v>
      </c>
      <c r="P579" s="27" t="s">
        <v>54</v>
      </c>
      <c r="Q579" s="27" t="n">
        <v>0</v>
      </c>
      <c r="R579" s="27"/>
      <c r="S579" s="27" t="s">
        <v>41</v>
      </c>
      <c r="T579" s="27" t="s">
        <v>123</v>
      </c>
      <c r="U579" s="27"/>
      <c r="V579" s="27"/>
      <c r="W579" s="27"/>
      <c r="X579" s="27"/>
      <c r="Y579" s="27" t="s">
        <v>3055</v>
      </c>
      <c r="Z579" s="27" t="n">
        <v>-7.232592</v>
      </c>
      <c r="AA579" s="27" t="n">
        <v>-48.255543</v>
      </c>
      <c r="AB579" s="37" t="s">
        <v>2338</v>
      </c>
      <c r="AC579" s="27" t="s">
        <v>3056</v>
      </c>
    </row>
    <row r="580" customFormat="false" ht="15" hidden="false" customHeight="false" outlineLevel="0" collapsed="false">
      <c r="A580" s="27" t="n">
        <v>579</v>
      </c>
      <c r="B580" s="27" t="s">
        <v>1809</v>
      </c>
      <c r="C580" s="27" t="s">
        <v>3058</v>
      </c>
      <c r="D580" s="27" t="s">
        <v>1808</v>
      </c>
      <c r="E580" s="27" t="s">
        <v>1810</v>
      </c>
      <c r="F580" s="32" t="n">
        <v>26.7746538574864</v>
      </c>
      <c r="G580" s="28" t="n">
        <v>5012.8222611519</v>
      </c>
      <c r="H580" s="28" t="n">
        <v>60.7673358980474</v>
      </c>
      <c r="I580" s="7" t="s">
        <v>24</v>
      </c>
      <c r="J580" s="27" t="s">
        <v>303</v>
      </c>
      <c r="K580" s="27" t="s">
        <v>461</v>
      </c>
      <c r="L580" s="27" t="n">
        <v>39</v>
      </c>
      <c r="M580" s="27" t="s">
        <v>123</v>
      </c>
      <c r="N580" s="27" t="s">
        <v>2640</v>
      </c>
      <c r="O580" s="27" t="s">
        <v>124</v>
      </c>
      <c r="P580" s="27" t="s">
        <v>54</v>
      </c>
      <c r="Q580" s="27" t="n">
        <v>0</v>
      </c>
      <c r="R580" s="27"/>
      <c r="S580" s="27" t="s">
        <v>41</v>
      </c>
      <c r="T580" s="27" t="s">
        <v>123</v>
      </c>
      <c r="U580" s="27"/>
      <c r="V580" s="27"/>
      <c r="W580" s="27"/>
      <c r="X580" s="27"/>
      <c r="Y580" s="27" t="s">
        <v>3055</v>
      </c>
      <c r="Z580" s="27" t="n">
        <v>-7.232711</v>
      </c>
      <c r="AA580" s="27" t="n">
        <v>-48.255593</v>
      </c>
      <c r="AB580" s="37" t="s">
        <v>2338</v>
      </c>
      <c r="AC580" s="27" t="s">
        <v>3056</v>
      </c>
    </row>
    <row r="581" customFormat="false" ht="15" hidden="false" customHeight="false" outlineLevel="0" collapsed="false">
      <c r="A581" s="27" t="n">
        <v>580</v>
      </c>
      <c r="B581" s="27" t="s">
        <v>1811</v>
      </c>
      <c r="C581" s="27" t="s">
        <v>3059</v>
      </c>
      <c r="D581" s="27" t="s">
        <v>1810</v>
      </c>
      <c r="E581" s="27" t="s">
        <v>1812</v>
      </c>
      <c r="F581" s="32" t="n">
        <v>170.584331802889</v>
      </c>
      <c r="G581" s="28" t="n">
        <v>5183.40659295479</v>
      </c>
      <c r="H581" s="28" t="n">
        <v>231.351667700937</v>
      </c>
      <c r="I581" s="7" t="s">
        <v>24</v>
      </c>
      <c r="J581" s="27" t="s">
        <v>303</v>
      </c>
      <c r="K581" s="27" t="s">
        <v>461</v>
      </c>
      <c r="L581" s="27" t="n">
        <v>39</v>
      </c>
      <c r="M581" s="27" t="s">
        <v>123</v>
      </c>
      <c r="N581" s="27" t="s">
        <v>2640</v>
      </c>
      <c r="O581" s="27" t="s">
        <v>124</v>
      </c>
      <c r="P581" s="27" t="s">
        <v>54</v>
      </c>
      <c r="Q581" s="27" t="n">
        <v>0</v>
      </c>
      <c r="R581" s="27"/>
      <c r="S581" s="27" t="s">
        <v>41</v>
      </c>
      <c r="T581" s="27" t="s">
        <v>123</v>
      </c>
      <c r="U581" s="27"/>
      <c r="V581" s="27"/>
      <c r="W581" s="27"/>
      <c r="X581" s="27"/>
      <c r="Y581" s="27" t="s">
        <v>3055</v>
      </c>
      <c r="Z581" s="27" t="n">
        <v>-7.23353</v>
      </c>
      <c r="AA581" s="27" t="n">
        <v>-48.2559375</v>
      </c>
      <c r="AB581" s="37" t="s">
        <v>2338</v>
      </c>
      <c r="AC581" s="27" t="s">
        <v>3056</v>
      </c>
    </row>
    <row r="582" customFormat="false" ht="15" hidden="false" customHeight="false" outlineLevel="0" collapsed="false">
      <c r="A582" s="27" t="n">
        <v>581</v>
      </c>
      <c r="B582" s="27" t="s">
        <v>1813</v>
      </c>
      <c r="C582" s="27" t="s">
        <v>3060</v>
      </c>
      <c r="D582" s="27" t="s">
        <v>1812</v>
      </c>
      <c r="E582" s="27" t="s">
        <v>1814</v>
      </c>
      <c r="F582" s="32" t="n">
        <v>126.919084028774</v>
      </c>
      <c r="G582" s="28" t="n">
        <v>5310.32567698356</v>
      </c>
      <c r="H582" s="28" t="n">
        <v>358.27075172971</v>
      </c>
      <c r="I582" s="7" t="s">
        <v>24</v>
      </c>
      <c r="J582" s="27" t="s">
        <v>303</v>
      </c>
      <c r="K582" s="27" t="s">
        <v>461</v>
      </c>
      <c r="L582" s="27" t="n">
        <v>39</v>
      </c>
      <c r="M582" s="27" t="s">
        <v>123</v>
      </c>
      <c r="N582" s="27" t="s">
        <v>2640</v>
      </c>
      <c r="O582" s="27" t="s">
        <v>124</v>
      </c>
      <c r="P582" s="27" t="s">
        <v>54</v>
      </c>
      <c r="Q582" s="27" t="n">
        <v>0</v>
      </c>
      <c r="R582" s="27"/>
      <c r="S582" s="27" t="s">
        <v>41</v>
      </c>
      <c r="T582" s="27" t="s">
        <v>123</v>
      </c>
      <c r="U582" s="27"/>
      <c r="V582" s="27"/>
      <c r="W582" s="27"/>
      <c r="X582" s="27"/>
      <c r="Y582" s="27" t="s">
        <v>3055</v>
      </c>
      <c r="Z582" s="27" t="n">
        <v>-7.2347645</v>
      </c>
      <c r="AA582" s="27" t="n">
        <v>-48.256457</v>
      </c>
      <c r="AB582" s="37" t="s">
        <v>2338</v>
      </c>
      <c r="AC582" s="27" t="s">
        <v>3056</v>
      </c>
    </row>
    <row r="583" customFormat="false" ht="15" hidden="false" customHeight="false" outlineLevel="0" collapsed="false">
      <c r="A583" s="27" t="n">
        <v>582</v>
      </c>
      <c r="B583" s="27" t="s">
        <v>1815</v>
      </c>
      <c r="C583" s="27" t="s">
        <v>3061</v>
      </c>
      <c r="D583" s="27" t="s">
        <v>1814</v>
      </c>
      <c r="E583" s="27" t="s">
        <v>1816</v>
      </c>
      <c r="F583" s="32" t="n">
        <v>38.5852951537019</v>
      </c>
      <c r="G583" s="28" t="n">
        <v>5348.91097213726</v>
      </c>
      <c r="H583" s="28" t="n">
        <v>396.856046883412</v>
      </c>
      <c r="I583" s="7" t="s">
        <v>24</v>
      </c>
      <c r="J583" s="27" t="s">
        <v>303</v>
      </c>
      <c r="K583" s="27" t="s">
        <v>461</v>
      </c>
      <c r="L583" s="27" t="n">
        <v>39</v>
      </c>
      <c r="M583" s="27" t="s">
        <v>123</v>
      </c>
      <c r="N583" s="27" t="s">
        <v>2640</v>
      </c>
      <c r="O583" s="27" t="s">
        <v>124</v>
      </c>
      <c r="P583" s="27" t="s">
        <v>54</v>
      </c>
      <c r="Q583" s="27" t="n">
        <v>0</v>
      </c>
      <c r="R583" s="27"/>
      <c r="S583" s="27" t="s">
        <v>41</v>
      </c>
      <c r="T583" s="27" t="s">
        <v>123</v>
      </c>
      <c r="U583" s="27"/>
      <c r="V583" s="27"/>
      <c r="W583" s="27"/>
      <c r="X583" s="27"/>
      <c r="Y583" s="27" t="s">
        <v>3055</v>
      </c>
      <c r="Z583" s="27" t="n">
        <v>-7.23545</v>
      </c>
      <c r="AA583" s="27" t="n">
        <v>-48.256749</v>
      </c>
      <c r="AB583" s="37" t="s">
        <v>2338</v>
      </c>
      <c r="AC583" s="27" t="s">
        <v>3056</v>
      </c>
    </row>
    <row r="584" customFormat="false" ht="15" hidden="false" customHeight="false" outlineLevel="0" collapsed="false">
      <c r="A584" s="27" t="n">
        <v>583</v>
      </c>
      <c r="B584" s="27" t="s">
        <v>1817</v>
      </c>
      <c r="C584" s="27" t="s">
        <v>3062</v>
      </c>
      <c r="D584" s="27" t="s">
        <v>1806</v>
      </c>
      <c r="E584" s="27" t="s">
        <v>1818</v>
      </c>
      <c r="F584" s="32" t="n">
        <v>42.0692343320687</v>
      </c>
      <c r="G584" s="28" t="n">
        <v>5026.21859931963</v>
      </c>
      <c r="H584" s="28" t="n">
        <v>74.1636740657759</v>
      </c>
      <c r="I584" s="7" t="s">
        <v>24</v>
      </c>
      <c r="J584" s="27" t="s">
        <v>303</v>
      </c>
      <c r="K584" s="27" t="s">
        <v>461</v>
      </c>
      <c r="L584" s="27" t="n">
        <v>39</v>
      </c>
      <c r="M584" s="27" t="s">
        <v>123</v>
      </c>
      <c r="N584" s="27" t="s">
        <v>2640</v>
      </c>
      <c r="O584" s="27" t="s">
        <v>124</v>
      </c>
      <c r="P584" s="27" t="s">
        <v>54</v>
      </c>
      <c r="Q584" s="27" t="n">
        <v>0</v>
      </c>
      <c r="R584" s="27"/>
      <c r="S584" s="27" t="s">
        <v>41</v>
      </c>
      <c r="T584" s="27" t="s">
        <v>123</v>
      </c>
      <c r="U584" s="27"/>
      <c r="V584" s="27"/>
      <c r="W584" s="27"/>
      <c r="X584" s="27"/>
      <c r="Y584" s="27" t="s">
        <v>3055</v>
      </c>
      <c r="Z584" s="27" t="n">
        <v>-7.232523</v>
      </c>
      <c r="AA584" s="27" t="n">
        <v>-48.2557205</v>
      </c>
      <c r="AB584" s="37" t="s">
        <v>2338</v>
      </c>
      <c r="AC584" s="27" t="s">
        <v>3056</v>
      </c>
    </row>
    <row r="585" customFormat="false" ht="15" hidden="false" customHeight="false" outlineLevel="0" collapsed="false">
      <c r="A585" s="27" t="n">
        <v>584</v>
      </c>
      <c r="B585" s="27" t="s">
        <v>1819</v>
      </c>
      <c r="C585" s="27" t="s">
        <v>3063</v>
      </c>
      <c r="D585" s="27" t="s">
        <v>1407</v>
      </c>
      <c r="E585" s="27" t="s">
        <v>1820</v>
      </c>
      <c r="F585" s="32" t="n">
        <v>42.0532637491271</v>
      </c>
      <c r="G585" s="28" t="n">
        <v>4137.35892107558</v>
      </c>
      <c r="H585" s="28" t="n">
        <v>42.0532637491274</v>
      </c>
      <c r="I585" s="7" t="s">
        <v>24</v>
      </c>
      <c r="J585" s="27" t="s">
        <v>303</v>
      </c>
      <c r="K585" s="27" t="s">
        <v>461</v>
      </c>
      <c r="L585" s="27" t="n">
        <v>40</v>
      </c>
      <c r="M585" s="27" t="s">
        <v>125</v>
      </c>
      <c r="N585" s="27" t="s">
        <v>2640</v>
      </c>
      <c r="O585" s="27" t="s">
        <v>126</v>
      </c>
      <c r="P585" s="27" t="s">
        <v>126</v>
      </c>
      <c r="Q585" s="27" t="n">
        <v>1</v>
      </c>
      <c r="R585" s="27"/>
      <c r="S585" s="27" t="s">
        <v>41</v>
      </c>
      <c r="T585" s="27" t="s">
        <v>125</v>
      </c>
      <c r="U585" s="27"/>
      <c r="V585" s="27"/>
      <c r="W585" s="27"/>
      <c r="X585" s="27"/>
      <c r="Y585" s="27" t="s">
        <v>3064</v>
      </c>
      <c r="Z585" s="27" t="n">
        <v>-7.2276275</v>
      </c>
      <c r="AA585" s="27" t="n">
        <v>-48.2516855</v>
      </c>
      <c r="AB585" s="37" t="s">
        <v>2338</v>
      </c>
      <c r="AC585" s="27" t="s">
        <v>3065</v>
      </c>
    </row>
    <row r="586" customFormat="false" ht="15" hidden="false" customHeight="false" outlineLevel="0" collapsed="false">
      <c r="A586" s="27" t="n">
        <v>585</v>
      </c>
      <c r="B586" s="27" t="s">
        <v>1821</v>
      </c>
      <c r="C586" s="27" t="s">
        <v>3066</v>
      </c>
      <c r="D586" s="27" t="s">
        <v>1820</v>
      </c>
      <c r="E586" s="27" t="s">
        <v>1822</v>
      </c>
      <c r="F586" s="32" t="n">
        <v>3.80631610945215</v>
      </c>
      <c r="G586" s="28" t="n">
        <v>4141.16523718504</v>
      </c>
      <c r="H586" s="28" t="n">
        <v>45.8595798585798</v>
      </c>
      <c r="I586" s="7" t="s">
        <v>24</v>
      </c>
      <c r="J586" s="27" t="s">
        <v>303</v>
      </c>
      <c r="K586" s="27" t="s">
        <v>461</v>
      </c>
      <c r="L586" s="27" t="n">
        <v>40</v>
      </c>
      <c r="M586" s="27" t="s">
        <v>125</v>
      </c>
      <c r="N586" s="27" t="s">
        <v>2640</v>
      </c>
      <c r="O586" s="27" t="s">
        <v>126</v>
      </c>
      <c r="P586" s="27" t="s">
        <v>126</v>
      </c>
      <c r="Q586" s="27" t="n">
        <v>1</v>
      </c>
      <c r="R586" s="27"/>
      <c r="S586" s="27" t="s">
        <v>41</v>
      </c>
      <c r="T586" s="27" t="s">
        <v>125</v>
      </c>
      <c r="U586" s="27"/>
      <c r="V586" s="27"/>
      <c r="W586" s="27"/>
      <c r="X586" s="27"/>
      <c r="Y586" s="27" t="s">
        <v>3064</v>
      </c>
      <c r="Z586" s="27" t="n">
        <v>-7.227575</v>
      </c>
      <c r="AA586" s="27" t="n">
        <v>-48.2518865</v>
      </c>
      <c r="AB586" s="37" t="s">
        <v>2338</v>
      </c>
      <c r="AC586" s="27" t="s">
        <v>3065</v>
      </c>
    </row>
    <row r="587" customFormat="false" ht="15" hidden="false" customHeight="false" outlineLevel="0" collapsed="false">
      <c r="A587" s="27" t="n">
        <v>586</v>
      </c>
      <c r="B587" s="27" t="s">
        <v>1823</v>
      </c>
      <c r="C587" s="27" t="s">
        <v>3067</v>
      </c>
      <c r="D587" s="27" t="s">
        <v>1822</v>
      </c>
      <c r="E587" s="27" t="s">
        <v>1824</v>
      </c>
      <c r="F587" s="32" t="n">
        <v>276.246565437031</v>
      </c>
      <c r="G587" s="28" t="n">
        <v>4417.41180262207</v>
      </c>
      <c r="H587" s="28" t="n">
        <v>322.106145295611</v>
      </c>
      <c r="I587" s="7" t="s">
        <v>24</v>
      </c>
      <c r="J587" s="27" t="s">
        <v>303</v>
      </c>
      <c r="K587" s="27" t="s">
        <v>461</v>
      </c>
      <c r="L587" s="27" t="n">
        <v>40</v>
      </c>
      <c r="M587" s="27" t="s">
        <v>125</v>
      </c>
      <c r="N587" s="27" t="s">
        <v>2640</v>
      </c>
      <c r="O587" s="27" t="s">
        <v>126</v>
      </c>
      <c r="P587" s="27" t="s">
        <v>126</v>
      </c>
      <c r="Q587" s="27" t="n">
        <v>1</v>
      </c>
      <c r="R587" s="27"/>
      <c r="S587" s="27" t="s">
        <v>41</v>
      </c>
      <c r="T587" s="27" t="s">
        <v>125</v>
      </c>
      <c r="U587" s="27"/>
      <c r="V587" s="27"/>
      <c r="W587" s="27"/>
      <c r="X587" s="27"/>
      <c r="Y587" s="27" t="s">
        <v>3064</v>
      </c>
      <c r="Z587" s="27" t="n">
        <v>-7.2272055</v>
      </c>
      <c r="AA587" s="27" t="n">
        <v>-48.2531</v>
      </c>
      <c r="AB587" s="37" t="s">
        <v>2338</v>
      </c>
      <c r="AC587" s="27" t="s">
        <v>3065</v>
      </c>
    </row>
    <row r="588" customFormat="false" ht="15" hidden="false" customHeight="false" outlineLevel="0" collapsed="false">
      <c r="A588" s="27" t="n">
        <v>587</v>
      </c>
      <c r="B588" s="27" t="s">
        <v>1825</v>
      </c>
      <c r="C588" s="27" t="s">
        <v>3068</v>
      </c>
      <c r="D588" s="27" t="s">
        <v>1824</v>
      </c>
      <c r="E588" s="27" t="s">
        <v>1826</v>
      </c>
      <c r="F588" s="32" t="n">
        <v>3.70096254234974</v>
      </c>
      <c r="G588" s="28" t="n">
        <v>4421.11276516442</v>
      </c>
      <c r="H588" s="28" t="n">
        <v>325.80710783796</v>
      </c>
      <c r="I588" s="7" t="s">
        <v>24</v>
      </c>
      <c r="J588" s="27" t="s">
        <v>303</v>
      </c>
      <c r="K588" s="27" t="s">
        <v>461</v>
      </c>
      <c r="L588" s="27" t="n">
        <v>40</v>
      </c>
      <c r="M588" s="27" t="s">
        <v>125</v>
      </c>
      <c r="N588" s="27" t="s">
        <v>2640</v>
      </c>
      <c r="O588" s="27" t="s">
        <v>126</v>
      </c>
      <c r="P588" s="27" t="s">
        <v>126</v>
      </c>
      <c r="Q588" s="27" t="n">
        <v>1</v>
      </c>
      <c r="R588" s="27"/>
      <c r="S588" s="27" t="s">
        <v>41</v>
      </c>
      <c r="T588" s="27" t="s">
        <v>125</v>
      </c>
      <c r="U588" s="27"/>
      <c r="V588" s="27"/>
      <c r="W588" s="27"/>
      <c r="X588" s="27"/>
      <c r="Y588" s="27" t="s">
        <v>3064</v>
      </c>
      <c r="Z588" s="27" t="n">
        <v>-7.226836</v>
      </c>
      <c r="AA588" s="27" t="n">
        <v>-48.254313</v>
      </c>
      <c r="AB588" s="37" t="s">
        <v>2338</v>
      </c>
      <c r="AC588" s="27" t="s">
        <v>3065</v>
      </c>
    </row>
    <row r="589" customFormat="false" ht="15" hidden="false" customHeight="false" outlineLevel="0" collapsed="false">
      <c r="A589" s="27" t="n">
        <v>588</v>
      </c>
      <c r="B589" s="27" t="s">
        <v>1827</v>
      </c>
      <c r="C589" s="27" t="s">
        <v>3069</v>
      </c>
      <c r="D589" s="27" t="s">
        <v>1826</v>
      </c>
      <c r="E589" s="27" t="s">
        <v>1828</v>
      </c>
      <c r="F589" s="32" t="n">
        <v>82.7819056197388</v>
      </c>
      <c r="G589" s="28" t="n">
        <v>4503.89467078416</v>
      </c>
      <c r="H589" s="28" t="n">
        <v>408.589013457699</v>
      </c>
      <c r="I589" s="7" t="s">
        <v>24</v>
      </c>
      <c r="J589" s="27" t="s">
        <v>303</v>
      </c>
      <c r="K589" s="27" t="s">
        <v>461</v>
      </c>
      <c r="L589" s="27" t="n">
        <v>40</v>
      </c>
      <c r="M589" s="27" t="s">
        <v>125</v>
      </c>
      <c r="N589" s="27" t="s">
        <v>2640</v>
      </c>
      <c r="O589" s="27" t="s">
        <v>126</v>
      </c>
      <c r="P589" s="27" t="s">
        <v>126</v>
      </c>
      <c r="Q589" s="27" t="n">
        <v>1</v>
      </c>
      <c r="R589" s="27"/>
      <c r="S589" s="27" t="s">
        <v>41</v>
      </c>
      <c r="T589" s="27" t="s">
        <v>125</v>
      </c>
      <c r="U589" s="27"/>
      <c r="V589" s="27"/>
      <c r="W589" s="27"/>
      <c r="X589" s="27"/>
      <c r="Y589" s="27" t="s">
        <v>3064</v>
      </c>
      <c r="Z589" s="27" t="n">
        <v>-7.2267295</v>
      </c>
      <c r="AA589" s="27" t="n">
        <v>-48.25469</v>
      </c>
      <c r="AB589" s="37" t="s">
        <v>2338</v>
      </c>
      <c r="AC589" s="27" t="s">
        <v>3065</v>
      </c>
    </row>
    <row r="590" customFormat="false" ht="15" hidden="false" customHeight="false" outlineLevel="0" collapsed="false">
      <c r="A590" s="27" t="n">
        <v>589</v>
      </c>
      <c r="B590" s="27" t="s">
        <v>1829</v>
      </c>
      <c r="C590" s="27" t="s">
        <v>3070</v>
      </c>
      <c r="D590" s="27" t="s">
        <v>1828</v>
      </c>
      <c r="E590" s="27" t="s">
        <v>1830</v>
      </c>
      <c r="F590" s="32" t="n">
        <v>3.40811558746874</v>
      </c>
      <c r="G590" s="28" t="n">
        <v>4507.30278637162</v>
      </c>
      <c r="H590" s="28" t="n">
        <v>411.997129045168</v>
      </c>
      <c r="I590" s="7" t="s">
        <v>24</v>
      </c>
      <c r="J590" s="27" t="s">
        <v>303</v>
      </c>
      <c r="K590" s="27" t="s">
        <v>461</v>
      </c>
      <c r="L590" s="27" t="n">
        <v>40</v>
      </c>
      <c r="M590" s="27" t="s">
        <v>125</v>
      </c>
      <c r="N590" s="27" t="s">
        <v>2640</v>
      </c>
      <c r="O590" s="27" t="s">
        <v>126</v>
      </c>
      <c r="P590" s="27" t="s">
        <v>126</v>
      </c>
      <c r="Q590" s="27" t="n">
        <v>1</v>
      </c>
      <c r="R590" s="27"/>
      <c r="S590" s="27" t="s">
        <v>41</v>
      </c>
      <c r="T590" s="27" t="s">
        <v>125</v>
      </c>
      <c r="U590" s="27"/>
      <c r="V590" s="27"/>
      <c r="W590" s="27"/>
      <c r="X590" s="27"/>
      <c r="Y590" s="27" t="s">
        <v>3064</v>
      </c>
      <c r="Z590" s="27" t="n">
        <v>-7.2266135</v>
      </c>
      <c r="AA590" s="27" t="n">
        <v>-48.255046</v>
      </c>
      <c r="AB590" s="37" t="s">
        <v>2338</v>
      </c>
      <c r="AC590" s="27" t="s">
        <v>3065</v>
      </c>
    </row>
    <row r="591" customFormat="false" ht="15" hidden="false" customHeight="false" outlineLevel="0" collapsed="false">
      <c r="A591" s="27" t="n">
        <v>590</v>
      </c>
      <c r="B591" s="27" t="s">
        <v>1831</v>
      </c>
      <c r="C591" s="27" t="s">
        <v>3071</v>
      </c>
      <c r="D591" s="27" t="s">
        <v>1830</v>
      </c>
      <c r="E591" s="27" t="s">
        <v>1832</v>
      </c>
      <c r="F591" s="32" t="n">
        <v>31.0964604467504</v>
      </c>
      <c r="G591" s="28" t="n">
        <v>4538.39924681838</v>
      </c>
      <c r="H591" s="28" t="n">
        <v>31.0964604467508</v>
      </c>
      <c r="I591" s="7" t="s">
        <v>24</v>
      </c>
      <c r="J591" s="27" t="s">
        <v>303</v>
      </c>
      <c r="K591" s="27" t="s">
        <v>461</v>
      </c>
      <c r="L591" s="27" t="n">
        <v>41</v>
      </c>
      <c r="M591" s="27" t="s">
        <v>126</v>
      </c>
      <c r="N591" s="27" t="s">
        <v>2635</v>
      </c>
      <c r="O591" s="27" t="s">
        <v>127</v>
      </c>
      <c r="P591" s="27" t="s">
        <v>54</v>
      </c>
      <c r="Q591" s="27" t="n">
        <v>0</v>
      </c>
      <c r="R591" s="27"/>
      <c r="S591" s="27" t="s">
        <v>41</v>
      </c>
      <c r="T591" s="27" t="s">
        <v>125</v>
      </c>
      <c r="U591" s="27" t="s">
        <v>126</v>
      </c>
      <c r="V591" s="27"/>
      <c r="W591" s="27"/>
      <c r="X591" s="27"/>
      <c r="Y591" s="27" t="s">
        <v>3072</v>
      </c>
      <c r="Z591" s="27" t="n">
        <v>-7.226467</v>
      </c>
      <c r="AA591" s="27" t="n">
        <v>-48.2549945</v>
      </c>
      <c r="AB591" s="37" t="s">
        <v>2338</v>
      </c>
      <c r="AC591" s="27" t="s">
        <v>3073</v>
      </c>
    </row>
    <row r="592" customFormat="false" ht="15" hidden="false" customHeight="false" outlineLevel="0" collapsed="false">
      <c r="A592" s="27" t="n">
        <v>591</v>
      </c>
      <c r="B592" s="27" t="s">
        <v>1833</v>
      </c>
      <c r="C592" s="27" t="s">
        <v>3074</v>
      </c>
      <c r="D592" s="27" t="s">
        <v>1832</v>
      </c>
      <c r="E592" s="27" t="s">
        <v>1834</v>
      </c>
      <c r="F592" s="32" t="n">
        <v>28.5157118264193</v>
      </c>
      <c r="G592" s="28" t="n">
        <v>4566.9149586448</v>
      </c>
      <c r="H592" s="28" t="n">
        <v>59.6121722731705</v>
      </c>
      <c r="I592" s="7" t="s">
        <v>24</v>
      </c>
      <c r="J592" s="27" t="s">
        <v>303</v>
      </c>
      <c r="K592" s="27" t="s">
        <v>461</v>
      </c>
      <c r="L592" s="27" t="n">
        <v>41</v>
      </c>
      <c r="M592" s="27" t="s">
        <v>126</v>
      </c>
      <c r="N592" s="27" t="s">
        <v>2635</v>
      </c>
      <c r="O592" s="27" t="s">
        <v>127</v>
      </c>
      <c r="P592" s="27" t="s">
        <v>54</v>
      </c>
      <c r="Q592" s="27" t="n">
        <v>0</v>
      </c>
      <c r="R592" s="27"/>
      <c r="S592" s="27" t="s">
        <v>41</v>
      </c>
      <c r="T592" s="27" t="s">
        <v>125</v>
      </c>
      <c r="U592" s="27" t="s">
        <v>126</v>
      </c>
      <c r="V592" s="27"/>
      <c r="W592" s="27"/>
      <c r="X592" s="27"/>
      <c r="Y592" s="27" t="s">
        <v>3072</v>
      </c>
      <c r="Z592" s="27" t="n">
        <v>-7.2262095</v>
      </c>
      <c r="AA592" s="27" t="n">
        <v>-48.2549745</v>
      </c>
      <c r="AB592" s="37" t="s">
        <v>2338</v>
      </c>
      <c r="AC592" s="27" t="s">
        <v>3073</v>
      </c>
    </row>
    <row r="593" customFormat="false" ht="15" hidden="false" customHeight="false" outlineLevel="0" collapsed="false">
      <c r="A593" s="27" t="n">
        <v>592</v>
      </c>
      <c r="B593" s="27" t="s">
        <v>1835</v>
      </c>
      <c r="C593" s="27" t="s">
        <v>3075</v>
      </c>
      <c r="D593" s="27" t="s">
        <v>1415</v>
      </c>
      <c r="E593" s="27" t="s">
        <v>1836</v>
      </c>
      <c r="F593" s="32" t="n">
        <v>574.402392137076</v>
      </c>
      <c r="G593" s="28" t="n">
        <v>4396.15457890795</v>
      </c>
      <c r="H593" s="28" t="n">
        <v>574.402392137076</v>
      </c>
      <c r="I593" s="7" t="s">
        <v>24</v>
      </c>
      <c r="J593" s="27" t="s">
        <v>303</v>
      </c>
      <c r="K593" s="27" t="s">
        <v>461</v>
      </c>
      <c r="L593" s="27" t="n">
        <v>42</v>
      </c>
      <c r="M593" s="27" t="s">
        <v>128</v>
      </c>
      <c r="N593" s="27" t="s">
        <v>2640</v>
      </c>
      <c r="O593" s="27" t="s">
        <v>129</v>
      </c>
      <c r="P593" s="27" t="s">
        <v>129</v>
      </c>
      <c r="Q593" s="27" t="n">
        <v>1</v>
      </c>
      <c r="R593" s="27"/>
      <c r="S593" s="27" t="s">
        <v>41</v>
      </c>
      <c r="T593" s="27" t="s">
        <v>128</v>
      </c>
      <c r="U593" s="27"/>
      <c r="V593" s="27"/>
      <c r="W593" s="27"/>
      <c r="X593" s="27"/>
      <c r="Y593" s="27" t="s">
        <v>3076</v>
      </c>
      <c r="Z593" s="27" t="n">
        <v>-7.224126</v>
      </c>
      <c r="AA593" s="27" t="n">
        <v>-48.253037</v>
      </c>
      <c r="AB593" s="37" t="s">
        <v>2338</v>
      </c>
      <c r="AC593" s="27" t="s">
        <v>3077</v>
      </c>
    </row>
    <row r="594" customFormat="false" ht="15" hidden="false" customHeight="false" outlineLevel="0" collapsed="false">
      <c r="A594" s="27" t="n">
        <v>593</v>
      </c>
      <c r="B594" s="27" t="s">
        <v>1837</v>
      </c>
      <c r="C594" s="27" t="s">
        <v>3078</v>
      </c>
      <c r="D594" s="27" t="s">
        <v>1836</v>
      </c>
      <c r="E594" s="27" t="s">
        <v>1838</v>
      </c>
      <c r="F594" s="32" t="n">
        <v>3.67079243215336</v>
      </c>
      <c r="G594" s="28" t="n">
        <v>4399.8253713401</v>
      </c>
      <c r="H594" s="28" t="n">
        <v>578.073184569229</v>
      </c>
      <c r="I594" s="7" t="s">
        <v>24</v>
      </c>
      <c r="J594" s="27" t="s">
        <v>303</v>
      </c>
      <c r="K594" s="27" t="s">
        <v>461</v>
      </c>
      <c r="L594" s="27" t="n">
        <v>42</v>
      </c>
      <c r="M594" s="27" t="s">
        <v>128</v>
      </c>
      <c r="N594" s="27" t="s">
        <v>2640</v>
      </c>
      <c r="O594" s="27" t="s">
        <v>129</v>
      </c>
      <c r="P594" s="27" t="s">
        <v>129</v>
      </c>
      <c r="Q594" s="27" t="n">
        <v>1</v>
      </c>
      <c r="R594" s="27"/>
      <c r="S594" s="27" t="s">
        <v>41</v>
      </c>
      <c r="T594" s="27" t="s">
        <v>128</v>
      </c>
      <c r="U594" s="27"/>
      <c r="V594" s="27"/>
      <c r="W594" s="27"/>
      <c r="X594" s="27"/>
      <c r="Y594" s="27" t="s">
        <v>3076</v>
      </c>
      <c r="Z594" s="27" t="n">
        <v>-7.223198</v>
      </c>
      <c r="AA594" s="27" t="n">
        <v>-48.2554845</v>
      </c>
      <c r="AB594" s="37" t="s">
        <v>2338</v>
      </c>
      <c r="AC594" s="27" t="s">
        <v>3077</v>
      </c>
    </row>
    <row r="595" customFormat="false" ht="15" hidden="false" customHeight="false" outlineLevel="0" collapsed="false">
      <c r="A595" s="27" t="n">
        <v>594</v>
      </c>
      <c r="B595" s="27" t="s">
        <v>1839</v>
      </c>
      <c r="C595" s="27" t="s">
        <v>3079</v>
      </c>
      <c r="D595" s="27" t="s">
        <v>1838</v>
      </c>
      <c r="E595" s="27" t="s">
        <v>1840</v>
      </c>
      <c r="F595" s="32" t="n">
        <v>140.541261778963</v>
      </c>
      <c r="G595" s="28" t="n">
        <v>4540.36663311906</v>
      </c>
      <c r="H595" s="28" t="n">
        <v>718.614446348192</v>
      </c>
      <c r="I595" s="7" t="s">
        <v>24</v>
      </c>
      <c r="J595" s="27" t="s">
        <v>303</v>
      </c>
      <c r="K595" s="27" t="s">
        <v>461</v>
      </c>
      <c r="L595" s="27" t="n">
        <v>42</v>
      </c>
      <c r="M595" s="27" t="s">
        <v>128</v>
      </c>
      <c r="N595" s="27" t="s">
        <v>2640</v>
      </c>
      <c r="O595" s="27" t="s">
        <v>129</v>
      </c>
      <c r="P595" s="27" t="s">
        <v>129</v>
      </c>
      <c r="Q595" s="27" t="n">
        <v>1</v>
      </c>
      <c r="R595" s="27"/>
      <c r="S595" s="27" t="s">
        <v>41</v>
      </c>
      <c r="T595" s="27" t="s">
        <v>128</v>
      </c>
      <c r="U595" s="27"/>
      <c r="V595" s="27"/>
      <c r="W595" s="27"/>
      <c r="X595" s="27"/>
      <c r="Y595" s="27" t="s">
        <v>3076</v>
      </c>
      <c r="Z595" s="27" t="n">
        <v>-7.222965</v>
      </c>
      <c r="AA595" s="27" t="n">
        <v>-48.2560945</v>
      </c>
      <c r="AB595" s="37" t="s">
        <v>2338</v>
      </c>
      <c r="AC595" s="27" t="s">
        <v>3077</v>
      </c>
    </row>
    <row r="596" customFormat="false" ht="15" hidden="false" customHeight="false" outlineLevel="0" collapsed="false">
      <c r="A596" s="27" t="n">
        <v>595</v>
      </c>
      <c r="B596" s="27" t="s">
        <v>1841</v>
      </c>
      <c r="C596" s="27" t="s">
        <v>3080</v>
      </c>
      <c r="D596" s="27" t="s">
        <v>1840</v>
      </c>
      <c r="E596" s="27" t="s">
        <v>1842</v>
      </c>
      <c r="F596" s="32" t="n">
        <v>3.67079571596624</v>
      </c>
      <c r="G596" s="28" t="n">
        <v>4544.03742883503</v>
      </c>
      <c r="H596" s="28" t="n">
        <v>722.285242064158</v>
      </c>
      <c r="I596" s="7" t="s">
        <v>24</v>
      </c>
      <c r="J596" s="27" t="s">
        <v>303</v>
      </c>
      <c r="K596" s="27" t="s">
        <v>461</v>
      </c>
      <c r="L596" s="27" t="n">
        <v>42</v>
      </c>
      <c r="M596" s="27" t="s">
        <v>128</v>
      </c>
      <c r="N596" s="27" t="s">
        <v>2640</v>
      </c>
      <c r="O596" s="27" t="s">
        <v>129</v>
      </c>
      <c r="P596" s="27" t="s">
        <v>129</v>
      </c>
      <c r="Q596" s="27" t="n">
        <v>1</v>
      </c>
      <c r="R596" s="27"/>
      <c r="S596" s="27" t="s">
        <v>41</v>
      </c>
      <c r="T596" s="27" t="s">
        <v>128</v>
      </c>
      <c r="U596" s="27"/>
      <c r="V596" s="27"/>
      <c r="W596" s="27"/>
      <c r="X596" s="27"/>
      <c r="Y596" s="27" t="s">
        <v>3076</v>
      </c>
      <c r="Z596" s="27" t="n">
        <v>-7.222732</v>
      </c>
      <c r="AA596" s="27" t="n">
        <v>-48.2567045</v>
      </c>
      <c r="AB596" s="37" t="s">
        <v>2338</v>
      </c>
      <c r="AC596" s="27" t="s">
        <v>3077</v>
      </c>
    </row>
    <row r="597" customFormat="false" ht="15" hidden="false" customHeight="false" outlineLevel="0" collapsed="false">
      <c r="A597" s="27" t="n">
        <v>596</v>
      </c>
      <c r="B597" s="27" t="s">
        <v>1843</v>
      </c>
      <c r="C597" s="27" t="s">
        <v>3081</v>
      </c>
      <c r="D597" s="27" t="s">
        <v>1842</v>
      </c>
      <c r="E597" s="27" t="s">
        <v>1844</v>
      </c>
      <c r="F597" s="32" t="n">
        <v>649.830911296674</v>
      </c>
      <c r="G597" s="28" t="n">
        <v>5193.8683401317</v>
      </c>
      <c r="H597" s="28" t="n">
        <v>1372.11615336083</v>
      </c>
      <c r="I597" s="7" t="s">
        <v>24</v>
      </c>
      <c r="J597" s="27" t="s">
        <v>303</v>
      </c>
      <c r="K597" s="27" t="s">
        <v>461</v>
      </c>
      <c r="L597" s="27" t="n">
        <v>42</v>
      </c>
      <c r="M597" s="27" t="s">
        <v>128</v>
      </c>
      <c r="N597" s="27" t="s">
        <v>2640</v>
      </c>
      <c r="O597" s="27" t="s">
        <v>129</v>
      </c>
      <c r="P597" s="27" t="s">
        <v>129</v>
      </c>
      <c r="Q597" s="27" t="n">
        <v>1</v>
      </c>
      <c r="R597" s="27"/>
      <c r="S597" s="27" t="s">
        <v>41</v>
      </c>
      <c r="T597" s="27" t="s">
        <v>128</v>
      </c>
      <c r="U597" s="27"/>
      <c r="V597" s="27"/>
      <c r="W597" s="27"/>
      <c r="X597" s="27"/>
      <c r="Y597" s="27" t="s">
        <v>3076</v>
      </c>
      <c r="Z597" s="27" t="n">
        <v>-7.221772</v>
      </c>
      <c r="AA597" s="27" t="n">
        <v>-48.259504</v>
      </c>
      <c r="AB597" s="37" t="s">
        <v>2338</v>
      </c>
      <c r="AC597" s="27" t="s">
        <v>3077</v>
      </c>
    </row>
    <row r="598" customFormat="false" ht="15" hidden="false" customHeight="false" outlineLevel="0" collapsed="false">
      <c r="A598" s="27" t="n">
        <v>597</v>
      </c>
      <c r="B598" s="27" t="s">
        <v>1845</v>
      </c>
      <c r="C598" s="27" t="s">
        <v>3082</v>
      </c>
      <c r="D598" s="27" t="s">
        <v>1844</v>
      </c>
      <c r="E598" s="27" t="s">
        <v>1846</v>
      </c>
      <c r="F598" s="32" t="n">
        <v>14.9927239327877</v>
      </c>
      <c r="G598" s="28" t="n">
        <v>5208.86106406449</v>
      </c>
      <c r="H598" s="28" t="n">
        <v>1387.10887729362</v>
      </c>
      <c r="I598" s="7" t="s">
        <v>24</v>
      </c>
      <c r="J598" s="27" t="s">
        <v>303</v>
      </c>
      <c r="K598" s="27" t="s">
        <v>461</v>
      </c>
      <c r="L598" s="27" t="n">
        <v>42</v>
      </c>
      <c r="M598" s="27" t="s">
        <v>128</v>
      </c>
      <c r="N598" s="27" t="s">
        <v>2640</v>
      </c>
      <c r="O598" s="27" t="s">
        <v>129</v>
      </c>
      <c r="P598" s="27" t="s">
        <v>129</v>
      </c>
      <c r="Q598" s="27" t="n">
        <v>1</v>
      </c>
      <c r="R598" s="27"/>
      <c r="S598" s="27" t="s">
        <v>41</v>
      </c>
      <c r="T598" s="27" t="s">
        <v>128</v>
      </c>
      <c r="U598" s="27"/>
      <c r="V598" s="27"/>
      <c r="W598" s="27"/>
      <c r="X598" s="27"/>
      <c r="Y598" s="27" t="s">
        <v>3076</v>
      </c>
      <c r="Z598" s="27" t="n">
        <v>-7.2208725</v>
      </c>
      <c r="AA598" s="27" t="n">
        <v>-48.262328</v>
      </c>
      <c r="AB598" s="37" t="s">
        <v>2338</v>
      </c>
      <c r="AC598" s="27" t="s">
        <v>3077</v>
      </c>
    </row>
    <row r="599" customFormat="false" ht="15" hidden="false" customHeight="false" outlineLevel="0" collapsed="false">
      <c r="A599" s="27" t="n">
        <v>598</v>
      </c>
      <c r="B599" s="27" t="s">
        <v>1847</v>
      </c>
      <c r="C599" s="27" t="s">
        <v>3083</v>
      </c>
      <c r="D599" s="27" t="s">
        <v>1846</v>
      </c>
      <c r="E599" s="27" t="s">
        <v>1848</v>
      </c>
      <c r="F599" s="32" t="n">
        <v>281.305385439173</v>
      </c>
      <c r="G599" s="28" t="n">
        <v>5490.16644950366</v>
      </c>
      <c r="H599" s="28" t="n">
        <v>281.305385439173</v>
      </c>
      <c r="I599" s="7" t="s">
        <v>24</v>
      </c>
      <c r="J599" s="27" t="s">
        <v>303</v>
      </c>
      <c r="K599" s="27" t="s">
        <v>461</v>
      </c>
      <c r="L599" s="27" t="n">
        <v>43</v>
      </c>
      <c r="M599" s="27" t="s">
        <v>129</v>
      </c>
      <c r="N599" s="27" t="s">
        <v>2640</v>
      </c>
      <c r="O599" s="27" t="s">
        <v>130</v>
      </c>
      <c r="P599" s="27" t="s">
        <v>54</v>
      </c>
      <c r="Q599" s="27" t="n">
        <v>0</v>
      </c>
      <c r="R599" s="27"/>
      <c r="S599" s="27" t="s">
        <v>41</v>
      </c>
      <c r="T599" s="27" t="s">
        <v>128</v>
      </c>
      <c r="U599" s="27" t="s">
        <v>129</v>
      </c>
      <c r="V599" s="27"/>
      <c r="W599" s="27"/>
      <c r="X599" s="27"/>
      <c r="Y599" s="27" t="s">
        <v>3084</v>
      </c>
      <c r="Z599" s="27" t="n">
        <v>-7.221962</v>
      </c>
      <c r="AA599" s="27" t="n">
        <v>-48.263101</v>
      </c>
      <c r="AB599" s="37" t="s">
        <v>2338</v>
      </c>
      <c r="AC599" s="27" t="s">
        <v>3085</v>
      </c>
    </row>
    <row r="600" customFormat="false" ht="15" hidden="false" customHeight="false" outlineLevel="0" collapsed="false">
      <c r="A600" s="27" t="n">
        <v>599</v>
      </c>
      <c r="B600" s="27" t="s">
        <v>1849</v>
      </c>
      <c r="C600" s="27" t="s">
        <v>3086</v>
      </c>
      <c r="D600" s="27" t="s">
        <v>1417</v>
      </c>
      <c r="E600" s="27" t="s">
        <v>1850</v>
      </c>
      <c r="F600" s="32" t="n">
        <v>22.5536635390212</v>
      </c>
      <c r="G600" s="28" t="n">
        <v>3706.78610787571</v>
      </c>
      <c r="H600" s="28" t="n">
        <v>22.5536635390213</v>
      </c>
      <c r="I600" s="7" t="s">
        <v>24</v>
      </c>
      <c r="J600" s="27" t="s">
        <v>303</v>
      </c>
      <c r="K600" s="27" t="s">
        <v>461</v>
      </c>
      <c r="L600" s="27" t="n">
        <v>44</v>
      </c>
      <c r="M600" s="27" t="s">
        <v>131</v>
      </c>
      <c r="N600" s="27" t="s">
        <v>2635</v>
      </c>
      <c r="O600" s="27" t="s">
        <v>132</v>
      </c>
      <c r="P600" s="27" t="s">
        <v>54</v>
      </c>
      <c r="Q600" s="27" t="n">
        <v>0</v>
      </c>
      <c r="R600" s="27"/>
      <c r="S600" s="27" t="s">
        <v>41</v>
      </c>
      <c r="T600" s="27" t="s">
        <v>131</v>
      </c>
      <c r="U600" s="27"/>
      <c r="V600" s="27"/>
      <c r="W600" s="27"/>
      <c r="X600" s="27"/>
      <c r="Y600" s="27" t="s">
        <v>3087</v>
      </c>
      <c r="Z600" s="27" t="n">
        <v>-7.22431</v>
      </c>
      <c r="AA600" s="27" t="n">
        <v>-48.2499985</v>
      </c>
      <c r="AB600" s="37" t="s">
        <v>2338</v>
      </c>
      <c r="AC600" s="27" t="s">
        <v>3088</v>
      </c>
    </row>
    <row r="601" customFormat="false" ht="15" hidden="false" customHeight="false" outlineLevel="0" collapsed="false">
      <c r="A601" s="27" t="n">
        <v>600</v>
      </c>
      <c r="B601" s="27" t="s">
        <v>1851</v>
      </c>
      <c r="C601" s="27" t="s">
        <v>3089</v>
      </c>
      <c r="D601" s="27" t="s">
        <v>1850</v>
      </c>
      <c r="E601" s="27" t="s">
        <v>1852</v>
      </c>
      <c r="F601" s="32" t="n">
        <v>13.9499377798416</v>
      </c>
      <c r="G601" s="28" t="n">
        <v>3720.73604565555</v>
      </c>
      <c r="H601" s="28" t="n">
        <v>36.5036013188628</v>
      </c>
      <c r="I601" s="7" t="s">
        <v>24</v>
      </c>
      <c r="J601" s="27" t="s">
        <v>303</v>
      </c>
      <c r="K601" s="27" t="s">
        <v>461</v>
      </c>
      <c r="L601" s="27" t="n">
        <v>44</v>
      </c>
      <c r="M601" s="27" t="s">
        <v>131</v>
      </c>
      <c r="N601" s="27" t="s">
        <v>2635</v>
      </c>
      <c r="O601" s="27" t="s">
        <v>132</v>
      </c>
      <c r="P601" s="27" t="s">
        <v>54</v>
      </c>
      <c r="Q601" s="27" t="n">
        <v>0</v>
      </c>
      <c r="R601" s="27"/>
      <c r="S601" s="27" t="s">
        <v>41</v>
      </c>
      <c r="T601" s="27" t="s">
        <v>131</v>
      </c>
      <c r="U601" s="27"/>
      <c r="V601" s="27"/>
      <c r="W601" s="27"/>
      <c r="X601" s="27"/>
      <c r="Y601" s="27" t="s">
        <v>3087</v>
      </c>
      <c r="Z601" s="27" t="n">
        <v>-7.2242595</v>
      </c>
      <c r="AA601" s="27" t="n">
        <v>-48.2500295</v>
      </c>
      <c r="AB601" s="37" t="s">
        <v>2338</v>
      </c>
      <c r="AC601" s="27" t="s">
        <v>3088</v>
      </c>
    </row>
    <row r="602" customFormat="false" ht="15" hidden="false" customHeight="false" outlineLevel="0" collapsed="false">
      <c r="A602" s="27" t="n">
        <v>601</v>
      </c>
      <c r="B602" s="27" t="s">
        <v>1853</v>
      </c>
      <c r="C602" s="27" t="s">
        <v>3090</v>
      </c>
      <c r="D602" s="27" t="s">
        <v>1421</v>
      </c>
      <c r="E602" s="27" t="s">
        <v>1854</v>
      </c>
      <c r="F602" s="32" t="n">
        <v>2.23579785254605</v>
      </c>
      <c r="G602" s="28" t="n">
        <v>3610.91894990585</v>
      </c>
      <c r="H602" s="28" t="n">
        <v>2.23579785254606</v>
      </c>
      <c r="I602" s="7" t="s">
        <v>24</v>
      </c>
      <c r="J602" s="27" t="s">
        <v>303</v>
      </c>
      <c r="K602" s="27" t="s">
        <v>461</v>
      </c>
      <c r="L602" s="27" t="n">
        <v>45</v>
      </c>
      <c r="M602" s="27" t="s">
        <v>133</v>
      </c>
      <c r="N602" s="27" t="s">
        <v>2640</v>
      </c>
      <c r="O602" s="27" t="s">
        <v>134</v>
      </c>
      <c r="P602" s="27" t="s">
        <v>54</v>
      </c>
      <c r="Q602" s="27" t="n">
        <v>0</v>
      </c>
      <c r="R602" s="27"/>
      <c r="S602" s="27" t="s">
        <v>41</v>
      </c>
      <c r="T602" s="27" t="s">
        <v>133</v>
      </c>
      <c r="U602" s="27"/>
      <c r="V602" s="27"/>
      <c r="W602" s="27"/>
      <c r="X602" s="27"/>
      <c r="Y602" s="27" t="s">
        <v>3091</v>
      </c>
      <c r="Z602" s="27" t="n">
        <v>-7.2237555</v>
      </c>
      <c r="AA602" s="27" t="n">
        <v>-48.2496195</v>
      </c>
      <c r="AB602" s="37" t="s">
        <v>2338</v>
      </c>
      <c r="AC602" s="27" t="s">
        <v>3092</v>
      </c>
    </row>
    <row r="603" customFormat="false" ht="15" hidden="false" customHeight="false" outlineLevel="0" collapsed="false">
      <c r="A603" s="27" t="n">
        <v>602</v>
      </c>
      <c r="B603" s="27" t="s">
        <v>1855</v>
      </c>
      <c r="C603" s="27" t="s">
        <v>3093</v>
      </c>
      <c r="D603" s="27" t="s">
        <v>1854</v>
      </c>
      <c r="E603" s="27" t="s">
        <v>1856</v>
      </c>
      <c r="F603" s="32" t="n">
        <v>2.98134527959968</v>
      </c>
      <c r="G603" s="28" t="n">
        <v>3613.90029518545</v>
      </c>
      <c r="H603" s="28" t="n">
        <v>5.21714313214579</v>
      </c>
      <c r="I603" s="7" t="s">
        <v>24</v>
      </c>
      <c r="J603" s="27" t="s">
        <v>303</v>
      </c>
      <c r="K603" s="27" t="s">
        <v>461</v>
      </c>
      <c r="L603" s="27" t="n">
        <v>45</v>
      </c>
      <c r="M603" s="27" t="s">
        <v>133</v>
      </c>
      <c r="N603" s="27" t="s">
        <v>2640</v>
      </c>
      <c r="O603" s="27" t="s">
        <v>134</v>
      </c>
      <c r="P603" s="27" t="s">
        <v>54</v>
      </c>
      <c r="Q603" s="27" t="n">
        <v>0</v>
      </c>
      <c r="R603" s="27"/>
      <c r="S603" s="27" t="s">
        <v>41</v>
      </c>
      <c r="T603" s="27" t="s">
        <v>133</v>
      </c>
      <c r="U603" s="27"/>
      <c r="V603" s="27"/>
      <c r="W603" s="27"/>
      <c r="X603" s="27"/>
      <c r="Y603" s="27" t="s">
        <v>3091</v>
      </c>
      <c r="Z603" s="27" t="n">
        <v>-7.223742</v>
      </c>
      <c r="AA603" s="27" t="n">
        <v>-48.24962</v>
      </c>
      <c r="AB603" s="37" t="s">
        <v>2338</v>
      </c>
      <c r="AC603" s="27" t="s">
        <v>3092</v>
      </c>
    </row>
    <row r="604" customFormat="false" ht="15" hidden="false" customHeight="false" outlineLevel="0" collapsed="false">
      <c r="A604" s="27" t="n">
        <v>603</v>
      </c>
      <c r="B604" s="27" t="s">
        <v>1857</v>
      </c>
      <c r="C604" s="27" t="s">
        <v>3094</v>
      </c>
      <c r="D604" s="27" t="s">
        <v>1423</v>
      </c>
      <c r="E604" s="27" t="s">
        <v>1858</v>
      </c>
      <c r="F604" s="32" t="n">
        <v>8.86978129728607</v>
      </c>
      <c r="G604" s="28" t="n">
        <v>3149.06327911294</v>
      </c>
      <c r="H604" s="28" t="n">
        <v>8.86978129728595</v>
      </c>
      <c r="I604" s="7" t="s">
        <v>24</v>
      </c>
      <c r="J604" s="27" t="s">
        <v>303</v>
      </c>
      <c r="K604" s="27" t="s">
        <v>461</v>
      </c>
      <c r="L604" s="27" t="n">
        <v>46</v>
      </c>
      <c r="M604" s="27" t="s">
        <v>135</v>
      </c>
      <c r="N604" s="27" t="s">
        <v>2635</v>
      </c>
      <c r="O604" s="27" t="s">
        <v>136</v>
      </c>
      <c r="P604" s="27" t="s">
        <v>54</v>
      </c>
      <c r="Q604" s="27" t="n">
        <v>0</v>
      </c>
      <c r="R604" s="27"/>
      <c r="S604" s="27" t="s">
        <v>41</v>
      </c>
      <c r="T604" s="27" t="s">
        <v>135</v>
      </c>
      <c r="U604" s="27"/>
      <c r="V604" s="27"/>
      <c r="W604" s="27"/>
      <c r="X604" s="27"/>
      <c r="Y604" s="27" t="s">
        <v>3095</v>
      </c>
      <c r="Z604" s="27" t="n">
        <v>-7.219941</v>
      </c>
      <c r="AA604" s="27" t="n">
        <v>-48.247857</v>
      </c>
      <c r="AB604" s="37" t="s">
        <v>2338</v>
      </c>
      <c r="AC604" s="27" t="s">
        <v>3096</v>
      </c>
    </row>
    <row r="605" customFormat="false" ht="15" hidden="false" customHeight="false" outlineLevel="0" collapsed="false">
      <c r="A605" s="27" t="n">
        <v>604</v>
      </c>
      <c r="B605" s="27" t="s">
        <v>1859</v>
      </c>
      <c r="C605" s="27" t="s">
        <v>3097</v>
      </c>
      <c r="D605" s="27" t="s">
        <v>1858</v>
      </c>
      <c r="E605" s="27" t="s">
        <v>1860</v>
      </c>
      <c r="F605" s="32" t="n">
        <v>13.1277492620308</v>
      </c>
      <c r="G605" s="28" t="n">
        <v>3162.19102837497</v>
      </c>
      <c r="H605" s="28" t="n">
        <v>21.9975305593166</v>
      </c>
      <c r="I605" s="7" t="s">
        <v>24</v>
      </c>
      <c r="J605" s="27" t="s">
        <v>303</v>
      </c>
      <c r="K605" s="27" t="s">
        <v>461</v>
      </c>
      <c r="L605" s="27" t="n">
        <v>46</v>
      </c>
      <c r="M605" s="27" t="s">
        <v>135</v>
      </c>
      <c r="N605" s="27" t="s">
        <v>2635</v>
      </c>
      <c r="O605" s="27" t="s">
        <v>136</v>
      </c>
      <c r="P605" s="27" t="s">
        <v>54</v>
      </c>
      <c r="Q605" s="27" t="n">
        <v>0</v>
      </c>
      <c r="R605" s="27"/>
      <c r="S605" s="27" t="s">
        <v>41</v>
      </c>
      <c r="T605" s="27" t="s">
        <v>135</v>
      </c>
      <c r="U605" s="27"/>
      <c r="V605" s="27"/>
      <c r="W605" s="27"/>
      <c r="X605" s="27"/>
      <c r="Y605" s="27" t="s">
        <v>3095</v>
      </c>
      <c r="Z605" s="27" t="n">
        <v>-7.2199455</v>
      </c>
      <c r="AA605" s="27" t="n">
        <v>-48.2478375</v>
      </c>
      <c r="AB605" s="37" t="s">
        <v>2338</v>
      </c>
      <c r="AC605" s="27" t="s">
        <v>3096</v>
      </c>
    </row>
    <row r="606" customFormat="false" ht="15" hidden="false" customHeight="false" outlineLevel="0" collapsed="false">
      <c r="A606" s="27" t="n">
        <v>605</v>
      </c>
      <c r="B606" s="27" t="s">
        <v>1861</v>
      </c>
      <c r="C606" s="27" t="s">
        <v>3098</v>
      </c>
      <c r="D606" s="27" t="s">
        <v>1473</v>
      </c>
      <c r="E606" s="27" t="s">
        <v>1862</v>
      </c>
      <c r="F606" s="32" t="n">
        <v>72.3475733829127</v>
      </c>
      <c r="G606" s="28" t="n">
        <v>4073.36679421712</v>
      </c>
      <c r="H606" s="28" t="n">
        <v>72.3475733829127</v>
      </c>
      <c r="I606" s="7" t="s">
        <v>24</v>
      </c>
      <c r="J606" s="27" t="s">
        <v>303</v>
      </c>
      <c r="K606" s="27" t="s">
        <v>461</v>
      </c>
      <c r="L606" s="27" t="n">
        <v>47</v>
      </c>
      <c r="M606" s="27" t="s">
        <v>137</v>
      </c>
      <c r="N606" s="27" t="s">
        <v>2640</v>
      </c>
      <c r="O606" s="27" t="s">
        <v>138</v>
      </c>
      <c r="P606" s="27" t="s">
        <v>139</v>
      </c>
      <c r="Q606" s="27" t="n">
        <v>1</v>
      </c>
      <c r="R606" s="27"/>
      <c r="S606" s="27" t="s">
        <v>41</v>
      </c>
      <c r="T606" s="27" t="s">
        <v>137</v>
      </c>
      <c r="U606" s="27"/>
      <c r="V606" s="27"/>
      <c r="W606" s="27"/>
      <c r="X606" s="27"/>
      <c r="Y606" s="27" t="s">
        <v>3099</v>
      </c>
      <c r="Z606" s="27" t="n">
        <v>-7.2117565</v>
      </c>
      <c r="AA606" s="27" t="n">
        <v>-48.250308</v>
      </c>
      <c r="AB606" s="37" t="s">
        <v>2338</v>
      </c>
      <c r="AC606" s="27" t="s">
        <v>3100</v>
      </c>
    </row>
    <row r="607" customFormat="false" ht="15" hidden="false" customHeight="false" outlineLevel="0" collapsed="false">
      <c r="A607" s="27" t="n">
        <v>606</v>
      </c>
      <c r="B607" s="27" t="s">
        <v>1863</v>
      </c>
      <c r="C607" s="27" t="s">
        <v>3101</v>
      </c>
      <c r="D607" s="27" t="s">
        <v>1862</v>
      </c>
      <c r="E607" s="27" t="s">
        <v>1864</v>
      </c>
      <c r="F607" s="32" t="n">
        <v>2.57841907563679</v>
      </c>
      <c r="G607" s="28" t="n">
        <v>4075.94521329275</v>
      </c>
      <c r="H607" s="28" t="n">
        <v>74.9259924585494</v>
      </c>
      <c r="I607" s="7" t="s">
        <v>24</v>
      </c>
      <c r="J607" s="27" t="s">
        <v>303</v>
      </c>
      <c r="K607" s="27" t="s">
        <v>461</v>
      </c>
      <c r="L607" s="27" t="n">
        <v>47</v>
      </c>
      <c r="M607" s="27" t="s">
        <v>137</v>
      </c>
      <c r="N607" s="27" t="s">
        <v>2640</v>
      </c>
      <c r="O607" s="27" t="s">
        <v>138</v>
      </c>
      <c r="P607" s="27" t="s">
        <v>139</v>
      </c>
      <c r="Q607" s="27" t="n">
        <v>1</v>
      </c>
      <c r="R607" s="27"/>
      <c r="S607" s="27" t="s">
        <v>41</v>
      </c>
      <c r="T607" s="27" t="s">
        <v>137</v>
      </c>
      <c r="U607" s="27"/>
      <c r="V607" s="27"/>
      <c r="W607" s="27"/>
      <c r="X607" s="27"/>
      <c r="Y607" s="27" t="s">
        <v>3099</v>
      </c>
      <c r="Z607" s="27" t="n">
        <v>-7.211689</v>
      </c>
      <c r="AA607" s="27" t="n">
        <v>-48.25064</v>
      </c>
      <c r="AB607" s="37" t="s">
        <v>2338</v>
      </c>
      <c r="AC607" s="27" t="s">
        <v>3100</v>
      </c>
    </row>
    <row r="608" customFormat="false" ht="15" hidden="false" customHeight="false" outlineLevel="0" collapsed="false">
      <c r="A608" s="27" t="n">
        <v>607</v>
      </c>
      <c r="B608" s="27" t="s">
        <v>1865</v>
      </c>
      <c r="C608" s="27" t="s">
        <v>3102</v>
      </c>
      <c r="D608" s="27" t="s">
        <v>1864</v>
      </c>
      <c r="E608" s="27" t="s">
        <v>1866</v>
      </c>
      <c r="F608" s="32" t="n">
        <v>151.19412393267</v>
      </c>
      <c r="G608" s="28" t="n">
        <v>4227.13933722542</v>
      </c>
      <c r="H608" s="28" t="n">
        <v>226.120116391219</v>
      </c>
      <c r="I608" s="7" t="s">
        <v>24</v>
      </c>
      <c r="J608" s="27" t="s">
        <v>303</v>
      </c>
      <c r="K608" s="27" t="s">
        <v>461</v>
      </c>
      <c r="L608" s="27" t="n">
        <v>47</v>
      </c>
      <c r="M608" s="27" t="s">
        <v>137</v>
      </c>
      <c r="N608" s="27" t="s">
        <v>2640</v>
      </c>
      <c r="O608" s="27" t="s">
        <v>138</v>
      </c>
      <c r="P608" s="27" t="s">
        <v>139</v>
      </c>
      <c r="Q608" s="27" t="n">
        <v>1</v>
      </c>
      <c r="R608" s="27"/>
      <c r="S608" s="27" t="s">
        <v>41</v>
      </c>
      <c r="T608" s="27" t="s">
        <v>137</v>
      </c>
      <c r="U608" s="27"/>
      <c r="V608" s="27"/>
      <c r="W608" s="27"/>
      <c r="X608" s="27"/>
      <c r="Y608" s="27" t="s">
        <v>3099</v>
      </c>
      <c r="Z608" s="27" t="n">
        <v>-7.2113355</v>
      </c>
      <c r="AA608" s="27" t="n">
        <v>-48.251239</v>
      </c>
      <c r="AB608" s="37" t="s">
        <v>2338</v>
      </c>
      <c r="AC608" s="27" t="s">
        <v>3100</v>
      </c>
    </row>
    <row r="609" customFormat="false" ht="15" hidden="false" customHeight="false" outlineLevel="0" collapsed="false">
      <c r="A609" s="27" t="n">
        <v>608</v>
      </c>
      <c r="B609" s="27" t="s">
        <v>1867</v>
      </c>
      <c r="C609" s="27" t="s">
        <v>3103</v>
      </c>
      <c r="D609" s="27" t="s">
        <v>1866</v>
      </c>
      <c r="E609" s="27" t="s">
        <v>1868</v>
      </c>
      <c r="F609" s="32" t="n">
        <v>2.48468301833826</v>
      </c>
      <c r="G609" s="28" t="n">
        <v>4229.62402024376</v>
      </c>
      <c r="H609" s="28" t="n">
        <v>228.604799409557</v>
      </c>
      <c r="I609" s="7" t="s">
        <v>24</v>
      </c>
      <c r="J609" s="27" t="s">
        <v>303</v>
      </c>
      <c r="K609" s="27" t="s">
        <v>461</v>
      </c>
      <c r="L609" s="27" t="n">
        <v>47</v>
      </c>
      <c r="M609" s="27" t="s">
        <v>137</v>
      </c>
      <c r="N609" s="27" t="s">
        <v>2640</v>
      </c>
      <c r="O609" s="27" t="s">
        <v>138</v>
      </c>
      <c r="P609" s="27" t="s">
        <v>139</v>
      </c>
      <c r="Q609" s="27" t="n">
        <v>1</v>
      </c>
      <c r="R609" s="27"/>
      <c r="S609" s="27" t="s">
        <v>41</v>
      </c>
      <c r="T609" s="27" t="s">
        <v>137</v>
      </c>
      <c r="U609" s="27"/>
      <c r="V609" s="27"/>
      <c r="W609" s="27"/>
      <c r="X609" s="27"/>
      <c r="Y609" s="27" t="s">
        <v>3099</v>
      </c>
      <c r="Z609" s="27" t="n">
        <v>-7.210982</v>
      </c>
      <c r="AA609" s="27" t="n">
        <v>-48.2518375</v>
      </c>
      <c r="AB609" s="37" t="s">
        <v>2338</v>
      </c>
      <c r="AC609" s="27" t="s">
        <v>3100</v>
      </c>
    </row>
    <row r="610" customFormat="false" ht="15" hidden="false" customHeight="false" outlineLevel="0" collapsed="false">
      <c r="A610" s="27" t="n">
        <v>609</v>
      </c>
      <c r="B610" s="27" t="s">
        <v>1869</v>
      </c>
      <c r="C610" s="27" t="s">
        <v>3104</v>
      </c>
      <c r="D610" s="27" t="s">
        <v>1868</v>
      </c>
      <c r="E610" s="27" t="s">
        <v>1870</v>
      </c>
      <c r="F610" s="32" t="n">
        <v>125.316337305587</v>
      </c>
      <c r="G610" s="28" t="n">
        <v>4354.94035754935</v>
      </c>
      <c r="H610" s="28" t="n">
        <v>353.921136715144</v>
      </c>
      <c r="I610" s="7" t="s">
        <v>24</v>
      </c>
      <c r="J610" s="27" t="s">
        <v>303</v>
      </c>
      <c r="K610" s="27" t="s">
        <v>461</v>
      </c>
      <c r="L610" s="27" t="n">
        <v>47</v>
      </c>
      <c r="M610" s="27" t="s">
        <v>137</v>
      </c>
      <c r="N610" s="27" t="s">
        <v>2640</v>
      </c>
      <c r="O610" s="27" t="s">
        <v>138</v>
      </c>
      <c r="P610" s="27" t="s">
        <v>139</v>
      </c>
      <c r="Q610" s="27" t="n">
        <v>1</v>
      </c>
      <c r="R610" s="27"/>
      <c r="S610" s="27" t="s">
        <v>41</v>
      </c>
      <c r="T610" s="27" t="s">
        <v>137</v>
      </c>
      <c r="U610" s="27"/>
      <c r="V610" s="27"/>
      <c r="W610" s="27"/>
      <c r="X610" s="27"/>
      <c r="Y610" s="27" t="s">
        <v>3099</v>
      </c>
      <c r="Z610" s="27" t="n">
        <v>-7.211133</v>
      </c>
      <c r="AA610" s="27" t="n">
        <v>-48.2523925</v>
      </c>
      <c r="AB610" s="37" t="s">
        <v>2338</v>
      </c>
      <c r="AC610" s="27" t="s">
        <v>3100</v>
      </c>
    </row>
    <row r="611" customFormat="false" ht="15" hidden="false" customHeight="false" outlineLevel="0" collapsed="false">
      <c r="A611" s="27" t="n">
        <v>610</v>
      </c>
      <c r="B611" s="27" t="s">
        <v>1871</v>
      </c>
      <c r="C611" s="27" t="s">
        <v>3105</v>
      </c>
      <c r="D611" s="27" t="s">
        <v>1870</v>
      </c>
      <c r="E611" s="27" t="s">
        <v>1872</v>
      </c>
      <c r="F611" s="32" t="n">
        <v>2.79301583360027</v>
      </c>
      <c r="G611" s="28" t="n">
        <v>4357.73337338295</v>
      </c>
      <c r="H611" s="28" t="n">
        <v>356.714152548745</v>
      </c>
      <c r="I611" s="7" t="s">
        <v>24</v>
      </c>
      <c r="J611" s="27" t="s">
        <v>303</v>
      </c>
      <c r="K611" s="27" t="s">
        <v>461</v>
      </c>
      <c r="L611" s="27" t="n">
        <v>47</v>
      </c>
      <c r="M611" s="27" t="s">
        <v>137</v>
      </c>
      <c r="N611" s="27" t="s">
        <v>2640</v>
      </c>
      <c r="O611" s="27" t="s">
        <v>138</v>
      </c>
      <c r="P611" s="27" t="s">
        <v>139</v>
      </c>
      <c r="Q611" s="27" t="n">
        <v>1</v>
      </c>
      <c r="R611" s="27"/>
      <c r="S611" s="27" t="s">
        <v>41</v>
      </c>
      <c r="T611" s="27" t="s">
        <v>137</v>
      </c>
      <c r="U611" s="27"/>
      <c r="V611" s="27"/>
      <c r="W611" s="27"/>
      <c r="X611" s="27"/>
      <c r="Y611" s="27" t="s">
        <v>3099</v>
      </c>
      <c r="Z611" s="27" t="n">
        <v>-7.211286</v>
      </c>
      <c r="AA611" s="27" t="n">
        <v>-48.25295</v>
      </c>
      <c r="AB611" s="37" t="s">
        <v>2338</v>
      </c>
      <c r="AC611" s="27" t="s">
        <v>3100</v>
      </c>
    </row>
    <row r="612" customFormat="false" ht="15" hidden="false" customHeight="false" outlineLevel="0" collapsed="false">
      <c r="A612" s="27" t="n">
        <v>611</v>
      </c>
      <c r="B612" s="27" t="s">
        <v>1873</v>
      </c>
      <c r="C612" s="27" t="s">
        <v>3106</v>
      </c>
      <c r="D612" s="27" t="s">
        <v>1872</v>
      </c>
      <c r="E612" s="27" t="s">
        <v>1874</v>
      </c>
      <c r="F612" s="32" t="n">
        <v>23.4054929135912</v>
      </c>
      <c r="G612" s="28" t="n">
        <v>4381.13886629654</v>
      </c>
      <c r="H612" s="28" t="n">
        <v>380.119645462336</v>
      </c>
      <c r="I612" s="7" t="s">
        <v>24</v>
      </c>
      <c r="J612" s="27" t="s">
        <v>303</v>
      </c>
      <c r="K612" s="27" t="s">
        <v>461</v>
      </c>
      <c r="L612" s="27" t="n">
        <v>47</v>
      </c>
      <c r="M612" s="27" t="s">
        <v>137</v>
      </c>
      <c r="N612" s="27" t="s">
        <v>2640</v>
      </c>
      <c r="O612" s="27" t="s">
        <v>138</v>
      </c>
      <c r="P612" s="27" t="s">
        <v>139</v>
      </c>
      <c r="Q612" s="27" t="n">
        <v>1</v>
      </c>
      <c r="R612" s="27"/>
      <c r="S612" s="27" t="s">
        <v>41</v>
      </c>
      <c r="T612" s="27" t="s">
        <v>137</v>
      </c>
      <c r="U612" s="27"/>
      <c r="V612" s="27"/>
      <c r="W612" s="27"/>
      <c r="X612" s="27"/>
      <c r="Y612" s="27" t="s">
        <v>3099</v>
      </c>
      <c r="Z612" s="27" t="n">
        <v>-7.211183</v>
      </c>
      <c r="AA612" s="27" t="n">
        <v>-48.252998</v>
      </c>
      <c r="AB612" s="37" t="s">
        <v>2338</v>
      </c>
      <c r="AC612" s="27" t="s">
        <v>3100</v>
      </c>
    </row>
    <row r="613" customFormat="false" ht="15" hidden="false" customHeight="false" outlineLevel="0" collapsed="false">
      <c r="A613" s="27" t="n">
        <v>612</v>
      </c>
      <c r="B613" s="27" t="s">
        <v>1875</v>
      </c>
      <c r="C613" s="27" t="s">
        <v>3107</v>
      </c>
      <c r="D613" s="27" t="s">
        <v>1874</v>
      </c>
      <c r="E613" s="27" t="s">
        <v>1876</v>
      </c>
      <c r="F613" s="32" t="n">
        <v>1.53566214984026</v>
      </c>
      <c r="G613" s="28" t="n">
        <v>4382.67452844638</v>
      </c>
      <c r="H613" s="28" t="n">
        <v>381.655307612176</v>
      </c>
      <c r="I613" s="7" t="s">
        <v>24</v>
      </c>
      <c r="J613" s="27" t="s">
        <v>303</v>
      </c>
      <c r="K613" s="27" t="s">
        <v>461</v>
      </c>
      <c r="L613" s="27" t="n">
        <v>47</v>
      </c>
      <c r="M613" s="27" t="s">
        <v>137</v>
      </c>
      <c r="N613" s="27" t="s">
        <v>2640</v>
      </c>
      <c r="O613" s="27" t="s">
        <v>138</v>
      </c>
      <c r="P613" s="27" t="s">
        <v>54</v>
      </c>
      <c r="Q613" s="27" t="n">
        <v>0</v>
      </c>
      <c r="R613" s="27"/>
      <c r="S613" s="27" t="s">
        <v>41</v>
      </c>
      <c r="T613" s="27" t="s">
        <v>137</v>
      </c>
      <c r="U613" s="27"/>
      <c r="V613" s="27"/>
      <c r="W613" s="27"/>
      <c r="X613" s="27"/>
      <c r="Y613" s="27" t="s">
        <v>3099</v>
      </c>
      <c r="Z613" s="27" t="n">
        <v>-7.2110805</v>
      </c>
      <c r="AA613" s="27" t="n">
        <v>-48.253028</v>
      </c>
      <c r="AB613" s="37" t="s">
        <v>2338</v>
      </c>
      <c r="AC613" s="27" t="s">
        <v>3100</v>
      </c>
    </row>
    <row r="614" customFormat="false" ht="15" hidden="false" customHeight="false" outlineLevel="0" collapsed="false">
      <c r="A614" s="27" t="n">
        <v>613</v>
      </c>
      <c r="B614" s="27" t="s">
        <v>1877</v>
      </c>
      <c r="C614" s="27" t="s">
        <v>3108</v>
      </c>
      <c r="D614" s="27" t="s">
        <v>1874</v>
      </c>
      <c r="E614" s="27" t="s">
        <v>1878</v>
      </c>
      <c r="F614" s="32" t="n">
        <v>25.0500654279413</v>
      </c>
      <c r="G614" s="28" t="n">
        <v>4406.18893172448</v>
      </c>
      <c r="H614" s="28" t="n">
        <v>405.169710890277</v>
      </c>
      <c r="I614" s="7" t="s">
        <v>24</v>
      </c>
      <c r="J614" s="27" t="s">
        <v>303</v>
      </c>
      <c r="K614" s="27" t="s">
        <v>461</v>
      </c>
      <c r="L614" s="27" t="n">
        <v>47</v>
      </c>
      <c r="M614" s="27" t="s">
        <v>137</v>
      </c>
      <c r="N614" s="27" t="s">
        <v>2640</v>
      </c>
      <c r="O614" s="27" t="s">
        <v>138</v>
      </c>
      <c r="P614" s="27" t="s">
        <v>139</v>
      </c>
      <c r="Q614" s="27" t="n">
        <v>1</v>
      </c>
      <c r="R614" s="27"/>
      <c r="S614" s="27" t="s">
        <v>41</v>
      </c>
      <c r="T614" s="27" t="s">
        <v>137</v>
      </c>
      <c r="U614" s="27"/>
      <c r="V614" s="27"/>
      <c r="W614" s="27"/>
      <c r="X614" s="27"/>
      <c r="Y614" s="27" t="s">
        <v>3099</v>
      </c>
      <c r="Z614" s="27" t="n">
        <v>-7.2109755</v>
      </c>
      <c r="AA614" s="27" t="n">
        <v>-48.2530645</v>
      </c>
      <c r="AB614" s="37" t="s">
        <v>2338</v>
      </c>
      <c r="AC614" s="27" t="s">
        <v>3100</v>
      </c>
    </row>
    <row r="615" customFormat="false" ht="15" hidden="false" customHeight="false" outlineLevel="0" collapsed="false">
      <c r="A615" s="27" t="n">
        <v>614</v>
      </c>
      <c r="B615" s="27" t="s">
        <v>1879</v>
      </c>
      <c r="C615" s="27" t="s">
        <v>3109</v>
      </c>
      <c r="D615" s="27" t="s">
        <v>1878</v>
      </c>
      <c r="E615" s="27" t="s">
        <v>1880</v>
      </c>
      <c r="F615" s="32" t="n">
        <v>88.600696128765</v>
      </c>
      <c r="G615" s="28" t="n">
        <v>4494.78962785325</v>
      </c>
      <c r="H615" s="28" t="n">
        <v>493.770407019042</v>
      </c>
      <c r="I615" s="7" t="s">
        <v>24</v>
      </c>
      <c r="J615" s="27" t="s">
        <v>303</v>
      </c>
      <c r="K615" s="27" t="s">
        <v>461</v>
      </c>
      <c r="L615" s="27" t="n">
        <v>47</v>
      </c>
      <c r="M615" s="27" t="s">
        <v>137</v>
      </c>
      <c r="N615" s="27" t="s">
        <v>2640</v>
      </c>
      <c r="O615" s="27" t="s">
        <v>138</v>
      </c>
      <c r="P615" s="27" t="s">
        <v>139</v>
      </c>
      <c r="Q615" s="27" t="n">
        <v>1</v>
      </c>
      <c r="R615" s="27"/>
      <c r="S615" s="27" t="s">
        <v>41</v>
      </c>
      <c r="T615" s="27" t="s">
        <v>137</v>
      </c>
      <c r="U615" s="27"/>
      <c r="V615" s="27"/>
      <c r="W615" s="27"/>
      <c r="X615" s="27"/>
      <c r="Y615" s="27" t="s">
        <v>3099</v>
      </c>
      <c r="Z615" s="27" t="n">
        <v>-7.210483</v>
      </c>
      <c r="AA615" s="27" t="n">
        <v>-48.253202</v>
      </c>
      <c r="AB615" s="37" t="s">
        <v>2338</v>
      </c>
      <c r="AC615" s="27" t="s">
        <v>3100</v>
      </c>
    </row>
    <row r="616" customFormat="false" ht="15" hidden="false" customHeight="false" outlineLevel="0" collapsed="false">
      <c r="A616" s="27" t="n">
        <v>615</v>
      </c>
      <c r="B616" s="27" t="s">
        <v>1881</v>
      </c>
      <c r="C616" s="27" t="s">
        <v>3110</v>
      </c>
      <c r="D616" s="27" t="s">
        <v>1880</v>
      </c>
      <c r="E616" s="27" t="s">
        <v>1882</v>
      </c>
      <c r="F616" s="32" t="n">
        <v>2.187438671515</v>
      </c>
      <c r="G616" s="28" t="n">
        <v>4496.97706652476</v>
      </c>
      <c r="H616" s="28" t="n">
        <v>495.957845690557</v>
      </c>
      <c r="I616" s="7" t="s">
        <v>24</v>
      </c>
      <c r="J616" s="27" t="s">
        <v>303</v>
      </c>
      <c r="K616" s="27" t="s">
        <v>461</v>
      </c>
      <c r="L616" s="27" t="n">
        <v>47</v>
      </c>
      <c r="M616" s="27" t="s">
        <v>137</v>
      </c>
      <c r="N616" s="27" t="s">
        <v>2640</v>
      </c>
      <c r="O616" s="27" t="s">
        <v>138</v>
      </c>
      <c r="P616" s="27" t="s">
        <v>139</v>
      </c>
      <c r="Q616" s="27" t="n">
        <v>1</v>
      </c>
      <c r="R616" s="27"/>
      <c r="S616" s="27" t="s">
        <v>41</v>
      </c>
      <c r="T616" s="27" t="s">
        <v>137</v>
      </c>
      <c r="U616" s="27"/>
      <c r="V616" s="27"/>
      <c r="W616" s="27"/>
      <c r="X616" s="27"/>
      <c r="Y616" s="27" t="s">
        <v>3099</v>
      </c>
      <c r="Z616" s="27" t="n">
        <v>-7.21009</v>
      </c>
      <c r="AA616" s="27" t="n">
        <v>-48.253313</v>
      </c>
      <c r="AB616" s="37" t="s">
        <v>2338</v>
      </c>
      <c r="AC616" s="27" t="s">
        <v>3100</v>
      </c>
    </row>
    <row r="617" customFormat="false" ht="15" hidden="false" customHeight="false" outlineLevel="0" collapsed="false">
      <c r="A617" s="27" t="n">
        <v>616</v>
      </c>
      <c r="B617" s="27" t="s">
        <v>1883</v>
      </c>
      <c r="C617" s="27" t="s">
        <v>3111</v>
      </c>
      <c r="D617" s="27" t="s">
        <v>1882</v>
      </c>
      <c r="E617" s="27" t="s">
        <v>1884</v>
      </c>
      <c r="F617" s="32" t="n">
        <v>177.590136516428</v>
      </c>
      <c r="G617" s="28" t="n">
        <v>4674.56720304119</v>
      </c>
      <c r="H617" s="28" t="n">
        <v>673.547982206985</v>
      </c>
      <c r="I617" s="7" t="s">
        <v>24</v>
      </c>
      <c r="J617" s="27" t="s">
        <v>303</v>
      </c>
      <c r="K617" s="27" t="s">
        <v>461</v>
      </c>
      <c r="L617" s="27" t="n">
        <v>47</v>
      </c>
      <c r="M617" s="27" t="s">
        <v>137</v>
      </c>
      <c r="N617" s="27" t="s">
        <v>2640</v>
      </c>
      <c r="O617" s="27" t="s">
        <v>138</v>
      </c>
      <c r="P617" s="27" t="s">
        <v>139</v>
      </c>
      <c r="Q617" s="27" t="n">
        <v>1</v>
      </c>
      <c r="R617" s="27"/>
      <c r="S617" s="27" t="s">
        <v>41</v>
      </c>
      <c r="T617" s="27" t="s">
        <v>137</v>
      </c>
      <c r="U617" s="27"/>
      <c r="V617" s="27"/>
      <c r="W617" s="27"/>
      <c r="X617" s="27"/>
      <c r="Y617" s="27" t="s">
        <v>3099</v>
      </c>
      <c r="Z617" s="27" t="n">
        <v>-7.2095325</v>
      </c>
      <c r="AA617" s="27" t="n">
        <v>-48.253902</v>
      </c>
      <c r="AB617" s="37" t="s">
        <v>2338</v>
      </c>
      <c r="AC617" s="27" t="s">
        <v>3100</v>
      </c>
    </row>
    <row r="618" customFormat="false" ht="15" hidden="false" customHeight="false" outlineLevel="0" collapsed="false">
      <c r="A618" s="27" t="n">
        <v>617</v>
      </c>
      <c r="B618" s="27" t="s">
        <v>1885</v>
      </c>
      <c r="C618" s="27" t="s">
        <v>3112</v>
      </c>
      <c r="D618" s="27" t="s">
        <v>1884</v>
      </c>
      <c r="E618" s="27" t="s">
        <v>1886</v>
      </c>
      <c r="F618" s="32" t="n">
        <v>3.08242486082577</v>
      </c>
      <c r="G618" s="28" t="n">
        <v>4677.64962790202</v>
      </c>
      <c r="H618" s="28" t="n">
        <v>676.630407067811</v>
      </c>
      <c r="I618" s="7" t="s">
        <v>24</v>
      </c>
      <c r="J618" s="27" t="s">
        <v>303</v>
      </c>
      <c r="K618" s="27" t="s">
        <v>461</v>
      </c>
      <c r="L618" s="27" t="n">
        <v>47</v>
      </c>
      <c r="M618" s="27" t="s">
        <v>137</v>
      </c>
      <c r="N618" s="27" t="s">
        <v>2640</v>
      </c>
      <c r="O618" s="27" t="s">
        <v>138</v>
      </c>
      <c r="P618" s="27" t="s">
        <v>139</v>
      </c>
      <c r="Q618" s="27" t="n">
        <v>1</v>
      </c>
      <c r="R618" s="27"/>
      <c r="S618" s="27" t="s">
        <v>41</v>
      </c>
      <c r="T618" s="27" t="s">
        <v>137</v>
      </c>
      <c r="U618" s="27"/>
      <c r="V618" s="27"/>
      <c r="W618" s="27"/>
      <c r="X618" s="27"/>
      <c r="Y618" s="27" t="s">
        <v>3099</v>
      </c>
      <c r="Z618" s="27" t="n">
        <v>-7.208973</v>
      </c>
      <c r="AA618" s="27" t="n">
        <v>-48.2544955</v>
      </c>
      <c r="AB618" s="37" t="s">
        <v>2338</v>
      </c>
      <c r="AC618" s="27" t="s">
        <v>3100</v>
      </c>
    </row>
    <row r="619" customFormat="false" ht="15" hidden="false" customHeight="false" outlineLevel="0" collapsed="false">
      <c r="A619" s="27" t="n">
        <v>618</v>
      </c>
      <c r="B619" s="27" t="s">
        <v>1887</v>
      </c>
      <c r="C619" s="27" t="s">
        <v>3113</v>
      </c>
      <c r="D619" s="27" t="s">
        <v>1886</v>
      </c>
      <c r="E619" s="27" t="s">
        <v>1888</v>
      </c>
      <c r="F619" s="32" t="n">
        <v>87.1540723151483</v>
      </c>
      <c r="G619" s="28" t="n">
        <v>4764.80370021716</v>
      </c>
      <c r="H619" s="28" t="n">
        <v>763.78447938296</v>
      </c>
      <c r="I619" s="7" t="s">
        <v>24</v>
      </c>
      <c r="J619" s="27" t="s">
        <v>303</v>
      </c>
      <c r="K619" s="27" t="s">
        <v>461</v>
      </c>
      <c r="L619" s="27" t="n">
        <v>47</v>
      </c>
      <c r="M619" s="27" t="s">
        <v>137</v>
      </c>
      <c r="N619" s="27" t="s">
        <v>2640</v>
      </c>
      <c r="O619" s="27" t="s">
        <v>138</v>
      </c>
      <c r="P619" s="27" t="s">
        <v>139</v>
      </c>
      <c r="Q619" s="27" t="n">
        <v>1</v>
      </c>
      <c r="R619" s="27"/>
      <c r="S619" s="27" t="s">
        <v>41</v>
      </c>
      <c r="T619" s="27" t="s">
        <v>137</v>
      </c>
      <c r="U619" s="27"/>
      <c r="V619" s="27"/>
      <c r="W619" s="27"/>
      <c r="X619" s="27"/>
      <c r="Y619" s="27" t="s">
        <v>3099</v>
      </c>
      <c r="Z619" s="27" t="n">
        <v>-7.2087985</v>
      </c>
      <c r="AA619" s="27" t="n">
        <v>-48.254863</v>
      </c>
      <c r="AB619" s="37" t="s">
        <v>2338</v>
      </c>
      <c r="AC619" s="27" t="s">
        <v>3100</v>
      </c>
    </row>
    <row r="620" customFormat="false" ht="15" hidden="false" customHeight="false" outlineLevel="0" collapsed="false">
      <c r="A620" s="27" t="n">
        <v>619</v>
      </c>
      <c r="B620" s="27" t="s">
        <v>1889</v>
      </c>
      <c r="C620" s="27" t="s">
        <v>3114</v>
      </c>
      <c r="D620" s="27" t="s">
        <v>1888</v>
      </c>
      <c r="E620" s="27" t="s">
        <v>1890</v>
      </c>
      <c r="F620" s="32" t="n">
        <v>2.96482117973822</v>
      </c>
      <c r="G620" s="28" t="n">
        <v>4767.7685213969</v>
      </c>
      <c r="H620" s="28" t="n">
        <v>766.749300562698</v>
      </c>
      <c r="I620" s="7" t="s">
        <v>24</v>
      </c>
      <c r="J620" s="27" t="s">
        <v>303</v>
      </c>
      <c r="K620" s="27" t="s">
        <v>461</v>
      </c>
      <c r="L620" s="27" t="n">
        <v>47</v>
      </c>
      <c r="M620" s="27" t="s">
        <v>137</v>
      </c>
      <c r="N620" s="27" t="s">
        <v>2640</v>
      </c>
      <c r="O620" s="27" t="s">
        <v>138</v>
      </c>
      <c r="P620" s="27" t="s">
        <v>139</v>
      </c>
      <c r="Q620" s="27" t="n">
        <v>1</v>
      </c>
      <c r="R620" s="27"/>
      <c r="S620" s="27" t="s">
        <v>41</v>
      </c>
      <c r="T620" s="27" t="s">
        <v>137</v>
      </c>
      <c r="U620" s="27"/>
      <c r="V620" s="27"/>
      <c r="W620" s="27"/>
      <c r="X620" s="27"/>
      <c r="Y620" s="27" t="s">
        <v>3099</v>
      </c>
      <c r="Z620" s="27" t="n">
        <v>-7.208629</v>
      </c>
      <c r="AA620" s="27" t="n">
        <v>-48.255234</v>
      </c>
      <c r="AB620" s="37" t="s">
        <v>2338</v>
      </c>
      <c r="AC620" s="27" t="s">
        <v>3100</v>
      </c>
    </row>
    <row r="621" customFormat="false" ht="15" hidden="false" customHeight="false" outlineLevel="0" collapsed="false">
      <c r="A621" s="27" t="n">
        <v>620</v>
      </c>
      <c r="B621" s="27" t="s">
        <v>1891</v>
      </c>
      <c r="C621" s="27" t="s">
        <v>3115</v>
      </c>
      <c r="D621" s="27" t="s">
        <v>1890</v>
      </c>
      <c r="E621" s="27" t="s">
        <v>1892</v>
      </c>
      <c r="F621" s="32" t="n">
        <v>157.95831099971</v>
      </c>
      <c r="G621" s="28" t="n">
        <v>4925.72683239661</v>
      </c>
      <c r="H621" s="28" t="n">
        <v>924.707611562407</v>
      </c>
      <c r="I621" s="7" t="s">
        <v>24</v>
      </c>
      <c r="J621" s="27" t="s">
        <v>303</v>
      </c>
      <c r="K621" s="27" t="s">
        <v>461</v>
      </c>
      <c r="L621" s="27" t="n">
        <v>47</v>
      </c>
      <c r="M621" s="27" t="s">
        <v>137</v>
      </c>
      <c r="N621" s="27" t="s">
        <v>2640</v>
      </c>
      <c r="O621" s="27" t="s">
        <v>138</v>
      </c>
      <c r="P621" s="27" t="s">
        <v>139</v>
      </c>
      <c r="Q621" s="27" t="n">
        <v>1</v>
      </c>
      <c r="R621" s="27"/>
      <c r="S621" s="27" t="s">
        <v>41</v>
      </c>
      <c r="T621" s="27" t="s">
        <v>137</v>
      </c>
      <c r="U621" s="27"/>
      <c r="V621" s="27"/>
      <c r="W621" s="27"/>
      <c r="X621" s="27"/>
      <c r="Y621" s="27" t="s">
        <v>3099</v>
      </c>
      <c r="Z621" s="27" t="n">
        <v>-7.208374</v>
      </c>
      <c r="AA621" s="27" t="n">
        <v>-48.2559165</v>
      </c>
      <c r="AB621" s="37" t="s">
        <v>2338</v>
      </c>
      <c r="AC621" s="27" t="s">
        <v>3100</v>
      </c>
    </row>
    <row r="622" customFormat="false" ht="15" hidden="false" customHeight="false" outlineLevel="0" collapsed="false">
      <c r="A622" s="27" t="n">
        <v>621</v>
      </c>
      <c r="B622" s="27" t="s">
        <v>1893</v>
      </c>
      <c r="C622" s="27" t="s">
        <v>3116</v>
      </c>
      <c r="D622" s="27" t="s">
        <v>1892</v>
      </c>
      <c r="E622" s="27" t="s">
        <v>1894</v>
      </c>
      <c r="F622" s="32" t="n">
        <v>8.16642328657172</v>
      </c>
      <c r="G622" s="28" t="n">
        <v>4933.89325568318</v>
      </c>
      <c r="H622" s="28" t="n">
        <v>932.874034848979</v>
      </c>
      <c r="I622" s="7" t="s">
        <v>24</v>
      </c>
      <c r="J622" s="27" t="s">
        <v>303</v>
      </c>
      <c r="K622" s="27" t="s">
        <v>461</v>
      </c>
      <c r="L622" s="27" t="n">
        <v>47</v>
      </c>
      <c r="M622" s="27" t="s">
        <v>137</v>
      </c>
      <c r="N622" s="27" t="s">
        <v>2640</v>
      </c>
      <c r="O622" s="27" t="s">
        <v>138</v>
      </c>
      <c r="P622" s="27" t="s">
        <v>139</v>
      </c>
      <c r="Q622" s="27" t="n">
        <v>1</v>
      </c>
      <c r="R622" s="27"/>
      <c r="S622" s="27" t="s">
        <v>41</v>
      </c>
      <c r="T622" s="27" t="s">
        <v>137</v>
      </c>
      <c r="U622" s="27"/>
      <c r="V622" s="27"/>
      <c r="W622" s="27"/>
      <c r="X622" s="27"/>
      <c r="Y622" s="27" t="s">
        <v>3099</v>
      </c>
      <c r="Z622" s="27" t="n">
        <v>-7.208126</v>
      </c>
      <c r="AA622" s="27" t="n">
        <v>-48.256624</v>
      </c>
      <c r="AB622" s="37" t="s">
        <v>2338</v>
      </c>
      <c r="AC622" s="27" t="s">
        <v>3100</v>
      </c>
    </row>
    <row r="623" customFormat="false" ht="15" hidden="false" customHeight="false" outlineLevel="0" collapsed="false">
      <c r="A623" s="27" t="n">
        <v>622</v>
      </c>
      <c r="B623" s="27" t="s">
        <v>1895</v>
      </c>
      <c r="C623" s="27" t="s">
        <v>3117</v>
      </c>
      <c r="D623" s="27" t="s">
        <v>1894</v>
      </c>
      <c r="E623" s="27" t="s">
        <v>1896</v>
      </c>
      <c r="F623" s="32" t="n">
        <v>71.8171864522846</v>
      </c>
      <c r="G623" s="28" t="n">
        <v>5005.71044213547</v>
      </c>
      <c r="H623" s="28" t="n">
        <v>71.8171864522847</v>
      </c>
      <c r="I623" s="7" t="s">
        <v>24</v>
      </c>
      <c r="J623" s="27" t="s">
        <v>303</v>
      </c>
      <c r="K623" s="27" t="s">
        <v>461</v>
      </c>
      <c r="L623" s="27" t="n">
        <v>48</v>
      </c>
      <c r="M623" s="27" t="s">
        <v>139</v>
      </c>
      <c r="N623" s="27" t="s">
        <v>2640</v>
      </c>
      <c r="O623" s="27" t="s">
        <v>140</v>
      </c>
      <c r="P623" s="27" t="s">
        <v>54</v>
      </c>
      <c r="Q623" s="27" t="n">
        <v>0</v>
      </c>
      <c r="R623" s="27"/>
      <c r="S623" s="27" t="s">
        <v>41</v>
      </c>
      <c r="T623" s="27" t="s">
        <v>137</v>
      </c>
      <c r="U623" s="27" t="s">
        <v>139</v>
      </c>
      <c r="V623" s="27"/>
      <c r="W623" s="27"/>
      <c r="X623" s="27"/>
      <c r="Y623" s="27" t="s">
        <v>3118</v>
      </c>
      <c r="Z623" s="27" t="n">
        <v>-7.208129</v>
      </c>
      <c r="AA623" s="27" t="n">
        <v>-48.2569865</v>
      </c>
      <c r="AB623" s="37" t="s">
        <v>2338</v>
      </c>
      <c r="AC623" s="27" t="s">
        <v>3119</v>
      </c>
    </row>
    <row r="624" customFormat="false" ht="15" hidden="false" customHeight="false" outlineLevel="0" collapsed="false">
      <c r="A624" s="27" t="n">
        <v>623</v>
      </c>
      <c r="B624" s="27" t="s">
        <v>1897</v>
      </c>
      <c r="C624" s="27" t="s">
        <v>3120</v>
      </c>
      <c r="D624" s="27" t="s">
        <v>1479</v>
      </c>
      <c r="E624" s="27" t="s">
        <v>1898</v>
      </c>
      <c r="F624" s="32" t="n">
        <v>18.1883751631324</v>
      </c>
      <c r="G624" s="28" t="n">
        <v>3901.98987150895</v>
      </c>
      <c r="H624" s="28" t="n">
        <v>18.1883751631326</v>
      </c>
      <c r="I624" s="7" t="s">
        <v>24</v>
      </c>
      <c r="J624" s="27" t="s">
        <v>303</v>
      </c>
      <c r="K624" s="27" t="s">
        <v>461</v>
      </c>
      <c r="L624" s="27" t="n">
        <v>49</v>
      </c>
      <c r="M624" s="27" t="s">
        <v>141</v>
      </c>
      <c r="N624" s="27" t="s">
        <v>2635</v>
      </c>
      <c r="O624" s="27" t="s">
        <v>142</v>
      </c>
      <c r="P624" s="27" t="s">
        <v>54</v>
      </c>
      <c r="Q624" s="27" t="n">
        <v>0</v>
      </c>
      <c r="R624" s="27"/>
      <c r="S624" s="27" t="s">
        <v>41</v>
      </c>
      <c r="T624" s="27" t="s">
        <v>141</v>
      </c>
      <c r="U624" s="27"/>
      <c r="V624" s="27"/>
      <c r="W624" s="27"/>
      <c r="X624" s="27"/>
      <c r="Y624" s="27" t="s">
        <v>3121</v>
      </c>
      <c r="Z624" s="27" t="n">
        <v>-7.21473</v>
      </c>
      <c r="AA624" s="27" t="n">
        <v>-48.250424</v>
      </c>
      <c r="AB624" s="37" t="s">
        <v>2338</v>
      </c>
      <c r="AC624" s="27" t="s">
        <v>3122</v>
      </c>
    </row>
    <row r="625" customFormat="false" ht="15" hidden="false" customHeight="false" outlineLevel="0" collapsed="false">
      <c r="A625" s="27" t="n">
        <v>624</v>
      </c>
      <c r="B625" s="27" t="s">
        <v>1899</v>
      </c>
      <c r="C625" s="27" t="s">
        <v>3123</v>
      </c>
      <c r="D625" s="27" t="s">
        <v>1547</v>
      </c>
      <c r="E625" s="27" t="s">
        <v>1900</v>
      </c>
      <c r="F625" s="32" t="n">
        <v>5.23668832860425</v>
      </c>
      <c r="G625" s="28" t="n">
        <v>4241.06943624361</v>
      </c>
      <c r="H625" s="28" t="n">
        <v>5.23668832860403</v>
      </c>
      <c r="I625" s="7" t="s">
        <v>24</v>
      </c>
      <c r="J625" s="27" t="s">
        <v>303</v>
      </c>
      <c r="K625" s="27" t="s">
        <v>461</v>
      </c>
      <c r="L625" s="27" t="n">
        <v>50</v>
      </c>
      <c r="M625" s="27" t="s">
        <v>143</v>
      </c>
      <c r="N625" s="27" t="s">
        <v>2640</v>
      </c>
      <c r="O625" s="27" t="s">
        <v>144</v>
      </c>
      <c r="P625" s="27" t="s">
        <v>54</v>
      </c>
      <c r="Q625" s="27" t="n">
        <v>0</v>
      </c>
      <c r="R625" s="27"/>
      <c r="S625" s="27" t="s">
        <v>41</v>
      </c>
      <c r="T625" s="27" t="s">
        <v>143</v>
      </c>
      <c r="U625" s="27"/>
      <c r="V625" s="27"/>
      <c r="W625" s="27"/>
      <c r="X625" s="27"/>
      <c r="Y625" s="27" t="s">
        <v>3124</v>
      </c>
      <c r="Z625" s="27" t="n">
        <v>-7.2155555</v>
      </c>
      <c r="AA625" s="27" t="n">
        <v>-48.257909</v>
      </c>
      <c r="AB625" s="37" t="s">
        <v>2338</v>
      </c>
      <c r="AC625" s="27" t="s">
        <v>3125</v>
      </c>
    </row>
    <row r="626" customFormat="false" ht="15" hidden="false" customHeight="false" outlineLevel="0" collapsed="false">
      <c r="A626" s="27" t="n">
        <v>625</v>
      </c>
      <c r="B626" s="27" t="s">
        <v>1901</v>
      </c>
      <c r="C626" s="27" t="s">
        <v>3126</v>
      </c>
      <c r="D626" s="27" t="s">
        <v>1900</v>
      </c>
      <c r="E626" s="27" t="s">
        <v>1902</v>
      </c>
      <c r="F626" s="32" t="n">
        <v>8.50274503814611</v>
      </c>
      <c r="G626" s="28" t="n">
        <v>4249.57218128176</v>
      </c>
      <c r="H626" s="28" t="n">
        <v>13.7394333667498</v>
      </c>
      <c r="I626" s="7" t="s">
        <v>24</v>
      </c>
      <c r="J626" s="27" t="s">
        <v>303</v>
      </c>
      <c r="K626" s="27" t="s">
        <v>461</v>
      </c>
      <c r="L626" s="27" t="n">
        <v>50</v>
      </c>
      <c r="M626" s="27" t="s">
        <v>143</v>
      </c>
      <c r="N626" s="27" t="s">
        <v>2640</v>
      </c>
      <c r="O626" s="27" t="s">
        <v>144</v>
      </c>
      <c r="P626" s="27" t="s">
        <v>54</v>
      </c>
      <c r="Q626" s="27" t="n">
        <v>0</v>
      </c>
      <c r="R626" s="27"/>
      <c r="S626" s="27" t="s">
        <v>41</v>
      </c>
      <c r="T626" s="27" t="s">
        <v>143</v>
      </c>
      <c r="U626" s="27"/>
      <c r="V626" s="27"/>
      <c r="W626" s="27"/>
      <c r="X626" s="27"/>
      <c r="Y626" s="27" t="s">
        <v>3124</v>
      </c>
      <c r="Z626" s="27" t="n">
        <v>-7.215602</v>
      </c>
      <c r="AA626" s="27" t="n">
        <v>-48.257872</v>
      </c>
      <c r="AB626" s="37" t="s">
        <v>2338</v>
      </c>
      <c r="AC626" s="27" t="s">
        <v>3125</v>
      </c>
    </row>
    <row r="627" customFormat="false" ht="15" hidden="false" customHeight="false" outlineLevel="0" collapsed="false">
      <c r="A627" s="27" t="n">
        <v>626</v>
      </c>
      <c r="B627" s="27" t="s">
        <v>1903</v>
      </c>
      <c r="C627" s="27" t="s">
        <v>3127</v>
      </c>
      <c r="D627" s="27" t="s">
        <v>1560</v>
      </c>
      <c r="E627" s="27" t="s">
        <v>1904</v>
      </c>
      <c r="F627" s="32" t="n">
        <v>29.8546668707764</v>
      </c>
      <c r="G627" s="28" t="n">
        <v>3452.50779064213</v>
      </c>
      <c r="H627" s="28" t="n">
        <v>29.8546668707763</v>
      </c>
      <c r="I627" s="7" t="s">
        <v>24</v>
      </c>
      <c r="J627" s="27" t="s">
        <v>303</v>
      </c>
      <c r="K627" s="27" t="s">
        <v>461</v>
      </c>
      <c r="L627" s="27" t="n">
        <v>51</v>
      </c>
      <c r="M627" s="27" t="s">
        <v>145</v>
      </c>
      <c r="N627" s="27" t="s">
        <v>2640</v>
      </c>
      <c r="O627" s="27" t="s">
        <v>146</v>
      </c>
      <c r="P627" s="27" t="s">
        <v>54</v>
      </c>
      <c r="Q627" s="27" t="n">
        <v>0</v>
      </c>
      <c r="R627" s="27"/>
      <c r="S627" s="27" t="s">
        <v>41</v>
      </c>
      <c r="T627" s="27" t="s">
        <v>145</v>
      </c>
      <c r="U627" s="27"/>
      <c r="V627" s="27"/>
      <c r="W627" s="27"/>
      <c r="X627" s="27"/>
      <c r="Y627" s="27" t="s">
        <v>3128</v>
      </c>
      <c r="Z627" s="27" t="n">
        <v>-7.2180095</v>
      </c>
      <c r="AA627" s="27" t="n">
        <v>-48.2506025</v>
      </c>
      <c r="AB627" s="37" t="s">
        <v>2338</v>
      </c>
      <c r="AC627" s="27" t="s">
        <v>3129</v>
      </c>
    </row>
    <row r="628" customFormat="false" ht="15" hidden="false" customHeight="false" outlineLevel="0" collapsed="false">
      <c r="A628" s="27" t="n">
        <v>627</v>
      </c>
      <c r="B628" s="27" t="s">
        <v>1905</v>
      </c>
      <c r="C628" s="27" t="s">
        <v>3130</v>
      </c>
      <c r="D628" s="27" t="s">
        <v>1576</v>
      </c>
      <c r="E628" s="27" t="s">
        <v>1906</v>
      </c>
      <c r="F628" s="32" t="n">
        <v>64.4145910786107</v>
      </c>
      <c r="G628" s="28" t="n">
        <v>2556.52431757144</v>
      </c>
      <c r="H628" s="28" t="n">
        <v>64.4145910786106</v>
      </c>
      <c r="I628" s="7" t="s">
        <v>24</v>
      </c>
      <c r="J628" s="27" t="s">
        <v>303</v>
      </c>
      <c r="K628" s="27" t="s">
        <v>461</v>
      </c>
      <c r="L628" s="27" t="n">
        <v>52</v>
      </c>
      <c r="M628" s="27" t="s">
        <v>147</v>
      </c>
      <c r="N628" s="27" t="s">
        <v>2635</v>
      </c>
      <c r="O628" s="27" t="s">
        <v>148</v>
      </c>
      <c r="P628" s="27" t="s">
        <v>54</v>
      </c>
      <c r="Q628" s="27" t="n">
        <v>0</v>
      </c>
      <c r="R628" s="27"/>
      <c r="S628" s="27" t="s">
        <v>41</v>
      </c>
      <c r="T628" s="27" t="s">
        <v>147</v>
      </c>
      <c r="U628" s="27"/>
      <c r="V628" s="27"/>
      <c r="W628" s="27"/>
      <c r="X628" s="27"/>
      <c r="Y628" s="27" t="s">
        <v>3131</v>
      </c>
      <c r="Z628" s="27" t="n">
        <v>-7.214524</v>
      </c>
      <c r="AA628" s="27" t="n">
        <v>-48.2456425</v>
      </c>
      <c r="AB628" s="37" t="s">
        <v>2338</v>
      </c>
      <c r="AC628" s="27" t="s">
        <v>3132</v>
      </c>
    </row>
    <row r="629" customFormat="false" ht="15" hidden="false" customHeight="false" outlineLevel="0" collapsed="false">
      <c r="A629" s="27" t="n">
        <v>628</v>
      </c>
      <c r="B629" s="27" t="s">
        <v>1907</v>
      </c>
      <c r="C629" s="27" t="s">
        <v>3133</v>
      </c>
      <c r="D629" s="27" t="s">
        <v>1906</v>
      </c>
      <c r="E629" s="27" t="s">
        <v>1908</v>
      </c>
      <c r="F629" s="32" t="n">
        <v>15.2493839533457</v>
      </c>
      <c r="G629" s="28" t="n">
        <v>2571.77370152479</v>
      </c>
      <c r="H629" s="28" t="n">
        <v>79.6639750319564</v>
      </c>
      <c r="I629" s="7" t="s">
        <v>24</v>
      </c>
      <c r="J629" s="27" t="s">
        <v>303</v>
      </c>
      <c r="K629" s="27" t="s">
        <v>461</v>
      </c>
      <c r="L629" s="27" t="n">
        <v>52</v>
      </c>
      <c r="M629" s="27" t="s">
        <v>147</v>
      </c>
      <c r="N629" s="27" t="s">
        <v>2635</v>
      </c>
      <c r="O629" s="27" t="s">
        <v>148</v>
      </c>
      <c r="P629" s="27" t="s">
        <v>54</v>
      </c>
      <c r="Q629" s="27" t="n">
        <v>0</v>
      </c>
      <c r="R629" s="27"/>
      <c r="S629" s="27" t="s">
        <v>41</v>
      </c>
      <c r="T629" s="27" t="s">
        <v>147</v>
      </c>
      <c r="U629" s="27"/>
      <c r="V629" s="27"/>
      <c r="W629" s="27"/>
      <c r="X629" s="27"/>
      <c r="Y629" s="27" t="s">
        <v>3131</v>
      </c>
      <c r="Z629" s="27" t="n">
        <v>-7.214427</v>
      </c>
      <c r="AA629" s="27" t="n">
        <v>-48.24585</v>
      </c>
      <c r="AB629" s="37" t="s">
        <v>2338</v>
      </c>
      <c r="AC629" s="27" t="s">
        <v>3132</v>
      </c>
    </row>
    <row r="630" customFormat="false" ht="15" hidden="false" customHeight="false" outlineLevel="0" collapsed="false">
      <c r="A630" s="27" t="n">
        <v>629</v>
      </c>
      <c r="B630" s="27" t="s">
        <v>1909</v>
      </c>
      <c r="C630" s="27" t="s">
        <v>3134</v>
      </c>
      <c r="D630" s="27" t="s">
        <v>1906</v>
      </c>
      <c r="E630" s="27" t="s">
        <v>1910</v>
      </c>
      <c r="F630" s="32" t="n">
        <v>3.72370461737022</v>
      </c>
      <c r="G630" s="28" t="n">
        <v>2560.24802218881</v>
      </c>
      <c r="H630" s="28" t="n">
        <v>68.1382956959806</v>
      </c>
      <c r="I630" s="7" t="s">
        <v>24</v>
      </c>
      <c r="J630" s="27" t="s">
        <v>303</v>
      </c>
      <c r="K630" s="27" t="s">
        <v>461</v>
      </c>
      <c r="L630" s="27" t="n">
        <v>52</v>
      </c>
      <c r="M630" s="27" t="s">
        <v>147</v>
      </c>
      <c r="N630" s="27" t="s">
        <v>2635</v>
      </c>
      <c r="O630" s="27" t="s">
        <v>148</v>
      </c>
      <c r="P630" s="27" t="s">
        <v>54</v>
      </c>
      <c r="Q630" s="27" t="n">
        <v>0</v>
      </c>
      <c r="R630" s="27"/>
      <c r="S630" s="27" t="s">
        <v>41</v>
      </c>
      <c r="T630" s="27" t="s">
        <v>147</v>
      </c>
      <c r="U630" s="27"/>
      <c r="V630" s="27"/>
      <c r="W630" s="27"/>
      <c r="X630" s="27"/>
      <c r="Y630" s="27" t="s">
        <v>3131</v>
      </c>
      <c r="Z630" s="27" t="n">
        <v>-7.214416</v>
      </c>
      <c r="AA630" s="27" t="n">
        <v>-48.2459115</v>
      </c>
      <c r="AB630" s="37" t="s">
        <v>2338</v>
      </c>
      <c r="AC630" s="27" t="s">
        <v>3132</v>
      </c>
    </row>
    <row r="631" customFormat="false" ht="15" hidden="false" customHeight="false" outlineLevel="0" collapsed="false">
      <c r="A631" s="27" t="n">
        <v>630</v>
      </c>
      <c r="B631" s="27" t="s">
        <v>1911</v>
      </c>
      <c r="C631" s="27" t="s">
        <v>3135</v>
      </c>
      <c r="D631" s="27" t="s">
        <v>696</v>
      </c>
      <c r="E631" s="27" t="s">
        <v>1912</v>
      </c>
      <c r="F631" s="32" t="n">
        <v>37.0548873445342</v>
      </c>
      <c r="G631" s="28" t="n">
        <v>1645.92767060582</v>
      </c>
      <c r="H631" s="28" t="n">
        <v>1645.92767060582</v>
      </c>
      <c r="I631" s="5" t="s">
        <v>22</v>
      </c>
      <c r="J631" s="27" t="s">
        <v>303</v>
      </c>
      <c r="K631" s="27" t="s">
        <v>524</v>
      </c>
      <c r="L631" s="27" t="n">
        <v>53</v>
      </c>
      <c r="M631" s="27" t="s">
        <v>41</v>
      </c>
      <c r="N631" s="27" t="s">
        <v>2336</v>
      </c>
      <c r="O631" s="27" t="s">
        <v>151</v>
      </c>
      <c r="P631" s="27" t="s">
        <v>54</v>
      </c>
      <c r="Q631" s="27" t="n">
        <v>0</v>
      </c>
      <c r="R631" s="27"/>
      <c r="S631" s="27" t="s">
        <v>41</v>
      </c>
      <c r="T631" s="27"/>
      <c r="U631" s="27"/>
      <c r="V631" s="27"/>
      <c r="W631" s="27"/>
      <c r="X631" s="27"/>
      <c r="Y631" s="27" t="s">
        <v>41</v>
      </c>
      <c r="Z631" s="27" t="n">
        <v>-7.207077</v>
      </c>
      <c r="AA631" s="27" t="n">
        <v>-48.240958</v>
      </c>
      <c r="AB631" s="37" t="s">
        <v>2338</v>
      </c>
      <c r="AC631" s="27" t="s">
        <v>2339</v>
      </c>
    </row>
    <row r="632" customFormat="false" ht="15" hidden="false" customHeight="false" outlineLevel="0" collapsed="false">
      <c r="A632" s="27" t="n">
        <v>631</v>
      </c>
      <c r="B632" s="27" t="s">
        <v>1913</v>
      </c>
      <c r="C632" s="27" t="s">
        <v>3136</v>
      </c>
      <c r="D632" s="27" t="s">
        <v>696</v>
      </c>
      <c r="E632" s="27" t="s">
        <v>1914</v>
      </c>
      <c r="F632" s="32" t="n">
        <v>11.0258268534267</v>
      </c>
      <c r="G632" s="28" t="n">
        <v>1619.89861011472</v>
      </c>
      <c r="H632" s="28" t="n">
        <v>1619.89861011472</v>
      </c>
      <c r="I632" s="5" t="s">
        <v>22</v>
      </c>
      <c r="J632" s="27" t="s">
        <v>303</v>
      </c>
      <c r="K632" s="27" t="s">
        <v>524</v>
      </c>
      <c r="L632" s="27" t="n">
        <v>53</v>
      </c>
      <c r="M632" s="27" t="s">
        <v>41</v>
      </c>
      <c r="N632" s="27" t="s">
        <v>2336</v>
      </c>
      <c r="O632" s="27" t="s">
        <v>151</v>
      </c>
      <c r="P632" s="27" t="s">
        <v>54</v>
      </c>
      <c r="Q632" s="27" t="n">
        <v>0</v>
      </c>
      <c r="R632" s="27"/>
      <c r="S632" s="27" t="s">
        <v>41</v>
      </c>
      <c r="T632" s="27"/>
      <c r="U632" s="27"/>
      <c r="V632" s="27"/>
      <c r="W632" s="27"/>
      <c r="X632" s="27"/>
      <c r="Y632" s="27" t="s">
        <v>41</v>
      </c>
      <c r="Z632" s="27" t="n">
        <v>-7.207259</v>
      </c>
      <c r="AA632" s="27" t="n">
        <v>-48.24099</v>
      </c>
      <c r="AB632" s="37" t="s">
        <v>2338</v>
      </c>
      <c r="AC632" s="27" t="s">
        <v>2339</v>
      </c>
    </row>
    <row r="633" customFormat="false" ht="15" hidden="false" customHeight="false" outlineLevel="0" collapsed="false">
      <c r="A633" s="27" t="n">
        <v>632</v>
      </c>
      <c r="B633" s="27" t="s">
        <v>1915</v>
      </c>
      <c r="C633" s="27" t="s">
        <v>3137</v>
      </c>
      <c r="D633" s="27" t="s">
        <v>702</v>
      </c>
      <c r="E633" s="27" t="s">
        <v>1916</v>
      </c>
      <c r="F633" s="32" t="n">
        <v>4.92769448934394</v>
      </c>
      <c r="G633" s="28" t="n">
        <v>1690.32842267514</v>
      </c>
      <c r="H633" s="28" t="n">
        <v>1690.32842267514</v>
      </c>
      <c r="I633" s="5" t="s">
        <v>22</v>
      </c>
      <c r="J633" s="27" t="s">
        <v>303</v>
      </c>
      <c r="K633" s="27" t="s">
        <v>527</v>
      </c>
      <c r="L633" s="27" t="n">
        <v>54</v>
      </c>
      <c r="M633" s="27" t="s">
        <v>41</v>
      </c>
      <c r="N633" s="27" t="s">
        <v>2336</v>
      </c>
      <c r="O633" s="27" t="s">
        <v>154</v>
      </c>
      <c r="P633" s="27" t="s">
        <v>54</v>
      </c>
      <c r="Q633" s="27" t="n">
        <v>0</v>
      </c>
      <c r="R633" s="27"/>
      <c r="S633" s="27" t="s">
        <v>41</v>
      </c>
      <c r="T633" s="27"/>
      <c r="U633" s="27"/>
      <c r="V633" s="27"/>
      <c r="W633" s="27"/>
      <c r="X633" s="27"/>
      <c r="Y633" s="27" t="s">
        <v>41</v>
      </c>
      <c r="Z633" s="27" t="n">
        <v>-7.207861</v>
      </c>
      <c r="AA633" s="27" t="n">
        <v>-48.2413365</v>
      </c>
      <c r="AB633" s="37" t="s">
        <v>2338</v>
      </c>
      <c r="AC633" s="27" t="s">
        <v>2339</v>
      </c>
    </row>
    <row r="634" customFormat="false" ht="15" hidden="false" customHeight="false" outlineLevel="0" collapsed="false">
      <c r="A634" s="27" t="n">
        <v>633</v>
      </c>
      <c r="B634" s="27" t="s">
        <v>1917</v>
      </c>
      <c r="C634" s="27" t="s">
        <v>3138</v>
      </c>
      <c r="D634" s="27" t="s">
        <v>714</v>
      </c>
      <c r="E634" s="27" t="s">
        <v>1918</v>
      </c>
      <c r="F634" s="32" t="n">
        <v>4.85000849754405</v>
      </c>
      <c r="G634" s="28" t="n">
        <v>1698.40929790303</v>
      </c>
      <c r="H634" s="28" t="n">
        <v>9.72325467608494</v>
      </c>
      <c r="I634" s="6" t="s">
        <v>23</v>
      </c>
      <c r="J634" s="27" t="s">
        <v>303</v>
      </c>
      <c r="K634" s="27" t="s">
        <v>528</v>
      </c>
      <c r="L634" s="27" t="n">
        <v>55</v>
      </c>
      <c r="M634" s="27" t="s">
        <v>42</v>
      </c>
      <c r="N634" s="27" t="s">
        <v>2385</v>
      </c>
      <c r="O634" s="27" t="s">
        <v>157</v>
      </c>
      <c r="P634" s="27" t="s">
        <v>54</v>
      </c>
      <c r="Q634" s="27" t="n">
        <v>0</v>
      </c>
      <c r="R634" s="27"/>
      <c r="S634" s="27" t="s">
        <v>41</v>
      </c>
      <c r="T634" s="27" t="s">
        <v>42</v>
      </c>
      <c r="U634" s="27"/>
      <c r="V634" s="27"/>
      <c r="W634" s="27"/>
      <c r="X634" s="27"/>
      <c r="Y634" s="27" t="s">
        <v>2387</v>
      </c>
      <c r="Z634" s="27" t="n">
        <v>-7.2078915</v>
      </c>
      <c r="AA634" s="27" t="n">
        <v>-48.2413495</v>
      </c>
      <c r="AB634" s="37" t="s">
        <v>2338</v>
      </c>
      <c r="AC634" s="27" t="s">
        <v>2388</v>
      </c>
    </row>
    <row r="635" customFormat="false" ht="15" hidden="false" customHeight="false" outlineLevel="0" collapsed="false">
      <c r="A635" s="27" t="n">
        <v>634</v>
      </c>
      <c r="B635" s="27" t="s">
        <v>1919</v>
      </c>
      <c r="C635" s="27" t="s">
        <v>3139</v>
      </c>
      <c r="D635" s="27" t="s">
        <v>728</v>
      </c>
      <c r="E635" s="27" t="s">
        <v>1920</v>
      </c>
      <c r="F635" s="32" t="n">
        <v>0.398726182617518</v>
      </c>
      <c r="G635" s="28" t="n">
        <v>2112.09380354405</v>
      </c>
      <c r="H635" s="28" t="n">
        <v>423.407760317106</v>
      </c>
      <c r="I635" s="6" t="s">
        <v>23</v>
      </c>
      <c r="J635" s="27" t="s">
        <v>303</v>
      </c>
      <c r="K635" s="27" t="s">
        <v>529</v>
      </c>
      <c r="L635" s="27" t="n">
        <v>56</v>
      </c>
      <c r="M635" s="27" t="s">
        <v>42</v>
      </c>
      <c r="N635" s="27" t="s">
        <v>2385</v>
      </c>
      <c r="O635" s="27" t="s">
        <v>160</v>
      </c>
      <c r="P635" s="27" t="s">
        <v>160</v>
      </c>
      <c r="Q635" s="27" t="n">
        <v>1</v>
      </c>
      <c r="R635" s="27"/>
      <c r="S635" s="27" t="s">
        <v>41</v>
      </c>
      <c r="T635" s="27" t="s">
        <v>42</v>
      </c>
      <c r="U635" s="27"/>
      <c r="V635" s="27"/>
      <c r="W635" s="27"/>
      <c r="X635" s="27"/>
      <c r="Y635" s="27" t="s">
        <v>2387</v>
      </c>
      <c r="Z635" s="27" t="n">
        <v>-7.211315</v>
      </c>
      <c r="AA635" s="27" t="n">
        <v>-48.2429535</v>
      </c>
      <c r="AB635" s="37" t="s">
        <v>2338</v>
      </c>
      <c r="AC635" s="27" t="s">
        <v>2388</v>
      </c>
    </row>
    <row r="636" customFormat="false" ht="15" hidden="false" customHeight="false" outlineLevel="0" collapsed="false">
      <c r="A636" s="27" t="n">
        <v>635</v>
      </c>
      <c r="B636" s="27" t="s">
        <v>1921</v>
      </c>
      <c r="C636" s="27" t="s">
        <v>3140</v>
      </c>
      <c r="D636" s="27" t="s">
        <v>1920</v>
      </c>
      <c r="E636" s="27" t="s">
        <v>1922</v>
      </c>
      <c r="F636" s="32" t="n">
        <v>2.87159391080763</v>
      </c>
      <c r="G636" s="28" t="n">
        <v>2114.96539745486</v>
      </c>
      <c r="H636" s="28" t="n">
        <v>2.87159391080741</v>
      </c>
      <c r="I636" s="7" t="s">
        <v>24</v>
      </c>
      <c r="J636" s="27" t="s">
        <v>303</v>
      </c>
      <c r="K636" s="27" t="s">
        <v>529</v>
      </c>
      <c r="L636" s="27" t="n">
        <v>57</v>
      </c>
      <c r="M636" s="27" t="s">
        <v>160</v>
      </c>
      <c r="N636" s="27" t="s">
        <v>2635</v>
      </c>
      <c r="O636" s="27" t="s">
        <v>161</v>
      </c>
      <c r="P636" s="27" t="s">
        <v>54</v>
      </c>
      <c r="Q636" s="27" t="n">
        <v>0</v>
      </c>
      <c r="R636" s="27"/>
      <c r="S636" s="27" t="s">
        <v>41</v>
      </c>
      <c r="T636" s="27" t="s">
        <v>42</v>
      </c>
      <c r="U636" s="27" t="s">
        <v>160</v>
      </c>
      <c r="V636" s="27"/>
      <c r="W636" s="27"/>
      <c r="X636" s="27"/>
      <c r="Y636" s="27" t="s">
        <v>3141</v>
      </c>
      <c r="Z636" s="27" t="n">
        <v>-7.211321</v>
      </c>
      <c r="AA636" s="27" t="n">
        <v>-48.24294</v>
      </c>
      <c r="AB636" s="37" t="s">
        <v>2338</v>
      </c>
      <c r="AC636" s="27" t="s">
        <v>3142</v>
      </c>
    </row>
    <row r="637" customFormat="false" ht="15" hidden="false" customHeight="false" outlineLevel="0" collapsed="false">
      <c r="A637" s="27" t="n">
        <v>636</v>
      </c>
      <c r="B637" s="27" t="s">
        <v>1923</v>
      </c>
      <c r="C637" s="27" t="s">
        <v>3143</v>
      </c>
      <c r="D637" s="27" t="s">
        <v>1922</v>
      </c>
      <c r="E637" s="27" t="s">
        <v>1924</v>
      </c>
      <c r="F637" s="32" t="n">
        <v>2.18023180035852</v>
      </c>
      <c r="G637" s="28" t="n">
        <v>2117.14562925522</v>
      </c>
      <c r="H637" s="28" t="n">
        <v>5.05182571116575</v>
      </c>
      <c r="I637" s="7" t="s">
        <v>24</v>
      </c>
      <c r="J637" s="27" t="s">
        <v>303</v>
      </c>
      <c r="K637" s="27" t="s">
        <v>529</v>
      </c>
      <c r="L637" s="27" t="n">
        <v>57</v>
      </c>
      <c r="M637" s="27" t="s">
        <v>160</v>
      </c>
      <c r="N637" s="27" t="s">
        <v>2635</v>
      </c>
      <c r="O637" s="27" t="s">
        <v>161</v>
      </c>
      <c r="P637" s="27" t="s">
        <v>54</v>
      </c>
      <c r="Q637" s="27" t="n">
        <v>0</v>
      </c>
      <c r="R637" s="27"/>
      <c r="S637" s="27" t="s">
        <v>41</v>
      </c>
      <c r="T637" s="27" t="s">
        <v>42</v>
      </c>
      <c r="U637" s="27" t="s">
        <v>160</v>
      </c>
      <c r="V637" s="27"/>
      <c r="W637" s="27"/>
      <c r="X637" s="27"/>
      <c r="Y637" s="27" t="s">
        <v>3141</v>
      </c>
      <c r="Z637" s="27" t="n">
        <v>-7.211331</v>
      </c>
      <c r="AA637" s="27" t="n">
        <v>-48.2429195</v>
      </c>
      <c r="AB637" s="37" t="s">
        <v>2338</v>
      </c>
      <c r="AC637" s="27" t="s">
        <v>3142</v>
      </c>
    </row>
    <row r="638" customFormat="false" ht="15" hidden="false" customHeight="false" outlineLevel="0" collapsed="false">
      <c r="A638" s="27" t="n">
        <v>637</v>
      </c>
      <c r="B638" s="27" t="s">
        <v>1925</v>
      </c>
      <c r="C638" s="27" t="s">
        <v>3144</v>
      </c>
      <c r="D638" s="27" t="s">
        <v>1924</v>
      </c>
      <c r="E638" s="27" t="s">
        <v>1926</v>
      </c>
      <c r="F638" s="32" t="n">
        <v>184.461074693027</v>
      </c>
      <c r="G638" s="28" t="n">
        <v>2301.60670394824</v>
      </c>
      <c r="H638" s="28" t="n">
        <v>189.512900404192</v>
      </c>
      <c r="I638" s="7" t="s">
        <v>24</v>
      </c>
      <c r="J638" s="27" t="s">
        <v>303</v>
      </c>
      <c r="K638" s="27" t="s">
        <v>529</v>
      </c>
      <c r="L638" s="27" t="n">
        <v>57</v>
      </c>
      <c r="M638" s="27" t="s">
        <v>160</v>
      </c>
      <c r="N638" s="27" t="s">
        <v>2635</v>
      </c>
      <c r="O638" s="27" t="s">
        <v>161</v>
      </c>
      <c r="P638" s="27" t="s">
        <v>54</v>
      </c>
      <c r="Q638" s="27" t="n">
        <v>0</v>
      </c>
      <c r="R638" s="27"/>
      <c r="S638" s="27" t="s">
        <v>41</v>
      </c>
      <c r="T638" s="27" t="s">
        <v>42</v>
      </c>
      <c r="U638" s="27" t="s">
        <v>160</v>
      </c>
      <c r="V638" s="27"/>
      <c r="W638" s="27"/>
      <c r="X638" s="27"/>
      <c r="Y638" s="27" t="s">
        <v>3141</v>
      </c>
      <c r="Z638" s="27" t="n">
        <v>-7.211951</v>
      </c>
      <c r="AA638" s="27" t="n">
        <v>-48.24235</v>
      </c>
      <c r="AB638" s="37" t="s">
        <v>2338</v>
      </c>
      <c r="AC638" s="27" t="s">
        <v>3142</v>
      </c>
    </row>
    <row r="639" customFormat="false" ht="15" hidden="false" customHeight="false" outlineLevel="0" collapsed="false">
      <c r="A639" s="27" t="n">
        <v>638</v>
      </c>
      <c r="B639" s="27" t="s">
        <v>1927</v>
      </c>
      <c r="C639" s="27" t="s">
        <v>3145</v>
      </c>
      <c r="D639" s="27" t="s">
        <v>1926</v>
      </c>
      <c r="E639" s="27" t="s">
        <v>1928</v>
      </c>
      <c r="F639" s="32" t="n">
        <v>14.4551227360784</v>
      </c>
      <c r="G639" s="28" t="n">
        <v>2316.06182668432</v>
      </c>
      <c r="H639" s="28" t="n">
        <v>203.968023140271</v>
      </c>
      <c r="I639" s="7" t="s">
        <v>24</v>
      </c>
      <c r="J639" s="27" t="s">
        <v>303</v>
      </c>
      <c r="K639" s="27" t="s">
        <v>529</v>
      </c>
      <c r="L639" s="27" t="n">
        <v>57</v>
      </c>
      <c r="M639" s="27" t="s">
        <v>160</v>
      </c>
      <c r="N639" s="27" t="s">
        <v>2635</v>
      </c>
      <c r="O639" s="27" t="s">
        <v>161</v>
      </c>
      <c r="P639" s="27" t="s">
        <v>54</v>
      </c>
      <c r="Q639" s="27" t="n">
        <v>0</v>
      </c>
      <c r="R639" s="27"/>
      <c r="S639" s="27" t="s">
        <v>41</v>
      </c>
      <c r="T639" s="27" t="s">
        <v>42</v>
      </c>
      <c r="U639" s="27" t="s">
        <v>160</v>
      </c>
      <c r="V639" s="27"/>
      <c r="W639" s="27"/>
      <c r="X639" s="27"/>
      <c r="Y639" s="27" t="s">
        <v>3141</v>
      </c>
      <c r="Z639" s="27" t="n">
        <v>-7.2125675</v>
      </c>
      <c r="AA639" s="27" t="n">
        <v>-48.2418545</v>
      </c>
      <c r="AB639" s="37" t="s">
        <v>2338</v>
      </c>
      <c r="AC639" s="27" t="s">
        <v>3142</v>
      </c>
    </row>
    <row r="640" customFormat="false" ht="15" hidden="false" customHeight="false" outlineLevel="0" collapsed="false">
      <c r="A640" s="27" t="n">
        <v>639</v>
      </c>
      <c r="B640" s="27" t="s">
        <v>1929</v>
      </c>
      <c r="C640" s="27" t="s">
        <v>3146</v>
      </c>
      <c r="D640" s="27" t="s">
        <v>740</v>
      </c>
      <c r="E640" s="27" t="s">
        <v>1930</v>
      </c>
      <c r="F640" s="32" t="n">
        <v>3.65729932426605</v>
      </c>
      <c r="G640" s="28" t="n">
        <v>2366.02598003364</v>
      </c>
      <c r="H640" s="28" t="n">
        <v>677.33993680669</v>
      </c>
      <c r="I640" s="6" t="s">
        <v>23</v>
      </c>
      <c r="J640" s="27" t="s">
        <v>303</v>
      </c>
      <c r="K640" s="27" t="s">
        <v>530</v>
      </c>
      <c r="L640" s="27" t="n">
        <v>58</v>
      </c>
      <c r="M640" s="27" t="s">
        <v>42</v>
      </c>
      <c r="N640" s="27" t="s">
        <v>2385</v>
      </c>
      <c r="O640" s="27" t="s">
        <v>164</v>
      </c>
      <c r="P640" s="27" t="s">
        <v>164</v>
      </c>
      <c r="Q640" s="27" t="n">
        <v>1</v>
      </c>
      <c r="R640" s="27"/>
      <c r="S640" s="27" t="s">
        <v>41</v>
      </c>
      <c r="T640" s="27" t="s">
        <v>42</v>
      </c>
      <c r="U640" s="27"/>
      <c r="V640" s="27"/>
      <c r="W640" s="27"/>
      <c r="X640" s="27"/>
      <c r="Y640" s="27" t="s">
        <v>2387</v>
      </c>
      <c r="Z640" s="27" t="n">
        <v>-7.21336</v>
      </c>
      <c r="AA640" s="27" t="n">
        <v>-48.243909</v>
      </c>
      <c r="AB640" s="37" t="s">
        <v>2338</v>
      </c>
      <c r="AC640" s="27" t="s">
        <v>2388</v>
      </c>
    </row>
    <row r="641" customFormat="false" ht="15" hidden="false" customHeight="false" outlineLevel="0" collapsed="false">
      <c r="A641" s="27" t="n">
        <v>640</v>
      </c>
      <c r="B641" s="27" t="s">
        <v>1931</v>
      </c>
      <c r="C641" s="27" t="s">
        <v>3147</v>
      </c>
      <c r="D641" s="27" t="s">
        <v>1930</v>
      </c>
      <c r="E641" s="27" t="s">
        <v>1932</v>
      </c>
      <c r="F641" s="32" t="n">
        <v>32.4139609250605</v>
      </c>
      <c r="G641" s="28" t="n">
        <v>2398.4399409587</v>
      </c>
      <c r="H641" s="28" t="n">
        <v>32.4139609250606</v>
      </c>
      <c r="I641" s="7" t="s">
        <v>24</v>
      </c>
      <c r="J641" s="27" t="s">
        <v>303</v>
      </c>
      <c r="K641" s="27" t="s">
        <v>530</v>
      </c>
      <c r="L641" s="27" t="n">
        <v>59</v>
      </c>
      <c r="M641" s="27" t="s">
        <v>164</v>
      </c>
      <c r="N641" s="27" t="s">
        <v>2635</v>
      </c>
      <c r="O641" s="27" t="s">
        <v>165</v>
      </c>
      <c r="P641" s="27" t="s">
        <v>54</v>
      </c>
      <c r="Q641" s="27" t="n">
        <v>0</v>
      </c>
      <c r="R641" s="27"/>
      <c r="S641" s="27" t="s">
        <v>41</v>
      </c>
      <c r="T641" s="27" t="s">
        <v>42</v>
      </c>
      <c r="U641" s="27" t="s">
        <v>164</v>
      </c>
      <c r="V641" s="27"/>
      <c r="W641" s="27"/>
      <c r="X641" s="27"/>
      <c r="Y641" s="27" t="s">
        <v>3148</v>
      </c>
      <c r="Z641" s="27" t="n">
        <v>-7.2134245</v>
      </c>
      <c r="AA641" s="27" t="n">
        <v>-48.243759</v>
      </c>
      <c r="AB641" s="37" t="s">
        <v>2338</v>
      </c>
      <c r="AC641" s="27" t="s">
        <v>3149</v>
      </c>
    </row>
    <row r="642" customFormat="false" ht="15" hidden="false" customHeight="false" outlineLevel="0" collapsed="false">
      <c r="A642" s="27" t="n">
        <v>641</v>
      </c>
      <c r="B642" s="27" t="s">
        <v>1933</v>
      </c>
      <c r="C642" s="27" t="s">
        <v>3150</v>
      </c>
      <c r="D642" s="27" t="s">
        <v>748</v>
      </c>
      <c r="E642" s="27" t="s">
        <v>1934</v>
      </c>
      <c r="F642" s="32" t="n">
        <v>16.4909396364485</v>
      </c>
      <c r="G642" s="28" t="n">
        <v>2574.05549332526</v>
      </c>
      <c r="H642" s="28" t="n">
        <v>885.369450098313</v>
      </c>
      <c r="I642" s="6" t="s">
        <v>23</v>
      </c>
      <c r="J642" s="27" t="s">
        <v>303</v>
      </c>
      <c r="K642" s="27" t="s">
        <v>531</v>
      </c>
      <c r="L642" s="27" t="n">
        <v>60</v>
      </c>
      <c r="M642" s="27" t="s">
        <v>42</v>
      </c>
      <c r="N642" s="27" t="s">
        <v>2385</v>
      </c>
      <c r="O642" s="27" t="s">
        <v>168</v>
      </c>
      <c r="P642" s="27" t="s">
        <v>168</v>
      </c>
      <c r="Q642" s="27" t="n">
        <v>1</v>
      </c>
      <c r="R642" s="27"/>
      <c r="S642" s="27" t="s">
        <v>41</v>
      </c>
      <c r="T642" s="27" t="s">
        <v>42</v>
      </c>
      <c r="U642" s="27"/>
      <c r="V642" s="27"/>
      <c r="W642" s="27"/>
      <c r="X642" s="27"/>
      <c r="Y642" s="27" t="s">
        <v>2387</v>
      </c>
      <c r="Z642" s="27" t="n">
        <v>-7.214941</v>
      </c>
      <c r="AA642" s="27" t="n">
        <v>-48.24466</v>
      </c>
      <c r="AB642" s="37" t="s">
        <v>2338</v>
      </c>
      <c r="AC642" s="27" t="s">
        <v>2388</v>
      </c>
    </row>
    <row r="643" customFormat="false" ht="15" hidden="false" customHeight="false" outlineLevel="0" collapsed="false">
      <c r="A643" s="27" t="n">
        <v>642</v>
      </c>
      <c r="B643" s="27" t="s">
        <v>1935</v>
      </c>
      <c r="C643" s="27" t="s">
        <v>3151</v>
      </c>
      <c r="D643" s="27" t="s">
        <v>1934</v>
      </c>
      <c r="E643" s="27" t="s">
        <v>1936</v>
      </c>
      <c r="F643" s="32" t="n">
        <v>0.553161230092843</v>
      </c>
      <c r="G643" s="28" t="n">
        <v>2574.60865455535</v>
      </c>
      <c r="H643" s="28" t="n">
        <v>885.922611328406</v>
      </c>
      <c r="I643" s="6" t="s">
        <v>23</v>
      </c>
      <c r="J643" s="27" t="s">
        <v>303</v>
      </c>
      <c r="K643" s="27" t="s">
        <v>531</v>
      </c>
      <c r="L643" s="27" t="n">
        <v>60</v>
      </c>
      <c r="M643" s="27" t="s">
        <v>42</v>
      </c>
      <c r="N643" s="27" t="s">
        <v>2385</v>
      </c>
      <c r="O643" s="27" t="s">
        <v>168</v>
      </c>
      <c r="P643" s="27" t="s">
        <v>168</v>
      </c>
      <c r="Q643" s="27" t="n">
        <v>1</v>
      </c>
      <c r="R643" s="27"/>
      <c r="S643" s="27" t="s">
        <v>41</v>
      </c>
      <c r="T643" s="27" t="s">
        <v>42</v>
      </c>
      <c r="U643" s="27"/>
      <c r="V643" s="27"/>
      <c r="W643" s="27"/>
      <c r="X643" s="27"/>
      <c r="Y643" s="27" t="s">
        <v>2387</v>
      </c>
      <c r="Z643" s="27" t="n">
        <v>-7.2149685</v>
      </c>
      <c r="AA643" s="27" t="n">
        <v>-48.244588</v>
      </c>
      <c r="AB643" s="37" t="s">
        <v>2338</v>
      </c>
      <c r="AC643" s="27" t="s">
        <v>2388</v>
      </c>
    </row>
    <row r="644" customFormat="false" ht="15" hidden="false" customHeight="false" outlineLevel="0" collapsed="false">
      <c r="A644" s="27" t="n">
        <v>643</v>
      </c>
      <c r="B644" s="27" t="s">
        <v>1937</v>
      </c>
      <c r="C644" s="27" t="s">
        <v>3152</v>
      </c>
      <c r="D644" s="27" t="s">
        <v>1936</v>
      </c>
      <c r="E644" s="27" t="s">
        <v>1938</v>
      </c>
      <c r="F644" s="32" t="n">
        <v>4.53964890126043</v>
      </c>
      <c r="G644" s="28" t="n">
        <v>2579.14830345661</v>
      </c>
      <c r="H644" s="28" t="n">
        <v>4.53964890126053</v>
      </c>
      <c r="I644" s="7" t="s">
        <v>24</v>
      </c>
      <c r="J644" s="27" t="s">
        <v>303</v>
      </c>
      <c r="K644" s="27" t="s">
        <v>531</v>
      </c>
      <c r="L644" s="27" t="n">
        <v>61</v>
      </c>
      <c r="M644" s="27" t="s">
        <v>168</v>
      </c>
      <c r="N644" s="27" t="s">
        <v>2640</v>
      </c>
      <c r="O644" s="27" t="s">
        <v>169</v>
      </c>
      <c r="P644" s="27" t="s">
        <v>54</v>
      </c>
      <c r="Q644" s="27" t="n">
        <v>0</v>
      </c>
      <c r="R644" s="27"/>
      <c r="S644" s="27" t="s">
        <v>41</v>
      </c>
      <c r="T644" s="27" t="s">
        <v>42</v>
      </c>
      <c r="U644" s="27" t="s">
        <v>168</v>
      </c>
      <c r="V644" s="27"/>
      <c r="W644" s="27"/>
      <c r="X644" s="27"/>
      <c r="Y644" s="27" t="s">
        <v>3153</v>
      </c>
      <c r="Z644" s="27" t="n">
        <v>-7.2149815</v>
      </c>
      <c r="AA644" s="27" t="n">
        <v>-48.244569</v>
      </c>
      <c r="AB644" s="37" t="s">
        <v>2338</v>
      </c>
      <c r="AC644" s="27" t="s">
        <v>3154</v>
      </c>
    </row>
    <row r="645" customFormat="false" ht="15" hidden="false" customHeight="false" outlineLevel="0" collapsed="false">
      <c r="A645" s="27" t="n">
        <v>644</v>
      </c>
      <c r="B645" s="27" t="s">
        <v>1939</v>
      </c>
      <c r="C645" s="27" t="s">
        <v>3155</v>
      </c>
      <c r="D645" s="27" t="s">
        <v>750</v>
      </c>
      <c r="E645" s="27" t="s">
        <v>1940</v>
      </c>
      <c r="F645" s="32" t="n">
        <v>3.14005249456452</v>
      </c>
      <c r="G645" s="28" t="n">
        <v>2593.48629159968</v>
      </c>
      <c r="H645" s="28" t="n">
        <v>904.800248372732</v>
      </c>
      <c r="I645" s="6" t="s">
        <v>23</v>
      </c>
      <c r="J645" s="27" t="s">
        <v>303</v>
      </c>
      <c r="K645" s="27" t="s">
        <v>532</v>
      </c>
      <c r="L645" s="27" t="n">
        <v>62</v>
      </c>
      <c r="M645" s="27" t="s">
        <v>42</v>
      </c>
      <c r="N645" s="27" t="s">
        <v>2385</v>
      </c>
      <c r="O645" s="27" t="s">
        <v>172</v>
      </c>
      <c r="P645" s="27" t="s">
        <v>3156</v>
      </c>
      <c r="Q645" s="27" t="n">
        <v>2</v>
      </c>
      <c r="R645" s="27"/>
      <c r="S645" s="27" t="s">
        <v>41</v>
      </c>
      <c r="T645" s="27" t="s">
        <v>42</v>
      </c>
      <c r="U645" s="27"/>
      <c r="V645" s="27"/>
      <c r="W645" s="27"/>
      <c r="X645" s="27"/>
      <c r="Y645" s="27" t="s">
        <v>2387</v>
      </c>
      <c r="Z645" s="27" t="n">
        <v>-7.215194</v>
      </c>
      <c r="AA645" s="27" t="n">
        <v>-48.2448485</v>
      </c>
      <c r="AB645" s="37" t="s">
        <v>2338</v>
      </c>
      <c r="AC645" s="27" t="s">
        <v>2388</v>
      </c>
    </row>
    <row r="646" customFormat="false" ht="15" hidden="false" customHeight="false" outlineLevel="0" collapsed="false">
      <c r="A646" s="27" t="n">
        <v>645</v>
      </c>
      <c r="B646" s="27" t="s">
        <v>1941</v>
      </c>
      <c r="C646" s="27" t="s">
        <v>3157</v>
      </c>
      <c r="D646" s="27" t="s">
        <v>1940</v>
      </c>
      <c r="E646" s="27" t="s">
        <v>1942</v>
      </c>
      <c r="F646" s="32" t="n">
        <v>37.0682391458169</v>
      </c>
      <c r="G646" s="28" t="n">
        <v>2630.55453074549</v>
      </c>
      <c r="H646" s="28" t="n">
        <v>941.868487518549</v>
      </c>
      <c r="I646" s="6" t="s">
        <v>23</v>
      </c>
      <c r="J646" s="27" t="s">
        <v>303</v>
      </c>
      <c r="K646" s="27" t="s">
        <v>532</v>
      </c>
      <c r="L646" s="27" t="n">
        <v>62</v>
      </c>
      <c r="M646" s="27" t="s">
        <v>42</v>
      </c>
      <c r="N646" s="27" t="s">
        <v>2385</v>
      </c>
      <c r="O646" s="27" t="s">
        <v>172</v>
      </c>
      <c r="P646" s="27" t="s">
        <v>3156</v>
      </c>
      <c r="Q646" s="27" t="n">
        <v>2</v>
      </c>
      <c r="R646" s="27"/>
      <c r="S646" s="27" t="s">
        <v>41</v>
      </c>
      <c r="T646" s="27" t="s">
        <v>42</v>
      </c>
      <c r="U646" s="27"/>
      <c r="V646" s="27"/>
      <c r="W646" s="27"/>
      <c r="X646" s="27"/>
      <c r="Y646" s="27" t="s">
        <v>2387</v>
      </c>
      <c r="Z646" s="27" t="n">
        <v>-7.2152935</v>
      </c>
      <c r="AA646" s="27" t="n">
        <v>-48.244698</v>
      </c>
      <c r="AB646" s="37" t="s">
        <v>2338</v>
      </c>
      <c r="AC646" s="27" t="s">
        <v>2388</v>
      </c>
    </row>
    <row r="647" customFormat="false" ht="15" hidden="false" customHeight="false" outlineLevel="0" collapsed="false">
      <c r="A647" s="27" t="n">
        <v>646</v>
      </c>
      <c r="B647" s="27" t="s">
        <v>1943</v>
      </c>
      <c r="C647" s="27" t="s">
        <v>3158</v>
      </c>
      <c r="D647" s="27" t="s">
        <v>1942</v>
      </c>
      <c r="E647" s="27" t="s">
        <v>1944</v>
      </c>
      <c r="F647" s="32" t="n">
        <v>3.81456317334956</v>
      </c>
      <c r="G647" s="28" t="n">
        <v>2634.36909391884</v>
      </c>
      <c r="H647" s="28" t="n">
        <v>945.683050691898</v>
      </c>
      <c r="I647" s="6" t="s">
        <v>23</v>
      </c>
      <c r="J647" s="27" t="s">
        <v>303</v>
      </c>
      <c r="K647" s="27" t="s">
        <v>532</v>
      </c>
      <c r="L647" s="27" t="n">
        <v>62</v>
      </c>
      <c r="M647" s="27" t="s">
        <v>42</v>
      </c>
      <c r="N647" s="27" t="s">
        <v>2385</v>
      </c>
      <c r="O647" s="27" t="s">
        <v>172</v>
      </c>
      <c r="P647" s="27" t="s">
        <v>3156</v>
      </c>
      <c r="Q647" s="27" t="n">
        <v>2</v>
      </c>
      <c r="R647" s="27"/>
      <c r="S647" s="27" t="s">
        <v>41</v>
      </c>
      <c r="T647" s="27" t="s">
        <v>42</v>
      </c>
      <c r="U647" s="27"/>
      <c r="V647" s="27"/>
      <c r="W647" s="27"/>
      <c r="X647" s="27"/>
      <c r="Y647" s="27" t="s">
        <v>2387</v>
      </c>
      <c r="Z647" s="27" t="n">
        <v>-7.2153875</v>
      </c>
      <c r="AA647" s="27" t="n">
        <v>-48.244539</v>
      </c>
      <c r="AB647" s="37" t="s">
        <v>2338</v>
      </c>
      <c r="AC647" s="27" t="s">
        <v>2388</v>
      </c>
    </row>
    <row r="648" customFormat="false" ht="15" hidden="false" customHeight="false" outlineLevel="0" collapsed="false">
      <c r="A648" s="27" t="n">
        <v>647</v>
      </c>
      <c r="B648" s="27" t="s">
        <v>1945</v>
      </c>
      <c r="C648" s="27" t="s">
        <v>3159</v>
      </c>
      <c r="D648" s="27" t="s">
        <v>1944</v>
      </c>
      <c r="E648" s="27" t="s">
        <v>1946</v>
      </c>
      <c r="F648" s="32" t="n">
        <v>74.3200025428903</v>
      </c>
      <c r="G648" s="28" t="n">
        <v>2708.68909646173</v>
      </c>
      <c r="H648" s="28" t="n">
        <v>74.3200025428901</v>
      </c>
      <c r="I648" s="7" t="s">
        <v>24</v>
      </c>
      <c r="J648" s="27" t="s">
        <v>303</v>
      </c>
      <c r="K648" s="27" t="s">
        <v>532</v>
      </c>
      <c r="L648" s="27" t="n">
        <v>63</v>
      </c>
      <c r="M648" s="27" t="s">
        <v>172</v>
      </c>
      <c r="N648" s="27" t="s">
        <v>2640</v>
      </c>
      <c r="O648" s="27" t="s">
        <v>173</v>
      </c>
      <c r="P648" s="27" t="s">
        <v>174</v>
      </c>
      <c r="Q648" s="27" t="n">
        <v>1</v>
      </c>
      <c r="R648" s="27"/>
      <c r="S648" s="27" t="s">
        <v>41</v>
      </c>
      <c r="T648" s="27" t="s">
        <v>42</v>
      </c>
      <c r="U648" s="27" t="s">
        <v>172</v>
      </c>
      <c r="V648" s="27"/>
      <c r="W648" s="27"/>
      <c r="X648" s="27"/>
      <c r="Y648" s="27" t="s">
        <v>3160</v>
      </c>
      <c r="Z648" s="27" t="n">
        <v>-7.215515</v>
      </c>
      <c r="AA648" s="27" t="n">
        <v>-48.244209</v>
      </c>
      <c r="AB648" s="37" t="s">
        <v>2338</v>
      </c>
      <c r="AC648" s="27" t="s">
        <v>3161</v>
      </c>
    </row>
    <row r="649" customFormat="false" ht="15" hidden="false" customHeight="false" outlineLevel="0" collapsed="false">
      <c r="A649" s="27" t="n">
        <v>648</v>
      </c>
      <c r="B649" s="27" t="s">
        <v>1947</v>
      </c>
      <c r="C649" s="27" t="s">
        <v>3162</v>
      </c>
      <c r="D649" s="27" t="s">
        <v>1946</v>
      </c>
      <c r="E649" s="27" t="s">
        <v>1948</v>
      </c>
      <c r="F649" s="32" t="n">
        <v>8.80145480684479</v>
      </c>
      <c r="G649" s="28" t="n">
        <v>2717.49055126858</v>
      </c>
      <c r="H649" s="28" t="n">
        <v>83.121457349735</v>
      </c>
      <c r="I649" s="7" t="s">
        <v>24</v>
      </c>
      <c r="J649" s="27" t="s">
        <v>303</v>
      </c>
      <c r="K649" s="27" t="s">
        <v>532</v>
      </c>
      <c r="L649" s="27" t="n">
        <v>63</v>
      </c>
      <c r="M649" s="27" t="s">
        <v>172</v>
      </c>
      <c r="N649" s="27" t="s">
        <v>2640</v>
      </c>
      <c r="O649" s="27" t="s">
        <v>173</v>
      </c>
      <c r="P649" s="27" t="s">
        <v>174</v>
      </c>
      <c r="Q649" s="27" t="n">
        <v>1</v>
      </c>
      <c r="R649" s="27"/>
      <c r="S649" s="27" t="s">
        <v>41</v>
      </c>
      <c r="T649" s="27" t="s">
        <v>42</v>
      </c>
      <c r="U649" s="27" t="s">
        <v>172</v>
      </c>
      <c r="V649" s="27"/>
      <c r="W649" s="27"/>
      <c r="X649" s="27"/>
      <c r="Y649" s="27" t="s">
        <v>3160</v>
      </c>
      <c r="Z649" s="27" t="n">
        <v>-7.2156225</v>
      </c>
      <c r="AA649" s="27" t="n">
        <v>-48.2438575</v>
      </c>
      <c r="AB649" s="37" t="s">
        <v>2338</v>
      </c>
      <c r="AC649" s="27" t="s">
        <v>3161</v>
      </c>
    </row>
    <row r="650" customFormat="false" ht="15" hidden="false" customHeight="false" outlineLevel="0" collapsed="false">
      <c r="A650" s="27" t="n">
        <v>649</v>
      </c>
      <c r="B650" s="27" t="s">
        <v>1949</v>
      </c>
      <c r="C650" s="27" t="s">
        <v>3163</v>
      </c>
      <c r="D650" s="27" t="s">
        <v>1948</v>
      </c>
      <c r="E650" s="27" t="s">
        <v>1950</v>
      </c>
      <c r="F650" s="32" t="n">
        <v>120.388576094172</v>
      </c>
      <c r="G650" s="28" t="n">
        <v>2837.87912736275</v>
      </c>
      <c r="H650" s="28" t="n">
        <v>203.510033443907</v>
      </c>
      <c r="I650" s="7" t="s">
        <v>24</v>
      </c>
      <c r="J650" s="27" t="s">
        <v>303</v>
      </c>
      <c r="K650" s="27" t="s">
        <v>532</v>
      </c>
      <c r="L650" s="27" t="n">
        <v>63</v>
      </c>
      <c r="M650" s="27" t="s">
        <v>172</v>
      </c>
      <c r="N650" s="27" t="s">
        <v>2640</v>
      </c>
      <c r="O650" s="27" t="s">
        <v>173</v>
      </c>
      <c r="P650" s="27" t="s">
        <v>174</v>
      </c>
      <c r="Q650" s="27" t="n">
        <v>1</v>
      </c>
      <c r="R650" s="27"/>
      <c r="S650" s="27" t="s">
        <v>41</v>
      </c>
      <c r="T650" s="27" t="s">
        <v>42</v>
      </c>
      <c r="U650" s="27" t="s">
        <v>172</v>
      </c>
      <c r="V650" s="27"/>
      <c r="W650" s="27"/>
      <c r="X650" s="27"/>
      <c r="Y650" s="27" t="s">
        <v>3160</v>
      </c>
      <c r="Z650" s="27" t="n">
        <v>-7.2151165</v>
      </c>
      <c r="AA650" s="27" t="n">
        <v>-48.2435935</v>
      </c>
      <c r="AB650" s="37" t="s">
        <v>2338</v>
      </c>
      <c r="AC650" s="27" t="s">
        <v>3161</v>
      </c>
    </row>
    <row r="651" customFormat="false" ht="15" hidden="false" customHeight="false" outlineLevel="0" collapsed="false">
      <c r="A651" s="27" t="n">
        <v>650</v>
      </c>
      <c r="B651" s="27" t="s">
        <v>1951</v>
      </c>
      <c r="C651" s="27" t="s">
        <v>3164</v>
      </c>
      <c r="D651" s="27" t="s">
        <v>1950</v>
      </c>
      <c r="E651" s="27" t="s">
        <v>1952</v>
      </c>
      <c r="F651" s="32" t="n">
        <v>20.0164736470715</v>
      </c>
      <c r="G651" s="28" t="n">
        <v>2857.89560100982</v>
      </c>
      <c r="H651" s="28" t="n">
        <v>223.526507090979</v>
      </c>
      <c r="I651" s="7" t="s">
        <v>24</v>
      </c>
      <c r="J651" s="27" t="s">
        <v>303</v>
      </c>
      <c r="K651" s="27" t="s">
        <v>532</v>
      </c>
      <c r="L651" s="27" t="n">
        <v>63</v>
      </c>
      <c r="M651" s="27" t="s">
        <v>172</v>
      </c>
      <c r="N651" s="27" t="s">
        <v>2640</v>
      </c>
      <c r="O651" s="27" t="s">
        <v>173</v>
      </c>
      <c r="P651" s="27" t="s">
        <v>54</v>
      </c>
      <c r="Q651" s="27" t="n">
        <v>0</v>
      </c>
      <c r="R651" s="27"/>
      <c r="S651" s="27" t="s">
        <v>41</v>
      </c>
      <c r="T651" s="27" t="s">
        <v>42</v>
      </c>
      <c r="U651" s="27" t="s">
        <v>172</v>
      </c>
      <c r="V651" s="27"/>
      <c r="W651" s="27"/>
      <c r="X651" s="27"/>
      <c r="Y651" s="27" t="s">
        <v>3160</v>
      </c>
      <c r="Z651" s="27" t="n">
        <v>-7.2145425</v>
      </c>
      <c r="AA651" s="27" t="n">
        <v>-48.2433285</v>
      </c>
      <c r="AB651" s="37" t="s">
        <v>2338</v>
      </c>
      <c r="AC651" s="27" t="s">
        <v>3161</v>
      </c>
    </row>
    <row r="652" customFormat="false" ht="15" hidden="false" customHeight="false" outlineLevel="0" collapsed="false">
      <c r="A652" s="27" t="n">
        <v>651</v>
      </c>
      <c r="B652" s="27" t="s">
        <v>1953</v>
      </c>
      <c r="C652" s="27" t="s">
        <v>3165</v>
      </c>
      <c r="D652" s="27" t="s">
        <v>1950</v>
      </c>
      <c r="E652" s="27" t="s">
        <v>1954</v>
      </c>
      <c r="F652" s="32" t="n">
        <v>0.562669414887063</v>
      </c>
      <c r="G652" s="28" t="n">
        <v>2838.44179677764</v>
      </c>
      <c r="H652" s="28" t="n">
        <v>204.072702858794</v>
      </c>
      <c r="I652" s="7" t="s">
        <v>24</v>
      </c>
      <c r="J652" s="27" t="s">
        <v>303</v>
      </c>
      <c r="K652" s="27" t="s">
        <v>532</v>
      </c>
      <c r="L652" s="27" t="n">
        <v>63</v>
      </c>
      <c r="M652" s="27" t="s">
        <v>172</v>
      </c>
      <c r="N652" s="27" t="s">
        <v>2640</v>
      </c>
      <c r="O652" s="27" t="s">
        <v>173</v>
      </c>
      <c r="P652" s="27" t="s">
        <v>174</v>
      </c>
      <c r="Q652" s="27" t="n">
        <v>1</v>
      </c>
      <c r="R652" s="27"/>
      <c r="S652" s="27" t="s">
        <v>41</v>
      </c>
      <c r="T652" s="27" t="s">
        <v>42</v>
      </c>
      <c r="U652" s="27" t="s">
        <v>172</v>
      </c>
      <c r="V652" s="27"/>
      <c r="W652" s="27"/>
      <c r="X652" s="27"/>
      <c r="Y652" s="27" t="s">
        <v>3160</v>
      </c>
      <c r="Z652" s="27" t="n">
        <v>-7.2146235</v>
      </c>
      <c r="AA652" s="27" t="n">
        <v>-48.2433695</v>
      </c>
      <c r="AB652" s="37" t="s">
        <v>2338</v>
      </c>
      <c r="AC652" s="27" t="s">
        <v>3161</v>
      </c>
    </row>
    <row r="653" customFormat="false" ht="15" hidden="false" customHeight="false" outlineLevel="0" collapsed="false">
      <c r="A653" s="27" t="n">
        <v>652</v>
      </c>
      <c r="B653" s="27" t="s">
        <v>1955</v>
      </c>
      <c r="C653" s="27" t="s">
        <v>3166</v>
      </c>
      <c r="D653" s="27" t="s">
        <v>1954</v>
      </c>
      <c r="E653" s="27" t="s">
        <v>1956</v>
      </c>
      <c r="F653" s="32" t="n">
        <v>4.01961224744084</v>
      </c>
      <c r="G653" s="28" t="n">
        <v>2842.46140902508</v>
      </c>
      <c r="H653" s="28" t="n">
        <v>4.01961224744082</v>
      </c>
      <c r="I653" s="7" t="s">
        <v>24</v>
      </c>
      <c r="J653" s="27" t="s">
        <v>303</v>
      </c>
      <c r="K653" s="27" t="s">
        <v>532</v>
      </c>
      <c r="L653" s="27" t="n">
        <v>64</v>
      </c>
      <c r="M653" s="27" t="s">
        <v>174</v>
      </c>
      <c r="N653" s="27" t="s">
        <v>2640</v>
      </c>
      <c r="O653" s="27" t="s">
        <v>175</v>
      </c>
      <c r="P653" s="27" t="s">
        <v>54</v>
      </c>
      <c r="Q653" s="27" t="n">
        <v>0</v>
      </c>
      <c r="R653" s="27"/>
      <c r="S653" s="27" t="s">
        <v>41</v>
      </c>
      <c r="T653" s="27" t="s">
        <v>42</v>
      </c>
      <c r="U653" s="27" t="s">
        <v>172</v>
      </c>
      <c r="V653" s="27" t="s">
        <v>174</v>
      </c>
      <c r="W653" s="27"/>
      <c r="X653" s="27"/>
      <c r="Y653" s="27" t="s">
        <v>3167</v>
      </c>
      <c r="Z653" s="27" t="n">
        <v>-7.2146165</v>
      </c>
      <c r="AA653" s="27" t="n">
        <v>-48.243389</v>
      </c>
      <c r="AB653" s="37" t="s">
        <v>2338</v>
      </c>
      <c r="AC653" s="27" t="s">
        <v>3168</v>
      </c>
    </row>
    <row r="654" customFormat="false" ht="15" hidden="false" customHeight="false" outlineLevel="0" collapsed="false">
      <c r="A654" s="27" t="n">
        <v>653</v>
      </c>
      <c r="B654" s="27" t="s">
        <v>1957</v>
      </c>
      <c r="C654" s="27" t="s">
        <v>3169</v>
      </c>
      <c r="D654" s="27" t="s">
        <v>754</v>
      </c>
      <c r="E654" s="27" t="s">
        <v>1958</v>
      </c>
      <c r="F654" s="32" t="n">
        <v>1.92903024916566</v>
      </c>
      <c r="G654" s="28" t="n">
        <v>2835.01897745391</v>
      </c>
      <c r="H654" s="28" t="n">
        <v>1146.33293422696</v>
      </c>
      <c r="I654" s="6" t="s">
        <v>23</v>
      </c>
      <c r="J654" s="27" t="s">
        <v>303</v>
      </c>
      <c r="K654" s="27" t="s">
        <v>534</v>
      </c>
      <c r="L654" s="27" t="n">
        <v>65</v>
      </c>
      <c r="M654" s="27" t="s">
        <v>42</v>
      </c>
      <c r="N654" s="27" t="s">
        <v>2385</v>
      </c>
      <c r="O654" s="27" t="s">
        <v>178</v>
      </c>
      <c r="P654" s="27" t="s">
        <v>178</v>
      </c>
      <c r="Q654" s="27" t="n">
        <v>1</v>
      </c>
      <c r="R654" s="27"/>
      <c r="S654" s="27" t="s">
        <v>41</v>
      </c>
      <c r="T654" s="27" t="s">
        <v>42</v>
      </c>
      <c r="U654" s="27"/>
      <c r="V654" s="27"/>
      <c r="W654" s="27"/>
      <c r="X654" s="27"/>
      <c r="Y654" s="27" t="s">
        <v>2387</v>
      </c>
      <c r="Z654" s="27" t="n">
        <v>-7.2171635</v>
      </c>
      <c r="AA654" s="27" t="n">
        <v>-48.245779</v>
      </c>
      <c r="AB654" s="37" t="s">
        <v>2338</v>
      </c>
      <c r="AC654" s="27" t="s">
        <v>2388</v>
      </c>
    </row>
    <row r="655" customFormat="false" ht="15" hidden="false" customHeight="false" outlineLevel="0" collapsed="false">
      <c r="A655" s="27" t="n">
        <v>654</v>
      </c>
      <c r="B655" s="27" t="s">
        <v>1959</v>
      </c>
      <c r="C655" s="27" t="s">
        <v>3170</v>
      </c>
      <c r="D655" s="27" t="s">
        <v>1958</v>
      </c>
      <c r="E655" s="27" t="s">
        <v>1960</v>
      </c>
      <c r="F655" s="32" t="n">
        <v>16.7221989720519</v>
      </c>
      <c r="G655" s="28" t="n">
        <v>2851.74117642596</v>
      </c>
      <c r="H655" s="28" t="n">
        <v>16.722198972052</v>
      </c>
      <c r="I655" s="7" t="s">
        <v>24</v>
      </c>
      <c r="J655" s="27" t="s">
        <v>303</v>
      </c>
      <c r="K655" s="27" t="s">
        <v>534</v>
      </c>
      <c r="L655" s="27" t="n">
        <v>66</v>
      </c>
      <c r="M655" s="27" t="s">
        <v>178</v>
      </c>
      <c r="N655" s="27" t="s">
        <v>2640</v>
      </c>
      <c r="O655" s="27" t="s">
        <v>179</v>
      </c>
      <c r="P655" s="27" t="s">
        <v>54</v>
      </c>
      <c r="Q655" s="27" t="n">
        <v>0</v>
      </c>
      <c r="R655" s="27"/>
      <c r="S655" s="27" t="s">
        <v>41</v>
      </c>
      <c r="T655" s="27" t="s">
        <v>42</v>
      </c>
      <c r="U655" s="27" t="s">
        <v>178</v>
      </c>
      <c r="V655" s="27"/>
      <c r="W655" s="27"/>
      <c r="X655" s="27"/>
      <c r="Y655" s="27" t="s">
        <v>3171</v>
      </c>
      <c r="Z655" s="27" t="n">
        <v>-7.217197</v>
      </c>
      <c r="AA655" s="27" t="n">
        <v>-48.2457015</v>
      </c>
      <c r="AB655" s="37" t="s">
        <v>2338</v>
      </c>
      <c r="AC655" s="27" t="s">
        <v>3172</v>
      </c>
    </row>
    <row r="656" customFormat="false" ht="15" hidden="false" customHeight="false" outlineLevel="0" collapsed="false">
      <c r="A656" s="27" t="n">
        <v>655</v>
      </c>
      <c r="B656" s="27" t="s">
        <v>1961</v>
      </c>
      <c r="C656" s="27" t="s">
        <v>3173</v>
      </c>
      <c r="D656" s="27" t="s">
        <v>1960</v>
      </c>
      <c r="E656" s="27" t="s">
        <v>1962</v>
      </c>
      <c r="F656" s="32" t="n">
        <v>93.8168697482648</v>
      </c>
      <c r="G656" s="28" t="n">
        <v>2945.55804617423</v>
      </c>
      <c r="H656" s="28" t="n">
        <v>110.539068720317</v>
      </c>
      <c r="I656" s="7" t="s">
        <v>24</v>
      </c>
      <c r="J656" s="27" t="s">
        <v>303</v>
      </c>
      <c r="K656" s="27" t="s">
        <v>534</v>
      </c>
      <c r="L656" s="27" t="n">
        <v>66</v>
      </c>
      <c r="M656" s="27" t="s">
        <v>178</v>
      </c>
      <c r="N656" s="27" t="s">
        <v>2640</v>
      </c>
      <c r="O656" s="27" t="s">
        <v>179</v>
      </c>
      <c r="P656" s="27" t="s">
        <v>54</v>
      </c>
      <c r="Q656" s="27" t="n">
        <v>0</v>
      </c>
      <c r="R656" s="27"/>
      <c r="S656" s="27" t="s">
        <v>41</v>
      </c>
      <c r="T656" s="27" t="s">
        <v>42</v>
      </c>
      <c r="U656" s="27" t="s">
        <v>178</v>
      </c>
      <c r="V656" s="27"/>
      <c r="W656" s="27"/>
      <c r="X656" s="27"/>
      <c r="Y656" s="27" t="s">
        <v>3171</v>
      </c>
      <c r="Z656" s="27" t="n">
        <v>-7.217354</v>
      </c>
      <c r="AA656" s="27" t="n">
        <v>-48.2452265</v>
      </c>
      <c r="AB656" s="37" t="s">
        <v>2338</v>
      </c>
      <c r="AC656" s="27" t="s">
        <v>3172</v>
      </c>
    </row>
    <row r="657" customFormat="false" ht="15" hidden="false" customHeight="false" outlineLevel="0" collapsed="false">
      <c r="A657" s="27" t="n">
        <v>656</v>
      </c>
      <c r="B657" s="27" t="s">
        <v>1963</v>
      </c>
      <c r="C657" s="27" t="s">
        <v>3174</v>
      </c>
      <c r="D657" s="27" t="s">
        <v>1962</v>
      </c>
      <c r="E657" s="27" t="s">
        <v>1964</v>
      </c>
      <c r="F657" s="32" t="n">
        <v>14.1747544925036</v>
      </c>
      <c r="G657" s="28" t="n">
        <v>2959.73280066673</v>
      </c>
      <c r="H657" s="28" t="n">
        <v>124.71382321282</v>
      </c>
      <c r="I657" s="7" t="s">
        <v>24</v>
      </c>
      <c r="J657" s="27" t="s">
        <v>303</v>
      </c>
      <c r="K657" s="27" t="s">
        <v>534</v>
      </c>
      <c r="L657" s="27" t="n">
        <v>66</v>
      </c>
      <c r="M657" s="27" t="s">
        <v>178</v>
      </c>
      <c r="N657" s="27" t="s">
        <v>2640</v>
      </c>
      <c r="O657" s="27" t="s">
        <v>179</v>
      </c>
      <c r="P657" s="27" t="s">
        <v>54</v>
      </c>
      <c r="Q657" s="27" t="n">
        <v>0</v>
      </c>
      <c r="R657" s="27"/>
      <c r="S657" s="27" t="s">
        <v>41</v>
      </c>
      <c r="T657" s="27" t="s">
        <v>42</v>
      </c>
      <c r="U657" s="27" t="s">
        <v>178</v>
      </c>
      <c r="V657" s="27"/>
      <c r="W657" s="27"/>
      <c r="X657" s="27"/>
      <c r="Y657" s="27" t="s">
        <v>3171</v>
      </c>
      <c r="Z657" s="27" t="n">
        <v>-7.217436</v>
      </c>
      <c r="AA657" s="27" t="n">
        <v>-48.2447755</v>
      </c>
      <c r="AB657" s="37" t="s">
        <v>2338</v>
      </c>
      <c r="AC657" s="27" t="s">
        <v>3172</v>
      </c>
    </row>
    <row r="658" customFormat="false" ht="15" hidden="false" customHeight="false" outlineLevel="0" collapsed="false">
      <c r="A658" s="27" t="n">
        <v>657</v>
      </c>
      <c r="B658" s="27" t="s">
        <v>1965</v>
      </c>
      <c r="C658" s="27" t="s">
        <v>3175</v>
      </c>
      <c r="D658" s="27" t="s">
        <v>1962</v>
      </c>
      <c r="E658" s="27" t="s">
        <v>1966</v>
      </c>
      <c r="F658" s="32" t="n">
        <v>13.7631518212279</v>
      </c>
      <c r="G658" s="28" t="n">
        <v>2959.32119799545</v>
      </c>
      <c r="H658" s="28" t="n">
        <v>124.302220541545</v>
      </c>
      <c r="I658" s="7" t="s">
        <v>24</v>
      </c>
      <c r="J658" s="27" t="s">
        <v>303</v>
      </c>
      <c r="K658" s="27" t="s">
        <v>534</v>
      </c>
      <c r="L658" s="27" t="n">
        <v>66</v>
      </c>
      <c r="M658" s="27" t="s">
        <v>178</v>
      </c>
      <c r="N658" s="27" t="s">
        <v>2640</v>
      </c>
      <c r="O658" s="27" t="s">
        <v>179</v>
      </c>
      <c r="P658" s="27" t="s">
        <v>54</v>
      </c>
      <c r="Q658" s="27" t="n">
        <v>0</v>
      </c>
      <c r="R658" s="27"/>
      <c r="S658" s="27" t="s">
        <v>41</v>
      </c>
      <c r="T658" s="27" t="s">
        <v>42</v>
      </c>
      <c r="U658" s="27" t="s">
        <v>178</v>
      </c>
      <c r="V658" s="27"/>
      <c r="W658" s="27"/>
      <c r="X658" s="27"/>
      <c r="Y658" s="27" t="s">
        <v>3171</v>
      </c>
      <c r="Z658" s="27" t="n">
        <v>-7.217505</v>
      </c>
      <c r="AA658" s="27" t="n">
        <v>-48.2447635</v>
      </c>
      <c r="AB658" s="37" t="s">
        <v>2338</v>
      </c>
      <c r="AC658" s="27" t="s">
        <v>3172</v>
      </c>
    </row>
    <row r="659" customFormat="false" ht="15" hidden="false" customHeight="false" outlineLevel="0" collapsed="false">
      <c r="A659" s="27" t="n">
        <v>658</v>
      </c>
      <c r="B659" s="27" t="s">
        <v>1967</v>
      </c>
      <c r="C659" s="27" t="s">
        <v>3176</v>
      </c>
      <c r="D659" s="27" t="s">
        <v>1966</v>
      </c>
      <c r="E659" s="27" t="s">
        <v>1968</v>
      </c>
      <c r="F659" s="32" t="n">
        <v>12.9533818856683</v>
      </c>
      <c r="G659" s="28" t="n">
        <v>2972.27457988112</v>
      </c>
      <c r="H659" s="28" t="n">
        <v>137.255602427213</v>
      </c>
      <c r="I659" s="7" t="s">
        <v>24</v>
      </c>
      <c r="J659" s="27" t="s">
        <v>303</v>
      </c>
      <c r="K659" s="27" t="s">
        <v>534</v>
      </c>
      <c r="L659" s="27" t="n">
        <v>66</v>
      </c>
      <c r="M659" s="27" t="s">
        <v>178</v>
      </c>
      <c r="N659" s="27" t="s">
        <v>2640</v>
      </c>
      <c r="O659" s="27" t="s">
        <v>179</v>
      </c>
      <c r="P659" s="27" t="s">
        <v>54</v>
      </c>
      <c r="Q659" s="27" t="n">
        <v>0</v>
      </c>
      <c r="R659" s="27"/>
      <c r="S659" s="27" t="s">
        <v>41</v>
      </c>
      <c r="T659" s="27" t="s">
        <v>42</v>
      </c>
      <c r="U659" s="27" t="s">
        <v>178</v>
      </c>
      <c r="V659" s="27"/>
      <c r="W659" s="27"/>
      <c r="X659" s="27"/>
      <c r="Y659" s="27" t="s">
        <v>3171</v>
      </c>
      <c r="Z659" s="27" t="n">
        <v>-7.217548</v>
      </c>
      <c r="AA659" s="27" t="n">
        <v>-48.2446505</v>
      </c>
      <c r="AB659" s="37" t="s">
        <v>2338</v>
      </c>
      <c r="AC659" s="27" t="s">
        <v>3172</v>
      </c>
    </row>
    <row r="660" customFormat="false" ht="15" hidden="false" customHeight="false" outlineLevel="0" collapsed="false">
      <c r="A660" s="27" t="n">
        <v>659</v>
      </c>
      <c r="B660" s="27" t="s">
        <v>1969</v>
      </c>
      <c r="C660" s="27" t="s">
        <v>3177</v>
      </c>
      <c r="D660" s="27" t="s">
        <v>1966</v>
      </c>
      <c r="E660" s="27" t="s">
        <v>1970</v>
      </c>
      <c r="F660" s="32" t="n">
        <v>21.8039703967453</v>
      </c>
      <c r="G660" s="28" t="n">
        <v>2981.1251683922</v>
      </c>
      <c r="H660" s="28" t="n">
        <v>146.10619093829</v>
      </c>
      <c r="I660" s="7" t="s">
        <v>24</v>
      </c>
      <c r="J660" s="27" t="s">
        <v>303</v>
      </c>
      <c r="K660" s="27" t="s">
        <v>534</v>
      </c>
      <c r="L660" s="27" t="n">
        <v>66</v>
      </c>
      <c r="M660" s="27" t="s">
        <v>178</v>
      </c>
      <c r="N660" s="27" t="s">
        <v>2640</v>
      </c>
      <c r="O660" s="27" t="s">
        <v>179</v>
      </c>
      <c r="P660" s="27" t="s">
        <v>54</v>
      </c>
      <c r="Q660" s="27" t="n">
        <v>0</v>
      </c>
      <c r="R660" s="27"/>
      <c r="S660" s="27" t="s">
        <v>41</v>
      </c>
      <c r="T660" s="27" t="s">
        <v>42</v>
      </c>
      <c r="U660" s="27" t="s">
        <v>178</v>
      </c>
      <c r="V660" s="27"/>
      <c r="W660" s="27"/>
      <c r="X660" s="27"/>
      <c r="Y660" s="27" t="s">
        <v>3171</v>
      </c>
      <c r="Z660" s="27" t="n">
        <v>-7.2174375</v>
      </c>
      <c r="AA660" s="27" t="n">
        <v>-48.2446705</v>
      </c>
      <c r="AB660" s="37" t="s">
        <v>2338</v>
      </c>
      <c r="AC660" s="27" t="s">
        <v>3172</v>
      </c>
    </row>
    <row r="661" customFormat="false" ht="15" hidden="false" customHeight="false" outlineLevel="0" collapsed="false">
      <c r="A661" s="27" t="n">
        <v>660</v>
      </c>
      <c r="B661" s="27" t="s">
        <v>1971</v>
      </c>
      <c r="C661" s="27" t="s">
        <v>3178</v>
      </c>
      <c r="D661" s="27" t="s">
        <v>1966</v>
      </c>
      <c r="E661" s="27" t="s">
        <v>1972</v>
      </c>
      <c r="F661" s="32" t="n">
        <v>11.6657541444087</v>
      </c>
      <c r="G661" s="28" t="n">
        <v>2970.98695213986</v>
      </c>
      <c r="H661" s="28" t="n">
        <v>135.967974685953</v>
      </c>
      <c r="I661" s="7" t="s">
        <v>24</v>
      </c>
      <c r="J661" s="27" t="s">
        <v>303</v>
      </c>
      <c r="K661" s="27" t="s">
        <v>534</v>
      </c>
      <c r="L661" s="27" t="n">
        <v>66</v>
      </c>
      <c r="M661" s="27" t="s">
        <v>178</v>
      </c>
      <c r="N661" s="27" t="s">
        <v>2640</v>
      </c>
      <c r="O661" s="27" t="s">
        <v>179</v>
      </c>
      <c r="P661" s="27" t="s">
        <v>54</v>
      </c>
      <c r="Q661" s="27" t="n">
        <v>0</v>
      </c>
      <c r="R661" s="27"/>
      <c r="S661" s="27" t="s">
        <v>41</v>
      </c>
      <c r="T661" s="27" t="s">
        <v>42</v>
      </c>
      <c r="U661" s="27" t="s">
        <v>178</v>
      </c>
      <c r="V661" s="27"/>
      <c r="W661" s="27"/>
      <c r="X661" s="27"/>
      <c r="Y661" s="27" t="s">
        <v>3171</v>
      </c>
      <c r="Z661" s="27" t="n">
        <v>-7.2175785</v>
      </c>
      <c r="AA661" s="27" t="n">
        <v>-48.2447235</v>
      </c>
      <c r="AB661" s="37" t="s">
        <v>2338</v>
      </c>
      <c r="AC661" s="27" t="s">
        <v>3172</v>
      </c>
    </row>
    <row r="662" customFormat="false" ht="15" hidden="false" customHeight="false" outlineLevel="0" collapsed="false">
      <c r="A662" s="27" t="n">
        <v>661</v>
      </c>
      <c r="B662" s="27" t="s">
        <v>1973</v>
      </c>
      <c r="C662" s="27" t="s">
        <v>3179</v>
      </c>
      <c r="D662" s="27" t="s">
        <v>1960</v>
      </c>
      <c r="E662" s="27" t="s">
        <v>1974</v>
      </c>
      <c r="F662" s="32" t="n">
        <v>5.44570731144136</v>
      </c>
      <c r="G662" s="28" t="n">
        <v>2857.1868837374</v>
      </c>
      <c r="H662" s="28" t="n">
        <v>22.1679062834933</v>
      </c>
      <c r="I662" s="7" t="s">
        <v>24</v>
      </c>
      <c r="J662" s="27" t="s">
        <v>303</v>
      </c>
      <c r="K662" s="27" t="s">
        <v>534</v>
      </c>
      <c r="L662" s="27" t="n">
        <v>66</v>
      </c>
      <c r="M662" s="27" t="s">
        <v>178</v>
      </c>
      <c r="N662" s="27" t="s">
        <v>2640</v>
      </c>
      <c r="O662" s="27" t="s">
        <v>179</v>
      </c>
      <c r="P662" s="27" t="s">
        <v>54</v>
      </c>
      <c r="Q662" s="27" t="n">
        <v>0</v>
      </c>
      <c r="R662" s="27" t="s">
        <v>180</v>
      </c>
      <c r="S662" s="27" t="s">
        <v>41</v>
      </c>
      <c r="T662" s="27" t="s">
        <v>42</v>
      </c>
      <c r="U662" s="27" t="s">
        <v>178</v>
      </c>
      <c r="V662" s="27"/>
      <c r="W662" s="27"/>
      <c r="X662" s="27"/>
      <c r="Y662" s="27" t="s">
        <v>3171</v>
      </c>
      <c r="Z662" s="27" t="n">
        <v>-7.2172065</v>
      </c>
      <c r="AA662" s="27" t="n">
        <v>-48.2456185</v>
      </c>
      <c r="AB662" s="37" t="s">
        <v>2338</v>
      </c>
      <c r="AC662" s="27" t="s">
        <v>3172</v>
      </c>
    </row>
    <row r="663" customFormat="false" ht="15" hidden="false" customHeight="false" outlineLevel="0" collapsed="false">
      <c r="A663" s="27" t="n">
        <v>662</v>
      </c>
      <c r="B663" s="27" t="s">
        <v>1975</v>
      </c>
      <c r="C663" s="27" t="s">
        <v>3180</v>
      </c>
      <c r="D663" s="27" t="s">
        <v>1974</v>
      </c>
      <c r="E663" s="27" t="s">
        <v>1976</v>
      </c>
      <c r="F663" s="32" t="n">
        <v>49.0078211887454</v>
      </c>
      <c r="G663" s="28" t="n">
        <v>2906.19470492615</v>
      </c>
      <c r="H663" s="28" t="n">
        <v>71.1757274722386</v>
      </c>
      <c r="I663" s="7" t="s">
        <v>24</v>
      </c>
      <c r="J663" s="27" t="s">
        <v>303</v>
      </c>
      <c r="K663" s="27" t="s">
        <v>534</v>
      </c>
      <c r="L663" s="27" t="n">
        <v>66</v>
      </c>
      <c r="M663" s="27" t="s">
        <v>178</v>
      </c>
      <c r="N663" s="27" t="s">
        <v>2640</v>
      </c>
      <c r="O663" s="27" t="s">
        <v>179</v>
      </c>
      <c r="P663" s="27" t="s">
        <v>54</v>
      </c>
      <c r="Q663" s="27" t="n">
        <v>0</v>
      </c>
      <c r="R663" s="27"/>
      <c r="S663" s="27" t="s">
        <v>41</v>
      </c>
      <c r="T663" s="27" t="s">
        <v>42</v>
      </c>
      <c r="U663" s="27" t="s">
        <v>178</v>
      </c>
      <c r="V663" s="27"/>
      <c r="W663" s="27"/>
      <c r="X663" s="27"/>
      <c r="Y663" s="27" t="s">
        <v>3171</v>
      </c>
      <c r="Z663" s="27" t="n">
        <v>-7.2170025</v>
      </c>
      <c r="AA663" s="27" t="n">
        <v>-48.245482</v>
      </c>
      <c r="AB663" s="37" t="s">
        <v>2338</v>
      </c>
      <c r="AC663" s="27" t="s">
        <v>3172</v>
      </c>
    </row>
    <row r="664" customFormat="false" ht="15" hidden="false" customHeight="false" outlineLevel="0" collapsed="false">
      <c r="A664" s="27" t="n">
        <v>663</v>
      </c>
      <c r="B664" s="27" t="s">
        <v>1977</v>
      </c>
      <c r="C664" s="27" t="s">
        <v>3181</v>
      </c>
      <c r="D664" s="27" t="s">
        <v>1976</v>
      </c>
      <c r="E664" s="27" t="s">
        <v>1978</v>
      </c>
      <c r="F664" s="32" t="n">
        <v>100.217162896714</v>
      </c>
      <c r="G664" s="28" t="n">
        <v>3006.41186782286</v>
      </c>
      <c r="H664" s="28" t="n">
        <v>171.392890368952</v>
      </c>
      <c r="I664" s="7" t="s">
        <v>24</v>
      </c>
      <c r="J664" s="27" t="s">
        <v>303</v>
      </c>
      <c r="K664" s="27" t="s">
        <v>534</v>
      </c>
      <c r="L664" s="27" t="n">
        <v>66</v>
      </c>
      <c r="M664" s="27" t="s">
        <v>178</v>
      </c>
      <c r="N664" s="27" t="s">
        <v>2640</v>
      </c>
      <c r="O664" s="27" t="s">
        <v>179</v>
      </c>
      <c r="P664" s="27" t="s">
        <v>54</v>
      </c>
      <c r="Q664" s="27" t="n">
        <v>0</v>
      </c>
      <c r="R664" s="27"/>
      <c r="S664" s="27" t="s">
        <v>41</v>
      </c>
      <c r="T664" s="27" t="s">
        <v>42</v>
      </c>
      <c r="U664" s="27" t="s">
        <v>178</v>
      </c>
      <c r="V664" s="27"/>
      <c r="W664" s="27"/>
      <c r="X664" s="27"/>
      <c r="Y664" s="27" t="s">
        <v>3171</v>
      </c>
      <c r="Z664" s="27" t="n">
        <v>-7.216412</v>
      </c>
      <c r="AA664" s="27" t="n">
        <v>-48.245164</v>
      </c>
      <c r="AB664" s="37" t="s">
        <v>2338</v>
      </c>
      <c r="AC664" s="27" t="s">
        <v>3172</v>
      </c>
    </row>
    <row r="665" customFormat="false" ht="15" hidden="false" customHeight="false" outlineLevel="0" collapsed="false">
      <c r="A665" s="27" t="n">
        <v>664</v>
      </c>
      <c r="B665" s="27" t="s">
        <v>1979</v>
      </c>
      <c r="C665" s="27" t="s">
        <v>3182</v>
      </c>
      <c r="D665" s="27" t="s">
        <v>1978</v>
      </c>
      <c r="E665" s="27" t="s">
        <v>1980</v>
      </c>
      <c r="F665" s="32" t="n">
        <v>40.1270499601542</v>
      </c>
      <c r="G665" s="28" t="n">
        <v>3046.53891778302</v>
      </c>
      <c r="H665" s="28" t="n">
        <v>211.519940329106</v>
      </c>
      <c r="I665" s="7" t="s">
        <v>24</v>
      </c>
      <c r="J665" s="27" t="s">
        <v>303</v>
      </c>
      <c r="K665" s="27" t="s">
        <v>534</v>
      </c>
      <c r="L665" s="27" t="n">
        <v>66</v>
      </c>
      <c r="M665" s="27" t="s">
        <v>178</v>
      </c>
      <c r="N665" s="27" t="s">
        <v>2640</v>
      </c>
      <c r="O665" s="27" t="s">
        <v>179</v>
      </c>
      <c r="P665" s="27" t="s">
        <v>54</v>
      </c>
      <c r="Q665" s="27" t="n">
        <v>0</v>
      </c>
      <c r="R665" s="27"/>
      <c r="S665" s="27" t="s">
        <v>41</v>
      </c>
      <c r="T665" s="27" t="s">
        <v>42</v>
      </c>
      <c r="U665" s="27" t="s">
        <v>178</v>
      </c>
      <c r="V665" s="27"/>
      <c r="W665" s="27"/>
      <c r="X665" s="27"/>
      <c r="Y665" s="27" t="s">
        <v>3171</v>
      </c>
      <c r="Z665" s="27" t="n">
        <v>-7.215842</v>
      </c>
      <c r="AA665" s="27" t="n">
        <v>-48.244891</v>
      </c>
      <c r="AB665" s="37" t="s">
        <v>2338</v>
      </c>
      <c r="AC665" s="27" t="s">
        <v>3172</v>
      </c>
    </row>
    <row r="666" customFormat="false" ht="15" hidden="false" customHeight="false" outlineLevel="0" collapsed="false">
      <c r="A666" s="27" t="n">
        <v>665</v>
      </c>
      <c r="B666" s="27" t="s">
        <v>1981</v>
      </c>
      <c r="C666" s="27" t="s">
        <v>3183</v>
      </c>
      <c r="D666" s="27" t="s">
        <v>761</v>
      </c>
      <c r="E666" s="27" t="s">
        <v>1982</v>
      </c>
      <c r="F666" s="32" t="n">
        <v>1.29239739029268</v>
      </c>
      <c r="G666" s="28" t="n">
        <v>2971.91051783729</v>
      </c>
      <c r="H666" s="28" t="n">
        <v>1283.22447461035</v>
      </c>
      <c r="I666" s="6" t="s">
        <v>23</v>
      </c>
      <c r="J666" s="27" t="s">
        <v>303</v>
      </c>
      <c r="K666" s="27" t="s">
        <v>540</v>
      </c>
      <c r="L666" s="27" t="n">
        <v>67</v>
      </c>
      <c r="M666" s="27" t="s">
        <v>42</v>
      </c>
      <c r="N666" s="27" t="s">
        <v>2385</v>
      </c>
      <c r="O666" s="27" t="s">
        <v>183</v>
      </c>
      <c r="P666" s="27" t="s">
        <v>183</v>
      </c>
      <c r="Q666" s="27" t="n">
        <v>1</v>
      </c>
      <c r="R666" s="27"/>
      <c r="S666" s="27" t="s">
        <v>41</v>
      </c>
      <c r="T666" s="27" t="s">
        <v>42</v>
      </c>
      <c r="U666" s="27"/>
      <c r="V666" s="27"/>
      <c r="W666" s="27"/>
      <c r="X666" s="27"/>
      <c r="Y666" s="27" t="s">
        <v>2387</v>
      </c>
      <c r="Z666" s="27" t="n">
        <v>-7.218243</v>
      </c>
      <c r="AA666" s="27" t="n">
        <v>-48.2462125</v>
      </c>
      <c r="AB666" s="37" t="s">
        <v>2338</v>
      </c>
      <c r="AC666" s="27" t="s">
        <v>2388</v>
      </c>
    </row>
    <row r="667" customFormat="false" ht="15" hidden="false" customHeight="false" outlineLevel="0" collapsed="false">
      <c r="A667" s="27" t="n">
        <v>666</v>
      </c>
      <c r="B667" s="27" t="s">
        <v>1983</v>
      </c>
      <c r="C667" s="27" t="s">
        <v>3184</v>
      </c>
      <c r="D667" s="27" t="s">
        <v>1982</v>
      </c>
      <c r="E667" s="27" t="s">
        <v>1984</v>
      </c>
      <c r="F667" s="32" t="n">
        <v>11.6899528374572</v>
      </c>
      <c r="G667" s="28" t="n">
        <v>2983.60047067475</v>
      </c>
      <c r="H667" s="28" t="n">
        <v>11.689952837457</v>
      </c>
      <c r="I667" s="7" t="s">
        <v>24</v>
      </c>
      <c r="J667" s="27" t="s">
        <v>303</v>
      </c>
      <c r="K667" s="27" t="s">
        <v>540</v>
      </c>
      <c r="L667" s="27" t="n">
        <v>68</v>
      </c>
      <c r="M667" s="27" t="s">
        <v>183</v>
      </c>
      <c r="N667" s="27" t="s">
        <v>2635</v>
      </c>
      <c r="O667" s="27" t="s">
        <v>184</v>
      </c>
      <c r="P667" s="27" t="s">
        <v>54</v>
      </c>
      <c r="Q667" s="27" t="n">
        <v>0</v>
      </c>
      <c r="R667" s="27"/>
      <c r="S667" s="27" t="s">
        <v>41</v>
      </c>
      <c r="T667" s="27" t="s">
        <v>42</v>
      </c>
      <c r="U667" s="27" t="s">
        <v>183</v>
      </c>
      <c r="V667" s="27"/>
      <c r="W667" s="27"/>
      <c r="X667" s="27"/>
      <c r="Y667" s="27" t="s">
        <v>3185</v>
      </c>
      <c r="Z667" s="27" t="n">
        <v>-7.218265</v>
      </c>
      <c r="AA667" s="27" t="n">
        <v>-48.246158</v>
      </c>
      <c r="AB667" s="37" t="s">
        <v>2338</v>
      </c>
      <c r="AC667" s="27" t="s">
        <v>3186</v>
      </c>
    </row>
    <row r="668" customFormat="false" ht="15" hidden="false" customHeight="false" outlineLevel="0" collapsed="false">
      <c r="A668" s="27" t="n">
        <v>667</v>
      </c>
      <c r="B668" s="27" t="s">
        <v>1985</v>
      </c>
      <c r="C668" s="27" t="s">
        <v>3187</v>
      </c>
      <c r="D668" s="27" t="s">
        <v>1984</v>
      </c>
      <c r="E668" s="27" t="s">
        <v>1986</v>
      </c>
      <c r="F668" s="32" t="n">
        <v>18.0391385811871</v>
      </c>
      <c r="G668" s="28" t="n">
        <v>3001.63960925594</v>
      </c>
      <c r="H668" s="28" t="n">
        <v>29.7290914186442</v>
      </c>
      <c r="I668" s="7" t="s">
        <v>24</v>
      </c>
      <c r="J668" s="27" t="s">
        <v>303</v>
      </c>
      <c r="K668" s="27" t="s">
        <v>540</v>
      </c>
      <c r="L668" s="27" t="n">
        <v>68</v>
      </c>
      <c r="M668" s="27" t="s">
        <v>183</v>
      </c>
      <c r="N668" s="27" t="s">
        <v>2635</v>
      </c>
      <c r="O668" s="27" t="s">
        <v>184</v>
      </c>
      <c r="P668" s="27" t="s">
        <v>54</v>
      </c>
      <c r="Q668" s="27" t="n">
        <v>0</v>
      </c>
      <c r="R668" s="27"/>
      <c r="S668" s="27" t="s">
        <v>41</v>
      </c>
      <c r="T668" s="27" t="s">
        <v>42</v>
      </c>
      <c r="U668" s="27" t="s">
        <v>183</v>
      </c>
      <c r="V668" s="27"/>
      <c r="W668" s="27"/>
      <c r="X668" s="27"/>
      <c r="Y668" s="27" t="s">
        <v>3185</v>
      </c>
      <c r="Z668" s="27" t="n">
        <v>-7.2182915</v>
      </c>
      <c r="AA668" s="27" t="n">
        <v>-48.2460275</v>
      </c>
      <c r="AB668" s="37" t="s">
        <v>2338</v>
      </c>
      <c r="AC668" s="27" t="s">
        <v>3186</v>
      </c>
    </row>
    <row r="669" customFormat="false" ht="15" hidden="false" customHeight="false" outlineLevel="0" collapsed="false">
      <c r="A669" s="27" t="n">
        <v>668</v>
      </c>
      <c r="B669" s="27" t="s">
        <v>1987</v>
      </c>
      <c r="C669" s="27" t="s">
        <v>3188</v>
      </c>
      <c r="D669" s="27" t="s">
        <v>763</v>
      </c>
      <c r="E669" s="27" t="s">
        <v>1988</v>
      </c>
      <c r="F669" s="32" t="n">
        <v>36.0953841158698</v>
      </c>
      <c r="G669" s="28" t="n">
        <v>3098.87034395752</v>
      </c>
      <c r="H669" s="28" t="n">
        <v>1410.18430073057</v>
      </c>
      <c r="I669" s="6" t="s">
        <v>23</v>
      </c>
      <c r="J669" s="27" t="s">
        <v>303</v>
      </c>
      <c r="K669" s="27" t="s">
        <v>541</v>
      </c>
      <c r="L669" s="27" t="n">
        <v>69</v>
      </c>
      <c r="M669" s="27" t="s">
        <v>42</v>
      </c>
      <c r="N669" s="27" t="s">
        <v>2385</v>
      </c>
      <c r="O669" s="27" t="s">
        <v>187</v>
      </c>
      <c r="P669" s="27" t="s">
        <v>3189</v>
      </c>
      <c r="Q669" s="27" t="n">
        <v>2</v>
      </c>
      <c r="R669" s="27"/>
      <c r="S669" s="27" t="s">
        <v>41</v>
      </c>
      <c r="T669" s="27" t="s">
        <v>42</v>
      </c>
      <c r="U669" s="27"/>
      <c r="V669" s="27"/>
      <c r="W669" s="27"/>
      <c r="X669" s="27"/>
      <c r="Y669" s="27" t="s">
        <v>2387</v>
      </c>
      <c r="Z669" s="27" t="n">
        <v>-7.2191395</v>
      </c>
      <c r="AA669" s="27" t="n">
        <v>-48.2466395</v>
      </c>
      <c r="AB669" s="37" t="s">
        <v>2338</v>
      </c>
      <c r="AC669" s="27" t="s">
        <v>2388</v>
      </c>
    </row>
    <row r="670" customFormat="false" ht="15" hidden="false" customHeight="false" outlineLevel="0" collapsed="false">
      <c r="A670" s="27" t="n">
        <v>669</v>
      </c>
      <c r="B670" s="27" t="s">
        <v>1989</v>
      </c>
      <c r="C670" s="27" t="s">
        <v>3190</v>
      </c>
      <c r="D670" s="27" t="s">
        <v>1988</v>
      </c>
      <c r="E670" s="27" t="s">
        <v>1990</v>
      </c>
      <c r="F670" s="32" t="n">
        <v>35.216712169066</v>
      </c>
      <c r="G670" s="28" t="n">
        <v>3134.08705612658</v>
      </c>
      <c r="H670" s="28" t="n">
        <v>1445.40101289964</v>
      </c>
      <c r="I670" s="6" t="s">
        <v>23</v>
      </c>
      <c r="J670" s="27" t="s">
        <v>303</v>
      </c>
      <c r="K670" s="27" t="s">
        <v>541</v>
      </c>
      <c r="L670" s="27" t="n">
        <v>69</v>
      </c>
      <c r="M670" s="27" t="s">
        <v>42</v>
      </c>
      <c r="N670" s="27" t="s">
        <v>2385</v>
      </c>
      <c r="O670" s="27" t="s">
        <v>187</v>
      </c>
      <c r="P670" s="27" t="s">
        <v>3189</v>
      </c>
      <c r="Q670" s="27" t="n">
        <v>2</v>
      </c>
      <c r="R670" s="27"/>
      <c r="S670" s="27" t="s">
        <v>41</v>
      </c>
      <c r="T670" s="27" t="s">
        <v>42</v>
      </c>
      <c r="U670" s="27"/>
      <c r="V670" s="27"/>
      <c r="W670" s="27"/>
      <c r="X670" s="27"/>
      <c r="Y670" s="27" t="s">
        <v>2387</v>
      </c>
      <c r="Z670" s="27" t="n">
        <v>-7.2194285</v>
      </c>
      <c r="AA670" s="27" t="n">
        <v>-48.2467795</v>
      </c>
      <c r="AB670" s="37" t="s">
        <v>2338</v>
      </c>
      <c r="AC670" s="27" t="s">
        <v>2388</v>
      </c>
    </row>
    <row r="671" customFormat="false" ht="15" hidden="false" customHeight="false" outlineLevel="0" collapsed="false">
      <c r="A671" s="27" t="n">
        <v>670</v>
      </c>
      <c r="B671" s="27" t="s">
        <v>1991</v>
      </c>
      <c r="C671" s="27" t="s">
        <v>3191</v>
      </c>
      <c r="D671" s="27" t="s">
        <v>1990</v>
      </c>
      <c r="E671" s="27" t="s">
        <v>1992</v>
      </c>
      <c r="F671" s="32" t="n">
        <v>1.96913990764215</v>
      </c>
      <c r="G671" s="28" t="n">
        <v>3136.05619603423</v>
      </c>
      <c r="H671" s="28" t="n">
        <v>1447.37015280728</v>
      </c>
      <c r="I671" s="6" t="s">
        <v>23</v>
      </c>
      <c r="J671" s="27" t="s">
        <v>303</v>
      </c>
      <c r="K671" s="27" t="s">
        <v>541</v>
      </c>
      <c r="L671" s="27" t="n">
        <v>69</v>
      </c>
      <c r="M671" s="27" t="s">
        <v>42</v>
      </c>
      <c r="N671" s="27" t="s">
        <v>2385</v>
      </c>
      <c r="O671" s="27" t="s">
        <v>187</v>
      </c>
      <c r="P671" s="27" t="s">
        <v>3189</v>
      </c>
      <c r="Q671" s="27" t="n">
        <v>2</v>
      </c>
      <c r="R671" s="27"/>
      <c r="S671" s="27" t="s">
        <v>41</v>
      </c>
      <c r="T671" s="27" t="s">
        <v>42</v>
      </c>
      <c r="U671" s="27"/>
      <c r="V671" s="27"/>
      <c r="W671" s="27"/>
      <c r="X671" s="27"/>
      <c r="Y671" s="27" t="s">
        <v>2387</v>
      </c>
      <c r="Z671" s="27" t="n">
        <v>-7.2195805</v>
      </c>
      <c r="AA671" s="27" t="n">
        <v>-48.2468495</v>
      </c>
      <c r="AB671" s="37" t="s">
        <v>2338</v>
      </c>
      <c r="AC671" s="27" t="s">
        <v>2388</v>
      </c>
    </row>
    <row r="672" customFormat="false" ht="15" hidden="false" customHeight="false" outlineLevel="0" collapsed="false">
      <c r="A672" s="27" t="n">
        <v>671</v>
      </c>
      <c r="B672" s="27" t="s">
        <v>1993</v>
      </c>
      <c r="C672" s="27" t="s">
        <v>3192</v>
      </c>
      <c r="D672" s="27" t="s">
        <v>1992</v>
      </c>
      <c r="E672" s="27" t="s">
        <v>1994</v>
      </c>
      <c r="F672" s="32" t="n">
        <v>147.423772660127</v>
      </c>
      <c r="G672" s="28" t="n">
        <v>3283.47996869435</v>
      </c>
      <c r="H672" s="28" t="n">
        <v>1594.79392546741</v>
      </c>
      <c r="I672" s="6" t="s">
        <v>23</v>
      </c>
      <c r="J672" s="27" t="s">
        <v>303</v>
      </c>
      <c r="K672" s="27" t="s">
        <v>541</v>
      </c>
      <c r="L672" s="27" t="n">
        <v>69</v>
      </c>
      <c r="M672" s="27" t="s">
        <v>42</v>
      </c>
      <c r="N672" s="27" t="s">
        <v>2385</v>
      </c>
      <c r="O672" s="27" t="s">
        <v>187</v>
      </c>
      <c r="P672" s="27" t="s">
        <v>3189</v>
      </c>
      <c r="Q672" s="27" t="n">
        <v>2</v>
      </c>
      <c r="R672" s="27"/>
      <c r="S672" s="27" t="s">
        <v>41</v>
      </c>
      <c r="T672" s="27" t="s">
        <v>42</v>
      </c>
      <c r="U672" s="27"/>
      <c r="V672" s="27"/>
      <c r="W672" s="27"/>
      <c r="X672" s="27"/>
      <c r="Y672" s="27" t="s">
        <v>2387</v>
      </c>
      <c r="Z672" s="27" t="n">
        <v>-7.2201945</v>
      </c>
      <c r="AA672" s="27" t="n">
        <v>-48.247124</v>
      </c>
      <c r="AB672" s="37" t="s">
        <v>2338</v>
      </c>
      <c r="AC672" s="27" t="s">
        <v>2388</v>
      </c>
    </row>
    <row r="673" customFormat="false" ht="15" hidden="false" customHeight="false" outlineLevel="0" collapsed="false">
      <c r="A673" s="27" t="n">
        <v>672</v>
      </c>
      <c r="B673" s="27" t="s">
        <v>1995</v>
      </c>
      <c r="C673" s="27" t="s">
        <v>3193</v>
      </c>
      <c r="D673" s="27" t="s">
        <v>1994</v>
      </c>
      <c r="E673" s="27" t="s">
        <v>1996</v>
      </c>
      <c r="F673" s="32" t="n">
        <v>3.57894908117714</v>
      </c>
      <c r="G673" s="28" t="n">
        <v>3287.05891777553</v>
      </c>
      <c r="H673" s="28" t="n">
        <v>1598.37287454859</v>
      </c>
      <c r="I673" s="6" t="s">
        <v>23</v>
      </c>
      <c r="J673" s="27" t="s">
        <v>303</v>
      </c>
      <c r="K673" s="27" t="s">
        <v>541</v>
      </c>
      <c r="L673" s="27" t="n">
        <v>69</v>
      </c>
      <c r="M673" s="27" t="s">
        <v>42</v>
      </c>
      <c r="N673" s="27" t="s">
        <v>2385</v>
      </c>
      <c r="O673" s="27" t="s">
        <v>187</v>
      </c>
      <c r="P673" s="27" t="s">
        <v>3189</v>
      </c>
      <c r="Q673" s="27" t="n">
        <v>2</v>
      </c>
      <c r="R673" s="27"/>
      <c r="S673" s="27" t="s">
        <v>41</v>
      </c>
      <c r="T673" s="27" t="s">
        <v>42</v>
      </c>
      <c r="U673" s="27"/>
      <c r="V673" s="27"/>
      <c r="W673" s="27"/>
      <c r="X673" s="27"/>
      <c r="Y673" s="27" t="s">
        <v>2387</v>
      </c>
      <c r="Z673" s="27" t="n">
        <v>-7.220814</v>
      </c>
      <c r="AA673" s="27" t="n">
        <v>-48.247404</v>
      </c>
      <c r="AB673" s="37" t="s">
        <v>2338</v>
      </c>
      <c r="AC673" s="27" t="s">
        <v>2388</v>
      </c>
    </row>
    <row r="674" customFormat="false" ht="15" hidden="false" customHeight="false" outlineLevel="0" collapsed="false">
      <c r="A674" s="27" t="n">
        <v>673</v>
      </c>
      <c r="B674" s="27" t="s">
        <v>1997</v>
      </c>
      <c r="C674" s="27" t="s">
        <v>3194</v>
      </c>
      <c r="D674" s="27" t="s">
        <v>1996</v>
      </c>
      <c r="E674" s="27" t="s">
        <v>1998</v>
      </c>
      <c r="F674" s="32" t="n">
        <v>38.471101113904</v>
      </c>
      <c r="G674" s="28" t="n">
        <v>3325.53001888943</v>
      </c>
      <c r="H674" s="28" t="n">
        <v>1636.84397566249</v>
      </c>
      <c r="I674" s="6" t="s">
        <v>23</v>
      </c>
      <c r="J674" s="27" t="s">
        <v>303</v>
      </c>
      <c r="K674" s="27" t="s">
        <v>541</v>
      </c>
      <c r="L674" s="27" t="n">
        <v>69</v>
      </c>
      <c r="M674" s="27" t="s">
        <v>42</v>
      </c>
      <c r="N674" s="27" t="s">
        <v>2385</v>
      </c>
      <c r="O674" s="27" t="s">
        <v>187</v>
      </c>
      <c r="P674" s="27" t="s">
        <v>3189</v>
      </c>
      <c r="Q674" s="27" t="n">
        <v>2</v>
      </c>
      <c r="R674" s="27"/>
      <c r="S674" s="27" t="s">
        <v>41</v>
      </c>
      <c r="T674" s="27" t="s">
        <v>42</v>
      </c>
      <c r="U674" s="27"/>
      <c r="V674" s="27"/>
      <c r="W674" s="27"/>
      <c r="X674" s="27"/>
      <c r="Y674" s="27" t="s">
        <v>2387</v>
      </c>
      <c r="Z674" s="27" t="n">
        <v>-7.220986</v>
      </c>
      <c r="AA674" s="27" t="n">
        <v>-48.247483</v>
      </c>
      <c r="AB674" s="37" t="s">
        <v>2338</v>
      </c>
      <c r="AC674" s="27" t="s">
        <v>2388</v>
      </c>
    </row>
    <row r="675" customFormat="false" ht="15" hidden="false" customHeight="false" outlineLevel="0" collapsed="false">
      <c r="A675" s="27" t="n">
        <v>674</v>
      </c>
      <c r="B675" s="27" t="s">
        <v>1999</v>
      </c>
      <c r="C675" s="27" t="s">
        <v>3195</v>
      </c>
      <c r="D675" s="27" t="s">
        <v>1998</v>
      </c>
      <c r="E675" s="27" t="s">
        <v>2000</v>
      </c>
      <c r="F675" s="32" t="n">
        <v>2.43705351331365</v>
      </c>
      <c r="G675" s="28" t="n">
        <v>3327.96707240275</v>
      </c>
      <c r="H675" s="28" t="n">
        <v>1639.2810291758</v>
      </c>
      <c r="I675" s="6" t="s">
        <v>23</v>
      </c>
      <c r="J675" s="27" t="s">
        <v>303</v>
      </c>
      <c r="K675" s="27" t="s">
        <v>541</v>
      </c>
      <c r="L675" s="27" t="n">
        <v>69</v>
      </c>
      <c r="M675" s="27" t="s">
        <v>42</v>
      </c>
      <c r="N675" s="27" t="s">
        <v>2385</v>
      </c>
      <c r="O675" s="27" t="s">
        <v>187</v>
      </c>
      <c r="P675" s="27" t="s">
        <v>54</v>
      </c>
      <c r="Q675" s="27" t="n">
        <v>0</v>
      </c>
      <c r="R675" s="27"/>
      <c r="S675" s="27" t="s">
        <v>41</v>
      </c>
      <c r="T675" s="27" t="s">
        <v>42</v>
      </c>
      <c r="U675" s="27"/>
      <c r="V675" s="27"/>
      <c r="W675" s="27"/>
      <c r="X675" s="27"/>
      <c r="Y675" s="27" t="s">
        <v>2387</v>
      </c>
      <c r="Z675" s="27" t="n">
        <v>-7.221143</v>
      </c>
      <c r="AA675" s="27" t="n">
        <v>-48.247543</v>
      </c>
      <c r="AB675" s="37" t="s">
        <v>2338</v>
      </c>
      <c r="AC675" s="27" t="s">
        <v>2388</v>
      </c>
    </row>
    <row r="676" customFormat="false" ht="15" hidden="false" customHeight="false" outlineLevel="0" collapsed="false">
      <c r="A676" s="27" t="n">
        <v>675</v>
      </c>
      <c r="B676" s="27" t="s">
        <v>2001</v>
      </c>
      <c r="C676" s="27" t="s">
        <v>3196</v>
      </c>
      <c r="D676" s="27" t="s">
        <v>2000</v>
      </c>
      <c r="E676" s="27" t="s">
        <v>2002</v>
      </c>
      <c r="F676" s="32" t="n">
        <v>3.16333241878164</v>
      </c>
      <c r="G676" s="28" t="n">
        <v>3331.13040482153</v>
      </c>
      <c r="H676" s="28" t="n">
        <v>1642.44436159458</v>
      </c>
      <c r="I676" s="6" t="s">
        <v>23</v>
      </c>
      <c r="J676" s="27" t="s">
        <v>303</v>
      </c>
      <c r="K676" s="27" t="s">
        <v>541</v>
      </c>
      <c r="L676" s="27" t="n">
        <v>69</v>
      </c>
      <c r="M676" s="27" t="s">
        <v>42</v>
      </c>
      <c r="N676" s="27" t="s">
        <v>2385</v>
      </c>
      <c r="O676" s="27" t="s">
        <v>187</v>
      </c>
      <c r="P676" s="27" t="s">
        <v>54</v>
      </c>
      <c r="Q676" s="27" t="n">
        <v>0</v>
      </c>
      <c r="R676" s="27"/>
      <c r="S676" s="27" t="s">
        <v>41</v>
      </c>
      <c r="T676" s="27" t="s">
        <v>42</v>
      </c>
      <c r="U676" s="27"/>
      <c r="V676" s="27"/>
      <c r="W676" s="27"/>
      <c r="X676" s="27"/>
      <c r="Y676" s="27" t="s">
        <v>2387</v>
      </c>
      <c r="Z676" s="27" t="n">
        <v>-7.221148</v>
      </c>
      <c r="AA676" s="27" t="n">
        <v>-48.247519</v>
      </c>
      <c r="AB676" s="37" t="s">
        <v>2338</v>
      </c>
      <c r="AC676" s="27" t="s">
        <v>2388</v>
      </c>
    </row>
    <row r="677" customFormat="false" ht="15" hidden="false" customHeight="false" outlineLevel="0" collapsed="false">
      <c r="A677" s="27" t="n">
        <v>676</v>
      </c>
      <c r="B677" s="27" t="s">
        <v>2003</v>
      </c>
      <c r="C677" s="27" t="s">
        <v>3197</v>
      </c>
      <c r="D677" s="27" t="s">
        <v>2002</v>
      </c>
      <c r="E677" s="27" t="s">
        <v>2004</v>
      </c>
      <c r="F677" s="32" t="n">
        <v>2.32260639791101</v>
      </c>
      <c r="G677" s="28" t="n">
        <v>3333.45301121944</v>
      </c>
      <c r="H677" s="28" t="n">
        <v>1644.7669679925</v>
      </c>
      <c r="I677" s="6" t="s">
        <v>23</v>
      </c>
      <c r="J677" s="27" t="s">
        <v>303</v>
      </c>
      <c r="K677" s="27" t="s">
        <v>541</v>
      </c>
      <c r="L677" s="27" t="n">
        <v>69</v>
      </c>
      <c r="M677" s="27" t="s">
        <v>42</v>
      </c>
      <c r="N677" s="27" t="s">
        <v>2385</v>
      </c>
      <c r="O677" s="27" t="s">
        <v>187</v>
      </c>
      <c r="P677" s="27" t="s">
        <v>54</v>
      </c>
      <c r="Q677" s="27" t="n">
        <v>0</v>
      </c>
      <c r="R677" s="27"/>
      <c r="S677" s="27" t="s">
        <v>41</v>
      </c>
      <c r="T677" s="27" t="s">
        <v>42</v>
      </c>
      <c r="U677" s="27"/>
      <c r="V677" s="27"/>
      <c r="W677" s="27"/>
      <c r="X677" s="27"/>
      <c r="Y677" s="27" t="s">
        <v>2387</v>
      </c>
      <c r="Z677" s="27" t="n">
        <v>-7.2211585</v>
      </c>
      <c r="AA677" s="27" t="n">
        <v>-48.2474965</v>
      </c>
      <c r="AB677" s="37" t="s">
        <v>2338</v>
      </c>
      <c r="AC677" s="27" t="s">
        <v>2388</v>
      </c>
    </row>
    <row r="678" customFormat="false" ht="15" hidden="false" customHeight="false" outlineLevel="0" collapsed="false">
      <c r="A678" s="27" t="n">
        <v>677</v>
      </c>
      <c r="B678" s="27" t="s">
        <v>2005</v>
      </c>
      <c r="C678" s="27" t="s">
        <v>3198</v>
      </c>
      <c r="D678" s="27" t="s">
        <v>2004</v>
      </c>
      <c r="E678" s="27" t="s">
        <v>2006</v>
      </c>
      <c r="F678" s="32" t="n">
        <v>163.236423539953</v>
      </c>
      <c r="G678" s="28" t="n">
        <v>3496.68943475939</v>
      </c>
      <c r="H678" s="28" t="n">
        <v>1808.00339153245</v>
      </c>
      <c r="I678" s="6" t="s">
        <v>23</v>
      </c>
      <c r="J678" s="27" t="s">
        <v>303</v>
      </c>
      <c r="K678" s="27" t="s">
        <v>541</v>
      </c>
      <c r="L678" s="27" t="n">
        <v>69</v>
      </c>
      <c r="M678" s="27" t="s">
        <v>42</v>
      </c>
      <c r="N678" s="27" t="s">
        <v>2385</v>
      </c>
      <c r="O678" s="27" t="s">
        <v>187</v>
      </c>
      <c r="P678" s="27" t="s">
        <v>54</v>
      </c>
      <c r="Q678" s="27" t="n">
        <v>0</v>
      </c>
      <c r="R678" s="27"/>
      <c r="S678" s="27" t="s">
        <v>41</v>
      </c>
      <c r="T678" s="27" t="s">
        <v>42</v>
      </c>
      <c r="U678" s="27"/>
      <c r="V678" s="27"/>
      <c r="W678" s="27"/>
      <c r="X678" s="27"/>
      <c r="Y678" s="27" t="s">
        <v>2387</v>
      </c>
      <c r="Z678" s="27" t="n">
        <v>-7.2214765</v>
      </c>
      <c r="AA678" s="27" t="n">
        <v>-48.246818</v>
      </c>
      <c r="AB678" s="37" t="s">
        <v>2338</v>
      </c>
      <c r="AC678" s="27" t="s">
        <v>2388</v>
      </c>
    </row>
    <row r="679" customFormat="false" ht="15" hidden="false" customHeight="false" outlineLevel="0" collapsed="false">
      <c r="A679" s="27" t="n">
        <v>678</v>
      </c>
      <c r="B679" s="27" t="s">
        <v>2007</v>
      </c>
      <c r="C679" s="27" t="s">
        <v>3199</v>
      </c>
      <c r="D679" s="27" t="s">
        <v>2006</v>
      </c>
      <c r="E679" s="27" t="s">
        <v>2008</v>
      </c>
      <c r="F679" s="32" t="n">
        <v>3.21981705077816</v>
      </c>
      <c r="G679" s="28" t="n">
        <v>3499.90925181017</v>
      </c>
      <c r="H679" s="28" t="n">
        <v>1811.22320858323</v>
      </c>
      <c r="I679" s="6" t="s">
        <v>23</v>
      </c>
      <c r="J679" s="27" t="s">
        <v>303</v>
      </c>
      <c r="K679" s="27" t="s">
        <v>541</v>
      </c>
      <c r="L679" s="27" t="n">
        <v>69</v>
      </c>
      <c r="M679" s="27" t="s">
        <v>42</v>
      </c>
      <c r="N679" s="27" t="s">
        <v>2385</v>
      </c>
      <c r="O679" s="27" t="s">
        <v>187</v>
      </c>
      <c r="P679" s="27" t="s">
        <v>54</v>
      </c>
      <c r="Q679" s="27" t="n">
        <v>0</v>
      </c>
      <c r="R679" s="27"/>
      <c r="S679" s="27" t="s">
        <v>41</v>
      </c>
      <c r="T679" s="27" t="s">
        <v>42</v>
      </c>
      <c r="U679" s="27"/>
      <c r="V679" s="27"/>
      <c r="W679" s="27"/>
      <c r="X679" s="27"/>
      <c r="Y679" s="27" t="s">
        <v>2387</v>
      </c>
      <c r="Z679" s="27" t="n">
        <v>-7.2217955</v>
      </c>
      <c r="AA679" s="27" t="n">
        <v>-48.2461355</v>
      </c>
      <c r="AB679" s="37" t="s">
        <v>2338</v>
      </c>
      <c r="AC679" s="27" t="s">
        <v>2388</v>
      </c>
    </row>
    <row r="680" customFormat="false" ht="15" hidden="false" customHeight="false" outlineLevel="0" collapsed="false">
      <c r="A680" s="27" t="n">
        <v>679</v>
      </c>
      <c r="B680" s="27" t="s">
        <v>2009</v>
      </c>
      <c r="C680" s="27" t="s">
        <v>3200</v>
      </c>
      <c r="D680" s="27" t="s">
        <v>2008</v>
      </c>
      <c r="E680" s="27" t="s">
        <v>2010</v>
      </c>
      <c r="F680" s="32" t="n">
        <v>93.471500198348</v>
      </c>
      <c r="G680" s="28" t="n">
        <v>3593.38075200852</v>
      </c>
      <c r="H680" s="28" t="n">
        <v>1904.69470878157</v>
      </c>
      <c r="I680" s="6" t="s">
        <v>23</v>
      </c>
      <c r="J680" s="27" t="s">
        <v>303</v>
      </c>
      <c r="K680" s="27" t="s">
        <v>541</v>
      </c>
      <c r="L680" s="27" t="n">
        <v>69</v>
      </c>
      <c r="M680" s="27" t="s">
        <v>42</v>
      </c>
      <c r="N680" s="27" t="s">
        <v>2385</v>
      </c>
      <c r="O680" s="27" t="s">
        <v>187</v>
      </c>
      <c r="P680" s="27" t="s">
        <v>54</v>
      </c>
      <c r="Q680" s="27" t="n">
        <v>0</v>
      </c>
      <c r="R680" s="27"/>
      <c r="S680" s="27" t="s">
        <v>41</v>
      </c>
      <c r="T680" s="27" t="s">
        <v>42</v>
      </c>
      <c r="U680" s="27"/>
      <c r="V680" s="27"/>
      <c r="W680" s="27"/>
      <c r="X680" s="27"/>
      <c r="Y680" s="27" t="s">
        <v>2387</v>
      </c>
      <c r="Z680" s="27" t="n">
        <v>-7.2219775</v>
      </c>
      <c r="AA680" s="27" t="n">
        <v>-48.2457375</v>
      </c>
      <c r="AB680" s="37" t="s">
        <v>2338</v>
      </c>
      <c r="AC680" s="27" t="s">
        <v>2388</v>
      </c>
    </row>
    <row r="681" customFormat="false" ht="15" hidden="false" customHeight="false" outlineLevel="0" collapsed="false">
      <c r="A681" s="27" t="n">
        <v>680</v>
      </c>
      <c r="B681" s="27" t="s">
        <v>2011</v>
      </c>
      <c r="C681" s="27" t="s">
        <v>3201</v>
      </c>
      <c r="D681" s="27" t="s">
        <v>2010</v>
      </c>
      <c r="E681" s="27" t="s">
        <v>2012</v>
      </c>
      <c r="F681" s="32" t="n">
        <v>3.41027620645026</v>
      </c>
      <c r="G681" s="28" t="n">
        <v>3596.79102821497</v>
      </c>
      <c r="H681" s="28" t="n">
        <v>1908.10498498803</v>
      </c>
      <c r="I681" s="6" t="s">
        <v>23</v>
      </c>
      <c r="J681" s="27" t="s">
        <v>303</v>
      </c>
      <c r="K681" s="27" t="s">
        <v>541</v>
      </c>
      <c r="L681" s="27" t="n">
        <v>69</v>
      </c>
      <c r="M681" s="27" t="s">
        <v>42</v>
      </c>
      <c r="N681" s="27" t="s">
        <v>2385</v>
      </c>
      <c r="O681" s="27" t="s">
        <v>187</v>
      </c>
      <c r="P681" s="27" t="s">
        <v>54</v>
      </c>
      <c r="Q681" s="27" t="n">
        <v>0</v>
      </c>
      <c r="R681" s="27"/>
      <c r="S681" s="27" t="s">
        <v>41</v>
      </c>
      <c r="T681" s="27" t="s">
        <v>42</v>
      </c>
      <c r="U681" s="27"/>
      <c r="V681" s="27"/>
      <c r="W681" s="27"/>
      <c r="X681" s="27"/>
      <c r="Y681" s="27" t="s">
        <v>2387</v>
      </c>
      <c r="Z681" s="27" t="n">
        <v>-7.2221605</v>
      </c>
      <c r="AA681" s="27" t="n">
        <v>-48.245339</v>
      </c>
      <c r="AB681" s="37" t="s">
        <v>2338</v>
      </c>
      <c r="AC681" s="27" t="s">
        <v>2388</v>
      </c>
    </row>
    <row r="682" customFormat="false" ht="15" hidden="false" customHeight="false" outlineLevel="0" collapsed="false">
      <c r="A682" s="27" t="n">
        <v>681</v>
      </c>
      <c r="B682" s="27" t="s">
        <v>2013</v>
      </c>
      <c r="C682" s="27" t="s">
        <v>3202</v>
      </c>
      <c r="D682" s="27" t="s">
        <v>2012</v>
      </c>
      <c r="E682" s="27" t="s">
        <v>2014</v>
      </c>
      <c r="F682" s="32" t="n">
        <v>194.479158210445</v>
      </c>
      <c r="G682" s="28" t="n">
        <v>3791.27018642542</v>
      </c>
      <c r="H682" s="28" t="n">
        <v>2102.58414319847</v>
      </c>
      <c r="I682" s="6" t="s">
        <v>23</v>
      </c>
      <c r="J682" s="27" t="s">
        <v>303</v>
      </c>
      <c r="K682" s="27" t="s">
        <v>541</v>
      </c>
      <c r="L682" s="27" t="n">
        <v>69</v>
      </c>
      <c r="M682" s="27" t="s">
        <v>42</v>
      </c>
      <c r="N682" s="27" t="s">
        <v>2385</v>
      </c>
      <c r="O682" s="27" t="s">
        <v>187</v>
      </c>
      <c r="P682" s="27" t="s">
        <v>54</v>
      </c>
      <c r="Q682" s="27" t="n">
        <v>0</v>
      </c>
      <c r="R682" s="27"/>
      <c r="S682" s="27" t="s">
        <v>41</v>
      </c>
      <c r="T682" s="27" t="s">
        <v>42</v>
      </c>
      <c r="U682" s="27"/>
      <c r="V682" s="27"/>
      <c r="W682" s="27"/>
      <c r="X682" s="27"/>
      <c r="Y682" s="27" t="s">
        <v>2387</v>
      </c>
      <c r="Z682" s="27" t="n">
        <v>-7.222531</v>
      </c>
      <c r="AA682" s="27" t="n">
        <v>-48.2445235</v>
      </c>
      <c r="AB682" s="37" t="s">
        <v>2338</v>
      </c>
      <c r="AC682" s="27" t="s">
        <v>2388</v>
      </c>
    </row>
    <row r="683" customFormat="false" ht="15" hidden="false" customHeight="false" outlineLevel="0" collapsed="false">
      <c r="A683" s="27" t="n">
        <v>682</v>
      </c>
      <c r="B683" s="27" t="s">
        <v>2015</v>
      </c>
      <c r="C683" s="27" t="s">
        <v>3203</v>
      </c>
      <c r="D683" s="27" t="s">
        <v>2014</v>
      </c>
      <c r="E683" s="27" t="s">
        <v>2016</v>
      </c>
      <c r="F683" s="32" t="n">
        <v>2.92008458903075</v>
      </c>
      <c r="G683" s="28" t="n">
        <v>3794.19027101445</v>
      </c>
      <c r="H683" s="28" t="n">
        <v>2105.5042277875</v>
      </c>
      <c r="I683" s="6" t="s">
        <v>23</v>
      </c>
      <c r="J683" s="27" t="s">
        <v>303</v>
      </c>
      <c r="K683" s="27" t="s">
        <v>541</v>
      </c>
      <c r="L683" s="27" t="n">
        <v>69</v>
      </c>
      <c r="M683" s="27" t="s">
        <v>42</v>
      </c>
      <c r="N683" s="27" t="s">
        <v>2385</v>
      </c>
      <c r="O683" s="27" t="s">
        <v>187</v>
      </c>
      <c r="P683" s="27" t="s">
        <v>54</v>
      </c>
      <c r="Q683" s="27" t="n">
        <v>0</v>
      </c>
      <c r="R683" s="27"/>
      <c r="S683" s="27" t="s">
        <v>41</v>
      </c>
      <c r="T683" s="27" t="s">
        <v>42</v>
      </c>
      <c r="U683" s="27"/>
      <c r="V683" s="27"/>
      <c r="W683" s="27"/>
      <c r="X683" s="27"/>
      <c r="Y683" s="27" t="s">
        <v>2387</v>
      </c>
      <c r="Z683" s="27" t="n">
        <v>-7.2229015</v>
      </c>
      <c r="AA683" s="27" t="n">
        <v>-48.2437105</v>
      </c>
      <c r="AB683" s="37" t="s">
        <v>2338</v>
      </c>
      <c r="AC683" s="27" t="s">
        <v>2388</v>
      </c>
    </row>
    <row r="684" customFormat="false" ht="15" hidden="false" customHeight="false" outlineLevel="0" collapsed="false">
      <c r="A684" s="27" t="n">
        <v>683</v>
      </c>
      <c r="B684" s="27" t="s">
        <v>2017</v>
      </c>
      <c r="C684" s="27" t="s">
        <v>3204</v>
      </c>
      <c r="D684" s="27" t="s">
        <v>2016</v>
      </c>
      <c r="E684" s="27" t="s">
        <v>2018</v>
      </c>
      <c r="F684" s="32" t="n">
        <v>204.331880630345</v>
      </c>
      <c r="G684" s="28" t="n">
        <v>3998.52215164479</v>
      </c>
      <c r="H684" s="28" t="n">
        <v>2309.83610841785</v>
      </c>
      <c r="I684" s="6" t="s">
        <v>23</v>
      </c>
      <c r="J684" s="27" t="s">
        <v>303</v>
      </c>
      <c r="K684" s="27" t="s">
        <v>541</v>
      </c>
      <c r="L684" s="27" t="n">
        <v>69</v>
      </c>
      <c r="M684" s="27" t="s">
        <v>42</v>
      </c>
      <c r="N684" s="27" t="s">
        <v>2385</v>
      </c>
      <c r="O684" s="27" t="s">
        <v>187</v>
      </c>
      <c r="P684" s="27" t="s">
        <v>54</v>
      </c>
      <c r="Q684" s="27" t="n">
        <v>0</v>
      </c>
      <c r="R684" s="27"/>
      <c r="S684" s="27" t="s">
        <v>41</v>
      </c>
      <c r="T684" s="27" t="s">
        <v>42</v>
      </c>
      <c r="U684" s="27"/>
      <c r="V684" s="27"/>
      <c r="W684" s="27"/>
      <c r="X684" s="27"/>
      <c r="Y684" s="27" t="s">
        <v>2387</v>
      </c>
      <c r="Z684" s="27" t="n">
        <v>-7.2232885</v>
      </c>
      <c r="AA684" s="27" t="n">
        <v>-48.242856</v>
      </c>
      <c r="AB684" s="37" t="s">
        <v>2338</v>
      </c>
      <c r="AC684" s="27" t="s">
        <v>2388</v>
      </c>
    </row>
    <row r="685" customFormat="false" ht="15" hidden="false" customHeight="false" outlineLevel="0" collapsed="false">
      <c r="A685" s="27" t="n">
        <v>684</v>
      </c>
      <c r="B685" s="27" t="s">
        <v>2019</v>
      </c>
      <c r="C685" s="27" t="s">
        <v>3205</v>
      </c>
      <c r="D685" s="27" t="s">
        <v>2018</v>
      </c>
      <c r="E685" s="27" t="s">
        <v>2020</v>
      </c>
      <c r="F685" s="32" t="n">
        <v>2.81329299593885</v>
      </c>
      <c r="G685" s="28" t="n">
        <v>4001.33544464073</v>
      </c>
      <c r="H685" s="28" t="n">
        <v>2312.64940141378</v>
      </c>
      <c r="I685" s="6" t="s">
        <v>23</v>
      </c>
      <c r="J685" s="27" t="s">
        <v>303</v>
      </c>
      <c r="K685" s="27" t="s">
        <v>541</v>
      </c>
      <c r="L685" s="27" t="n">
        <v>69</v>
      </c>
      <c r="M685" s="27" t="s">
        <v>42</v>
      </c>
      <c r="N685" s="27" t="s">
        <v>2385</v>
      </c>
      <c r="O685" s="27" t="s">
        <v>187</v>
      </c>
      <c r="P685" s="27" t="s">
        <v>54</v>
      </c>
      <c r="Q685" s="27" t="n">
        <v>0</v>
      </c>
      <c r="R685" s="27"/>
      <c r="S685" s="27" t="s">
        <v>41</v>
      </c>
      <c r="T685" s="27" t="s">
        <v>42</v>
      </c>
      <c r="U685" s="27"/>
      <c r="V685" s="27"/>
      <c r="W685" s="27"/>
      <c r="X685" s="27"/>
      <c r="Y685" s="27" t="s">
        <v>2387</v>
      </c>
      <c r="Z685" s="27" t="n">
        <v>-7.2236715</v>
      </c>
      <c r="AA685" s="27" t="n">
        <v>-48.2420005</v>
      </c>
      <c r="AB685" s="37" t="s">
        <v>2338</v>
      </c>
      <c r="AC685" s="27" t="s">
        <v>2388</v>
      </c>
    </row>
    <row r="686" customFormat="false" ht="15" hidden="false" customHeight="false" outlineLevel="0" collapsed="false">
      <c r="A686" s="27" t="n">
        <v>685</v>
      </c>
      <c r="B686" s="27" t="s">
        <v>2021</v>
      </c>
      <c r="C686" s="27" t="s">
        <v>3206</v>
      </c>
      <c r="D686" s="27" t="s">
        <v>2020</v>
      </c>
      <c r="E686" s="27" t="s">
        <v>2022</v>
      </c>
      <c r="F686" s="32" t="n">
        <v>128.293315612672</v>
      </c>
      <c r="G686" s="28" t="n">
        <v>4129.6287602534</v>
      </c>
      <c r="H686" s="28" t="n">
        <v>2440.94271702646</v>
      </c>
      <c r="I686" s="6" t="s">
        <v>23</v>
      </c>
      <c r="J686" s="27" t="s">
        <v>303</v>
      </c>
      <c r="K686" s="27" t="s">
        <v>541</v>
      </c>
      <c r="L686" s="27" t="n">
        <v>69</v>
      </c>
      <c r="M686" s="27" t="s">
        <v>42</v>
      </c>
      <c r="N686" s="27" t="s">
        <v>2385</v>
      </c>
      <c r="O686" s="27" t="s">
        <v>187</v>
      </c>
      <c r="P686" s="27" t="s">
        <v>54</v>
      </c>
      <c r="Q686" s="27" t="n">
        <v>0</v>
      </c>
      <c r="R686" s="27"/>
      <c r="S686" s="27" t="s">
        <v>41</v>
      </c>
      <c r="T686" s="27" t="s">
        <v>42</v>
      </c>
      <c r="U686" s="27"/>
      <c r="V686" s="27"/>
      <c r="W686" s="27"/>
      <c r="X686" s="27"/>
      <c r="Y686" s="27" t="s">
        <v>2387</v>
      </c>
      <c r="Z686" s="27" t="n">
        <v>-7.2236735</v>
      </c>
      <c r="AA686" s="27" t="n">
        <v>-48.2414065</v>
      </c>
      <c r="AB686" s="37" t="s">
        <v>2338</v>
      </c>
      <c r="AC686" s="27" t="s">
        <v>2388</v>
      </c>
    </row>
    <row r="687" customFormat="false" ht="15" hidden="false" customHeight="false" outlineLevel="0" collapsed="false">
      <c r="A687" s="27" t="n">
        <v>686</v>
      </c>
      <c r="B687" s="27" t="s">
        <v>2023</v>
      </c>
      <c r="C687" s="27" t="s">
        <v>3207</v>
      </c>
      <c r="D687" s="27" t="s">
        <v>2022</v>
      </c>
      <c r="E687" s="27" t="s">
        <v>2024</v>
      </c>
      <c r="F687" s="32" t="n">
        <v>2.90240387999878</v>
      </c>
      <c r="G687" s="28" t="n">
        <v>4132.5311641334</v>
      </c>
      <c r="H687" s="28" t="n">
        <v>2443.84512090646</v>
      </c>
      <c r="I687" s="6" t="s">
        <v>23</v>
      </c>
      <c r="J687" s="27" t="s">
        <v>303</v>
      </c>
      <c r="K687" s="27" t="s">
        <v>541</v>
      </c>
      <c r="L687" s="27" t="n">
        <v>69</v>
      </c>
      <c r="M687" s="27" t="s">
        <v>42</v>
      </c>
      <c r="N687" s="27" t="s">
        <v>2385</v>
      </c>
      <c r="O687" s="27" t="s">
        <v>187</v>
      </c>
      <c r="P687" s="27" t="s">
        <v>54</v>
      </c>
      <c r="Q687" s="27" t="n">
        <v>0</v>
      </c>
      <c r="R687" s="27"/>
      <c r="S687" s="27" t="s">
        <v>41</v>
      </c>
      <c r="T687" s="27" t="s">
        <v>42</v>
      </c>
      <c r="U687" s="27"/>
      <c r="V687" s="27"/>
      <c r="W687" s="27"/>
      <c r="X687" s="27"/>
      <c r="Y687" s="27" t="s">
        <v>2387</v>
      </c>
      <c r="Z687" s="27" t="n">
        <v>-7.223671</v>
      </c>
      <c r="AA687" s="27" t="n">
        <v>-48.240812</v>
      </c>
      <c r="AB687" s="37" t="s">
        <v>2338</v>
      </c>
      <c r="AC687" s="27" t="s">
        <v>2388</v>
      </c>
    </row>
    <row r="688" customFormat="false" ht="15" hidden="false" customHeight="false" outlineLevel="0" collapsed="false">
      <c r="A688" s="27" t="n">
        <v>687</v>
      </c>
      <c r="B688" s="27" t="s">
        <v>2025</v>
      </c>
      <c r="C688" s="27" t="s">
        <v>3208</v>
      </c>
      <c r="D688" s="27" t="s">
        <v>2024</v>
      </c>
      <c r="E688" s="27" t="s">
        <v>2026</v>
      </c>
      <c r="F688" s="32" t="n">
        <v>34.457927724143</v>
      </c>
      <c r="G688" s="28" t="n">
        <v>4166.98909185754</v>
      </c>
      <c r="H688" s="28" t="n">
        <v>2478.3030486306</v>
      </c>
      <c r="I688" s="6" t="s">
        <v>23</v>
      </c>
      <c r="J688" s="27" t="s">
        <v>303</v>
      </c>
      <c r="K688" s="27" t="s">
        <v>541</v>
      </c>
      <c r="L688" s="27" t="n">
        <v>69</v>
      </c>
      <c r="M688" s="27" t="s">
        <v>42</v>
      </c>
      <c r="N688" s="27" t="s">
        <v>2385</v>
      </c>
      <c r="O688" s="27" t="s">
        <v>187</v>
      </c>
      <c r="P688" s="27" t="s">
        <v>54</v>
      </c>
      <c r="Q688" s="27" t="n">
        <v>0</v>
      </c>
      <c r="R688" s="27"/>
      <c r="S688" s="27" t="s">
        <v>41</v>
      </c>
      <c r="T688" s="27" t="s">
        <v>42</v>
      </c>
      <c r="U688" s="27"/>
      <c r="V688" s="27"/>
      <c r="W688" s="27"/>
      <c r="X688" s="27"/>
      <c r="Y688" s="27" t="s">
        <v>2387</v>
      </c>
      <c r="Z688" s="27" t="n">
        <v>-7.223621</v>
      </c>
      <c r="AA688" s="27" t="n">
        <v>-48.2406505</v>
      </c>
      <c r="AB688" s="37" t="s">
        <v>2338</v>
      </c>
      <c r="AC688" s="27" t="s">
        <v>2388</v>
      </c>
    </row>
    <row r="689" customFormat="false" ht="15" hidden="false" customHeight="false" outlineLevel="0" collapsed="false">
      <c r="A689" s="27" t="n">
        <v>688</v>
      </c>
      <c r="B689" s="27" t="s">
        <v>2027</v>
      </c>
      <c r="C689" s="27" t="s">
        <v>3209</v>
      </c>
      <c r="D689" s="27" t="s">
        <v>2026</v>
      </c>
      <c r="E689" s="27" t="s">
        <v>2028</v>
      </c>
      <c r="F689" s="32" t="n">
        <v>3.59592383424959</v>
      </c>
      <c r="G689" s="28" t="n">
        <v>4170.58501569179</v>
      </c>
      <c r="H689" s="28" t="n">
        <v>2481.89897246485</v>
      </c>
      <c r="I689" s="6" t="s">
        <v>23</v>
      </c>
      <c r="J689" s="27" t="s">
        <v>303</v>
      </c>
      <c r="K689" s="27" t="s">
        <v>541</v>
      </c>
      <c r="L689" s="27" t="n">
        <v>69</v>
      </c>
      <c r="M689" s="27" t="s">
        <v>42</v>
      </c>
      <c r="N689" s="27" t="s">
        <v>2385</v>
      </c>
      <c r="O689" s="27" t="s">
        <v>187</v>
      </c>
      <c r="P689" s="27" t="s">
        <v>54</v>
      </c>
      <c r="Q689" s="27" t="n">
        <v>0</v>
      </c>
      <c r="R689" s="27"/>
      <c r="S689" s="27" t="s">
        <v>41</v>
      </c>
      <c r="T689" s="27" t="s">
        <v>42</v>
      </c>
      <c r="U689" s="27"/>
      <c r="V689" s="27"/>
      <c r="W689" s="27"/>
      <c r="X689" s="27"/>
      <c r="Y689" s="27" t="s">
        <v>2387</v>
      </c>
      <c r="Z689" s="27" t="n">
        <v>-7.223568</v>
      </c>
      <c r="AA689" s="27" t="n">
        <v>-48.2404865</v>
      </c>
      <c r="AB689" s="37" t="s">
        <v>2338</v>
      </c>
      <c r="AC689" s="27" t="s">
        <v>2388</v>
      </c>
    </row>
    <row r="690" customFormat="false" ht="15" hidden="false" customHeight="false" outlineLevel="0" collapsed="false">
      <c r="A690" s="27" t="n">
        <v>689</v>
      </c>
      <c r="B690" s="27" t="s">
        <v>2029</v>
      </c>
      <c r="C690" s="27" t="s">
        <v>3210</v>
      </c>
      <c r="D690" s="27" t="s">
        <v>2028</v>
      </c>
      <c r="E690" s="27" t="s">
        <v>2030</v>
      </c>
      <c r="F690" s="32" t="n">
        <v>247.788052342707</v>
      </c>
      <c r="G690" s="28" t="n">
        <v>4418.3730680345</v>
      </c>
      <c r="H690" s="28" t="n">
        <v>2729.68702480755</v>
      </c>
      <c r="I690" s="6" t="s">
        <v>23</v>
      </c>
      <c r="J690" s="27" t="s">
        <v>303</v>
      </c>
      <c r="K690" s="27" t="s">
        <v>541</v>
      </c>
      <c r="L690" s="27" t="n">
        <v>69</v>
      </c>
      <c r="M690" s="27" t="s">
        <v>42</v>
      </c>
      <c r="N690" s="27" t="s">
        <v>2385</v>
      </c>
      <c r="O690" s="27" t="s">
        <v>187</v>
      </c>
      <c r="P690" s="27" t="s">
        <v>54</v>
      </c>
      <c r="Q690" s="27" t="n">
        <v>0</v>
      </c>
      <c r="R690" s="27"/>
      <c r="S690" s="27" t="s">
        <v>41</v>
      </c>
      <c r="T690" s="27" t="s">
        <v>42</v>
      </c>
      <c r="U690" s="27"/>
      <c r="V690" s="27"/>
      <c r="W690" s="27"/>
      <c r="X690" s="27"/>
      <c r="Y690" s="27" t="s">
        <v>2387</v>
      </c>
      <c r="Z690" s="27" t="n">
        <v>-7.223242</v>
      </c>
      <c r="AA690" s="27" t="n">
        <v>-48.2393955</v>
      </c>
      <c r="AB690" s="37" t="s">
        <v>2338</v>
      </c>
      <c r="AC690" s="27" t="s">
        <v>2388</v>
      </c>
    </row>
    <row r="691" customFormat="false" ht="15" hidden="false" customHeight="false" outlineLevel="0" collapsed="false">
      <c r="A691" s="27" t="n">
        <v>690</v>
      </c>
      <c r="B691" s="27" t="s">
        <v>2031</v>
      </c>
      <c r="C691" s="27" t="s">
        <v>3211</v>
      </c>
      <c r="D691" s="27" t="s">
        <v>1998</v>
      </c>
      <c r="E691" s="27" t="s">
        <v>2032</v>
      </c>
      <c r="F691" s="32" t="n">
        <v>18.2884178330602</v>
      </c>
      <c r="G691" s="28" t="n">
        <v>3343.81843672249</v>
      </c>
      <c r="H691" s="28" t="n">
        <v>1655.13239349555</v>
      </c>
      <c r="I691" s="6" t="s">
        <v>23</v>
      </c>
      <c r="J691" s="27" t="s">
        <v>303</v>
      </c>
      <c r="K691" s="27" t="s">
        <v>541</v>
      </c>
      <c r="L691" s="27" t="n">
        <v>69</v>
      </c>
      <c r="M691" s="27" t="s">
        <v>42</v>
      </c>
      <c r="N691" s="27" t="s">
        <v>2385</v>
      </c>
      <c r="O691" s="27" t="s">
        <v>187</v>
      </c>
      <c r="P691" s="27" t="s">
        <v>3189</v>
      </c>
      <c r="Q691" s="27" t="n">
        <v>2</v>
      </c>
      <c r="R691" s="27"/>
      <c r="S691" s="27" t="s">
        <v>41</v>
      </c>
      <c r="T691" s="27" t="s">
        <v>42</v>
      </c>
      <c r="U691" s="27"/>
      <c r="V691" s="27"/>
      <c r="W691" s="27"/>
      <c r="X691" s="27"/>
      <c r="Y691" s="27" t="s">
        <v>2387</v>
      </c>
      <c r="Z691" s="27" t="n">
        <v>-7.221219</v>
      </c>
      <c r="AA691" s="27" t="n">
        <v>-48.247588</v>
      </c>
      <c r="AB691" s="37" t="s">
        <v>2338</v>
      </c>
      <c r="AC691" s="27" t="s">
        <v>2388</v>
      </c>
    </row>
    <row r="692" customFormat="false" ht="15" hidden="false" customHeight="false" outlineLevel="0" collapsed="false">
      <c r="A692" s="27" t="n">
        <v>691</v>
      </c>
      <c r="B692" s="27" t="s">
        <v>2033</v>
      </c>
      <c r="C692" s="27" t="s">
        <v>3212</v>
      </c>
      <c r="D692" s="27" t="s">
        <v>2032</v>
      </c>
      <c r="E692" s="27" t="s">
        <v>2034</v>
      </c>
      <c r="F692" s="32" t="n">
        <v>3.78696759741212</v>
      </c>
      <c r="G692" s="28" t="n">
        <v>3347.60540431991</v>
      </c>
      <c r="H692" s="28" t="n">
        <v>1658.91936109296</v>
      </c>
      <c r="I692" s="6" t="s">
        <v>23</v>
      </c>
      <c r="J692" s="27" t="s">
        <v>303</v>
      </c>
      <c r="K692" s="27" t="s">
        <v>541</v>
      </c>
      <c r="L692" s="27" t="n">
        <v>69</v>
      </c>
      <c r="M692" s="27" t="s">
        <v>42</v>
      </c>
      <c r="N692" s="27" t="s">
        <v>2385</v>
      </c>
      <c r="O692" s="27" t="s">
        <v>187</v>
      </c>
      <c r="P692" s="27" t="s">
        <v>3189</v>
      </c>
      <c r="Q692" s="27" t="n">
        <v>2</v>
      </c>
      <c r="R692" s="27"/>
      <c r="S692" s="27" t="s">
        <v>41</v>
      </c>
      <c r="T692" s="27" t="s">
        <v>42</v>
      </c>
      <c r="U692" s="27"/>
      <c r="V692" s="27"/>
      <c r="W692" s="27"/>
      <c r="X692" s="27"/>
      <c r="Y692" s="27" t="s">
        <v>2387</v>
      </c>
      <c r="Z692" s="27" t="n">
        <v>-7.2213085</v>
      </c>
      <c r="AA692" s="27" t="n">
        <v>-48.247631</v>
      </c>
      <c r="AB692" s="37" t="s">
        <v>2338</v>
      </c>
      <c r="AC692" s="27" t="s">
        <v>2388</v>
      </c>
    </row>
    <row r="693" customFormat="false" ht="15" hidden="false" customHeight="false" outlineLevel="0" collapsed="false">
      <c r="A693" s="27" t="n">
        <v>692</v>
      </c>
      <c r="B693" s="27" t="s">
        <v>2035</v>
      </c>
      <c r="C693" s="27" t="s">
        <v>3213</v>
      </c>
      <c r="D693" s="27" t="s">
        <v>2034</v>
      </c>
      <c r="E693" s="27" t="s">
        <v>2036</v>
      </c>
      <c r="F693" s="32" t="n">
        <v>126.509403736467</v>
      </c>
      <c r="G693" s="28" t="n">
        <v>3474.11480805637</v>
      </c>
      <c r="H693" s="28" t="n">
        <v>1785.42876482943</v>
      </c>
      <c r="I693" s="6" t="s">
        <v>23</v>
      </c>
      <c r="J693" s="27" t="s">
        <v>303</v>
      </c>
      <c r="K693" s="27" t="s">
        <v>541</v>
      </c>
      <c r="L693" s="27" t="n">
        <v>69</v>
      </c>
      <c r="M693" s="27" t="s">
        <v>42</v>
      </c>
      <c r="N693" s="27" t="s">
        <v>2385</v>
      </c>
      <c r="O693" s="27" t="s">
        <v>187</v>
      </c>
      <c r="P693" s="27" t="s">
        <v>3189</v>
      </c>
      <c r="Q693" s="27" t="n">
        <v>2</v>
      </c>
      <c r="R693" s="27"/>
      <c r="S693" s="27" t="s">
        <v>41</v>
      </c>
      <c r="T693" s="27" t="s">
        <v>42</v>
      </c>
      <c r="U693" s="27"/>
      <c r="V693" s="27"/>
      <c r="W693" s="27"/>
      <c r="X693" s="27"/>
      <c r="Y693" s="27" t="s">
        <v>2387</v>
      </c>
      <c r="Z693" s="27" t="n">
        <v>-7.221841</v>
      </c>
      <c r="AA693" s="27" t="n">
        <v>-48.247877</v>
      </c>
      <c r="AB693" s="37" t="s">
        <v>2338</v>
      </c>
      <c r="AC693" s="27" t="s">
        <v>2388</v>
      </c>
    </row>
    <row r="694" customFormat="false" ht="15" hidden="false" customHeight="false" outlineLevel="0" collapsed="false">
      <c r="A694" s="27" t="n">
        <v>693</v>
      </c>
      <c r="B694" s="27" t="s">
        <v>2037</v>
      </c>
      <c r="C694" s="27" t="s">
        <v>3214</v>
      </c>
      <c r="D694" s="27" t="s">
        <v>2036</v>
      </c>
      <c r="E694" s="27" t="s">
        <v>2038</v>
      </c>
      <c r="F694" s="32" t="n">
        <v>3.42785093235836</v>
      </c>
      <c r="G694" s="28" t="n">
        <v>3477.54265898873</v>
      </c>
      <c r="H694" s="28" t="n">
        <v>1788.85661576179</v>
      </c>
      <c r="I694" s="6" t="s">
        <v>23</v>
      </c>
      <c r="J694" s="27" t="s">
        <v>303</v>
      </c>
      <c r="K694" s="27" t="s">
        <v>541</v>
      </c>
      <c r="L694" s="27" t="n">
        <v>69</v>
      </c>
      <c r="M694" s="27" t="s">
        <v>42</v>
      </c>
      <c r="N694" s="27" t="s">
        <v>2385</v>
      </c>
      <c r="O694" s="27" t="s">
        <v>187</v>
      </c>
      <c r="P694" s="27" t="s">
        <v>3189</v>
      </c>
      <c r="Q694" s="27" t="n">
        <v>2</v>
      </c>
      <c r="R694" s="27" t="s">
        <v>188</v>
      </c>
      <c r="S694" s="27" t="s">
        <v>41</v>
      </c>
      <c r="T694" s="27" t="s">
        <v>42</v>
      </c>
      <c r="U694" s="27"/>
      <c r="V694" s="27"/>
      <c r="W694" s="27"/>
      <c r="X694" s="27"/>
      <c r="Y694" s="27" t="s">
        <v>2387</v>
      </c>
      <c r="Z694" s="27" t="n">
        <v>-7.222373</v>
      </c>
      <c r="AA694" s="27" t="n">
        <v>-48.2481205</v>
      </c>
      <c r="AB694" s="37" t="s">
        <v>2338</v>
      </c>
      <c r="AC694" s="27" t="s">
        <v>2388</v>
      </c>
    </row>
    <row r="695" customFormat="false" ht="15" hidden="false" customHeight="false" outlineLevel="0" collapsed="false">
      <c r="A695" s="27" t="n">
        <v>694</v>
      </c>
      <c r="B695" s="27" t="s">
        <v>2039</v>
      </c>
      <c r="C695" s="27" t="s">
        <v>3215</v>
      </c>
      <c r="D695" s="27" t="s">
        <v>2038</v>
      </c>
      <c r="E695" s="27" t="s">
        <v>2040</v>
      </c>
      <c r="F695" s="32" t="n">
        <v>69.3999951394362</v>
      </c>
      <c r="G695" s="28" t="n">
        <v>3546.94265412817</v>
      </c>
      <c r="H695" s="28" t="n">
        <v>1858.25661090122</v>
      </c>
      <c r="I695" s="6" t="s">
        <v>23</v>
      </c>
      <c r="J695" s="27" t="s">
        <v>303</v>
      </c>
      <c r="K695" s="27" t="s">
        <v>541</v>
      </c>
      <c r="L695" s="27" t="n">
        <v>69</v>
      </c>
      <c r="M695" s="27" t="s">
        <v>42</v>
      </c>
      <c r="N695" s="27" t="s">
        <v>2385</v>
      </c>
      <c r="O695" s="27" t="s">
        <v>187</v>
      </c>
      <c r="P695" s="27" t="s">
        <v>3189</v>
      </c>
      <c r="Q695" s="27" t="n">
        <v>2</v>
      </c>
      <c r="R695" s="27"/>
      <c r="S695" s="27" t="s">
        <v>41</v>
      </c>
      <c r="T695" s="27" t="s">
        <v>42</v>
      </c>
      <c r="U695" s="27"/>
      <c r="V695" s="27"/>
      <c r="W695" s="27"/>
      <c r="X695" s="27"/>
      <c r="Y695" s="27" t="s">
        <v>2387</v>
      </c>
      <c r="Z695" s="27" t="n">
        <v>-7.2226725</v>
      </c>
      <c r="AA695" s="27" t="n">
        <v>-48.248254</v>
      </c>
      <c r="AB695" s="37" t="s">
        <v>2338</v>
      </c>
      <c r="AC695" s="27" t="s">
        <v>2388</v>
      </c>
    </row>
    <row r="696" customFormat="false" ht="15" hidden="false" customHeight="false" outlineLevel="0" collapsed="false">
      <c r="A696" s="27" t="n">
        <v>695</v>
      </c>
      <c r="B696" s="27" t="s">
        <v>2041</v>
      </c>
      <c r="C696" s="27" t="s">
        <v>3216</v>
      </c>
      <c r="D696" s="27" t="s">
        <v>2040</v>
      </c>
      <c r="E696" s="27" t="s">
        <v>2042</v>
      </c>
      <c r="F696" s="32" t="n">
        <v>2.4814875442026</v>
      </c>
      <c r="G696" s="28" t="n">
        <v>3549.42414167237</v>
      </c>
      <c r="H696" s="28" t="n">
        <v>1860.73809844543</v>
      </c>
      <c r="I696" s="6" t="s">
        <v>23</v>
      </c>
      <c r="J696" s="27" t="s">
        <v>303</v>
      </c>
      <c r="K696" s="27" t="s">
        <v>541</v>
      </c>
      <c r="L696" s="27" t="n">
        <v>69</v>
      </c>
      <c r="M696" s="27" t="s">
        <v>42</v>
      </c>
      <c r="N696" s="27" t="s">
        <v>2385</v>
      </c>
      <c r="O696" s="27" t="s">
        <v>187</v>
      </c>
      <c r="P696" s="27" t="s">
        <v>54</v>
      </c>
      <c r="Q696" s="27" t="n">
        <v>0</v>
      </c>
      <c r="R696" s="27"/>
      <c r="S696" s="27" t="s">
        <v>41</v>
      </c>
      <c r="T696" s="27" t="s">
        <v>42</v>
      </c>
      <c r="U696" s="27"/>
      <c r="V696" s="27"/>
      <c r="W696" s="27"/>
      <c r="X696" s="27"/>
      <c r="Y696" s="27" t="s">
        <v>2387</v>
      </c>
      <c r="Z696" s="27" t="n">
        <v>-7.222962</v>
      </c>
      <c r="AA696" s="27" t="n">
        <v>-48.2483705</v>
      </c>
      <c r="AB696" s="37" t="s">
        <v>2338</v>
      </c>
      <c r="AC696" s="27" t="s">
        <v>2388</v>
      </c>
    </row>
    <row r="697" customFormat="false" ht="15" hidden="false" customHeight="false" outlineLevel="0" collapsed="false">
      <c r="A697" s="27" t="n">
        <v>696</v>
      </c>
      <c r="B697" s="27" t="s">
        <v>2043</v>
      </c>
      <c r="C697" s="27" t="s">
        <v>3217</v>
      </c>
      <c r="D697" s="27" t="s">
        <v>2042</v>
      </c>
      <c r="E697" s="27" t="s">
        <v>2044</v>
      </c>
      <c r="F697" s="32" t="n">
        <v>13.0020675014565</v>
      </c>
      <c r="G697" s="28" t="n">
        <v>3562.42620917383</v>
      </c>
      <c r="H697" s="28" t="n">
        <v>1873.74016594688</v>
      </c>
      <c r="I697" s="6" t="s">
        <v>23</v>
      </c>
      <c r="J697" s="27" t="s">
        <v>303</v>
      </c>
      <c r="K697" s="27" t="s">
        <v>541</v>
      </c>
      <c r="L697" s="27" t="n">
        <v>69</v>
      </c>
      <c r="M697" s="27" t="s">
        <v>42</v>
      </c>
      <c r="N697" s="27" t="s">
        <v>2385</v>
      </c>
      <c r="O697" s="27" t="s">
        <v>187</v>
      </c>
      <c r="P697" s="27" t="s">
        <v>54</v>
      </c>
      <c r="Q697" s="27" t="n">
        <v>0</v>
      </c>
      <c r="R697" s="27"/>
      <c r="S697" s="27" t="s">
        <v>41</v>
      </c>
      <c r="T697" s="27" t="s">
        <v>42</v>
      </c>
      <c r="U697" s="27"/>
      <c r="V697" s="27"/>
      <c r="W697" s="27"/>
      <c r="X697" s="27"/>
      <c r="Y697" s="27" t="s">
        <v>2387</v>
      </c>
      <c r="Z697" s="27" t="n">
        <v>-7.222987</v>
      </c>
      <c r="AA697" s="27" t="n">
        <v>-48.248305</v>
      </c>
      <c r="AB697" s="37" t="s">
        <v>2338</v>
      </c>
      <c r="AC697" s="27" t="s">
        <v>2388</v>
      </c>
    </row>
    <row r="698" customFormat="false" ht="15" hidden="false" customHeight="false" outlineLevel="0" collapsed="false">
      <c r="A698" s="27" t="n">
        <v>697</v>
      </c>
      <c r="B698" s="27" t="s">
        <v>2045</v>
      </c>
      <c r="C698" s="27" t="s">
        <v>3218</v>
      </c>
      <c r="D698" s="27" t="s">
        <v>2040</v>
      </c>
      <c r="E698" s="27" t="s">
        <v>2046</v>
      </c>
      <c r="F698" s="32" t="n">
        <v>33.4148725147833</v>
      </c>
      <c r="G698" s="28" t="n">
        <v>3580.35752664295</v>
      </c>
      <c r="H698" s="28" t="n">
        <v>1891.67148341601</v>
      </c>
      <c r="I698" s="6" t="s">
        <v>23</v>
      </c>
      <c r="J698" s="27" t="s">
        <v>303</v>
      </c>
      <c r="K698" s="27" t="s">
        <v>541</v>
      </c>
      <c r="L698" s="27" t="n">
        <v>69</v>
      </c>
      <c r="M698" s="27" t="s">
        <v>42</v>
      </c>
      <c r="N698" s="27" t="s">
        <v>2385</v>
      </c>
      <c r="O698" s="27" t="s">
        <v>187</v>
      </c>
      <c r="P698" s="27" t="s">
        <v>3189</v>
      </c>
      <c r="Q698" s="27" t="n">
        <v>2</v>
      </c>
      <c r="R698" s="27"/>
      <c r="S698" s="27" t="s">
        <v>41</v>
      </c>
      <c r="T698" s="27" t="s">
        <v>42</v>
      </c>
      <c r="U698" s="27"/>
      <c r="V698" s="27"/>
      <c r="W698" s="27"/>
      <c r="X698" s="27"/>
      <c r="Y698" s="27" t="s">
        <v>2387</v>
      </c>
      <c r="Z698" s="27" t="n">
        <v>-7.2230915</v>
      </c>
      <c r="AA698" s="27" t="n">
        <v>-48.2484505</v>
      </c>
      <c r="AB698" s="37" t="s">
        <v>2338</v>
      </c>
      <c r="AC698" s="27" t="s">
        <v>2388</v>
      </c>
    </row>
    <row r="699" customFormat="false" ht="15" hidden="false" customHeight="false" outlineLevel="0" collapsed="false">
      <c r="A699" s="27" t="n">
        <v>698</v>
      </c>
      <c r="B699" s="27" t="s">
        <v>2047</v>
      </c>
      <c r="C699" s="27" t="s">
        <v>3219</v>
      </c>
      <c r="D699" s="27" t="s">
        <v>2046</v>
      </c>
      <c r="E699" s="27" t="s">
        <v>2048</v>
      </c>
      <c r="F699" s="32" t="n">
        <v>3.69273938284743</v>
      </c>
      <c r="G699" s="28" t="n">
        <v>3584.0502660258</v>
      </c>
      <c r="H699" s="28" t="n">
        <v>1895.36422279885</v>
      </c>
      <c r="I699" s="6" t="s">
        <v>23</v>
      </c>
      <c r="J699" s="27" t="s">
        <v>303</v>
      </c>
      <c r="K699" s="27" t="s">
        <v>541</v>
      </c>
      <c r="L699" s="27" t="n">
        <v>69</v>
      </c>
      <c r="M699" s="27" t="s">
        <v>42</v>
      </c>
      <c r="N699" s="27" t="s">
        <v>2385</v>
      </c>
      <c r="O699" s="27" t="s">
        <v>187</v>
      </c>
      <c r="P699" s="27" t="s">
        <v>3189</v>
      </c>
      <c r="Q699" s="27" t="n">
        <v>2</v>
      </c>
      <c r="R699" s="27"/>
      <c r="S699" s="27" t="s">
        <v>41</v>
      </c>
      <c r="T699" s="27" t="s">
        <v>42</v>
      </c>
      <c r="U699" s="27"/>
      <c r="V699" s="27"/>
      <c r="W699" s="27"/>
      <c r="X699" s="27"/>
      <c r="Y699" s="27" t="s">
        <v>2387</v>
      </c>
      <c r="Z699" s="27" t="n">
        <v>-7.223239</v>
      </c>
      <c r="AA699" s="27" t="n">
        <v>-48.248529</v>
      </c>
      <c r="AB699" s="37" t="s">
        <v>2338</v>
      </c>
      <c r="AC699" s="27" t="s">
        <v>2388</v>
      </c>
    </row>
    <row r="700" customFormat="false" ht="15" hidden="false" customHeight="false" outlineLevel="0" collapsed="false">
      <c r="A700" s="27" t="n">
        <v>699</v>
      </c>
      <c r="B700" s="27" t="s">
        <v>2049</v>
      </c>
      <c r="C700" s="27" t="s">
        <v>3220</v>
      </c>
      <c r="D700" s="27" t="s">
        <v>2048</v>
      </c>
      <c r="E700" s="27" t="s">
        <v>2050</v>
      </c>
      <c r="F700" s="32" t="n">
        <v>81.8215752973852</v>
      </c>
      <c r="G700" s="28" t="n">
        <v>3665.87184132319</v>
      </c>
      <c r="H700" s="28" t="n">
        <v>1977.18579809624</v>
      </c>
      <c r="I700" s="6" t="s">
        <v>23</v>
      </c>
      <c r="J700" s="27" t="s">
        <v>303</v>
      </c>
      <c r="K700" s="27" t="s">
        <v>541</v>
      </c>
      <c r="L700" s="27" t="n">
        <v>69</v>
      </c>
      <c r="M700" s="27" t="s">
        <v>42</v>
      </c>
      <c r="N700" s="27" t="s">
        <v>2385</v>
      </c>
      <c r="O700" s="27" t="s">
        <v>187</v>
      </c>
      <c r="P700" s="27" t="s">
        <v>3189</v>
      </c>
      <c r="Q700" s="27" t="n">
        <v>2</v>
      </c>
      <c r="R700" s="27"/>
      <c r="S700" s="27" t="s">
        <v>41</v>
      </c>
      <c r="T700" s="27" t="s">
        <v>42</v>
      </c>
      <c r="U700" s="27"/>
      <c r="V700" s="27"/>
      <c r="W700" s="27"/>
      <c r="X700" s="27"/>
      <c r="Y700" s="27" t="s">
        <v>2387</v>
      </c>
      <c r="Z700" s="27" t="n">
        <v>-7.2235825</v>
      </c>
      <c r="AA700" s="27" t="n">
        <v>-48.248703</v>
      </c>
      <c r="AB700" s="37" t="s">
        <v>2338</v>
      </c>
      <c r="AC700" s="27" t="s">
        <v>2388</v>
      </c>
    </row>
    <row r="701" customFormat="false" ht="15" hidden="false" customHeight="false" outlineLevel="0" collapsed="false">
      <c r="A701" s="27" t="n">
        <v>700</v>
      </c>
      <c r="B701" s="27" t="s">
        <v>2051</v>
      </c>
      <c r="C701" s="27" t="s">
        <v>3221</v>
      </c>
      <c r="D701" s="27" t="s">
        <v>2050</v>
      </c>
      <c r="E701" s="27" t="s">
        <v>2052</v>
      </c>
      <c r="F701" s="32" t="n">
        <v>26.0166567707869</v>
      </c>
      <c r="G701" s="28" t="n">
        <v>3691.88849809397</v>
      </c>
      <c r="H701" s="28" t="n">
        <v>2003.20245486703</v>
      </c>
      <c r="I701" s="6" t="s">
        <v>23</v>
      </c>
      <c r="J701" s="27" t="s">
        <v>303</v>
      </c>
      <c r="K701" s="27" t="s">
        <v>541</v>
      </c>
      <c r="L701" s="27" t="n">
        <v>69</v>
      </c>
      <c r="M701" s="27" t="s">
        <v>42</v>
      </c>
      <c r="N701" s="27" t="s">
        <v>2385</v>
      </c>
      <c r="O701" s="27" t="s">
        <v>187</v>
      </c>
      <c r="P701" s="27" t="s">
        <v>189</v>
      </c>
      <c r="Q701" s="27" t="n">
        <v>1</v>
      </c>
      <c r="R701" s="27"/>
      <c r="S701" s="27" t="s">
        <v>41</v>
      </c>
      <c r="T701" s="27" t="s">
        <v>42</v>
      </c>
      <c r="U701" s="27"/>
      <c r="V701" s="27"/>
      <c r="W701" s="27"/>
      <c r="X701" s="27"/>
      <c r="Y701" s="27" t="s">
        <v>2387</v>
      </c>
      <c r="Z701" s="27" t="n">
        <v>-7.224016</v>
      </c>
      <c r="AA701" s="27" t="n">
        <v>-48.248922</v>
      </c>
      <c r="AB701" s="37" t="s">
        <v>2338</v>
      </c>
      <c r="AC701" s="27" t="s">
        <v>2388</v>
      </c>
    </row>
    <row r="702" customFormat="false" ht="15" hidden="false" customHeight="false" outlineLevel="0" collapsed="false">
      <c r="A702" s="27" t="n">
        <v>701</v>
      </c>
      <c r="B702" s="27" t="s">
        <v>2053</v>
      </c>
      <c r="C702" s="27" t="s">
        <v>3222</v>
      </c>
      <c r="D702" s="27" t="s">
        <v>2052</v>
      </c>
      <c r="E702" s="27" t="s">
        <v>2054</v>
      </c>
      <c r="F702" s="32" t="n">
        <v>3.12797385627121</v>
      </c>
      <c r="G702" s="28" t="n">
        <v>3695.01647195024</v>
      </c>
      <c r="H702" s="28" t="n">
        <v>2006.3304287233</v>
      </c>
      <c r="I702" s="6" t="s">
        <v>23</v>
      </c>
      <c r="J702" s="27" t="s">
        <v>303</v>
      </c>
      <c r="K702" s="27" t="s">
        <v>541</v>
      </c>
      <c r="L702" s="27" t="n">
        <v>69</v>
      </c>
      <c r="M702" s="27" t="s">
        <v>42</v>
      </c>
      <c r="N702" s="27" t="s">
        <v>2385</v>
      </c>
      <c r="O702" s="27" t="s">
        <v>187</v>
      </c>
      <c r="P702" s="27" t="s">
        <v>189</v>
      </c>
      <c r="Q702" s="27" t="n">
        <v>1</v>
      </c>
      <c r="R702" s="27"/>
      <c r="S702" s="27" t="s">
        <v>41</v>
      </c>
      <c r="T702" s="27" t="s">
        <v>42</v>
      </c>
      <c r="U702" s="27"/>
      <c r="V702" s="27"/>
      <c r="W702" s="27"/>
      <c r="X702" s="27"/>
      <c r="Y702" s="27" t="s">
        <v>2387</v>
      </c>
      <c r="Z702" s="27" t="n">
        <v>-7.2241325</v>
      </c>
      <c r="AA702" s="27" t="n">
        <v>-48.2489825</v>
      </c>
      <c r="AB702" s="37" t="s">
        <v>2338</v>
      </c>
      <c r="AC702" s="27" t="s">
        <v>2388</v>
      </c>
    </row>
    <row r="703" customFormat="false" ht="15" hidden="false" customHeight="false" outlineLevel="0" collapsed="false">
      <c r="A703" s="27" t="n">
        <v>702</v>
      </c>
      <c r="B703" s="27" t="s">
        <v>2055</v>
      </c>
      <c r="C703" s="27" t="s">
        <v>3223</v>
      </c>
      <c r="D703" s="27" t="s">
        <v>2054</v>
      </c>
      <c r="E703" s="27" t="s">
        <v>2056</v>
      </c>
      <c r="F703" s="32" t="n">
        <v>58.567811256246</v>
      </c>
      <c r="G703" s="28" t="n">
        <v>3753.58428320649</v>
      </c>
      <c r="H703" s="28" t="n">
        <v>2064.89823997954</v>
      </c>
      <c r="I703" s="6" t="s">
        <v>23</v>
      </c>
      <c r="J703" s="27" t="s">
        <v>303</v>
      </c>
      <c r="K703" s="27" t="s">
        <v>541</v>
      </c>
      <c r="L703" s="27" t="n">
        <v>69</v>
      </c>
      <c r="M703" s="27" t="s">
        <v>42</v>
      </c>
      <c r="N703" s="27" t="s">
        <v>2385</v>
      </c>
      <c r="O703" s="27" t="s">
        <v>187</v>
      </c>
      <c r="P703" s="27" t="s">
        <v>189</v>
      </c>
      <c r="Q703" s="27" t="n">
        <v>1</v>
      </c>
      <c r="R703" s="27"/>
      <c r="S703" s="27" t="s">
        <v>41</v>
      </c>
      <c r="T703" s="27" t="s">
        <v>42</v>
      </c>
      <c r="U703" s="27"/>
      <c r="V703" s="27"/>
      <c r="W703" s="27"/>
      <c r="X703" s="27"/>
      <c r="Y703" s="27" t="s">
        <v>2387</v>
      </c>
      <c r="Z703" s="27" t="n">
        <v>-7.224384</v>
      </c>
      <c r="AA703" s="27" t="n">
        <v>-48.2491005</v>
      </c>
      <c r="AB703" s="37" t="s">
        <v>2338</v>
      </c>
      <c r="AC703" s="27" t="s">
        <v>2388</v>
      </c>
    </row>
    <row r="704" customFormat="false" ht="15" hidden="false" customHeight="false" outlineLevel="0" collapsed="false">
      <c r="A704" s="27" t="n">
        <v>703</v>
      </c>
      <c r="B704" s="27" t="s">
        <v>2057</v>
      </c>
      <c r="C704" s="27" t="s">
        <v>3224</v>
      </c>
      <c r="D704" s="27" t="s">
        <v>2056</v>
      </c>
      <c r="E704" s="27" t="s">
        <v>2058</v>
      </c>
      <c r="F704" s="32" t="n">
        <v>1.50144934361183</v>
      </c>
      <c r="G704" s="28" t="n">
        <v>3755.0857325501</v>
      </c>
      <c r="H704" s="28" t="n">
        <v>2066.39968932316</v>
      </c>
      <c r="I704" s="6" t="s">
        <v>23</v>
      </c>
      <c r="J704" s="27" t="s">
        <v>303</v>
      </c>
      <c r="K704" s="27" t="s">
        <v>541</v>
      </c>
      <c r="L704" s="27" t="n">
        <v>69</v>
      </c>
      <c r="M704" s="27" t="s">
        <v>42</v>
      </c>
      <c r="N704" s="27" t="s">
        <v>2385</v>
      </c>
      <c r="O704" s="27" t="s">
        <v>187</v>
      </c>
      <c r="P704" s="27" t="s">
        <v>189</v>
      </c>
      <c r="Q704" s="27" t="n">
        <v>1</v>
      </c>
      <c r="R704" s="27"/>
      <c r="S704" s="27" t="s">
        <v>41</v>
      </c>
      <c r="T704" s="27" t="s">
        <v>42</v>
      </c>
      <c r="U704" s="27"/>
      <c r="V704" s="27"/>
      <c r="W704" s="27"/>
      <c r="X704" s="27"/>
      <c r="Y704" s="27" t="s">
        <v>2387</v>
      </c>
      <c r="Z704" s="27" t="n">
        <v>-7.224625</v>
      </c>
      <c r="AA704" s="27" t="n">
        <v>-48.2492055</v>
      </c>
      <c r="AB704" s="37" t="s">
        <v>2338</v>
      </c>
      <c r="AC704" s="27" t="s">
        <v>2388</v>
      </c>
    </row>
    <row r="705" customFormat="false" ht="15" hidden="false" customHeight="false" outlineLevel="0" collapsed="false">
      <c r="A705" s="27" t="n">
        <v>704</v>
      </c>
      <c r="B705" s="27" t="s">
        <v>2059</v>
      </c>
      <c r="C705" s="27" t="s">
        <v>3225</v>
      </c>
      <c r="D705" s="27" t="s">
        <v>2058</v>
      </c>
      <c r="E705" s="27" t="s">
        <v>2060</v>
      </c>
      <c r="F705" s="32" t="n">
        <v>83.6222980855269</v>
      </c>
      <c r="G705" s="28" t="n">
        <v>3838.70803063563</v>
      </c>
      <c r="H705" s="28" t="n">
        <v>2150.02198740868</v>
      </c>
      <c r="I705" s="6" t="s">
        <v>23</v>
      </c>
      <c r="J705" s="27" t="s">
        <v>303</v>
      </c>
      <c r="K705" s="27" t="s">
        <v>541</v>
      </c>
      <c r="L705" s="27" t="n">
        <v>69</v>
      </c>
      <c r="M705" s="27" t="s">
        <v>42</v>
      </c>
      <c r="N705" s="27" t="s">
        <v>2385</v>
      </c>
      <c r="O705" s="27" t="s">
        <v>187</v>
      </c>
      <c r="P705" s="27" t="s">
        <v>189</v>
      </c>
      <c r="Q705" s="27" t="n">
        <v>1</v>
      </c>
      <c r="R705" s="27"/>
      <c r="S705" s="27" t="s">
        <v>41</v>
      </c>
      <c r="T705" s="27" t="s">
        <v>42</v>
      </c>
      <c r="U705" s="27"/>
      <c r="V705" s="27"/>
      <c r="W705" s="27"/>
      <c r="X705" s="27"/>
      <c r="Y705" s="27" t="s">
        <v>2387</v>
      </c>
      <c r="Z705" s="27" t="n">
        <v>-7.2247725</v>
      </c>
      <c r="AA705" s="27" t="n">
        <v>-48.2488495</v>
      </c>
      <c r="AB705" s="37" t="s">
        <v>2338</v>
      </c>
      <c r="AC705" s="27" t="s">
        <v>2388</v>
      </c>
    </row>
    <row r="706" customFormat="false" ht="15" hidden="false" customHeight="false" outlineLevel="0" collapsed="false">
      <c r="A706" s="27" t="n">
        <v>705</v>
      </c>
      <c r="B706" s="27" t="s">
        <v>2061</v>
      </c>
      <c r="C706" s="27" t="s">
        <v>3226</v>
      </c>
      <c r="D706" s="27" t="s">
        <v>2060</v>
      </c>
      <c r="E706" s="27" t="s">
        <v>2062</v>
      </c>
      <c r="F706" s="32" t="n">
        <v>36.4155085326176</v>
      </c>
      <c r="G706" s="28" t="n">
        <v>3875.12353916825</v>
      </c>
      <c r="H706" s="28" t="n">
        <v>2186.4374959413</v>
      </c>
      <c r="I706" s="6" t="s">
        <v>23</v>
      </c>
      <c r="J706" s="27" t="s">
        <v>303</v>
      </c>
      <c r="K706" s="27" t="s">
        <v>541</v>
      </c>
      <c r="L706" s="27" t="n">
        <v>69</v>
      </c>
      <c r="M706" s="27" t="s">
        <v>42</v>
      </c>
      <c r="N706" s="27" t="s">
        <v>2385</v>
      </c>
      <c r="O706" s="27" t="s">
        <v>187</v>
      </c>
      <c r="P706" s="27" t="s">
        <v>54</v>
      </c>
      <c r="Q706" s="27" t="n">
        <v>0</v>
      </c>
      <c r="R706" s="27"/>
      <c r="S706" s="27" t="s">
        <v>41</v>
      </c>
      <c r="T706" s="27" t="s">
        <v>42</v>
      </c>
      <c r="U706" s="27"/>
      <c r="V706" s="27"/>
      <c r="W706" s="27"/>
      <c r="X706" s="27"/>
      <c r="Y706" s="27" t="s">
        <v>2387</v>
      </c>
      <c r="Z706" s="27" t="n">
        <v>-7.2249365</v>
      </c>
      <c r="AA706" s="27" t="n">
        <v>-48.248336</v>
      </c>
      <c r="AB706" s="37" t="s">
        <v>2338</v>
      </c>
      <c r="AC706" s="27" t="s">
        <v>2388</v>
      </c>
    </row>
    <row r="707" customFormat="false" ht="15" hidden="false" customHeight="false" outlineLevel="0" collapsed="false">
      <c r="A707" s="27" t="n">
        <v>706</v>
      </c>
      <c r="B707" s="27" t="s">
        <v>2063</v>
      </c>
      <c r="C707" s="27" t="s">
        <v>3227</v>
      </c>
      <c r="D707" s="27" t="s">
        <v>2060</v>
      </c>
      <c r="E707" s="27" t="s">
        <v>2064</v>
      </c>
      <c r="F707" s="32" t="n">
        <v>1.19629893464278</v>
      </c>
      <c r="G707" s="28" t="n">
        <v>3839.90432957027</v>
      </c>
      <c r="H707" s="28" t="n">
        <v>2151.21828634333</v>
      </c>
      <c r="I707" s="6" t="s">
        <v>23</v>
      </c>
      <c r="J707" s="27" t="s">
        <v>303</v>
      </c>
      <c r="K707" s="27" t="s">
        <v>541</v>
      </c>
      <c r="L707" s="27" t="n">
        <v>69</v>
      </c>
      <c r="M707" s="27" t="s">
        <v>42</v>
      </c>
      <c r="N707" s="27" t="s">
        <v>2385</v>
      </c>
      <c r="O707" s="27" t="s">
        <v>187</v>
      </c>
      <c r="P707" s="27" t="s">
        <v>189</v>
      </c>
      <c r="Q707" s="27" t="n">
        <v>1</v>
      </c>
      <c r="R707" s="27"/>
      <c r="S707" s="27" t="s">
        <v>41</v>
      </c>
      <c r="T707" s="27" t="s">
        <v>42</v>
      </c>
      <c r="U707" s="27"/>
      <c r="V707" s="27"/>
      <c r="W707" s="27"/>
      <c r="X707" s="27"/>
      <c r="Y707" s="27" t="s">
        <v>2387</v>
      </c>
      <c r="Z707" s="27" t="n">
        <v>-7.224923</v>
      </c>
      <c r="AA707" s="27" t="n">
        <v>-48.248502</v>
      </c>
      <c r="AB707" s="37" t="s">
        <v>2338</v>
      </c>
      <c r="AC707" s="27" t="s">
        <v>2388</v>
      </c>
    </row>
    <row r="708" customFormat="false" ht="15" hidden="false" customHeight="false" outlineLevel="0" collapsed="false">
      <c r="A708" s="27" t="n">
        <v>707</v>
      </c>
      <c r="B708" s="27" t="s">
        <v>2065</v>
      </c>
      <c r="C708" s="27" t="s">
        <v>3228</v>
      </c>
      <c r="D708" s="27" t="s">
        <v>2056</v>
      </c>
      <c r="E708" s="27" t="s">
        <v>2066</v>
      </c>
      <c r="F708" s="32" t="n">
        <v>68.2157064445778</v>
      </c>
      <c r="G708" s="28" t="n">
        <v>3821.79998965107</v>
      </c>
      <c r="H708" s="28" t="n">
        <v>2133.11394642412</v>
      </c>
      <c r="I708" s="6" t="s">
        <v>23</v>
      </c>
      <c r="J708" s="27" t="s">
        <v>303</v>
      </c>
      <c r="K708" s="27" t="s">
        <v>541</v>
      </c>
      <c r="L708" s="27" t="n">
        <v>69</v>
      </c>
      <c r="M708" s="27" t="s">
        <v>42</v>
      </c>
      <c r="N708" s="27" t="s">
        <v>2385</v>
      </c>
      <c r="O708" s="27" t="s">
        <v>187</v>
      </c>
      <c r="P708" s="27" t="s">
        <v>54</v>
      </c>
      <c r="Q708" s="27" t="n">
        <v>0</v>
      </c>
      <c r="R708" s="27"/>
      <c r="S708" s="27" t="s">
        <v>41</v>
      </c>
      <c r="T708" s="27" t="s">
        <v>42</v>
      </c>
      <c r="U708" s="27"/>
      <c r="V708" s="27"/>
      <c r="W708" s="27"/>
      <c r="X708" s="27"/>
      <c r="Y708" s="27" t="s">
        <v>2387</v>
      </c>
      <c r="Z708" s="27" t="n">
        <v>-7.2248915</v>
      </c>
      <c r="AA708" s="27" t="n">
        <v>-48.2493615</v>
      </c>
      <c r="AB708" s="37" t="s">
        <v>2338</v>
      </c>
      <c r="AC708" s="27" t="s">
        <v>2388</v>
      </c>
    </row>
    <row r="709" customFormat="false" ht="15" hidden="false" customHeight="false" outlineLevel="0" collapsed="false">
      <c r="A709" s="27" t="n">
        <v>708</v>
      </c>
      <c r="B709" s="27" t="s">
        <v>2067</v>
      </c>
      <c r="C709" s="27" t="s">
        <v>3229</v>
      </c>
      <c r="D709" s="27" t="s">
        <v>2050</v>
      </c>
      <c r="E709" s="27" t="s">
        <v>2068</v>
      </c>
      <c r="F709" s="32" t="n">
        <v>1.33474075584182</v>
      </c>
      <c r="G709" s="28" t="n">
        <v>3667.20658207903</v>
      </c>
      <c r="H709" s="28" t="n">
        <v>1978.52053885208</v>
      </c>
      <c r="I709" s="6" t="s">
        <v>23</v>
      </c>
      <c r="J709" s="27" t="s">
        <v>303</v>
      </c>
      <c r="K709" s="27" t="s">
        <v>541</v>
      </c>
      <c r="L709" s="27" t="n">
        <v>69</v>
      </c>
      <c r="M709" s="27" t="s">
        <v>42</v>
      </c>
      <c r="N709" s="27" t="s">
        <v>2385</v>
      </c>
      <c r="O709" s="27" t="s">
        <v>187</v>
      </c>
      <c r="P709" s="27" t="s">
        <v>191</v>
      </c>
      <c r="Q709" s="27" t="n">
        <v>1</v>
      </c>
      <c r="R709" s="27"/>
      <c r="S709" s="27" t="s">
        <v>41</v>
      </c>
      <c r="T709" s="27" t="s">
        <v>42</v>
      </c>
      <c r="U709" s="27"/>
      <c r="V709" s="27"/>
      <c r="W709" s="27"/>
      <c r="X709" s="27"/>
      <c r="Y709" s="27" t="s">
        <v>2387</v>
      </c>
      <c r="Z709" s="27" t="n">
        <v>-7.2239145</v>
      </c>
      <c r="AA709" s="27" t="n">
        <v>-48.2488625</v>
      </c>
      <c r="AB709" s="37" t="s">
        <v>2338</v>
      </c>
      <c r="AC709" s="27" t="s">
        <v>2388</v>
      </c>
    </row>
    <row r="710" customFormat="false" ht="15" hidden="false" customHeight="false" outlineLevel="0" collapsed="false">
      <c r="A710" s="27" t="n">
        <v>709</v>
      </c>
      <c r="B710" s="27" t="s">
        <v>2069</v>
      </c>
      <c r="C710" s="27" t="s">
        <v>3230</v>
      </c>
      <c r="D710" s="27" t="s">
        <v>2064</v>
      </c>
      <c r="E710" s="27" t="s">
        <v>2070</v>
      </c>
      <c r="F710" s="32" t="n">
        <v>10.9270182219447</v>
      </c>
      <c r="G710" s="28" t="n">
        <v>3850.83134779222</v>
      </c>
      <c r="H710" s="28" t="n">
        <v>10.9270182219448</v>
      </c>
      <c r="I710" s="7" t="s">
        <v>24</v>
      </c>
      <c r="J710" s="27" t="s">
        <v>303</v>
      </c>
      <c r="K710" s="27" t="s">
        <v>541</v>
      </c>
      <c r="L710" s="27" t="n">
        <v>70</v>
      </c>
      <c r="M710" s="27" t="s">
        <v>189</v>
      </c>
      <c r="N710" s="27" t="s">
        <v>2640</v>
      </c>
      <c r="O710" s="27" t="s">
        <v>190</v>
      </c>
      <c r="P710" s="27" t="s">
        <v>54</v>
      </c>
      <c r="Q710" s="27" t="n">
        <v>0</v>
      </c>
      <c r="R710" s="27"/>
      <c r="S710" s="27" t="s">
        <v>41</v>
      </c>
      <c r="T710" s="27" t="s">
        <v>42</v>
      </c>
      <c r="U710" s="27" t="s">
        <v>189</v>
      </c>
      <c r="V710" s="27"/>
      <c r="W710" s="27"/>
      <c r="X710" s="27"/>
      <c r="Y710" s="27" t="s">
        <v>3231</v>
      </c>
      <c r="Z710" s="27" t="n">
        <v>-7.2249745</v>
      </c>
      <c r="AA710" s="27" t="n">
        <v>-48.24852</v>
      </c>
      <c r="AB710" s="37" t="s">
        <v>2338</v>
      </c>
      <c r="AC710" s="27" t="s">
        <v>3232</v>
      </c>
    </row>
    <row r="711" customFormat="false" ht="15" hidden="false" customHeight="false" outlineLevel="0" collapsed="false">
      <c r="A711" s="27" t="n">
        <v>710</v>
      </c>
      <c r="B711" s="27" t="s">
        <v>2071</v>
      </c>
      <c r="C711" s="27" t="s">
        <v>3233</v>
      </c>
      <c r="D711" s="27" t="s">
        <v>2068</v>
      </c>
      <c r="E711" s="27" t="s">
        <v>2072</v>
      </c>
      <c r="F711" s="32" t="n">
        <v>12.6041120650505</v>
      </c>
      <c r="G711" s="28" t="n">
        <v>3679.81069414408</v>
      </c>
      <c r="H711" s="28" t="n">
        <v>12.6041120650507</v>
      </c>
      <c r="I711" s="7" t="s">
        <v>24</v>
      </c>
      <c r="J711" s="27" t="s">
        <v>303</v>
      </c>
      <c r="K711" s="27" t="s">
        <v>541</v>
      </c>
      <c r="L711" s="27" t="n">
        <v>71</v>
      </c>
      <c r="M711" s="27" t="s">
        <v>191</v>
      </c>
      <c r="N711" s="27" t="s">
        <v>2635</v>
      </c>
      <c r="O711" s="27" t="s">
        <v>192</v>
      </c>
      <c r="P711" s="27" t="s">
        <v>54</v>
      </c>
      <c r="Q711" s="27" t="n">
        <v>0</v>
      </c>
      <c r="R711" s="27"/>
      <c r="S711" s="27" t="s">
        <v>41</v>
      </c>
      <c r="T711" s="27" t="s">
        <v>42</v>
      </c>
      <c r="U711" s="27" t="s">
        <v>191</v>
      </c>
      <c r="V711" s="27"/>
      <c r="W711" s="27"/>
      <c r="X711" s="27"/>
      <c r="Y711" s="27" t="s">
        <v>3234</v>
      </c>
      <c r="Z711" s="27" t="n">
        <v>-7.2239355</v>
      </c>
      <c r="AA711" s="27" t="n">
        <v>-48.248803</v>
      </c>
      <c r="AB711" s="37" t="s">
        <v>2338</v>
      </c>
      <c r="AC711" s="27" t="s">
        <v>3235</v>
      </c>
    </row>
    <row r="712" customFormat="false" ht="15" hidden="false" customHeight="false" outlineLevel="0" collapsed="false">
      <c r="A712" s="27" t="n">
        <v>711</v>
      </c>
      <c r="B712" s="27" t="s">
        <v>2073</v>
      </c>
      <c r="C712" s="27" t="s">
        <v>3236</v>
      </c>
      <c r="D712" s="27" t="s">
        <v>768</v>
      </c>
      <c r="E712" s="27" t="s">
        <v>2074</v>
      </c>
      <c r="F712" s="32" t="n">
        <v>0.351351487441505</v>
      </c>
      <c r="G712" s="28" t="n">
        <v>3084.97044377265</v>
      </c>
      <c r="H712" s="28" t="n">
        <v>1396.28440054571</v>
      </c>
      <c r="I712" s="6" t="s">
        <v>23</v>
      </c>
      <c r="J712" s="27" t="s">
        <v>303</v>
      </c>
      <c r="K712" s="27" t="s">
        <v>546</v>
      </c>
      <c r="L712" s="27" t="n">
        <v>72</v>
      </c>
      <c r="M712" s="27" t="s">
        <v>42</v>
      </c>
      <c r="N712" s="27" t="s">
        <v>2385</v>
      </c>
      <c r="O712" s="27" t="s">
        <v>195</v>
      </c>
      <c r="P712" s="27" t="s">
        <v>54</v>
      </c>
      <c r="Q712" s="27" t="n">
        <v>0</v>
      </c>
      <c r="R712" s="27"/>
      <c r="S712" s="27" t="s">
        <v>41</v>
      </c>
      <c r="T712" s="27" t="s">
        <v>42</v>
      </c>
      <c r="U712" s="27"/>
      <c r="V712" s="27"/>
      <c r="W712" s="27"/>
      <c r="X712" s="27"/>
      <c r="Y712" s="27" t="s">
        <v>2387</v>
      </c>
      <c r="Z712" s="27" t="n">
        <v>-7.2190855</v>
      </c>
      <c r="AA712" s="27" t="n">
        <v>-48.2463915</v>
      </c>
      <c r="AB712" s="37" t="s">
        <v>2338</v>
      </c>
      <c r="AC712" s="27" t="s">
        <v>2388</v>
      </c>
    </row>
    <row r="713" customFormat="false" ht="15" hidden="false" customHeight="false" outlineLevel="0" collapsed="false">
      <c r="A713" s="27" t="n">
        <v>712</v>
      </c>
      <c r="B713" s="27" t="s">
        <v>2075</v>
      </c>
      <c r="C713" s="27" t="s">
        <v>3237</v>
      </c>
      <c r="D713" s="27" t="s">
        <v>2074</v>
      </c>
      <c r="E713" s="27" t="s">
        <v>2076</v>
      </c>
      <c r="F713" s="32" t="n">
        <v>2.67778262598519</v>
      </c>
      <c r="G713" s="28" t="n">
        <v>3087.64822639864</v>
      </c>
      <c r="H713" s="28" t="n">
        <v>1398.96218317169</v>
      </c>
      <c r="I713" s="6" t="s">
        <v>23</v>
      </c>
      <c r="J713" s="27" t="s">
        <v>303</v>
      </c>
      <c r="K713" s="27" t="s">
        <v>546</v>
      </c>
      <c r="L713" s="27" t="n">
        <v>72</v>
      </c>
      <c r="M713" s="27" t="s">
        <v>42</v>
      </c>
      <c r="N713" s="27" t="s">
        <v>2385</v>
      </c>
      <c r="O713" s="27" t="s">
        <v>195</v>
      </c>
      <c r="P713" s="27" t="s">
        <v>54</v>
      </c>
      <c r="Q713" s="27" t="n">
        <v>0</v>
      </c>
      <c r="R713" s="27"/>
      <c r="S713" s="27" t="s">
        <v>41</v>
      </c>
      <c r="T713" s="27" t="s">
        <v>42</v>
      </c>
      <c r="U713" s="27"/>
      <c r="V713" s="27"/>
      <c r="W713" s="27"/>
      <c r="X713" s="27"/>
      <c r="Y713" s="27" t="s">
        <v>2387</v>
      </c>
      <c r="Z713" s="27" t="n">
        <v>-7.219099</v>
      </c>
      <c r="AA713" s="27" t="n">
        <v>-48.246393</v>
      </c>
      <c r="AB713" s="37" t="s">
        <v>2338</v>
      </c>
      <c r="AC713" s="27" t="s">
        <v>2388</v>
      </c>
    </row>
    <row r="714" customFormat="false" ht="15" hidden="false" customHeight="false" outlineLevel="0" collapsed="false">
      <c r="A714" s="27" t="n">
        <v>713</v>
      </c>
      <c r="B714" s="27" t="s">
        <v>2077</v>
      </c>
      <c r="C714" s="27" t="s">
        <v>3238</v>
      </c>
      <c r="D714" s="27" t="s">
        <v>774</v>
      </c>
      <c r="E714" s="27" t="s">
        <v>2078</v>
      </c>
      <c r="F714" s="32" t="n">
        <v>20.417790421367</v>
      </c>
      <c r="G714" s="28" t="n">
        <v>3315.04629113611</v>
      </c>
      <c r="H714" s="28" t="n">
        <v>229.042434699835</v>
      </c>
      <c r="I714" s="6" t="s">
        <v>23</v>
      </c>
      <c r="J714" s="27" t="s">
        <v>303</v>
      </c>
      <c r="K714" s="27" t="s">
        <v>547</v>
      </c>
      <c r="L714" s="27" t="n">
        <v>73</v>
      </c>
      <c r="M714" s="27" t="s">
        <v>44</v>
      </c>
      <c r="N714" s="27" t="s">
        <v>2385</v>
      </c>
      <c r="O714" s="27" t="s">
        <v>198</v>
      </c>
      <c r="P714" s="27" t="s">
        <v>54</v>
      </c>
      <c r="Q714" s="27" t="n">
        <v>0</v>
      </c>
      <c r="R714" s="27"/>
      <c r="S714" s="27" t="s">
        <v>41</v>
      </c>
      <c r="T714" s="27" t="s">
        <v>42</v>
      </c>
      <c r="U714" s="27" t="s">
        <v>44</v>
      </c>
      <c r="V714" s="27"/>
      <c r="W714" s="27"/>
      <c r="X714" s="27"/>
      <c r="Y714" s="27" t="s">
        <v>2426</v>
      </c>
      <c r="Z714" s="27" t="n">
        <v>-7.2197915</v>
      </c>
      <c r="AA714" s="27" t="n">
        <v>-48.2446165</v>
      </c>
      <c r="AB714" s="37" t="s">
        <v>2338</v>
      </c>
      <c r="AC714" s="27" t="s">
        <v>2427</v>
      </c>
    </row>
    <row r="715" customFormat="false" ht="15" hidden="false" customHeight="false" outlineLevel="0" collapsed="false">
      <c r="A715" s="27" t="n">
        <v>714</v>
      </c>
      <c r="B715" s="27" t="s">
        <v>2079</v>
      </c>
      <c r="C715" s="27" t="s">
        <v>3239</v>
      </c>
      <c r="D715" s="27" t="s">
        <v>786</v>
      </c>
      <c r="E715" s="27" t="s">
        <v>2080</v>
      </c>
      <c r="F715" s="32" t="n">
        <v>7.73594669834113</v>
      </c>
      <c r="G715" s="28" t="n">
        <v>3628.78682347731</v>
      </c>
      <c r="H715" s="28" t="n">
        <v>542.782967041029</v>
      </c>
      <c r="I715" s="6" t="s">
        <v>23</v>
      </c>
      <c r="J715" s="27" t="s">
        <v>303</v>
      </c>
      <c r="K715" s="27" t="s">
        <v>548</v>
      </c>
      <c r="L715" s="27" t="n">
        <v>74</v>
      </c>
      <c r="M715" s="27" t="s">
        <v>44</v>
      </c>
      <c r="N715" s="27" t="s">
        <v>2385</v>
      </c>
      <c r="O715" s="27" t="s">
        <v>201</v>
      </c>
      <c r="P715" s="27" t="s">
        <v>54</v>
      </c>
      <c r="Q715" s="27" t="n">
        <v>0</v>
      </c>
      <c r="R715" s="27"/>
      <c r="S715" s="27" t="s">
        <v>41</v>
      </c>
      <c r="T715" s="27" t="s">
        <v>42</v>
      </c>
      <c r="U715" s="27" t="s">
        <v>44</v>
      </c>
      <c r="V715" s="27"/>
      <c r="W715" s="27"/>
      <c r="X715" s="27"/>
      <c r="Y715" s="27" t="s">
        <v>2426</v>
      </c>
      <c r="Z715" s="27" t="n">
        <v>-7.2193715</v>
      </c>
      <c r="AA715" s="27" t="n">
        <v>-48.2418505</v>
      </c>
      <c r="AB715" s="37" t="s">
        <v>2338</v>
      </c>
      <c r="AC715" s="27" t="s">
        <v>2427</v>
      </c>
    </row>
    <row r="716" customFormat="false" ht="15" hidden="false" customHeight="false" outlineLevel="0" collapsed="false">
      <c r="A716" s="27" t="n">
        <v>715</v>
      </c>
      <c r="B716" s="27" t="s">
        <v>2081</v>
      </c>
      <c r="C716" s="27" t="s">
        <v>3240</v>
      </c>
      <c r="D716" s="27" t="s">
        <v>790</v>
      </c>
      <c r="E716" s="27" t="s">
        <v>2082</v>
      </c>
      <c r="F716" s="32" t="n">
        <v>66.5137792801613</v>
      </c>
      <c r="G716" s="28" t="n">
        <v>3717.19410446111</v>
      </c>
      <c r="H716" s="28" t="n">
        <v>66.5137792801611</v>
      </c>
      <c r="I716" s="7" t="s">
        <v>24</v>
      </c>
      <c r="J716" s="27" t="s">
        <v>303</v>
      </c>
      <c r="K716" s="27" t="s">
        <v>549</v>
      </c>
      <c r="L716" s="27" t="n">
        <v>75</v>
      </c>
      <c r="M716" s="27" t="s">
        <v>203</v>
      </c>
      <c r="N716" s="27" t="s">
        <v>2640</v>
      </c>
      <c r="O716" s="27" t="s">
        <v>204</v>
      </c>
      <c r="P716" s="27" t="s">
        <v>3241</v>
      </c>
      <c r="Q716" s="27" t="n">
        <v>2</v>
      </c>
      <c r="R716" s="27"/>
      <c r="S716" s="27" t="s">
        <v>41</v>
      </c>
      <c r="T716" s="27" t="s">
        <v>42</v>
      </c>
      <c r="U716" s="27" t="s">
        <v>44</v>
      </c>
      <c r="V716" s="27" t="s">
        <v>203</v>
      </c>
      <c r="W716" s="27"/>
      <c r="X716" s="27"/>
      <c r="Y716" s="27" t="s">
        <v>3242</v>
      </c>
      <c r="Z716" s="27" t="n">
        <v>-7.2199415</v>
      </c>
      <c r="AA716" s="27" t="n">
        <v>-48.2416635</v>
      </c>
      <c r="AB716" s="37" t="s">
        <v>2338</v>
      </c>
      <c r="AC716" s="27" t="s">
        <v>3243</v>
      </c>
    </row>
    <row r="717" customFormat="false" ht="15" hidden="false" customHeight="false" outlineLevel="0" collapsed="false">
      <c r="A717" s="27" t="n">
        <v>716</v>
      </c>
      <c r="B717" s="27" t="s">
        <v>2083</v>
      </c>
      <c r="C717" s="27" t="s">
        <v>3244</v>
      </c>
      <c r="D717" s="27" t="s">
        <v>2082</v>
      </c>
      <c r="E717" s="27" t="s">
        <v>2084</v>
      </c>
      <c r="F717" s="32" t="n">
        <v>129.416425544246</v>
      </c>
      <c r="G717" s="28" t="n">
        <v>3846.61053000536</v>
      </c>
      <c r="H717" s="28" t="n">
        <v>195.930204824407</v>
      </c>
      <c r="I717" s="7" t="s">
        <v>24</v>
      </c>
      <c r="J717" s="27" t="s">
        <v>303</v>
      </c>
      <c r="K717" s="27" t="s">
        <v>549</v>
      </c>
      <c r="L717" s="27" t="n">
        <v>75</v>
      </c>
      <c r="M717" s="27" t="s">
        <v>203</v>
      </c>
      <c r="N717" s="27" t="s">
        <v>2640</v>
      </c>
      <c r="O717" s="27" t="s">
        <v>204</v>
      </c>
      <c r="P717" s="27" t="s">
        <v>3241</v>
      </c>
      <c r="Q717" s="27" t="n">
        <v>2</v>
      </c>
      <c r="R717" s="27"/>
      <c r="S717" s="27" t="s">
        <v>41</v>
      </c>
      <c r="T717" s="27" t="s">
        <v>42</v>
      </c>
      <c r="U717" s="27" t="s">
        <v>44</v>
      </c>
      <c r="V717" s="27" t="s">
        <v>203</v>
      </c>
      <c r="W717" s="27"/>
      <c r="X717" s="27"/>
      <c r="Y717" s="27" t="s">
        <v>3242</v>
      </c>
      <c r="Z717" s="27" t="n">
        <v>-7.220788</v>
      </c>
      <c r="AA717" s="27" t="n">
        <v>-48.2414175</v>
      </c>
      <c r="AB717" s="37" t="s">
        <v>2338</v>
      </c>
      <c r="AC717" s="27" t="s">
        <v>3243</v>
      </c>
    </row>
    <row r="718" customFormat="false" ht="15" hidden="false" customHeight="false" outlineLevel="0" collapsed="false">
      <c r="A718" s="27" t="n">
        <v>717</v>
      </c>
      <c r="B718" s="27" t="s">
        <v>2085</v>
      </c>
      <c r="C718" s="27" t="s">
        <v>3245</v>
      </c>
      <c r="D718" s="27" t="s">
        <v>2084</v>
      </c>
      <c r="E718" s="27" t="s">
        <v>2086</v>
      </c>
      <c r="F718" s="32" t="n">
        <v>45.2601636507811</v>
      </c>
      <c r="G718" s="28" t="n">
        <v>3891.87069365614</v>
      </c>
      <c r="H718" s="28" t="n">
        <v>241.190368475188</v>
      </c>
      <c r="I718" s="7" t="s">
        <v>24</v>
      </c>
      <c r="J718" s="27" t="s">
        <v>303</v>
      </c>
      <c r="K718" s="27" t="s">
        <v>549</v>
      </c>
      <c r="L718" s="27" t="n">
        <v>75</v>
      </c>
      <c r="M718" s="27" t="s">
        <v>203</v>
      </c>
      <c r="N718" s="27" t="s">
        <v>2640</v>
      </c>
      <c r="O718" s="27" t="s">
        <v>204</v>
      </c>
      <c r="P718" s="27" t="s">
        <v>206</v>
      </c>
      <c r="Q718" s="27" t="n">
        <v>1</v>
      </c>
      <c r="R718" s="27"/>
      <c r="S718" s="27" t="s">
        <v>41</v>
      </c>
      <c r="T718" s="27" t="s">
        <v>42</v>
      </c>
      <c r="U718" s="27" t="s">
        <v>44</v>
      </c>
      <c r="V718" s="27" t="s">
        <v>203</v>
      </c>
      <c r="W718" s="27"/>
      <c r="X718" s="27"/>
      <c r="Y718" s="27" t="s">
        <v>3242</v>
      </c>
      <c r="Z718" s="27" t="n">
        <v>-7.22154</v>
      </c>
      <c r="AA718" s="27" t="n">
        <v>-48.241189</v>
      </c>
      <c r="AB718" s="37" t="s">
        <v>2338</v>
      </c>
      <c r="AC718" s="27" t="s">
        <v>3243</v>
      </c>
    </row>
    <row r="719" customFormat="false" ht="15" hidden="false" customHeight="false" outlineLevel="0" collapsed="false">
      <c r="A719" s="27" t="n">
        <v>718</v>
      </c>
      <c r="B719" s="27" t="s">
        <v>2087</v>
      </c>
      <c r="C719" s="27" t="s">
        <v>3246</v>
      </c>
      <c r="D719" s="27" t="s">
        <v>2086</v>
      </c>
      <c r="E719" s="27" t="s">
        <v>2088</v>
      </c>
      <c r="F719" s="32" t="n">
        <v>24.1501139200828</v>
      </c>
      <c r="G719" s="28" t="n">
        <v>3916.02080757622</v>
      </c>
      <c r="H719" s="28" t="n">
        <v>265.340482395271</v>
      </c>
      <c r="I719" s="7" t="s">
        <v>24</v>
      </c>
      <c r="J719" s="27" t="s">
        <v>303</v>
      </c>
      <c r="K719" s="27" t="s">
        <v>549</v>
      </c>
      <c r="L719" s="27" t="n">
        <v>75</v>
      </c>
      <c r="M719" s="27" t="s">
        <v>203</v>
      </c>
      <c r="N719" s="27" t="s">
        <v>2640</v>
      </c>
      <c r="O719" s="27" t="s">
        <v>204</v>
      </c>
      <c r="P719" s="27" t="s">
        <v>206</v>
      </c>
      <c r="Q719" s="27" t="n">
        <v>1</v>
      </c>
      <c r="R719" s="27"/>
      <c r="S719" s="27" t="s">
        <v>41</v>
      </c>
      <c r="T719" s="27" t="s">
        <v>42</v>
      </c>
      <c r="U719" s="27" t="s">
        <v>44</v>
      </c>
      <c r="V719" s="27" t="s">
        <v>203</v>
      </c>
      <c r="W719" s="27"/>
      <c r="X719" s="27"/>
      <c r="Y719" s="27" t="s">
        <v>3242</v>
      </c>
      <c r="Z719" s="27" t="n">
        <v>-7.221838</v>
      </c>
      <c r="AA719" s="27" t="n">
        <v>-48.2410955</v>
      </c>
      <c r="AB719" s="37" t="s">
        <v>2338</v>
      </c>
      <c r="AC719" s="27" t="s">
        <v>3243</v>
      </c>
    </row>
    <row r="720" customFormat="false" ht="15" hidden="false" customHeight="false" outlineLevel="0" collapsed="false">
      <c r="A720" s="27" t="n">
        <v>719</v>
      </c>
      <c r="B720" s="27" t="s">
        <v>2089</v>
      </c>
      <c r="C720" s="27" t="s">
        <v>3247</v>
      </c>
      <c r="D720" s="27" t="s">
        <v>2088</v>
      </c>
      <c r="E720" s="27" t="s">
        <v>2090</v>
      </c>
      <c r="F720" s="32" t="n">
        <v>135.885078719806</v>
      </c>
      <c r="G720" s="28" t="n">
        <v>4051.90588629603</v>
      </c>
      <c r="H720" s="28" t="n">
        <v>401.225561115077</v>
      </c>
      <c r="I720" s="7" t="s">
        <v>24</v>
      </c>
      <c r="J720" s="27" t="s">
        <v>303</v>
      </c>
      <c r="K720" s="27" t="s">
        <v>549</v>
      </c>
      <c r="L720" s="27" t="n">
        <v>75</v>
      </c>
      <c r="M720" s="27" t="s">
        <v>203</v>
      </c>
      <c r="N720" s="27" t="s">
        <v>2640</v>
      </c>
      <c r="O720" s="27" t="s">
        <v>204</v>
      </c>
      <c r="P720" s="27" t="s">
        <v>54</v>
      </c>
      <c r="Q720" s="27" t="n">
        <v>0</v>
      </c>
      <c r="R720" s="27"/>
      <c r="S720" s="27" t="s">
        <v>41</v>
      </c>
      <c r="T720" s="27" t="s">
        <v>42</v>
      </c>
      <c r="U720" s="27" t="s">
        <v>44</v>
      </c>
      <c r="V720" s="27" t="s">
        <v>203</v>
      </c>
      <c r="W720" s="27"/>
      <c r="X720" s="27"/>
      <c r="Y720" s="27" t="s">
        <v>3242</v>
      </c>
      <c r="Z720" s="27" t="n">
        <v>-7.222529</v>
      </c>
      <c r="AA720" s="27" t="n">
        <v>-48.240893</v>
      </c>
      <c r="AB720" s="37" t="s">
        <v>2338</v>
      </c>
      <c r="AC720" s="27" t="s">
        <v>3243</v>
      </c>
    </row>
    <row r="721" customFormat="false" ht="15" hidden="false" customHeight="false" outlineLevel="0" collapsed="false">
      <c r="A721" s="27" t="n">
        <v>720</v>
      </c>
      <c r="B721" s="27" t="s">
        <v>2091</v>
      </c>
      <c r="C721" s="27" t="s">
        <v>3248</v>
      </c>
      <c r="D721" s="27" t="s">
        <v>2090</v>
      </c>
      <c r="E721" s="27" t="s">
        <v>2092</v>
      </c>
      <c r="F721" s="32" t="n">
        <v>198.809712294351</v>
      </c>
      <c r="G721" s="28" t="n">
        <v>4250.71559859038</v>
      </c>
      <c r="H721" s="28" t="n">
        <v>600.035273409427</v>
      </c>
      <c r="I721" s="7" t="s">
        <v>24</v>
      </c>
      <c r="J721" s="27" t="s">
        <v>303</v>
      </c>
      <c r="K721" s="27" t="s">
        <v>549</v>
      </c>
      <c r="L721" s="27" t="n">
        <v>75</v>
      </c>
      <c r="M721" s="27" t="s">
        <v>203</v>
      </c>
      <c r="N721" s="27" t="s">
        <v>2640</v>
      </c>
      <c r="O721" s="27" t="s">
        <v>204</v>
      </c>
      <c r="P721" s="27" t="s">
        <v>54</v>
      </c>
      <c r="Q721" s="27" t="n">
        <v>0</v>
      </c>
      <c r="R721" s="27"/>
      <c r="S721" s="27" t="s">
        <v>41</v>
      </c>
      <c r="T721" s="27" t="s">
        <v>42</v>
      </c>
      <c r="U721" s="27" t="s">
        <v>44</v>
      </c>
      <c r="V721" s="27" t="s">
        <v>203</v>
      </c>
      <c r="W721" s="27"/>
      <c r="X721" s="27"/>
      <c r="Y721" s="27" t="s">
        <v>3242</v>
      </c>
      <c r="Z721" s="27" t="n">
        <v>-7.2239715</v>
      </c>
      <c r="AA721" s="27" t="n">
        <v>-48.2404605</v>
      </c>
      <c r="AB721" s="37" t="s">
        <v>2338</v>
      </c>
      <c r="AC721" s="27" t="s">
        <v>3243</v>
      </c>
    </row>
    <row r="722" customFormat="false" ht="15" hidden="false" customHeight="false" outlineLevel="0" collapsed="false">
      <c r="A722" s="27" t="n">
        <v>721</v>
      </c>
      <c r="B722" s="27" t="s">
        <v>2093</v>
      </c>
      <c r="C722" s="27" t="s">
        <v>3249</v>
      </c>
      <c r="D722" s="27" t="s">
        <v>2092</v>
      </c>
      <c r="E722" s="27" t="s">
        <v>2094</v>
      </c>
      <c r="F722" s="32" t="n">
        <v>13.8925102068261</v>
      </c>
      <c r="G722" s="28" t="n">
        <v>4264.6081087972</v>
      </c>
      <c r="H722" s="28" t="n">
        <v>613.927783616253</v>
      </c>
      <c r="I722" s="7" t="s">
        <v>24</v>
      </c>
      <c r="J722" s="27" t="s">
        <v>303</v>
      </c>
      <c r="K722" s="27" t="s">
        <v>549</v>
      </c>
      <c r="L722" s="27" t="n">
        <v>75</v>
      </c>
      <c r="M722" s="27" t="s">
        <v>203</v>
      </c>
      <c r="N722" s="27" t="s">
        <v>2640</v>
      </c>
      <c r="O722" s="27" t="s">
        <v>204</v>
      </c>
      <c r="P722" s="27" t="s">
        <v>54</v>
      </c>
      <c r="Q722" s="27" t="n">
        <v>0</v>
      </c>
      <c r="R722" s="27"/>
      <c r="S722" s="27" t="s">
        <v>41</v>
      </c>
      <c r="T722" s="27" t="s">
        <v>42</v>
      </c>
      <c r="U722" s="27" t="s">
        <v>44</v>
      </c>
      <c r="V722" s="27" t="s">
        <v>203</v>
      </c>
      <c r="W722" s="27"/>
      <c r="X722" s="27"/>
      <c r="Y722" s="27" t="s">
        <v>3242</v>
      </c>
      <c r="Z722" s="27" t="n">
        <v>-7.2248115</v>
      </c>
      <c r="AA722" s="27" t="n">
        <v>-48.240138</v>
      </c>
      <c r="AB722" s="37" t="s">
        <v>2338</v>
      </c>
      <c r="AC722" s="27" t="s">
        <v>3243</v>
      </c>
    </row>
    <row r="723" customFormat="false" ht="15" hidden="false" customHeight="false" outlineLevel="0" collapsed="false">
      <c r="A723" s="27" t="n">
        <v>722</v>
      </c>
      <c r="B723" s="27" t="s">
        <v>2095</v>
      </c>
      <c r="C723" s="27" t="s">
        <v>3250</v>
      </c>
      <c r="D723" s="27" t="s">
        <v>2092</v>
      </c>
      <c r="E723" s="27" t="s">
        <v>2096</v>
      </c>
      <c r="F723" s="32" t="n">
        <v>159.672147824076</v>
      </c>
      <c r="G723" s="28" t="n">
        <v>4410.38774641445</v>
      </c>
      <c r="H723" s="28" t="n">
        <v>759.707421233503</v>
      </c>
      <c r="I723" s="7" t="s">
        <v>24</v>
      </c>
      <c r="J723" s="27" t="s">
        <v>303</v>
      </c>
      <c r="K723" s="27" t="s">
        <v>549</v>
      </c>
      <c r="L723" s="27" t="n">
        <v>75</v>
      </c>
      <c r="M723" s="27" t="s">
        <v>203</v>
      </c>
      <c r="N723" s="27" t="s">
        <v>2640</v>
      </c>
      <c r="O723" s="27" t="s">
        <v>204</v>
      </c>
      <c r="P723" s="27" t="s">
        <v>54</v>
      </c>
      <c r="Q723" s="27" t="n">
        <v>0</v>
      </c>
      <c r="R723" s="27"/>
      <c r="S723" s="27" t="s">
        <v>41</v>
      </c>
      <c r="T723" s="27" t="s">
        <v>42</v>
      </c>
      <c r="U723" s="27" t="s">
        <v>44</v>
      </c>
      <c r="V723" s="27" t="s">
        <v>203</v>
      </c>
      <c r="W723" s="27"/>
      <c r="X723" s="27"/>
      <c r="Y723" s="27" t="s">
        <v>3242</v>
      </c>
      <c r="Z723" s="27" t="n">
        <v>-7.224921</v>
      </c>
      <c r="AA723" s="27" t="n">
        <v>-48.2409165</v>
      </c>
      <c r="AB723" s="37" t="s">
        <v>2338</v>
      </c>
      <c r="AC723" s="27" t="s">
        <v>3243</v>
      </c>
    </row>
    <row r="724" customFormat="false" ht="15" hidden="false" customHeight="false" outlineLevel="0" collapsed="false">
      <c r="A724" s="27" t="n">
        <v>723</v>
      </c>
      <c r="B724" s="27" t="s">
        <v>2097</v>
      </c>
      <c r="C724" s="27" t="s">
        <v>3251</v>
      </c>
      <c r="D724" s="27" t="s">
        <v>2092</v>
      </c>
      <c r="E724" s="27" t="s">
        <v>2098</v>
      </c>
      <c r="F724" s="32" t="n">
        <v>21.1303197281373</v>
      </c>
      <c r="G724" s="28" t="n">
        <v>4271.84591831851</v>
      </c>
      <c r="H724" s="28" t="n">
        <v>621.165593137565</v>
      </c>
      <c r="I724" s="7" t="s">
        <v>24</v>
      </c>
      <c r="J724" s="27" t="s">
        <v>303</v>
      </c>
      <c r="K724" s="27" t="s">
        <v>549</v>
      </c>
      <c r="L724" s="27" t="n">
        <v>75</v>
      </c>
      <c r="M724" s="27" t="s">
        <v>203</v>
      </c>
      <c r="N724" s="27" t="s">
        <v>2640</v>
      </c>
      <c r="O724" s="27" t="s">
        <v>204</v>
      </c>
      <c r="P724" s="27" t="s">
        <v>54</v>
      </c>
      <c r="Q724" s="27" t="n">
        <v>0</v>
      </c>
      <c r="R724" s="27"/>
      <c r="S724" s="27" t="s">
        <v>41</v>
      </c>
      <c r="T724" s="27" t="s">
        <v>42</v>
      </c>
      <c r="U724" s="27" t="s">
        <v>44</v>
      </c>
      <c r="V724" s="27" t="s">
        <v>203</v>
      </c>
      <c r="W724" s="27"/>
      <c r="X724" s="27"/>
      <c r="Y724" s="27" t="s">
        <v>3242</v>
      </c>
      <c r="Z724" s="27" t="n">
        <v>-7.224914</v>
      </c>
      <c r="AA724" s="27" t="n">
        <v>-48.2401605</v>
      </c>
      <c r="AB724" s="37" t="s">
        <v>2338</v>
      </c>
      <c r="AC724" s="27" t="s">
        <v>3243</v>
      </c>
    </row>
    <row r="725" customFormat="false" ht="15" hidden="false" customHeight="false" outlineLevel="0" collapsed="false">
      <c r="A725" s="27" t="n">
        <v>724</v>
      </c>
      <c r="B725" s="27" t="s">
        <v>2099</v>
      </c>
      <c r="C725" s="27" t="s">
        <v>3252</v>
      </c>
      <c r="D725" s="27" t="s">
        <v>2098</v>
      </c>
      <c r="E725" s="27" t="s">
        <v>2100</v>
      </c>
      <c r="F725" s="32" t="n">
        <v>3.77406081134591</v>
      </c>
      <c r="G725" s="28" t="n">
        <v>4275.61997912986</v>
      </c>
      <c r="H725" s="28" t="n">
        <v>624.939653948911</v>
      </c>
      <c r="I725" s="7" t="s">
        <v>24</v>
      </c>
      <c r="J725" s="27" t="s">
        <v>303</v>
      </c>
      <c r="K725" s="27" t="s">
        <v>549</v>
      </c>
      <c r="L725" s="27" t="n">
        <v>75</v>
      </c>
      <c r="M725" s="27" t="s">
        <v>203</v>
      </c>
      <c r="N725" s="27" t="s">
        <v>2640</v>
      </c>
      <c r="O725" s="27" t="s">
        <v>204</v>
      </c>
      <c r="P725" s="27" t="s">
        <v>54</v>
      </c>
      <c r="Q725" s="27" t="n">
        <v>0</v>
      </c>
      <c r="R725" s="27"/>
      <c r="S725" s="27" t="s">
        <v>41</v>
      </c>
      <c r="T725" s="27" t="s">
        <v>42</v>
      </c>
      <c r="U725" s="27" t="s">
        <v>44</v>
      </c>
      <c r="V725" s="27" t="s">
        <v>203</v>
      </c>
      <c r="W725" s="27"/>
      <c r="X725" s="27"/>
      <c r="Y725" s="27" t="s">
        <v>3242</v>
      </c>
      <c r="Z725" s="27" t="n">
        <v>-7.2250175</v>
      </c>
      <c r="AA725" s="27" t="n">
        <v>-48.240118</v>
      </c>
      <c r="AB725" s="37" t="s">
        <v>2338</v>
      </c>
      <c r="AC725" s="27" t="s">
        <v>3243</v>
      </c>
    </row>
    <row r="726" customFormat="false" ht="15" hidden="false" customHeight="false" outlineLevel="0" collapsed="false">
      <c r="A726" s="27" t="n">
        <v>725</v>
      </c>
      <c r="B726" s="27" t="s">
        <v>2101</v>
      </c>
      <c r="C726" s="27" t="s">
        <v>3253</v>
      </c>
      <c r="D726" s="27" t="s">
        <v>2100</v>
      </c>
      <c r="E726" s="27" t="s">
        <v>2102</v>
      </c>
      <c r="F726" s="32" t="n">
        <v>56.5172307589827</v>
      </c>
      <c r="G726" s="28" t="n">
        <v>4332.13720988884</v>
      </c>
      <c r="H726" s="28" t="n">
        <v>681.456884707894</v>
      </c>
      <c r="I726" s="7" t="s">
        <v>24</v>
      </c>
      <c r="J726" s="27" t="s">
        <v>303</v>
      </c>
      <c r="K726" s="27" t="s">
        <v>549</v>
      </c>
      <c r="L726" s="27" t="n">
        <v>75</v>
      </c>
      <c r="M726" s="27" t="s">
        <v>203</v>
      </c>
      <c r="N726" s="27" t="s">
        <v>2640</v>
      </c>
      <c r="O726" s="27" t="s">
        <v>204</v>
      </c>
      <c r="P726" s="27" t="s">
        <v>54</v>
      </c>
      <c r="Q726" s="27" t="n">
        <v>0</v>
      </c>
      <c r="R726" s="27"/>
      <c r="S726" s="27" t="s">
        <v>41</v>
      </c>
      <c r="T726" s="27" t="s">
        <v>42</v>
      </c>
      <c r="U726" s="27" t="s">
        <v>44</v>
      </c>
      <c r="V726" s="27" t="s">
        <v>203</v>
      </c>
      <c r="W726" s="27"/>
      <c r="X726" s="27"/>
      <c r="Y726" s="27" t="s">
        <v>3242</v>
      </c>
      <c r="Z726" s="27" t="n">
        <v>-7.225277</v>
      </c>
      <c r="AA726" s="27" t="n">
        <v>-48.240039</v>
      </c>
      <c r="AB726" s="37" t="s">
        <v>2338</v>
      </c>
      <c r="AC726" s="27" t="s">
        <v>3243</v>
      </c>
    </row>
    <row r="727" customFormat="false" ht="15" hidden="false" customHeight="false" outlineLevel="0" collapsed="false">
      <c r="A727" s="27" t="n">
        <v>726</v>
      </c>
      <c r="B727" s="27" t="s">
        <v>2103</v>
      </c>
      <c r="C727" s="27" t="s">
        <v>3254</v>
      </c>
      <c r="D727" s="27" t="s">
        <v>2102</v>
      </c>
      <c r="E727" s="27" t="s">
        <v>2104</v>
      </c>
      <c r="F727" s="32" t="n">
        <v>17.0874026903062</v>
      </c>
      <c r="G727" s="28" t="n">
        <v>4349.22461257915</v>
      </c>
      <c r="H727" s="28" t="n">
        <v>698.544287398201</v>
      </c>
      <c r="I727" s="7" t="s">
        <v>24</v>
      </c>
      <c r="J727" s="27" t="s">
        <v>303</v>
      </c>
      <c r="K727" s="27" t="s">
        <v>549</v>
      </c>
      <c r="L727" s="27" t="n">
        <v>75</v>
      </c>
      <c r="M727" s="27" t="s">
        <v>203</v>
      </c>
      <c r="N727" s="27" t="s">
        <v>2640</v>
      </c>
      <c r="O727" s="27" t="s">
        <v>204</v>
      </c>
      <c r="P727" s="27" t="s">
        <v>54</v>
      </c>
      <c r="Q727" s="27" t="n">
        <v>0</v>
      </c>
      <c r="R727" s="27"/>
      <c r="S727" s="27" t="s">
        <v>41</v>
      </c>
      <c r="T727" s="27" t="s">
        <v>42</v>
      </c>
      <c r="U727" s="27" t="s">
        <v>44</v>
      </c>
      <c r="V727" s="27" t="s">
        <v>203</v>
      </c>
      <c r="W727" s="27"/>
      <c r="X727" s="27"/>
      <c r="Y727" s="27" t="s">
        <v>3242</v>
      </c>
      <c r="Z727" s="27" t="n">
        <v>-7.225508</v>
      </c>
      <c r="AA727" s="27" t="n">
        <v>-48.2398875</v>
      </c>
      <c r="AB727" s="37" t="s">
        <v>2338</v>
      </c>
      <c r="AC727" s="27" t="s">
        <v>3243</v>
      </c>
    </row>
    <row r="728" customFormat="false" ht="15" hidden="false" customHeight="false" outlineLevel="0" collapsed="false">
      <c r="A728" s="27" t="n">
        <v>727</v>
      </c>
      <c r="B728" s="27" t="s">
        <v>2105</v>
      </c>
      <c r="C728" s="27" t="s">
        <v>3255</v>
      </c>
      <c r="D728" s="27" t="s">
        <v>2102</v>
      </c>
      <c r="E728" s="27" t="s">
        <v>2106</v>
      </c>
      <c r="F728" s="32" t="n">
        <v>11.1759267524516</v>
      </c>
      <c r="G728" s="28" t="n">
        <v>4343.31313664129</v>
      </c>
      <c r="H728" s="28" t="n">
        <v>692.632811460345</v>
      </c>
      <c r="I728" s="7" t="s">
        <v>24</v>
      </c>
      <c r="J728" s="27" t="s">
        <v>303</v>
      </c>
      <c r="K728" s="27" t="s">
        <v>549</v>
      </c>
      <c r="L728" s="27" t="n">
        <v>75</v>
      </c>
      <c r="M728" s="27" t="s">
        <v>203</v>
      </c>
      <c r="N728" s="27" t="s">
        <v>2640</v>
      </c>
      <c r="O728" s="27" t="s">
        <v>204</v>
      </c>
      <c r="P728" s="27" t="s">
        <v>54</v>
      </c>
      <c r="Q728" s="27" t="n">
        <v>0</v>
      </c>
      <c r="R728" s="27"/>
      <c r="S728" s="27" t="s">
        <v>41</v>
      </c>
      <c r="T728" s="27" t="s">
        <v>42</v>
      </c>
      <c r="U728" s="27" t="s">
        <v>44</v>
      </c>
      <c r="V728" s="27" t="s">
        <v>203</v>
      </c>
      <c r="W728" s="27"/>
      <c r="X728" s="27"/>
      <c r="Y728" s="27" t="s">
        <v>3242</v>
      </c>
      <c r="Z728" s="27" t="n">
        <v>-7.225568</v>
      </c>
      <c r="AA728" s="27" t="n">
        <v>-48.239949</v>
      </c>
      <c r="AB728" s="37" t="s">
        <v>2338</v>
      </c>
      <c r="AC728" s="27" t="s">
        <v>3243</v>
      </c>
    </row>
    <row r="729" customFormat="false" ht="15" hidden="false" customHeight="false" outlineLevel="0" collapsed="false">
      <c r="A729" s="27" t="n">
        <v>728</v>
      </c>
      <c r="B729" s="27" t="s">
        <v>2107</v>
      </c>
      <c r="C729" s="27" t="s">
        <v>3256</v>
      </c>
      <c r="D729" s="27" t="s">
        <v>2102</v>
      </c>
      <c r="E729" s="27" t="s">
        <v>2108</v>
      </c>
      <c r="F729" s="32" t="n">
        <v>46.2591846772911</v>
      </c>
      <c r="G729" s="28" t="n">
        <v>4378.39639456613</v>
      </c>
      <c r="H729" s="28" t="n">
        <v>727.716069385185</v>
      </c>
      <c r="I729" s="7" t="s">
        <v>24</v>
      </c>
      <c r="J729" s="27" t="s">
        <v>303</v>
      </c>
      <c r="K729" s="27" t="s">
        <v>549</v>
      </c>
      <c r="L729" s="27" t="n">
        <v>75</v>
      </c>
      <c r="M729" s="27" t="s">
        <v>203</v>
      </c>
      <c r="N729" s="27" t="s">
        <v>2640</v>
      </c>
      <c r="O729" s="27" t="s">
        <v>204</v>
      </c>
      <c r="P729" s="27" t="s">
        <v>54</v>
      </c>
      <c r="Q729" s="27" t="n">
        <v>0</v>
      </c>
      <c r="R729" s="27"/>
      <c r="S729" s="27" t="s">
        <v>41</v>
      </c>
      <c r="T729" s="27" t="s">
        <v>42</v>
      </c>
      <c r="U729" s="27" t="s">
        <v>44</v>
      </c>
      <c r="V729" s="27" t="s">
        <v>203</v>
      </c>
      <c r="W729" s="27"/>
      <c r="X729" s="27"/>
      <c r="Y729" s="27" t="s">
        <v>3242</v>
      </c>
      <c r="Z729" s="27" t="n">
        <v>-7.225587</v>
      </c>
      <c r="AA729" s="27" t="n">
        <v>-48.2401625</v>
      </c>
      <c r="AB729" s="37" t="s">
        <v>2338</v>
      </c>
      <c r="AC729" s="27" t="s">
        <v>3243</v>
      </c>
    </row>
    <row r="730" customFormat="false" ht="15" hidden="false" customHeight="false" outlineLevel="0" collapsed="false">
      <c r="A730" s="27" t="n">
        <v>729</v>
      </c>
      <c r="B730" s="27" t="s">
        <v>2109</v>
      </c>
      <c r="C730" s="27" t="s">
        <v>3257</v>
      </c>
      <c r="D730" s="27" t="s">
        <v>2108</v>
      </c>
      <c r="E730" s="27" t="s">
        <v>2110</v>
      </c>
      <c r="F730" s="32" t="n">
        <v>33.328539457478</v>
      </c>
      <c r="G730" s="28" t="n">
        <v>4411.72493402361</v>
      </c>
      <c r="H730" s="28" t="n">
        <v>761.044608842663</v>
      </c>
      <c r="I730" s="7" t="s">
        <v>24</v>
      </c>
      <c r="J730" s="27" t="s">
        <v>303</v>
      </c>
      <c r="K730" s="27" t="s">
        <v>549</v>
      </c>
      <c r="L730" s="27" t="n">
        <v>75</v>
      </c>
      <c r="M730" s="27" t="s">
        <v>203</v>
      </c>
      <c r="N730" s="27" t="s">
        <v>2640</v>
      </c>
      <c r="O730" s="27" t="s">
        <v>204</v>
      </c>
      <c r="P730" s="27" t="s">
        <v>54</v>
      </c>
      <c r="Q730" s="27" t="n">
        <v>0</v>
      </c>
      <c r="R730" s="27"/>
      <c r="S730" s="27" t="s">
        <v>41</v>
      </c>
      <c r="T730" s="27" t="s">
        <v>42</v>
      </c>
      <c r="U730" s="27" t="s">
        <v>44</v>
      </c>
      <c r="V730" s="27" t="s">
        <v>203</v>
      </c>
      <c r="W730" s="27"/>
      <c r="X730" s="27"/>
      <c r="Y730" s="27" t="s">
        <v>3242</v>
      </c>
      <c r="Z730" s="27" t="n">
        <v>-7.2256815</v>
      </c>
      <c r="AA730" s="27" t="n">
        <v>-48.2405095</v>
      </c>
      <c r="AB730" s="37" t="s">
        <v>2338</v>
      </c>
      <c r="AC730" s="27" t="s">
        <v>3243</v>
      </c>
    </row>
    <row r="731" customFormat="false" ht="15" hidden="false" customHeight="false" outlineLevel="0" collapsed="false">
      <c r="A731" s="27" t="n">
        <v>730</v>
      </c>
      <c r="B731" s="27" t="s">
        <v>2111</v>
      </c>
      <c r="C731" s="27" t="s">
        <v>3258</v>
      </c>
      <c r="D731" s="27" t="s">
        <v>2088</v>
      </c>
      <c r="E731" s="27" t="s">
        <v>2112</v>
      </c>
      <c r="F731" s="32" t="n">
        <v>6.05027836623153</v>
      </c>
      <c r="G731" s="28" t="n">
        <v>3922.07108594245</v>
      </c>
      <c r="H731" s="28" t="n">
        <v>271.390760761502</v>
      </c>
      <c r="I731" s="7" t="s">
        <v>24</v>
      </c>
      <c r="J731" s="27" t="s">
        <v>303</v>
      </c>
      <c r="K731" s="27" t="s">
        <v>549</v>
      </c>
      <c r="L731" s="27" t="n">
        <v>75</v>
      </c>
      <c r="M731" s="27" t="s">
        <v>203</v>
      </c>
      <c r="N731" s="27" t="s">
        <v>2640</v>
      </c>
      <c r="O731" s="27" t="s">
        <v>204</v>
      </c>
      <c r="P731" s="27" t="s">
        <v>206</v>
      </c>
      <c r="Q731" s="27" t="n">
        <v>1</v>
      </c>
      <c r="R731" s="27"/>
      <c r="S731" s="27" t="s">
        <v>41</v>
      </c>
      <c r="T731" s="27" t="s">
        <v>42</v>
      </c>
      <c r="U731" s="27" t="s">
        <v>44</v>
      </c>
      <c r="V731" s="27" t="s">
        <v>203</v>
      </c>
      <c r="W731" s="27"/>
      <c r="X731" s="27"/>
      <c r="Y731" s="27" t="s">
        <v>3242</v>
      </c>
      <c r="Z731" s="27" t="n">
        <v>-7.221949</v>
      </c>
      <c r="AA731" s="27" t="n">
        <v>-48.2410905</v>
      </c>
      <c r="AB731" s="37" t="s">
        <v>2338</v>
      </c>
      <c r="AC731" s="27" t="s">
        <v>3243</v>
      </c>
    </row>
    <row r="732" customFormat="false" ht="15" hidden="false" customHeight="false" outlineLevel="0" collapsed="false">
      <c r="A732" s="27" t="n">
        <v>731</v>
      </c>
      <c r="B732" s="27" t="s">
        <v>2113</v>
      </c>
      <c r="C732" s="27" t="s">
        <v>3259</v>
      </c>
      <c r="D732" s="27" t="s">
        <v>2112</v>
      </c>
      <c r="E732" s="27" t="s">
        <v>2114</v>
      </c>
      <c r="F732" s="32" t="n">
        <v>3.3391385046163</v>
      </c>
      <c r="G732" s="28" t="n">
        <v>3925.41022444707</v>
      </c>
      <c r="H732" s="28" t="n">
        <v>274.729899266118</v>
      </c>
      <c r="I732" s="7" t="s">
        <v>24</v>
      </c>
      <c r="J732" s="27" t="s">
        <v>303</v>
      </c>
      <c r="K732" s="27" t="s">
        <v>549</v>
      </c>
      <c r="L732" s="27" t="n">
        <v>75</v>
      </c>
      <c r="M732" s="27" t="s">
        <v>203</v>
      </c>
      <c r="N732" s="27" t="s">
        <v>2640</v>
      </c>
      <c r="O732" s="27" t="s">
        <v>204</v>
      </c>
      <c r="P732" s="27" t="s">
        <v>206</v>
      </c>
      <c r="Q732" s="27" t="n">
        <v>1</v>
      </c>
      <c r="R732" s="27" t="s">
        <v>205</v>
      </c>
      <c r="S732" s="27" t="s">
        <v>41</v>
      </c>
      <c r="T732" s="27" t="s">
        <v>42</v>
      </c>
      <c r="U732" s="27" t="s">
        <v>44</v>
      </c>
      <c r="V732" s="27" t="s">
        <v>203</v>
      </c>
      <c r="W732" s="27"/>
      <c r="X732" s="27"/>
      <c r="Y732" s="27" t="s">
        <v>3242</v>
      </c>
      <c r="Z732" s="27" t="n">
        <v>-7.221958</v>
      </c>
      <c r="AA732" s="27" t="n">
        <v>-48.241132</v>
      </c>
      <c r="AB732" s="37" t="s">
        <v>2338</v>
      </c>
      <c r="AC732" s="27" t="s">
        <v>3243</v>
      </c>
    </row>
    <row r="733" customFormat="false" ht="15" hidden="false" customHeight="false" outlineLevel="0" collapsed="false">
      <c r="A733" s="27" t="n">
        <v>732</v>
      </c>
      <c r="B733" s="27" t="s">
        <v>2115</v>
      </c>
      <c r="C733" s="27" t="s">
        <v>3260</v>
      </c>
      <c r="D733" s="27" t="s">
        <v>2114</v>
      </c>
      <c r="E733" s="27" t="s">
        <v>2116</v>
      </c>
      <c r="F733" s="32" t="n">
        <v>130.518504717506</v>
      </c>
      <c r="G733" s="28" t="n">
        <v>4055.92872916457</v>
      </c>
      <c r="H733" s="28" t="n">
        <v>405.248403983624</v>
      </c>
      <c r="I733" s="7" t="s">
        <v>24</v>
      </c>
      <c r="J733" s="27" t="s">
        <v>303</v>
      </c>
      <c r="K733" s="27" t="s">
        <v>549</v>
      </c>
      <c r="L733" s="27" t="n">
        <v>75</v>
      </c>
      <c r="M733" s="27" t="s">
        <v>203</v>
      </c>
      <c r="N733" s="27" t="s">
        <v>2640</v>
      </c>
      <c r="O733" s="27" t="s">
        <v>204</v>
      </c>
      <c r="P733" s="27" t="s">
        <v>206</v>
      </c>
      <c r="Q733" s="27" t="n">
        <v>1</v>
      </c>
      <c r="R733" s="27"/>
      <c r="S733" s="27" t="s">
        <v>41</v>
      </c>
      <c r="T733" s="27" t="s">
        <v>42</v>
      </c>
      <c r="U733" s="27" t="s">
        <v>44</v>
      </c>
      <c r="V733" s="27" t="s">
        <v>203</v>
      </c>
      <c r="W733" s="27"/>
      <c r="X733" s="27"/>
      <c r="Y733" s="27" t="s">
        <v>3242</v>
      </c>
      <c r="Z733" s="27" t="n">
        <v>-7.221816</v>
      </c>
      <c r="AA733" s="27" t="n">
        <v>-48.2417205</v>
      </c>
      <c r="AB733" s="37" t="s">
        <v>2338</v>
      </c>
      <c r="AC733" s="27" t="s">
        <v>3243</v>
      </c>
    </row>
    <row r="734" customFormat="false" ht="15" hidden="false" customHeight="false" outlineLevel="0" collapsed="false">
      <c r="A734" s="27" t="n">
        <v>733</v>
      </c>
      <c r="B734" s="27" t="s">
        <v>2117</v>
      </c>
      <c r="C734" s="27" t="s">
        <v>3261</v>
      </c>
      <c r="D734" s="27" t="s">
        <v>2116</v>
      </c>
      <c r="E734" s="27" t="s">
        <v>2118</v>
      </c>
      <c r="F734" s="32" t="n">
        <v>36.012096274879</v>
      </c>
      <c r="G734" s="28" t="n">
        <v>4091.94082543945</v>
      </c>
      <c r="H734" s="28" t="n">
        <v>441.260500258503</v>
      </c>
      <c r="I734" s="7" t="s">
        <v>24</v>
      </c>
      <c r="J734" s="27" t="s">
        <v>303</v>
      </c>
      <c r="K734" s="27" t="s">
        <v>549</v>
      </c>
      <c r="L734" s="27" t="n">
        <v>75</v>
      </c>
      <c r="M734" s="27" t="s">
        <v>203</v>
      </c>
      <c r="N734" s="27" t="s">
        <v>2640</v>
      </c>
      <c r="O734" s="27" t="s">
        <v>204</v>
      </c>
      <c r="P734" s="27" t="s">
        <v>54</v>
      </c>
      <c r="Q734" s="27" t="n">
        <v>0</v>
      </c>
      <c r="R734" s="27"/>
      <c r="S734" s="27" t="s">
        <v>41</v>
      </c>
      <c r="T734" s="27" t="s">
        <v>42</v>
      </c>
      <c r="U734" s="27" t="s">
        <v>44</v>
      </c>
      <c r="V734" s="27" t="s">
        <v>203</v>
      </c>
      <c r="W734" s="27"/>
      <c r="X734" s="27"/>
      <c r="Y734" s="27" t="s">
        <v>3242</v>
      </c>
      <c r="Z734" s="27" t="n">
        <v>-7.221607</v>
      </c>
      <c r="AA734" s="27" t="n">
        <v>-48.2424435</v>
      </c>
      <c r="AB734" s="37" t="s">
        <v>2338</v>
      </c>
      <c r="AC734" s="27" t="s">
        <v>3243</v>
      </c>
    </row>
    <row r="735" customFormat="false" ht="15" hidden="false" customHeight="false" outlineLevel="0" collapsed="false">
      <c r="A735" s="27" t="n">
        <v>734</v>
      </c>
      <c r="B735" s="27" t="s">
        <v>2119</v>
      </c>
      <c r="C735" s="27" t="s">
        <v>3262</v>
      </c>
      <c r="D735" s="27" t="s">
        <v>2116</v>
      </c>
      <c r="E735" s="27" t="s">
        <v>2120</v>
      </c>
      <c r="F735" s="32" t="n">
        <v>0.744738565707341</v>
      </c>
      <c r="G735" s="28" t="n">
        <v>4056.67346773028</v>
      </c>
      <c r="H735" s="28" t="n">
        <v>405.993142549331</v>
      </c>
      <c r="I735" s="7" t="s">
        <v>24</v>
      </c>
      <c r="J735" s="27" t="s">
        <v>303</v>
      </c>
      <c r="K735" s="27" t="s">
        <v>549</v>
      </c>
      <c r="L735" s="27" t="n">
        <v>75</v>
      </c>
      <c r="M735" s="27" t="s">
        <v>203</v>
      </c>
      <c r="N735" s="27" t="s">
        <v>2640</v>
      </c>
      <c r="O735" s="27" t="s">
        <v>204</v>
      </c>
      <c r="P735" s="27" t="s">
        <v>206</v>
      </c>
      <c r="Q735" s="27" t="n">
        <v>1</v>
      </c>
      <c r="R735" s="27"/>
      <c r="S735" s="27" t="s">
        <v>41</v>
      </c>
      <c r="T735" s="27" t="s">
        <v>42</v>
      </c>
      <c r="U735" s="27" t="s">
        <v>44</v>
      </c>
      <c r="V735" s="27" t="s">
        <v>203</v>
      </c>
      <c r="W735" s="27"/>
      <c r="X735" s="27"/>
      <c r="Y735" s="27" t="s">
        <v>3242</v>
      </c>
      <c r="Z735" s="27" t="n">
        <v>-7.221669</v>
      </c>
      <c r="AA735" s="27" t="n">
        <v>-48.2422925</v>
      </c>
      <c r="AB735" s="37" t="s">
        <v>2338</v>
      </c>
      <c r="AC735" s="27" t="s">
        <v>3243</v>
      </c>
    </row>
    <row r="736" customFormat="false" ht="15" hidden="false" customHeight="false" outlineLevel="0" collapsed="false">
      <c r="A736" s="27" t="n">
        <v>735</v>
      </c>
      <c r="B736" s="27" t="s">
        <v>2121</v>
      </c>
      <c r="C736" s="27" t="s">
        <v>3263</v>
      </c>
      <c r="D736" s="27" t="s">
        <v>2088</v>
      </c>
      <c r="E736" s="27" t="s">
        <v>2122</v>
      </c>
      <c r="F736" s="32" t="n">
        <v>15.9909672602918</v>
      </c>
      <c r="G736" s="28" t="n">
        <v>3932.01177483651</v>
      </c>
      <c r="H736" s="28" t="n">
        <v>281.331449655562</v>
      </c>
      <c r="I736" s="7" t="s">
        <v>24</v>
      </c>
      <c r="J736" s="27" t="s">
        <v>303</v>
      </c>
      <c r="K736" s="27" t="s">
        <v>549</v>
      </c>
      <c r="L736" s="27" t="n">
        <v>75</v>
      </c>
      <c r="M736" s="27" t="s">
        <v>203</v>
      </c>
      <c r="N736" s="27" t="s">
        <v>2640</v>
      </c>
      <c r="O736" s="27" t="s">
        <v>204</v>
      </c>
      <c r="P736" s="27" t="s">
        <v>54</v>
      </c>
      <c r="Q736" s="27" t="n">
        <v>0</v>
      </c>
      <c r="R736" s="27"/>
      <c r="S736" s="27" t="s">
        <v>41</v>
      </c>
      <c r="T736" s="27" t="s">
        <v>42</v>
      </c>
      <c r="U736" s="27" t="s">
        <v>44</v>
      </c>
      <c r="V736" s="27" t="s">
        <v>203</v>
      </c>
      <c r="W736" s="27"/>
      <c r="X736" s="27"/>
      <c r="Y736" s="27" t="s">
        <v>3242</v>
      </c>
      <c r="Z736" s="27" t="n">
        <v>-7.2219185</v>
      </c>
      <c r="AA736" s="27" t="n">
        <v>-48.2409955</v>
      </c>
      <c r="AB736" s="37" t="s">
        <v>2338</v>
      </c>
      <c r="AC736" s="27" t="s">
        <v>3243</v>
      </c>
    </row>
    <row r="737" customFormat="false" ht="15" hidden="false" customHeight="false" outlineLevel="0" collapsed="false">
      <c r="A737" s="27" t="n">
        <v>736</v>
      </c>
      <c r="B737" s="27" t="s">
        <v>2123</v>
      </c>
      <c r="C737" s="27" t="s">
        <v>3264</v>
      </c>
      <c r="D737" s="27" t="s">
        <v>2086</v>
      </c>
      <c r="E737" s="27" t="s">
        <v>2124</v>
      </c>
      <c r="F737" s="32" t="n">
        <v>29.5057023797148</v>
      </c>
      <c r="G737" s="28" t="n">
        <v>3921.37639603585</v>
      </c>
      <c r="H737" s="28" t="n">
        <v>270.696070854903</v>
      </c>
      <c r="I737" s="7" t="s">
        <v>24</v>
      </c>
      <c r="J737" s="27" t="s">
        <v>303</v>
      </c>
      <c r="K737" s="27" t="s">
        <v>549</v>
      </c>
      <c r="L737" s="27" t="n">
        <v>75</v>
      </c>
      <c r="M737" s="27" t="s">
        <v>203</v>
      </c>
      <c r="N737" s="27" t="s">
        <v>2640</v>
      </c>
      <c r="O737" s="27" t="s">
        <v>204</v>
      </c>
      <c r="P737" s="27" t="s">
        <v>54</v>
      </c>
      <c r="Q737" s="27" t="n">
        <v>0</v>
      </c>
      <c r="R737" s="27"/>
      <c r="S737" s="27" t="s">
        <v>41</v>
      </c>
      <c r="T737" s="27" t="s">
        <v>42</v>
      </c>
      <c r="U737" s="27" t="s">
        <v>44</v>
      </c>
      <c r="V737" s="27" t="s">
        <v>203</v>
      </c>
      <c r="W737" s="27"/>
      <c r="X737" s="27"/>
      <c r="Y737" s="27" t="s">
        <v>3242</v>
      </c>
      <c r="Z737" s="27" t="n">
        <v>-7.221752</v>
      </c>
      <c r="AA737" s="27" t="n">
        <v>-48.2409945</v>
      </c>
      <c r="AB737" s="37" t="s">
        <v>2338</v>
      </c>
      <c r="AC737" s="27" t="s">
        <v>3243</v>
      </c>
    </row>
    <row r="738" customFormat="false" ht="15" hidden="false" customHeight="false" outlineLevel="0" collapsed="false">
      <c r="A738" s="27" t="n">
        <v>737</v>
      </c>
      <c r="B738" s="27" t="s">
        <v>2125</v>
      </c>
      <c r="C738" s="27" t="s">
        <v>3265</v>
      </c>
      <c r="D738" s="27" t="s">
        <v>2084</v>
      </c>
      <c r="E738" s="27" t="s">
        <v>2126</v>
      </c>
      <c r="F738" s="32" t="n">
        <v>2.06200014958653</v>
      </c>
      <c r="G738" s="28" t="n">
        <v>3848.67253015494</v>
      </c>
      <c r="H738" s="28" t="n">
        <v>197.992204973993</v>
      </c>
      <c r="I738" s="7" t="s">
        <v>24</v>
      </c>
      <c r="J738" s="27" t="s">
        <v>303</v>
      </c>
      <c r="K738" s="27" t="s">
        <v>549</v>
      </c>
      <c r="L738" s="27" t="n">
        <v>75</v>
      </c>
      <c r="M738" s="27" t="s">
        <v>203</v>
      </c>
      <c r="N738" s="27" t="s">
        <v>2640</v>
      </c>
      <c r="O738" s="27" t="s">
        <v>204</v>
      </c>
      <c r="P738" s="27" t="s">
        <v>208</v>
      </c>
      <c r="Q738" s="27" t="n">
        <v>1</v>
      </c>
      <c r="R738" s="27"/>
      <c r="S738" s="27" t="s">
        <v>41</v>
      </c>
      <c r="T738" s="27" t="s">
        <v>42</v>
      </c>
      <c r="U738" s="27" t="s">
        <v>44</v>
      </c>
      <c r="V738" s="27" t="s">
        <v>203</v>
      </c>
      <c r="W738" s="27"/>
      <c r="X738" s="27"/>
      <c r="Y738" s="27" t="s">
        <v>3242</v>
      </c>
      <c r="Z738" s="27" t="n">
        <v>-7.2213435</v>
      </c>
      <c r="AA738" s="27" t="n">
        <v>-48.241242</v>
      </c>
      <c r="AB738" s="37" t="s">
        <v>2338</v>
      </c>
      <c r="AC738" s="27" t="s">
        <v>3243</v>
      </c>
    </row>
    <row r="739" customFormat="false" ht="15" hidden="false" customHeight="false" outlineLevel="0" collapsed="false">
      <c r="A739" s="27" t="n">
        <v>738</v>
      </c>
      <c r="B739" s="27" t="s">
        <v>2127</v>
      </c>
      <c r="C739" s="27" t="s">
        <v>3266</v>
      </c>
      <c r="D739" s="27" t="s">
        <v>2126</v>
      </c>
      <c r="E739" s="27" t="s">
        <v>2128</v>
      </c>
      <c r="F739" s="32" t="n">
        <v>200.293651896934</v>
      </c>
      <c r="G739" s="28" t="n">
        <v>4048.96618205188</v>
      </c>
      <c r="H739" s="28" t="n">
        <v>398.285856870927</v>
      </c>
      <c r="I739" s="7" t="s">
        <v>24</v>
      </c>
      <c r="J739" s="27" t="s">
        <v>303</v>
      </c>
      <c r="K739" s="27" t="s">
        <v>549</v>
      </c>
      <c r="L739" s="27" t="n">
        <v>75</v>
      </c>
      <c r="M739" s="27" t="s">
        <v>203</v>
      </c>
      <c r="N739" s="27" t="s">
        <v>2640</v>
      </c>
      <c r="O739" s="27" t="s">
        <v>204</v>
      </c>
      <c r="P739" s="27" t="s">
        <v>208</v>
      </c>
      <c r="Q739" s="27" t="n">
        <v>1</v>
      </c>
      <c r="R739" s="27"/>
      <c r="S739" s="27" t="s">
        <v>41</v>
      </c>
      <c r="T739" s="27" t="s">
        <v>42</v>
      </c>
      <c r="U739" s="27" t="s">
        <v>44</v>
      </c>
      <c r="V739" s="27" t="s">
        <v>203</v>
      </c>
      <c r="W739" s="27"/>
      <c r="X739" s="27"/>
      <c r="Y739" s="27" t="s">
        <v>3242</v>
      </c>
      <c r="Z739" s="27" t="n">
        <v>-7.2210755</v>
      </c>
      <c r="AA739" s="27" t="n">
        <v>-48.2403655</v>
      </c>
      <c r="AB739" s="37" t="s">
        <v>2338</v>
      </c>
      <c r="AC739" s="27" t="s">
        <v>3243</v>
      </c>
    </row>
    <row r="740" customFormat="false" ht="15" hidden="false" customHeight="false" outlineLevel="0" collapsed="false">
      <c r="A740" s="27" t="n">
        <v>739</v>
      </c>
      <c r="B740" s="27" t="s">
        <v>2129</v>
      </c>
      <c r="C740" s="27" t="s">
        <v>3267</v>
      </c>
      <c r="D740" s="27" t="s">
        <v>2128</v>
      </c>
      <c r="E740" s="27" t="s">
        <v>2130</v>
      </c>
      <c r="F740" s="32" t="n">
        <v>23.355889013552</v>
      </c>
      <c r="G740" s="28" t="n">
        <v>4072.32207106543</v>
      </c>
      <c r="H740" s="28" t="n">
        <v>421.641745884479</v>
      </c>
      <c r="I740" s="7" t="s">
        <v>24</v>
      </c>
      <c r="J740" s="27" t="s">
        <v>303</v>
      </c>
      <c r="K740" s="27" t="s">
        <v>549</v>
      </c>
      <c r="L740" s="27" t="n">
        <v>75</v>
      </c>
      <c r="M740" s="27" t="s">
        <v>203</v>
      </c>
      <c r="N740" s="27" t="s">
        <v>2640</v>
      </c>
      <c r="O740" s="27" t="s">
        <v>204</v>
      </c>
      <c r="P740" s="27" t="s">
        <v>54</v>
      </c>
      <c r="Q740" s="27" t="n">
        <v>0</v>
      </c>
      <c r="R740" s="27"/>
      <c r="S740" s="27" t="s">
        <v>41</v>
      </c>
      <c r="T740" s="27" t="s">
        <v>42</v>
      </c>
      <c r="U740" s="27" t="s">
        <v>44</v>
      </c>
      <c r="V740" s="27" t="s">
        <v>203</v>
      </c>
      <c r="W740" s="27"/>
      <c r="X740" s="27"/>
      <c r="Y740" s="27" t="s">
        <v>3242</v>
      </c>
      <c r="Z740" s="27" t="n">
        <v>-7.220777</v>
      </c>
      <c r="AA740" s="27" t="n">
        <v>-48.2393975</v>
      </c>
      <c r="AB740" s="37" t="s">
        <v>2338</v>
      </c>
      <c r="AC740" s="27" t="s">
        <v>3243</v>
      </c>
    </row>
    <row r="741" customFormat="false" ht="15" hidden="false" customHeight="false" outlineLevel="0" collapsed="false">
      <c r="A741" s="27" t="n">
        <v>740</v>
      </c>
      <c r="B741" s="27" t="s">
        <v>2131</v>
      </c>
      <c r="C741" s="27" t="s">
        <v>3268</v>
      </c>
      <c r="D741" s="27" t="s">
        <v>2128</v>
      </c>
      <c r="E741" s="27" t="s">
        <v>2132</v>
      </c>
      <c r="F741" s="32" t="n">
        <v>0.896373203248138</v>
      </c>
      <c r="G741" s="28" t="n">
        <v>4049.86255525512</v>
      </c>
      <c r="H741" s="28" t="n">
        <v>399.182230074175</v>
      </c>
      <c r="I741" s="7" t="s">
        <v>24</v>
      </c>
      <c r="J741" s="27" t="s">
        <v>303</v>
      </c>
      <c r="K741" s="27" t="s">
        <v>549</v>
      </c>
      <c r="L741" s="27" t="n">
        <v>75</v>
      </c>
      <c r="M741" s="27" t="s">
        <v>203</v>
      </c>
      <c r="N741" s="27" t="s">
        <v>2640</v>
      </c>
      <c r="O741" s="27" t="s">
        <v>204</v>
      </c>
      <c r="P741" s="27" t="s">
        <v>208</v>
      </c>
      <c r="Q741" s="27" t="n">
        <v>1</v>
      </c>
      <c r="R741" s="27"/>
      <c r="S741" s="27" t="s">
        <v>41</v>
      </c>
      <c r="T741" s="27" t="s">
        <v>42</v>
      </c>
      <c r="U741" s="27" t="s">
        <v>44</v>
      </c>
      <c r="V741" s="27" t="s">
        <v>203</v>
      </c>
      <c r="W741" s="27"/>
      <c r="X741" s="27"/>
      <c r="Y741" s="27" t="s">
        <v>3242</v>
      </c>
      <c r="Z741" s="27" t="n">
        <v>-7.220806</v>
      </c>
      <c r="AA741" s="27" t="n">
        <v>-48.2394975</v>
      </c>
      <c r="AB741" s="37" t="s">
        <v>2338</v>
      </c>
      <c r="AC741" s="27" t="s">
        <v>3243</v>
      </c>
    </row>
    <row r="742" customFormat="false" ht="15" hidden="false" customHeight="false" outlineLevel="0" collapsed="false">
      <c r="A742" s="27" t="n">
        <v>741</v>
      </c>
      <c r="B742" s="27" t="s">
        <v>2133</v>
      </c>
      <c r="C742" s="27" t="s">
        <v>3269</v>
      </c>
      <c r="D742" s="27" t="s">
        <v>2120</v>
      </c>
      <c r="E742" s="27" t="s">
        <v>2134</v>
      </c>
      <c r="F742" s="32" t="n">
        <v>6.35943390482056</v>
      </c>
      <c r="G742" s="28" t="n">
        <v>4063.0329016351</v>
      </c>
      <c r="H742" s="28" t="n">
        <v>6.35943390482044</v>
      </c>
      <c r="I742" s="7" t="s">
        <v>24</v>
      </c>
      <c r="J742" s="27" t="s">
        <v>303</v>
      </c>
      <c r="K742" s="27" t="s">
        <v>549</v>
      </c>
      <c r="L742" s="27" t="n">
        <v>76</v>
      </c>
      <c r="M742" s="27" t="s">
        <v>206</v>
      </c>
      <c r="N742" s="27" t="s">
        <v>2640</v>
      </c>
      <c r="O742" s="27" t="s">
        <v>207</v>
      </c>
      <c r="P742" s="27" t="s">
        <v>54</v>
      </c>
      <c r="Q742" s="27" t="n">
        <v>0</v>
      </c>
      <c r="R742" s="27"/>
      <c r="S742" s="27" t="s">
        <v>41</v>
      </c>
      <c r="T742" s="27" t="s">
        <v>42</v>
      </c>
      <c r="U742" s="27" t="s">
        <v>44</v>
      </c>
      <c r="V742" s="27" t="s">
        <v>203</v>
      </c>
      <c r="W742" s="27" t="s">
        <v>206</v>
      </c>
      <c r="X742" s="27"/>
      <c r="Y742" s="27" t="s">
        <v>3270</v>
      </c>
      <c r="Z742" s="27" t="n">
        <v>-7.22164</v>
      </c>
      <c r="AA742" s="27" t="n">
        <v>-48.242279</v>
      </c>
      <c r="AB742" s="37" t="s">
        <v>2338</v>
      </c>
      <c r="AC742" s="27" t="s">
        <v>3271</v>
      </c>
    </row>
    <row r="743" customFormat="false" ht="15" hidden="false" customHeight="false" outlineLevel="0" collapsed="false">
      <c r="A743" s="27" t="n">
        <v>742</v>
      </c>
      <c r="B743" s="27" t="s">
        <v>2135</v>
      </c>
      <c r="C743" s="27" t="s">
        <v>3272</v>
      </c>
      <c r="D743" s="27" t="s">
        <v>2132</v>
      </c>
      <c r="E743" s="27" t="s">
        <v>2136</v>
      </c>
      <c r="F743" s="32" t="n">
        <v>8.91912484041897</v>
      </c>
      <c r="G743" s="28" t="n">
        <v>4058.78168009554</v>
      </c>
      <c r="H743" s="28" t="n">
        <v>8.91912484041905</v>
      </c>
      <c r="I743" s="7" t="s">
        <v>24</v>
      </c>
      <c r="J743" s="27" t="s">
        <v>303</v>
      </c>
      <c r="K743" s="27" t="s">
        <v>549</v>
      </c>
      <c r="L743" s="27" t="n">
        <v>77</v>
      </c>
      <c r="M743" s="27" t="s">
        <v>208</v>
      </c>
      <c r="N743" s="27" t="s">
        <v>2640</v>
      </c>
      <c r="O743" s="27" t="s">
        <v>209</v>
      </c>
      <c r="P743" s="27" t="s">
        <v>54</v>
      </c>
      <c r="Q743" s="27" t="n">
        <v>0</v>
      </c>
      <c r="R743" s="27"/>
      <c r="S743" s="27" t="s">
        <v>41</v>
      </c>
      <c r="T743" s="27" t="s">
        <v>42</v>
      </c>
      <c r="U743" s="27" t="s">
        <v>44</v>
      </c>
      <c r="V743" s="27" t="s">
        <v>203</v>
      </c>
      <c r="W743" s="27" t="s">
        <v>208</v>
      </c>
      <c r="X743" s="27"/>
      <c r="Y743" s="27" t="s">
        <v>3273</v>
      </c>
      <c r="Z743" s="27" t="n">
        <v>-7.2207625</v>
      </c>
      <c r="AA743" s="27" t="n">
        <v>-48.23949</v>
      </c>
      <c r="AB743" s="37" t="s">
        <v>2338</v>
      </c>
      <c r="AC743" s="27" t="s">
        <v>3274</v>
      </c>
    </row>
    <row r="744" customFormat="false" ht="15" hidden="false" customHeight="false" outlineLevel="0" collapsed="false">
      <c r="A744" s="27" t="n">
        <v>743</v>
      </c>
      <c r="B744" s="27" t="s">
        <v>2137</v>
      </c>
      <c r="C744" s="27" t="s">
        <v>3275</v>
      </c>
      <c r="D744" s="27" t="s">
        <v>973</v>
      </c>
      <c r="E744" s="27" t="s">
        <v>2138</v>
      </c>
      <c r="F744" s="32" t="n">
        <v>441.793767087739</v>
      </c>
      <c r="G744" s="28" t="n">
        <v>4113.42545873203</v>
      </c>
      <c r="H744" s="28" t="n">
        <v>441.79376708774</v>
      </c>
      <c r="I744" s="7" t="s">
        <v>24</v>
      </c>
      <c r="J744" s="27" t="s">
        <v>303</v>
      </c>
      <c r="K744" s="27" t="s">
        <v>559</v>
      </c>
      <c r="L744" s="27" t="n">
        <v>78</v>
      </c>
      <c r="M744" s="27" t="s">
        <v>211</v>
      </c>
      <c r="N744" s="27" t="s">
        <v>2640</v>
      </c>
      <c r="O744" s="27" t="s">
        <v>212</v>
      </c>
      <c r="P744" s="27" t="s">
        <v>54</v>
      </c>
      <c r="Q744" s="27" t="n">
        <v>0</v>
      </c>
      <c r="R744" s="27"/>
      <c r="S744" s="27" t="s">
        <v>41</v>
      </c>
      <c r="T744" s="27" t="s">
        <v>42</v>
      </c>
      <c r="U744" s="27" t="s">
        <v>44</v>
      </c>
      <c r="V744" s="27" t="s">
        <v>211</v>
      </c>
      <c r="W744" s="27"/>
      <c r="X744" s="27"/>
      <c r="Y744" s="27" t="s">
        <v>3276</v>
      </c>
      <c r="Z744" s="27" t="n">
        <v>-7.217317</v>
      </c>
      <c r="AA744" s="27" t="n">
        <v>-48.2408865</v>
      </c>
      <c r="AB744" s="37" t="s">
        <v>2338</v>
      </c>
      <c r="AC744" s="27" t="s">
        <v>3277</v>
      </c>
    </row>
    <row r="745" customFormat="false" ht="15" hidden="false" customHeight="false" outlineLevel="0" collapsed="false">
      <c r="A745" s="27" t="n">
        <v>744</v>
      </c>
      <c r="B745" s="27" t="s">
        <v>2139</v>
      </c>
      <c r="C745" s="27" t="s">
        <v>3278</v>
      </c>
      <c r="D745" s="27" t="s">
        <v>2138</v>
      </c>
      <c r="E745" s="27" t="s">
        <v>2140</v>
      </c>
      <c r="F745" s="32" t="n">
        <v>55.5807708868849</v>
      </c>
      <c r="G745" s="28" t="n">
        <v>4169.00622961891</v>
      </c>
      <c r="H745" s="28" t="n">
        <v>497.374537974625</v>
      </c>
      <c r="I745" s="7" t="s">
        <v>24</v>
      </c>
      <c r="J745" s="27" t="s">
        <v>303</v>
      </c>
      <c r="K745" s="27" t="s">
        <v>559</v>
      </c>
      <c r="L745" s="27" t="n">
        <v>78</v>
      </c>
      <c r="M745" s="27" t="s">
        <v>211</v>
      </c>
      <c r="N745" s="27" t="s">
        <v>2640</v>
      </c>
      <c r="O745" s="27" t="s">
        <v>212</v>
      </c>
      <c r="P745" s="27" t="s">
        <v>54</v>
      </c>
      <c r="Q745" s="27" t="n">
        <v>0</v>
      </c>
      <c r="R745" s="27"/>
      <c r="S745" s="27" t="s">
        <v>41</v>
      </c>
      <c r="T745" s="27" t="s">
        <v>42</v>
      </c>
      <c r="U745" s="27" t="s">
        <v>44</v>
      </c>
      <c r="V745" s="27" t="s">
        <v>211</v>
      </c>
      <c r="W745" s="27"/>
      <c r="X745" s="27"/>
      <c r="Y745" s="27" t="s">
        <v>3276</v>
      </c>
      <c r="Z745" s="27" t="n">
        <v>-7.2151655</v>
      </c>
      <c r="AA745" s="27" t="n">
        <v>-48.240271</v>
      </c>
      <c r="AB745" s="37" t="s">
        <v>2338</v>
      </c>
      <c r="AC745" s="27" t="s">
        <v>3277</v>
      </c>
    </row>
    <row r="746" customFormat="false" ht="15" hidden="false" customHeight="false" outlineLevel="0" collapsed="false">
      <c r="A746" s="27" t="n">
        <v>745</v>
      </c>
      <c r="B746" s="27" t="s">
        <v>2141</v>
      </c>
      <c r="C746" s="27" t="s">
        <v>3279</v>
      </c>
      <c r="D746" s="27" t="s">
        <v>986</v>
      </c>
      <c r="E746" s="27" t="s">
        <v>2142</v>
      </c>
      <c r="F746" s="32" t="n">
        <v>11.6675595501406</v>
      </c>
      <c r="G746" s="28" t="n">
        <v>3793.18298368966</v>
      </c>
      <c r="H746" s="28" t="n">
        <v>707.179127253379</v>
      </c>
      <c r="I746" s="6" t="s">
        <v>23</v>
      </c>
      <c r="J746" s="27" t="s">
        <v>303</v>
      </c>
      <c r="K746" s="27" t="s">
        <v>560</v>
      </c>
      <c r="L746" s="27" t="n">
        <v>79</v>
      </c>
      <c r="M746" s="27" t="s">
        <v>44</v>
      </c>
      <c r="N746" s="27" t="s">
        <v>2385</v>
      </c>
      <c r="O746" s="27" t="s">
        <v>215</v>
      </c>
      <c r="P746" s="27" t="s">
        <v>54</v>
      </c>
      <c r="Q746" s="27" t="n">
        <v>0</v>
      </c>
      <c r="R746" s="27"/>
      <c r="S746" s="27" t="s">
        <v>41</v>
      </c>
      <c r="T746" s="27" t="s">
        <v>42</v>
      </c>
      <c r="U746" s="27" t="s">
        <v>44</v>
      </c>
      <c r="V746" s="27"/>
      <c r="W746" s="27"/>
      <c r="X746" s="27"/>
      <c r="Y746" s="27" t="s">
        <v>2426</v>
      </c>
      <c r="Z746" s="27" t="n">
        <v>-7.223889</v>
      </c>
      <c r="AA746" s="27" t="n">
        <v>-48.2465455</v>
      </c>
      <c r="AB746" s="37" t="s">
        <v>2338</v>
      </c>
      <c r="AC746" s="27" t="s">
        <v>2427</v>
      </c>
    </row>
    <row r="747" customFormat="false" ht="15" hidden="false" customHeight="false" outlineLevel="0" collapsed="false">
      <c r="A747" s="27" t="n">
        <v>746</v>
      </c>
      <c r="B747" s="27" t="s">
        <v>2143</v>
      </c>
      <c r="C747" s="27" t="s">
        <v>3280</v>
      </c>
      <c r="D747" s="27" t="s">
        <v>2142</v>
      </c>
      <c r="E747" s="27" t="s">
        <v>2144</v>
      </c>
      <c r="F747" s="32" t="n">
        <v>53.5234453180536</v>
      </c>
      <c r="G747" s="28" t="n">
        <v>3846.70642900771</v>
      </c>
      <c r="H747" s="28" t="n">
        <v>760.702572571433</v>
      </c>
      <c r="I747" s="6" t="s">
        <v>23</v>
      </c>
      <c r="J747" s="27" t="s">
        <v>303</v>
      </c>
      <c r="K747" s="27" t="s">
        <v>560</v>
      </c>
      <c r="L747" s="27" t="n">
        <v>79</v>
      </c>
      <c r="M747" s="27" t="s">
        <v>44</v>
      </c>
      <c r="N747" s="27" t="s">
        <v>2385</v>
      </c>
      <c r="O747" s="27" t="s">
        <v>215</v>
      </c>
      <c r="P747" s="27" t="s">
        <v>54</v>
      </c>
      <c r="Q747" s="27" t="n">
        <v>0</v>
      </c>
      <c r="R747" s="27"/>
      <c r="S747" s="27" t="s">
        <v>41</v>
      </c>
      <c r="T747" s="27" t="s">
        <v>42</v>
      </c>
      <c r="U747" s="27" t="s">
        <v>44</v>
      </c>
      <c r="V747" s="27"/>
      <c r="W747" s="27"/>
      <c r="X747" s="27"/>
      <c r="Y747" s="27" t="s">
        <v>2426</v>
      </c>
      <c r="Z747" s="27" t="n">
        <v>-7.224152</v>
      </c>
      <c r="AA747" s="27" t="n">
        <v>-48.246676</v>
      </c>
      <c r="AB747" s="37" t="s">
        <v>2338</v>
      </c>
      <c r="AC747" s="27" t="s">
        <v>2427</v>
      </c>
    </row>
    <row r="748" customFormat="false" ht="15" hidden="false" customHeight="false" outlineLevel="0" collapsed="false">
      <c r="A748" s="27" t="n">
        <v>747</v>
      </c>
      <c r="B748" s="27" t="s">
        <v>2145</v>
      </c>
      <c r="C748" s="27" t="s">
        <v>3281</v>
      </c>
      <c r="D748" s="27" t="s">
        <v>988</v>
      </c>
      <c r="E748" s="27" t="s">
        <v>2146</v>
      </c>
      <c r="F748" s="32" t="n">
        <v>23.2765093433331</v>
      </c>
      <c r="G748" s="28" t="n">
        <v>3843.98127163161</v>
      </c>
      <c r="H748" s="28" t="n">
        <v>757.977415195329</v>
      </c>
      <c r="I748" s="6" t="s">
        <v>23</v>
      </c>
      <c r="J748" s="27" t="s">
        <v>303</v>
      </c>
      <c r="K748" s="27" t="s">
        <v>561</v>
      </c>
      <c r="L748" s="27" t="n">
        <v>80</v>
      </c>
      <c r="M748" s="27" t="s">
        <v>44</v>
      </c>
      <c r="N748" s="27" t="s">
        <v>2385</v>
      </c>
      <c r="O748" s="27" t="s">
        <v>218</v>
      </c>
      <c r="P748" s="27" t="s">
        <v>54</v>
      </c>
      <c r="Q748" s="27" t="n">
        <v>0</v>
      </c>
      <c r="R748" s="27"/>
      <c r="S748" s="27" t="s">
        <v>41</v>
      </c>
      <c r="T748" s="27" t="s">
        <v>42</v>
      </c>
      <c r="U748" s="27" t="s">
        <v>44</v>
      </c>
      <c r="V748" s="27"/>
      <c r="W748" s="27"/>
      <c r="X748" s="27"/>
      <c r="Y748" s="27" t="s">
        <v>2426</v>
      </c>
      <c r="Z748" s="27" t="n">
        <v>-7.2239025</v>
      </c>
      <c r="AA748" s="27" t="n">
        <v>-48.246148</v>
      </c>
      <c r="AB748" s="37" t="s">
        <v>2338</v>
      </c>
      <c r="AC748" s="27" t="s">
        <v>2427</v>
      </c>
    </row>
    <row r="749" customFormat="false" ht="15" hidden="false" customHeight="false" outlineLevel="0" collapsed="false">
      <c r="A749" s="27" t="n">
        <v>748</v>
      </c>
      <c r="B749" s="27" t="s">
        <v>2147</v>
      </c>
      <c r="C749" s="27" t="s">
        <v>3282</v>
      </c>
      <c r="D749" s="27" t="s">
        <v>988</v>
      </c>
      <c r="E749" s="27" t="s">
        <v>2148</v>
      </c>
      <c r="F749" s="32" t="n">
        <v>6.67066688119118</v>
      </c>
      <c r="G749" s="28" t="n">
        <v>3827.37542916947</v>
      </c>
      <c r="H749" s="28" t="n">
        <v>741.371572733187</v>
      </c>
      <c r="I749" s="6" t="s">
        <v>23</v>
      </c>
      <c r="J749" s="27" t="s">
        <v>303</v>
      </c>
      <c r="K749" s="27" t="s">
        <v>561</v>
      </c>
      <c r="L749" s="27" t="n">
        <v>80</v>
      </c>
      <c r="M749" s="27" t="s">
        <v>44</v>
      </c>
      <c r="N749" s="27" t="s">
        <v>2385</v>
      </c>
      <c r="O749" s="27" t="s">
        <v>218</v>
      </c>
      <c r="P749" s="27" t="s">
        <v>54</v>
      </c>
      <c r="Q749" s="27" t="n">
        <v>0</v>
      </c>
      <c r="R749" s="27"/>
      <c r="S749" s="27" t="s">
        <v>41</v>
      </c>
      <c r="T749" s="27" t="s">
        <v>42</v>
      </c>
      <c r="U749" s="27" t="s">
        <v>44</v>
      </c>
      <c r="V749" s="27"/>
      <c r="W749" s="27"/>
      <c r="X749" s="27"/>
      <c r="Y749" s="27" t="s">
        <v>2426</v>
      </c>
      <c r="Z749" s="27" t="n">
        <v>-7.2240065</v>
      </c>
      <c r="AA749" s="27" t="n">
        <v>-48.246174</v>
      </c>
      <c r="AB749" s="37" t="s">
        <v>2338</v>
      </c>
      <c r="AC749" s="27" t="s">
        <v>2427</v>
      </c>
    </row>
    <row r="750" customFormat="false" ht="15" hidden="false" customHeight="false" outlineLevel="0" collapsed="false">
      <c r="A750" s="27" t="n">
        <v>749</v>
      </c>
      <c r="B750" s="27" t="s">
        <v>2149</v>
      </c>
      <c r="C750" s="27" t="s">
        <v>3283</v>
      </c>
      <c r="D750" s="27" t="s">
        <v>2148</v>
      </c>
      <c r="E750" s="27" t="s">
        <v>2150</v>
      </c>
      <c r="F750" s="32" t="n">
        <v>2.97353812206739</v>
      </c>
      <c r="G750" s="28" t="n">
        <v>3830.34896729153</v>
      </c>
      <c r="H750" s="28" t="n">
        <v>744.345110855255</v>
      </c>
      <c r="I750" s="6" t="s">
        <v>23</v>
      </c>
      <c r="J750" s="27" t="s">
        <v>303</v>
      </c>
      <c r="K750" s="27" t="s">
        <v>561</v>
      </c>
      <c r="L750" s="27" t="n">
        <v>80</v>
      </c>
      <c r="M750" s="27" t="s">
        <v>44</v>
      </c>
      <c r="N750" s="27" t="s">
        <v>2385</v>
      </c>
      <c r="O750" s="27" t="s">
        <v>218</v>
      </c>
      <c r="P750" s="27" t="s">
        <v>54</v>
      </c>
      <c r="Q750" s="27" t="n">
        <v>0</v>
      </c>
      <c r="R750" s="27"/>
      <c r="S750" s="27" t="s">
        <v>41</v>
      </c>
      <c r="T750" s="27" t="s">
        <v>42</v>
      </c>
      <c r="U750" s="27" t="s">
        <v>44</v>
      </c>
      <c r="V750" s="27"/>
      <c r="W750" s="27"/>
      <c r="X750" s="27"/>
      <c r="Y750" s="27" t="s">
        <v>2426</v>
      </c>
      <c r="Z750" s="27" t="n">
        <v>-7.224025</v>
      </c>
      <c r="AA750" s="27" t="n">
        <v>-48.2461345</v>
      </c>
      <c r="AB750" s="37" t="s">
        <v>2338</v>
      </c>
      <c r="AC750" s="27" t="s">
        <v>2427</v>
      </c>
    </row>
    <row r="751" customFormat="false" ht="15" hidden="false" customHeight="false" outlineLevel="0" collapsed="false">
      <c r="A751" s="27" t="n">
        <v>750</v>
      </c>
      <c r="B751" s="27" t="s">
        <v>2151</v>
      </c>
      <c r="C751" s="27" t="s">
        <v>3284</v>
      </c>
      <c r="D751" s="27" t="s">
        <v>2150</v>
      </c>
      <c r="E751" s="27" t="s">
        <v>2152</v>
      </c>
      <c r="F751" s="32" t="n">
        <v>163.165433496249</v>
      </c>
      <c r="G751" s="28" t="n">
        <v>3993.51440078778</v>
      </c>
      <c r="H751" s="28" t="n">
        <v>907.510544351503</v>
      </c>
      <c r="I751" s="6" t="s">
        <v>23</v>
      </c>
      <c r="J751" s="27" t="s">
        <v>303</v>
      </c>
      <c r="K751" s="27" t="s">
        <v>561</v>
      </c>
      <c r="L751" s="27" t="n">
        <v>80</v>
      </c>
      <c r="M751" s="27" t="s">
        <v>44</v>
      </c>
      <c r="N751" s="27" t="s">
        <v>2385</v>
      </c>
      <c r="O751" s="27" t="s">
        <v>218</v>
      </c>
      <c r="P751" s="27" t="s">
        <v>54</v>
      </c>
      <c r="Q751" s="27" t="n">
        <v>0</v>
      </c>
      <c r="R751" s="27"/>
      <c r="S751" s="27" t="s">
        <v>41</v>
      </c>
      <c r="T751" s="27" t="s">
        <v>42</v>
      </c>
      <c r="U751" s="27" t="s">
        <v>44</v>
      </c>
      <c r="V751" s="27"/>
      <c r="W751" s="27"/>
      <c r="X751" s="27"/>
      <c r="Y751" s="27" t="s">
        <v>2426</v>
      </c>
      <c r="Z751" s="27" t="n">
        <v>-7.224349</v>
      </c>
      <c r="AA751" s="27" t="n">
        <v>-48.245456</v>
      </c>
      <c r="AB751" s="37" t="s">
        <v>2338</v>
      </c>
      <c r="AC751" s="27" t="s">
        <v>2427</v>
      </c>
    </row>
    <row r="752" customFormat="false" ht="15" hidden="false" customHeight="false" outlineLevel="0" collapsed="false">
      <c r="A752" s="27" t="n">
        <v>751</v>
      </c>
      <c r="B752" s="27" t="s">
        <v>2153</v>
      </c>
      <c r="C752" s="27" t="s">
        <v>3285</v>
      </c>
      <c r="D752" s="27" t="s">
        <v>2152</v>
      </c>
      <c r="E752" s="27" t="s">
        <v>2154</v>
      </c>
      <c r="F752" s="32" t="n">
        <v>41.3606438167966</v>
      </c>
      <c r="G752" s="28" t="n">
        <v>4034.87504460458</v>
      </c>
      <c r="H752" s="28" t="n">
        <v>948.8711881683</v>
      </c>
      <c r="I752" s="6" t="s">
        <v>23</v>
      </c>
      <c r="J752" s="27" t="s">
        <v>303</v>
      </c>
      <c r="K752" s="27" t="s">
        <v>561</v>
      </c>
      <c r="L752" s="27" t="n">
        <v>80</v>
      </c>
      <c r="M752" s="27" t="s">
        <v>44</v>
      </c>
      <c r="N752" s="27" t="s">
        <v>2385</v>
      </c>
      <c r="O752" s="27" t="s">
        <v>218</v>
      </c>
      <c r="P752" s="27" t="s">
        <v>54</v>
      </c>
      <c r="Q752" s="27" t="n">
        <v>0</v>
      </c>
      <c r="R752" s="27"/>
      <c r="S752" s="27" t="s">
        <v>41</v>
      </c>
      <c r="T752" s="27" t="s">
        <v>42</v>
      </c>
      <c r="U752" s="27" t="s">
        <v>44</v>
      </c>
      <c r="V752" s="27"/>
      <c r="W752" s="27"/>
      <c r="X752" s="27"/>
      <c r="Y752" s="27" t="s">
        <v>2426</v>
      </c>
      <c r="Z752" s="27" t="n">
        <v>-7.2247485</v>
      </c>
      <c r="AA752" s="27" t="n">
        <v>-48.244621</v>
      </c>
      <c r="AB752" s="37" t="s">
        <v>2338</v>
      </c>
      <c r="AC752" s="27" t="s">
        <v>2427</v>
      </c>
    </row>
    <row r="753" customFormat="false" ht="15" hidden="false" customHeight="false" outlineLevel="0" collapsed="false">
      <c r="A753" s="27" t="n">
        <v>752</v>
      </c>
      <c r="B753" s="27" t="s">
        <v>2155</v>
      </c>
      <c r="C753" s="27" t="s">
        <v>3286</v>
      </c>
      <c r="D753" s="27" t="s">
        <v>1008</v>
      </c>
      <c r="E753" s="27" t="s">
        <v>2156</v>
      </c>
      <c r="F753" s="32" t="n">
        <v>4.68189760252389</v>
      </c>
      <c r="G753" s="28" t="n">
        <v>3826.81480086608</v>
      </c>
      <c r="H753" s="28" t="n">
        <v>4.6818976025238</v>
      </c>
      <c r="I753" s="7" t="s">
        <v>24</v>
      </c>
      <c r="J753" s="27" t="s">
        <v>303</v>
      </c>
      <c r="K753" s="27" t="s">
        <v>564</v>
      </c>
      <c r="L753" s="27" t="n">
        <v>81</v>
      </c>
      <c r="M753" s="27" t="s">
        <v>220</v>
      </c>
      <c r="N753" s="27" t="s">
        <v>2635</v>
      </c>
      <c r="O753" s="27" t="s">
        <v>221</v>
      </c>
      <c r="P753" s="27" t="s">
        <v>54</v>
      </c>
      <c r="Q753" s="27" t="n">
        <v>0</v>
      </c>
      <c r="R753" s="27"/>
      <c r="S753" s="27" t="s">
        <v>41</v>
      </c>
      <c r="T753" s="27" t="s">
        <v>42</v>
      </c>
      <c r="U753" s="27" t="s">
        <v>44</v>
      </c>
      <c r="V753" s="27" t="s">
        <v>220</v>
      </c>
      <c r="W753" s="27"/>
      <c r="X753" s="27"/>
      <c r="Y753" s="27" t="s">
        <v>3287</v>
      </c>
      <c r="Z753" s="27" t="n">
        <v>-7.223748</v>
      </c>
      <c r="AA753" s="27" t="n">
        <v>-48.2468615</v>
      </c>
      <c r="AB753" s="37" t="s">
        <v>2338</v>
      </c>
      <c r="AC753" s="27" t="s">
        <v>3288</v>
      </c>
    </row>
    <row r="754" customFormat="false" ht="15" hidden="false" customHeight="false" outlineLevel="0" collapsed="false">
      <c r="A754" s="27" t="n">
        <v>753</v>
      </c>
      <c r="B754" s="27" t="s">
        <v>2157</v>
      </c>
      <c r="C754" s="27" t="s">
        <v>3289</v>
      </c>
      <c r="D754" s="27" t="s">
        <v>1000</v>
      </c>
      <c r="E754" s="27" t="s">
        <v>2158</v>
      </c>
      <c r="F754" s="32" t="n">
        <v>6.75486269502822</v>
      </c>
      <c r="G754" s="28" t="n">
        <v>3897.91819252623</v>
      </c>
      <c r="H754" s="28" t="n">
        <v>811.914336089949</v>
      </c>
      <c r="I754" s="6" t="s">
        <v>23</v>
      </c>
      <c r="J754" s="27" t="s">
        <v>303</v>
      </c>
      <c r="K754" s="27" t="s">
        <v>565</v>
      </c>
      <c r="L754" s="27" t="n">
        <v>82</v>
      </c>
      <c r="M754" s="27" t="s">
        <v>44</v>
      </c>
      <c r="N754" s="27" t="s">
        <v>2385</v>
      </c>
      <c r="O754" s="27" t="s">
        <v>224</v>
      </c>
      <c r="P754" s="27" t="s">
        <v>54</v>
      </c>
      <c r="Q754" s="27" t="n">
        <v>0</v>
      </c>
      <c r="R754" s="27"/>
      <c r="S754" s="27" t="s">
        <v>41</v>
      </c>
      <c r="T754" s="27" t="s">
        <v>42</v>
      </c>
      <c r="U754" s="27" t="s">
        <v>44</v>
      </c>
      <c r="V754" s="27"/>
      <c r="W754" s="27"/>
      <c r="X754" s="27"/>
      <c r="Y754" s="27" t="s">
        <v>2426</v>
      </c>
      <c r="Z754" s="27" t="n">
        <v>-7.2234565</v>
      </c>
      <c r="AA754" s="27" t="n">
        <v>-48.247435</v>
      </c>
      <c r="AB754" s="37" t="s">
        <v>2338</v>
      </c>
      <c r="AC754" s="27" t="s">
        <v>2427</v>
      </c>
    </row>
    <row r="755" customFormat="false" ht="15" hidden="false" customHeight="false" outlineLevel="0" collapsed="false">
      <c r="A755" s="27" t="n">
        <v>754</v>
      </c>
      <c r="B755" s="27" t="s">
        <v>2159</v>
      </c>
      <c r="C755" s="27" t="s">
        <v>3290</v>
      </c>
      <c r="D755" s="27" t="s">
        <v>1000</v>
      </c>
      <c r="E755" s="27" t="s">
        <v>2160</v>
      </c>
      <c r="F755" s="32" t="n">
        <v>100.263982673564</v>
      </c>
      <c r="G755" s="28" t="n">
        <v>3991.42731250476</v>
      </c>
      <c r="H755" s="28" t="n">
        <v>905.423456068485</v>
      </c>
      <c r="I755" s="6" t="s">
        <v>23</v>
      </c>
      <c r="J755" s="27" t="s">
        <v>303</v>
      </c>
      <c r="K755" s="27" t="s">
        <v>565</v>
      </c>
      <c r="L755" s="27" t="n">
        <v>82</v>
      </c>
      <c r="M755" s="27" t="s">
        <v>44</v>
      </c>
      <c r="N755" s="27" t="s">
        <v>2385</v>
      </c>
      <c r="O755" s="27" t="s">
        <v>224</v>
      </c>
      <c r="P755" s="27" t="s">
        <v>54</v>
      </c>
      <c r="Q755" s="27" t="n">
        <v>0</v>
      </c>
      <c r="R755" s="27"/>
      <c r="S755" s="27" t="s">
        <v>41</v>
      </c>
      <c r="T755" s="27" t="s">
        <v>42</v>
      </c>
      <c r="U755" s="27" t="s">
        <v>44</v>
      </c>
      <c r="V755" s="27"/>
      <c r="W755" s="27"/>
      <c r="X755" s="27"/>
      <c r="Y755" s="27" t="s">
        <v>2426</v>
      </c>
      <c r="Z755" s="27" t="n">
        <v>-7.2232235</v>
      </c>
      <c r="AA755" s="27" t="n">
        <v>-48.2478265</v>
      </c>
      <c r="AB755" s="37" t="s">
        <v>2338</v>
      </c>
      <c r="AC755" s="27" t="s">
        <v>2427</v>
      </c>
    </row>
    <row r="756" customFormat="false" ht="15" hidden="false" customHeight="false" outlineLevel="0" collapsed="false">
      <c r="A756" s="27" t="n">
        <v>755</v>
      </c>
      <c r="B756" s="27" t="s">
        <v>2161</v>
      </c>
      <c r="C756" s="27" t="s">
        <v>3291</v>
      </c>
      <c r="D756" s="27" t="s">
        <v>990</v>
      </c>
      <c r="E756" s="27" t="s">
        <v>2162</v>
      </c>
      <c r="F756" s="32" t="n">
        <v>38.9745730641246</v>
      </c>
      <c r="G756" s="28" t="n">
        <v>3984.90547372162</v>
      </c>
      <c r="H756" s="28" t="n">
        <v>898.901617285339</v>
      </c>
      <c r="I756" s="6" t="s">
        <v>23</v>
      </c>
      <c r="J756" s="27" t="s">
        <v>303</v>
      </c>
      <c r="K756" s="27" t="s">
        <v>568</v>
      </c>
      <c r="L756" s="27" t="n">
        <v>83</v>
      </c>
      <c r="M756" s="27" t="s">
        <v>44</v>
      </c>
      <c r="N756" s="27" t="s">
        <v>2385</v>
      </c>
      <c r="O756" s="27" t="s">
        <v>227</v>
      </c>
      <c r="P756" s="27" t="s">
        <v>54</v>
      </c>
      <c r="Q756" s="27" t="n">
        <v>0</v>
      </c>
      <c r="R756" s="27"/>
      <c r="S756" s="27" t="s">
        <v>41</v>
      </c>
      <c r="T756" s="27" t="s">
        <v>42</v>
      </c>
      <c r="U756" s="27" t="s">
        <v>44</v>
      </c>
      <c r="V756" s="27"/>
      <c r="W756" s="27"/>
      <c r="X756" s="27"/>
      <c r="Y756" s="27" t="s">
        <v>2426</v>
      </c>
      <c r="Z756" s="27" t="n">
        <v>-7.225162</v>
      </c>
      <c r="AA756" s="27" t="n">
        <v>-48.2467775</v>
      </c>
      <c r="AB756" s="37" t="s">
        <v>2338</v>
      </c>
      <c r="AC756" s="27" t="s">
        <v>2427</v>
      </c>
    </row>
    <row r="757" customFormat="false" ht="15" hidden="false" customHeight="false" outlineLevel="0" collapsed="false">
      <c r="A757" s="27" t="n">
        <v>756</v>
      </c>
      <c r="B757" s="27" t="s">
        <v>2163</v>
      </c>
      <c r="C757" s="27" t="s">
        <v>3292</v>
      </c>
      <c r="D757" s="27" t="s">
        <v>992</v>
      </c>
      <c r="E757" s="27" t="s">
        <v>2164</v>
      </c>
      <c r="F757" s="32" t="n">
        <v>6.22677633482486</v>
      </c>
      <c r="G757" s="28" t="n">
        <v>3952.95511272928</v>
      </c>
      <c r="H757" s="28" t="n">
        <v>6.22677633482499</v>
      </c>
      <c r="I757" s="7" t="s">
        <v>24</v>
      </c>
      <c r="J757" s="27" t="s">
        <v>303</v>
      </c>
      <c r="K757" s="27" t="s">
        <v>569</v>
      </c>
      <c r="L757" s="27" t="n">
        <v>84</v>
      </c>
      <c r="M757" s="27" t="s">
        <v>229</v>
      </c>
      <c r="N757" s="27" t="s">
        <v>2635</v>
      </c>
      <c r="O757" s="27" t="s">
        <v>230</v>
      </c>
      <c r="P757" s="27" t="s">
        <v>54</v>
      </c>
      <c r="Q757" s="27" t="n">
        <v>0</v>
      </c>
      <c r="R757" s="27"/>
      <c r="S757" s="27" t="s">
        <v>41</v>
      </c>
      <c r="T757" s="27" t="s">
        <v>42</v>
      </c>
      <c r="U757" s="27" t="s">
        <v>44</v>
      </c>
      <c r="V757" s="27" t="s">
        <v>229</v>
      </c>
      <c r="W757" s="27"/>
      <c r="X757" s="27"/>
      <c r="Y757" s="27" t="s">
        <v>3293</v>
      </c>
      <c r="Z757" s="27" t="n">
        <v>-7.225022</v>
      </c>
      <c r="AA757" s="27" t="n">
        <v>-48.2466655</v>
      </c>
      <c r="AB757" s="37" t="s">
        <v>2338</v>
      </c>
      <c r="AC757" s="27" t="s">
        <v>3294</v>
      </c>
    </row>
    <row r="758" customFormat="false" ht="15" hidden="false" customHeight="false" outlineLevel="0" collapsed="false">
      <c r="A758" s="27" t="n">
        <v>757</v>
      </c>
      <c r="B758" s="27" t="s">
        <v>2165</v>
      </c>
      <c r="C758" s="27" t="s">
        <v>3295</v>
      </c>
      <c r="D758" s="27" t="s">
        <v>2164</v>
      </c>
      <c r="E758" s="27" t="s">
        <v>2166</v>
      </c>
      <c r="F758" s="32" t="n">
        <v>9.92870464064166</v>
      </c>
      <c r="G758" s="28" t="n">
        <v>3962.88381736992</v>
      </c>
      <c r="H758" s="28" t="n">
        <v>16.1554809754666</v>
      </c>
      <c r="I758" s="7" t="s">
        <v>24</v>
      </c>
      <c r="J758" s="27" t="s">
        <v>303</v>
      </c>
      <c r="K758" s="27" t="s">
        <v>569</v>
      </c>
      <c r="L758" s="27" t="n">
        <v>84</v>
      </c>
      <c r="M758" s="27" t="s">
        <v>229</v>
      </c>
      <c r="N758" s="27" t="s">
        <v>2635</v>
      </c>
      <c r="O758" s="27" t="s">
        <v>230</v>
      </c>
      <c r="P758" s="27" t="s">
        <v>54</v>
      </c>
      <c r="Q758" s="27" t="n">
        <v>0</v>
      </c>
      <c r="R758" s="27"/>
      <c r="S758" s="27" t="s">
        <v>41</v>
      </c>
      <c r="T758" s="27" t="s">
        <v>42</v>
      </c>
      <c r="U758" s="27" t="s">
        <v>44</v>
      </c>
      <c r="V758" s="27" t="s">
        <v>229</v>
      </c>
      <c r="W758" s="27"/>
      <c r="X758" s="27"/>
      <c r="Y758" s="27" t="s">
        <v>3293</v>
      </c>
      <c r="Z758" s="27" t="n">
        <v>-7.2250335</v>
      </c>
      <c r="AA758" s="27" t="n">
        <v>-48.246595</v>
      </c>
      <c r="AB758" s="37" t="s">
        <v>2338</v>
      </c>
      <c r="AC758" s="27" t="s">
        <v>3294</v>
      </c>
    </row>
    <row r="759" customFormat="false" ht="15" hidden="false" customHeight="false" outlineLevel="0" collapsed="false">
      <c r="A759" s="27" t="n">
        <v>758</v>
      </c>
      <c r="B759" s="27" t="s">
        <v>2167</v>
      </c>
      <c r="C759" s="27" t="s">
        <v>3296</v>
      </c>
      <c r="D759" s="27" t="s">
        <v>1006</v>
      </c>
      <c r="E759" s="27" t="s">
        <v>2168</v>
      </c>
      <c r="F759" s="32" t="n">
        <v>1.79624857415318</v>
      </c>
      <c r="G759" s="28" t="n">
        <v>3983.09017473756</v>
      </c>
      <c r="H759" s="28" t="n">
        <v>1.7962485741532</v>
      </c>
      <c r="I759" s="7" t="s">
        <v>24</v>
      </c>
      <c r="J759" s="27" t="s">
        <v>303</v>
      </c>
      <c r="K759" s="27" t="s">
        <v>570</v>
      </c>
      <c r="L759" s="27" t="n">
        <v>85</v>
      </c>
      <c r="M759" s="27" t="s">
        <v>232</v>
      </c>
      <c r="N759" s="27" t="s">
        <v>2640</v>
      </c>
      <c r="O759" s="27" t="s">
        <v>233</v>
      </c>
      <c r="P759" s="27" t="s">
        <v>54</v>
      </c>
      <c r="Q759" s="27" t="n">
        <v>0</v>
      </c>
      <c r="R759" s="27"/>
      <c r="S759" s="27" t="s">
        <v>41</v>
      </c>
      <c r="T759" s="27" t="s">
        <v>42</v>
      </c>
      <c r="U759" s="27" t="s">
        <v>44</v>
      </c>
      <c r="V759" s="27" t="s">
        <v>232</v>
      </c>
      <c r="W759" s="27"/>
      <c r="X759" s="27"/>
      <c r="Y759" s="27" t="s">
        <v>3297</v>
      </c>
      <c r="Z759" s="27" t="n">
        <v>-7.2227015</v>
      </c>
      <c r="AA759" s="27" t="n">
        <v>-48.247052</v>
      </c>
      <c r="AB759" s="37" t="s">
        <v>2338</v>
      </c>
      <c r="AC759" s="27" t="s">
        <v>3298</v>
      </c>
    </row>
    <row r="760" customFormat="false" ht="15" hidden="false" customHeight="false" outlineLevel="0" collapsed="false">
      <c r="A760" s="27" t="n">
        <v>759</v>
      </c>
      <c r="B760" s="27" t="s">
        <v>2169</v>
      </c>
      <c r="C760" s="27" t="s">
        <v>3299</v>
      </c>
      <c r="D760" s="27" t="s">
        <v>801</v>
      </c>
      <c r="E760" s="27" t="s">
        <v>2170</v>
      </c>
      <c r="F760" s="32" t="n">
        <v>31.6922820384257</v>
      </c>
      <c r="G760" s="28" t="n">
        <v>4104.60881253976</v>
      </c>
      <c r="H760" s="28" t="n">
        <v>1018.60495610348</v>
      </c>
      <c r="I760" s="6" t="s">
        <v>23</v>
      </c>
      <c r="J760" s="27" t="s">
        <v>303</v>
      </c>
      <c r="K760" s="27" t="s">
        <v>571</v>
      </c>
      <c r="L760" s="27" t="n">
        <v>86</v>
      </c>
      <c r="M760" s="27" t="s">
        <v>44</v>
      </c>
      <c r="N760" s="27" t="s">
        <v>2385</v>
      </c>
      <c r="O760" s="27" t="s">
        <v>236</v>
      </c>
      <c r="P760" s="27" t="s">
        <v>54</v>
      </c>
      <c r="Q760" s="27" t="n">
        <v>0</v>
      </c>
      <c r="R760" s="27"/>
      <c r="S760" s="27" t="s">
        <v>41</v>
      </c>
      <c r="T760" s="27" t="s">
        <v>42</v>
      </c>
      <c r="U760" s="27" t="s">
        <v>44</v>
      </c>
      <c r="V760" s="27"/>
      <c r="W760" s="27"/>
      <c r="X760" s="27"/>
      <c r="Y760" s="27" t="s">
        <v>2426</v>
      </c>
      <c r="Z760" s="27" t="n">
        <v>-7.2180925</v>
      </c>
      <c r="AA760" s="27" t="n">
        <v>-48.2379185</v>
      </c>
      <c r="AB760" s="37" t="s">
        <v>2338</v>
      </c>
      <c r="AC760" s="27" t="s">
        <v>2427</v>
      </c>
    </row>
    <row r="761" customFormat="false" ht="15" hidden="false" customHeight="false" outlineLevel="0" collapsed="false">
      <c r="A761" s="27" t="n">
        <v>760</v>
      </c>
      <c r="B761" s="27" t="s">
        <v>2171</v>
      </c>
      <c r="C761" s="27" t="s">
        <v>3300</v>
      </c>
      <c r="D761" s="27" t="s">
        <v>2170</v>
      </c>
      <c r="E761" s="27" t="s">
        <v>2172</v>
      </c>
      <c r="F761" s="32" t="n">
        <v>3.85868260321732</v>
      </c>
      <c r="G761" s="28" t="n">
        <v>4108.46749514297</v>
      </c>
      <c r="H761" s="28" t="n">
        <v>1022.46363870669</v>
      </c>
      <c r="I761" s="6" t="s">
        <v>23</v>
      </c>
      <c r="J761" s="27" t="s">
        <v>303</v>
      </c>
      <c r="K761" s="27" t="s">
        <v>571</v>
      </c>
      <c r="L761" s="27" t="n">
        <v>86</v>
      </c>
      <c r="M761" s="27" t="s">
        <v>44</v>
      </c>
      <c r="N761" s="27" t="s">
        <v>2385</v>
      </c>
      <c r="O761" s="27" t="s">
        <v>236</v>
      </c>
      <c r="P761" s="27" t="s">
        <v>54</v>
      </c>
      <c r="Q761" s="27" t="n">
        <v>0</v>
      </c>
      <c r="R761" s="27"/>
      <c r="S761" s="27" t="s">
        <v>41</v>
      </c>
      <c r="T761" s="27" t="s">
        <v>42</v>
      </c>
      <c r="U761" s="27" t="s">
        <v>44</v>
      </c>
      <c r="V761" s="27"/>
      <c r="W761" s="27"/>
      <c r="X761" s="27"/>
      <c r="Y761" s="27" t="s">
        <v>2426</v>
      </c>
      <c r="Z761" s="27" t="n">
        <v>-7.217933</v>
      </c>
      <c r="AA761" s="27" t="n">
        <v>-48.2379165</v>
      </c>
      <c r="AB761" s="37" t="s">
        <v>2338</v>
      </c>
      <c r="AC761" s="27" t="s">
        <v>2427</v>
      </c>
    </row>
    <row r="762" customFormat="false" ht="15" hidden="false" customHeight="false" outlineLevel="0" collapsed="false">
      <c r="A762" s="27" t="n">
        <v>761</v>
      </c>
      <c r="B762" s="27" t="s">
        <v>2173</v>
      </c>
      <c r="C762" s="27" t="s">
        <v>3301</v>
      </c>
      <c r="D762" s="27" t="s">
        <v>2172</v>
      </c>
      <c r="E762" s="27" t="s">
        <v>2174</v>
      </c>
      <c r="F762" s="32" t="n">
        <v>24.2875423708491</v>
      </c>
      <c r="G762" s="28" t="n">
        <v>4132.75503751382</v>
      </c>
      <c r="H762" s="28" t="n">
        <v>1046.75118107754</v>
      </c>
      <c r="I762" s="6" t="s">
        <v>23</v>
      </c>
      <c r="J762" s="27" t="s">
        <v>303</v>
      </c>
      <c r="K762" s="27" t="s">
        <v>571</v>
      </c>
      <c r="L762" s="27" t="n">
        <v>86</v>
      </c>
      <c r="M762" s="27" t="s">
        <v>44</v>
      </c>
      <c r="N762" s="27" t="s">
        <v>2385</v>
      </c>
      <c r="O762" s="27" t="s">
        <v>236</v>
      </c>
      <c r="P762" s="27" t="s">
        <v>54</v>
      </c>
      <c r="Q762" s="27" t="n">
        <v>0</v>
      </c>
      <c r="R762" s="27"/>
      <c r="S762" s="27" t="s">
        <v>41</v>
      </c>
      <c r="T762" s="27" t="s">
        <v>42</v>
      </c>
      <c r="U762" s="27" t="s">
        <v>44</v>
      </c>
      <c r="V762" s="27"/>
      <c r="W762" s="27"/>
      <c r="X762" s="27"/>
      <c r="Y762" s="27" t="s">
        <v>2426</v>
      </c>
      <c r="Z762" s="27" t="n">
        <v>-7.21781</v>
      </c>
      <c r="AA762" s="27" t="n">
        <v>-48.2378865</v>
      </c>
      <c r="AB762" s="37" t="s">
        <v>2338</v>
      </c>
      <c r="AC762" s="27" t="s">
        <v>2427</v>
      </c>
    </row>
    <row r="763" customFormat="false" ht="15" hidden="false" customHeight="false" outlineLevel="0" collapsed="false">
      <c r="A763" s="27" t="n">
        <v>762</v>
      </c>
      <c r="B763" s="27" t="s">
        <v>2175</v>
      </c>
      <c r="C763" s="27" t="s">
        <v>3302</v>
      </c>
      <c r="D763" s="27" t="s">
        <v>2174</v>
      </c>
      <c r="E763" s="27" t="s">
        <v>2176</v>
      </c>
      <c r="F763" s="32" t="n">
        <v>382.668900046501</v>
      </c>
      <c r="G763" s="28" t="n">
        <v>4515.42393756032</v>
      </c>
      <c r="H763" s="28" t="n">
        <v>1429.42008112404</v>
      </c>
      <c r="I763" s="6" t="s">
        <v>23</v>
      </c>
      <c r="J763" s="27" t="s">
        <v>303</v>
      </c>
      <c r="K763" s="27" t="s">
        <v>571</v>
      </c>
      <c r="L763" s="27" t="n">
        <v>86</v>
      </c>
      <c r="M763" s="27" t="s">
        <v>44</v>
      </c>
      <c r="N763" s="27" t="s">
        <v>2385</v>
      </c>
      <c r="O763" s="27" t="s">
        <v>236</v>
      </c>
      <c r="P763" s="27" t="s">
        <v>54</v>
      </c>
      <c r="Q763" s="27" t="n">
        <v>0</v>
      </c>
      <c r="R763" s="27"/>
      <c r="S763" s="27" t="s">
        <v>41</v>
      </c>
      <c r="T763" s="27" t="s">
        <v>42</v>
      </c>
      <c r="U763" s="27" t="s">
        <v>44</v>
      </c>
      <c r="V763" s="27"/>
      <c r="W763" s="27"/>
      <c r="X763" s="27"/>
      <c r="Y763" s="27" t="s">
        <v>2426</v>
      </c>
      <c r="Z763" s="27" t="n">
        <v>-7.2160365</v>
      </c>
      <c r="AA763" s="27" t="n">
        <v>-48.237432</v>
      </c>
      <c r="AB763" s="37" t="s">
        <v>2338</v>
      </c>
      <c r="AC763" s="27" t="s">
        <v>2427</v>
      </c>
    </row>
    <row r="764" customFormat="false" ht="15" hidden="false" customHeight="false" outlineLevel="0" collapsed="false">
      <c r="A764" s="27" t="n">
        <v>763</v>
      </c>
      <c r="B764" s="27" t="s">
        <v>2177</v>
      </c>
      <c r="C764" s="27" t="s">
        <v>3303</v>
      </c>
      <c r="D764" s="27" t="s">
        <v>805</v>
      </c>
      <c r="E764" s="27" t="s">
        <v>2178</v>
      </c>
      <c r="F764" s="32" t="n">
        <v>401.594849883195</v>
      </c>
      <c r="G764" s="28" t="n">
        <v>4498.72487529354</v>
      </c>
      <c r="H764" s="28" t="n">
        <v>401.594849883196</v>
      </c>
      <c r="I764" s="7" t="s">
        <v>24</v>
      </c>
      <c r="J764" s="27" t="s">
        <v>303</v>
      </c>
      <c r="K764" s="27" t="s">
        <v>572</v>
      </c>
      <c r="L764" s="27" t="n">
        <v>87</v>
      </c>
      <c r="M764" s="27" t="s">
        <v>238</v>
      </c>
      <c r="N764" s="27" t="s">
        <v>2640</v>
      </c>
      <c r="O764" s="27" t="s">
        <v>239</v>
      </c>
      <c r="P764" s="27" t="s">
        <v>3304</v>
      </c>
      <c r="Q764" s="27" t="n">
        <v>2</v>
      </c>
      <c r="R764" s="27"/>
      <c r="S764" s="27" t="s">
        <v>41</v>
      </c>
      <c r="T764" s="27" t="s">
        <v>42</v>
      </c>
      <c r="U764" s="27" t="s">
        <v>44</v>
      </c>
      <c r="V764" s="27" t="s">
        <v>238</v>
      </c>
      <c r="W764" s="27"/>
      <c r="X764" s="27"/>
      <c r="Y764" s="27" t="s">
        <v>3305</v>
      </c>
      <c r="Z764" s="27" t="n">
        <v>-7.2176905</v>
      </c>
      <c r="AA764" s="27" t="n">
        <v>-48.2359525</v>
      </c>
      <c r="AB764" s="37" t="s">
        <v>2338</v>
      </c>
      <c r="AC764" s="27" t="s">
        <v>3306</v>
      </c>
    </row>
    <row r="765" customFormat="false" ht="15" hidden="false" customHeight="false" outlineLevel="0" collapsed="false">
      <c r="A765" s="27" t="n">
        <v>764</v>
      </c>
      <c r="B765" s="27" t="s">
        <v>2179</v>
      </c>
      <c r="C765" s="27" t="s">
        <v>3307</v>
      </c>
      <c r="D765" s="27" t="s">
        <v>2178</v>
      </c>
      <c r="E765" s="27" t="s">
        <v>2180</v>
      </c>
      <c r="F765" s="32" t="n">
        <v>31.8941288870251</v>
      </c>
      <c r="G765" s="28" t="n">
        <v>4530.61900418057</v>
      </c>
      <c r="H765" s="28" t="n">
        <v>433.488978770221</v>
      </c>
      <c r="I765" s="7" t="s">
        <v>24</v>
      </c>
      <c r="J765" s="27" t="s">
        <v>303</v>
      </c>
      <c r="K765" s="27" t="s">
        <v>572</v>
      </c>
      <c r="L765" s="27" t="n">
        <v>87</v>
      </c>
      <c r="M765" s="27" t="s">
        <v>238</v>
      </c>
      <c r="N765" s="27" t="s">
        <v>2640</v>
      </c>
      <c r="O765" s="27" t="s">
        <v>239</v>
      </c>
      <c r="P765" s="27" t="s">
        <v>3304</v>
      </c>
      <c r="Q765" s="27" t="n">
        <v>2</v>
      </c>
      <c r="R765" s="27"/>
      <c r="S765" s="27" t="s">
        <v>41</v>
      </c>
      <c r="T765" s="27" t="s">
        <v>42</v>
      </c>
      <c r="U765" s="27" t="s">
        <v>44</v>
      </c>
      <c r="V765" s="27" t="s">
        <v>238</v>
      </c>
      <c r="W765" s="27"/>
      <c r="X765" s="27"/>
      <c r="Y765" s="27" t="s">
        <v>3305</v>
      </c>
      <c r="Z765" s="27" t="n">
        <v>-7.2173465</v>
      </c>
      <c r="AA765" s="27" t="n">
        <v>-48.23417</v>
      </c>
      <c r="AB765" s="37" t="s">
        <v>2338</v>
      </c>
      <c r="AC765" s="27" t="s">
        <v>3306</v>
      </c>
    </row>
    <row r="766" customFormat="false" ht="15" hidden="false" customHeight="false" outlineLevel="0" collapsed="false">
      <c r="A766" s="27" t="n">
        <v>765</v>
      </c>
      <c r="B766" s="27" t="s">
        <v>2181</v>
      </c>
      <c r="C766" s="27" t="s">
        <v>3308</v>
      </c>
      <c r="D766" s="27" t="s">
        <v>2180</v>
      </c>
      <c r="E766" s="27" t="s">
        <v>2182</v>
      </c>
      <c r="F766" s="32" t="n">
        <v>31.1861581919244</v>
      </c>
      <c r="G766" s="28" t="n">
        <v>4561.80516237249</v>
      </c>
      <c r="H766" s="28" t="n">
        <v>464.675136962146</v>
      </c>
      <c r="I766" s="7" t="s">
        <v>24</v>
      </c>
      <c r="J766" s="27" t="s">
        <v>303</v>
      </c>
      <c r="K766" s="27" t="s">
        <v>572</v>
      </c>
      <c r="L766" s="27" t="n">
        <v>87</v>
      </c>
      <c r="M766" s="27" t="s">
        <v>238</v>
      </c>
      <c r="N766" s="27" t="s">
        <v>2640</v>
      </c>
      <c r="O766" s="27" t="s">
        <v>239</v>
      </c>
      <c r="P766" s="27" t="s">
        <v>240</v>
      </c>
      <c r="Q766" s="27" t="n">
        <v>1</v>
      </c>
      <c r="R766" s="27"/>
      <c r="S766" s="27" t="s">
        <v>41</v>
      </c>
      <c r="T766" s="27" t="s">
        <v>42</v>
      </c>
      <c r="U766" s="27" t="s">
        <v>44</v>
      </c>
      <c r="V766" s="27" t="s">
        <v>238</v>
      </c>
      <c r="W766" s="27"/>
      <c r="X766" s="27"/>
      <c r="Y766" s="27" t="s">
        <v>3305</v>
      </c>
      <c r="Z766" s="27" t="n">
        <v>-7.2176215</v>
      </c>
      <c r="AA766" s="27" t="n">
        <v>-48.234101</v>
      </c>
      <c r="AB766" s="37" t="s">
        <v>2338</v>
      </c>
      <c r="AC766" s="27" t="s">
        <v>3306</v>
      </c>
    </row>
    <row r="767" customFormat="false" ht="15" hidden="false" customHeight="false" outlineLevel="0" collapsed="false">
      <c r="A767" s="27" t="n">
        <v>766</v>
      </c>
      <c r="B767" s="27" t="s">
        <v>2183</v>
      </c>
      <c r="C767" s="27" t="s">
        <v>3309</v>
      </c>
      <c r="D767" s="27" t="s">
        <v>2182</v>
      </c>
      <c r="E767" s="27" t="s">
        <v>2184</v>
      </c>
      <c r="F767" s="32" t="n">
        <v>3.34156931479404</v>
      </c>
      <c r="G767" s="28" t="n">
        <v>4565.14673168729</v>
      </c>
      <c r="H767" s="28" t="n">
        <v>468.016706276941</v>
      </c>
      <c r="I767" s="7" t="s">
        <v>24</v>
      </c>
      <c r="J767" s="27" t="s">
        <v>303</v>
      </c>
      <c r="K767" s="27" t="s">
        <v>572</v>
      </c>
      <c r="L767" s="27" t="n">
        <v>87</v>
      </c>
      <c r="M767" s="27" t="s">
        <v>238</v>
      </c>
      <c r="N767" s="27" t="s">
        <v>2640</v>
      </c>
      <c r="O767" s="27" t="s">
        <v>239</v>
      </c>
      <c r="P767" s="27" t="s">
        <v>240</v>
      </c>
      <c r="Q767" s="27" t="n">
        <v>1</v>
      </c>
      <c r="R767" s="27"/>
      <c r="S767" s="27" t="s">
        <v>41</v>
      </c>
      <c r="T767" s="27" t="s">
        <v>42</v>
      </c>
      <c r="U767" s="27" t="s">
        <v>44</v>
      </c>
      <c r="V767" s="27" t="s">
        <v>238</v>
      </c>
      <c r="W767" s="27"/>
      <c r="X767" s="27"/>
      <c r="Y767" s="27" t="s">
        <v>3305</v>
      </c>
      <c r="Z767" s="27" t="n">
        <v>-7.21777</v>
      </c>
      <c r="AA767" s="27" t="n">
        <v>-48.2340555</v>
      </c>
      <c r="AB767" s="37" t="s">
        <v>2338</v>
      </c>
      <c r="AC767" s="27" t="s">
        <v>3306</v>
      </c>
    </row>
    <row r="768" customFormat="false" ht="15" hidden="false" customHeight="false" outlineLevel="0" collapsed="false">
      <c r="A768" s="27" t="n">
        <v>767</v>
      </c>
      <c r="B768" s="27" t="s">
        <v>2185</v>
      </c>
      <c r="C768" s="27" t="s">
        <v>3310</v>
      </c>
      <c r="D768" s="27" t="s">
        <v>2184</v>
      </c>
      <c r="E768" s="27" t="s">
        <v>2186</v>
      </c>
      <c r="F768" s="32" t="n">
        <v>78.5502861843489</v>
      </c>
      <c r="G768" s="28" t="n">
        <v>4643.69701787164</v>
      </c>
      <c r="H768" s="28" t="n">
        <v>546.566992461289</v>
      </c>
      <c r="I768" s="7" t="s">
        <v>24</v>
      </c>
      <c r="J768" s="27" t="s">
        <v>303</v>
      </c>
      <c r="K768" s="27" t="s">
        <v>572</v>
      </c>
      <c r="L768" s="27" t="n">
        <v>87</v>
      </c>
      <c r="M768" s="27" t="s">
        <v>238</v>
      </c>
      <c r="N768" s="27" t="s">
        <v>2640</v>
      </c>
      <c r="O768" s="27" t="s">
        <v>239</v>
      </c>
      <c r="P768" s="27" t="s">
        <v>240</v>
      </c>
      <c r="Q768" s="27" t="n">
        <v>1</v>
      </c>
      <c r="R768" s="27"/>
      <c r="S768" s="27" t="s">
        <v>41</v>
      </c>
      <c r="T768" s="27" t="s">
        <v>42</v>
      </c>
      <c r="U768" s="27" t="s">
        <v>44</v>
      </c>
      <c r="V768" s="27" t="s">
        <v>238</v>
      </c>
      <c r="W768" s="27"/>
      <c r="X768" s="27"/>
      <c r="Y768" s="27" t="s">
        <v>3305</v>
      </c>
      <c r="Z768" s="27" t="n">
        <v>-7.2181215</v>
      </c>
      <c r="AA768" s="27" t="n">
        <v>-48.233945</v>
      </c>
      <c r="AB768" s="37" t="s">
        <v>2338</v>
      </c>
      <c r="AC768" s="27" t="s">
        <v>3306</v>
      </c>
    </row>
    <row r="769" customFormat="false" ht="15" hidden="false" customHeight="false" outlineLevel="0" collapsed="false">
      <c r="A769" s="27" t="n">
        <v>768</v>
      </c>
      <c r="B769" s="27" t="s">
        <v>2187</v>
      </c>
      <c r="C769" s="27" t="s">
        <v>3311</v>
      </c>
      <c r="D769" s="27" t="s">
        <v>2186</v>
      </c>
      <c r="E769" s="27" t="s">
        <v>2188</v>
      </c>
      <c r="F769" s="32" t="n">
        <v>40.7564659622506</v>
      </c>
      <c r="G769" s="28" t="n">
        <v>4684.45348383389</v>
      </c>
      <c r="H769" s="28" t="n">
        <v>587.32345842354</v>
      </c>
      <c r="I769" s="7" t="s">
        <v>24</v>
      </c>
      <c r="J769" s="27" t="s">
        <v>303</v>
      </c>
      <c r="K769" s="27" t="s">
        <v>572</v>
      </c>
      <c r="L769" s="27" t="n">
        <v>87</v>
      </c>
      <c r="M769" s="27" t="s">
        <v>238</v>
      </c>
      <c r="N769" s="27" t="s">
        <v>2640</v>
      </c>
      <c r="O769" s="27" t="s">
        <v>239</v>
      </c>
      <c r="P769" s="27" t="s">
        <v>54</v>
      </c>
      <c r="Q769" s="27" t="n">
        <v>0</v>
      </c>
      <c r="R769" s="27"/>
      <c r="S769" s="27" t="s">
        <v>41</v>
      </c>
      <c r="T769" s="27" t="s">
        <v>42</v>
      </c>
      <c r="U769" s="27" t="s">
        <v>44</v>
      </c>
      <c r="V769" s="27" t="s">
        <v>238</v>
      </c>
      <c r="W769" s="27"/>
      <c r="X769" s="27"/>
      <c r="Y769" s="27" t="s">
        <v>3305</v>
      </c>
      <c r="Z769" s="27" t="n">
        <v>-7.218635</v>
      </c>
      <c r="AA769" s="27" t="n">
        <v>-48.2337885</v>
      </c>
      <c r="AB769" s="37" t="s">
        <v>2338</v>
      </c>
      <c r="AC769" s="27" t="s">
        <v>3306</v>
      </c>
    </row>
    <row r="770" customFormat="false" ht="15" hidden="false" customHeight="false" outlineLevel="0" collapsed="false">
      <c r="A770" s="27" t="n">
        <v>769</v>
      </c>
      <c r="B770" s="27" t="s">
        <v>2189</v>
      </c>
      <c r="C770" s="27" t="s">
        <v>3312</v>
      </c>
      <c r="D770" s="27" t="s">
        <v>2186</v>
      </c>
      <c r="E770" s="27" t="s">
        <v>2190</v>
      </c>
      <c r="F770" s="32" t="n">
        <v>0.455049282154971</v>
      </c>
      <c r="G770" s="28" t="n">
        <v>4644.15206715379</v>
      </c>
      <c r="H770" s="28" t="n">
        <v>547.022041743445</v>
      </c>
      <c r="I770" s="7" t="s">
        <v>24</v>
      </c>
      <c r="J770" s="27" t="s">
        <v>303</v>
      </c>
      <c r="K770" s="27" t="s">
        <v>572</v>
      </c>
      <c r="L770" s="27" t="n">
        <v>87</v>
      </c>
      <c r="M770" s="27" t="s">
        <v>238</v>
      </c>
      <c r="N770" s="27" t="s">
        <v>2640</v>
      </c>
      <c r="O770" s="27" t="s">
        <v>239</v>
      </c>
      <c r="P770" s="27" t="s">
        <v>240</v>
      </c>
      <c r="Q770" s="27" t="n">
        <v>1</v>
      </c>
      <c r="R770" s="27"/>
      <c r="S770" s="27" t="s">
        <v>41</v>
      </c>
      <c r="T770" s="27" t="s">
        <v>42</v>
      </c>
      <c r="U770" s="27" t="s">
        <v>44</v>
      </c>
      <c r="V770" s="27" t="s">
        <v>238</v>
      </c>
      <c r="W770" s="27"/>
      <c r="X770" s="27"/>
      <c r="Y770" s="27" t="s">
        <v>3305</v>
      </c>
      <c r="Z770" s="27" t="n">
        <v>-7.2184585</v>
      </c>
      <c r="AA770" s="27" t="n">
        <v>-48.233838</v>
      </c>
      <c r="AB770" s="37" t="s">
        <v>2338</v>
      </c>
      <c r="AC770" s="27" t="s">
        <v>3306</v>
      </c>
    </row>
    <row r="771" customFormat="false" ht="15" hidden="false" customHeight="false" outlineLevel="0" collapsed="false">
      <c r="A771" s="27" t="n">
        <v>770</v>
      </c>
      <c r="B771" s="27" t="s">
        <v>2191</v>
      </c>
      <c r="C771" s="27" t="s">
        <v>3313</v>
      </c>
      <c r="D771" s="27" t="s">
        <v>2180</v>
      </c>
      <c r="E771" s="27" t="s">
        <v>2192</v>
      </c>
      <c r="F771" s="32" t="n">
        <v>2.0959633938229</v>
      </c>
      <c r="G771" s="28" t="n">
        <v>4532.71496757439</v>
      </c>
      <c r="H771" s="28" t="n">
        <v>435.584942164044</v>
      </c>
      <c r="I771" s="7" t="s">
        <v>24</v>
      </c>
      <c r="J771" s="27" t="s">
        <v>303</v>
      </c>
      <c r="K771" s="27" t="s">
        <v>572</v>
      </c>
      <c r="L771" s="27" t="n">
        <v>87</v>
      </c>
      <c r="M771" s="27" t="s">
        <v>238</v>
      </c>
      <c r="N771" s="27" t="s">
        <v>2640</v>
      </c>
      <c r="O771" s="27" t="s">
        <v>239</v>
      </c>
      <c r="P771" s="27" t="s">
        <v>242</v>
      </c>
      <c r="Q771" s="27" t="n">
        <v>1</v>
      </c>
      <c r="R771" s="27"/>
      <c r="S771" s="27" t="s">
        <v>41</v>
      </c>
      <c r="T771" s="27" t="s">
        <v>42</v>
      </c>
      <c r="U771" s="27" t="s">
        <v>44</v>
      </c>
      <c r="V771" s="27" t="s">
        <v>238</v>
      </c>
      <c r="W771" s="27"/>
      <c r="X771" s="27"/>
      <c r="Y771" s="27" t="s">
        <v>3305</v>
      </c>
      <c r="Z771" s="27" t="n">
        <v>-7.217487</v>
      </c>
      <c r="AA771" s="27" t="n">
        <v>-48.2341315</v>
      </c>
      <c r="AB771" s="37" t="s">
        <v>2338</v>
      </c>
      <c r="AC771" s="27" t="s">
        <v>3306</v>
      </c>
    </row>
    <row r="772" customFormat="false" ht="15" hidden="false" customHeight="false" outlineLevel="0" collapsed="false">
      <c r="A772" s="27" t="n">
        <v>771</v>
      </c>
      <c r="B772" s="27" t="s">
        <v>2193</v>
      </c>
      <c r="C772" s="27" t="s">
        <v>3314</v>
      </c>
      <c r="D772" s="27" t="s">
        <v>2178</v>
      </c>
      <c r="E772" s="27" t="s">
        <v>2194</v>
      </c>
      <c r="F772" s="32" t="n">
        <v>8.41872624527928</v>
      </c>
      <c r="G772" s="28" t="n">
        <v>4507.14360153882</v>
      </c>
      <c r="H772" s="28" t="n">
        <v>410.013576128476</v>
      </c>
      <c r="I772" s="7" t="s">
        <v>24</v>
      </c>
      <c r="J772" s="27" t="s">
        <v>303</v>
      </c>
      <c r="K772" s="27" t="s">
        <v>572</v>
      </c>
      <c r="L772" s="27" t="n">
        <v>87</v>
      </c>
      <c r="M772" s="27" t="s">
        <v>238</v>
      </c>
      <c r="N772" s="27" t="s">
        <v>2640</v>
      </c>
      <c r="O772" s="27" t="s">
        <v>239</v>
      </c>
      <c r="P772" s="27" t="s">
        <v>54</v>
      </c>
      <c r="Q772" s="27" t="n">
        <v>0</v>
      </c>
      <c r="R772" s="27"/>
      <c r="S772" s="27" t="s">
        <v>41</v>
      </c>
      <c r="T772" s="27" t="s">
        <v>42</v>
      </c>
      <c r="U772" s="27" t="s">
        <v>44</v>
      </c>
      <c r="V772" s="27" t="s">
        <v>238</v>
      </c>
      <c r="W772" s="27"/>
      <c r="X772" s="27"/>
      <c r="Y772" s="27" t="s">
        <v>3305</v>
      </c>
      <c r="Z772" s="27" t="n">
        <v>-7.217199</v>
      </c>
      <c r="AA772" s="27" t="n">
        <v>-48.2341615</v>
      </c>
      <c r="AB772" s="37" t="s">
        <v>2338</v>
      </c>
      <c r="AC772" s="27" t="s">
        <v>3306</v>
      </c>
    </row>
    <row r="773" customFormat="false" ht="15" hidden="false" customHeight="false" outlineLevel="0" collapsed="false">
      <c r="A773" s="27" t="n">
        <v>772</v>
      </c>
      <c r="B773" s="27" t="s">
        <v>2195</v>
      </c>
      <c r="C773" s="27" t="s">
        <v>3315</v>
      </c>
      <c r="D773" s="27" t="s">
        <v>2194</v>
      </c>
      <c r="E773" s="27" t="s">
        <v>2196</v>
      </c>
      <c r="F773" s="32" t="n">
        <v>3.53179677832578</v>
      </c>
      <c r="G773" s="28" t="n">
        <v>4510.67539831715</v>
      </c>
      <c r="H773" s="28" t="n">
        <v>413.545372906801</v>
      </c>
      <c r="I773" s="7" t="s">
        <v>24</v>
      </c>
      <c r="J773" s="27" t="s">
        <v>303</v>
      </c>
      <c r="K773" s="27" t="s">
        <v>572</v>
      </c>
      <c r="L773" s="27" t="n">
        <v>87</v>
      </c>
      <c r="M773" s="27" t="s">
        <v>238</v>
      </c>
      <c r="N773" s="27" t="s">
        <v>2640</v>
      </c>
      <c r="O773" s="27" t="s">
        <v>239</v>
      </c>
      <c r="P773" s="27" t="s">
        <v>54</v>
      </c>
      <c r="Q773" s="27" t="n">
        <v>0</v>
      </c>
      <c r="R773" s="27"/>
      <c r="S773" s="27" t="s">
        <v>41</v>
      </c>
      <c r="T773" s="27" t="s">
        <v>42</v>
      </c>
      <c r="U773" s="27" t="s">
        <v>44</v>
      </c>
      <c r="V773" s="27" t="s">
        <v>238</v>
      </c>
      <c r="W773" s="27"/>
      <c r="X773" s="27"/>
      <c r="Y773" s="27" t="s">
        <v>3305</v>
      </c>
      <c r="Z773" s="27" t="n">
        <v>-7.2171915</v>
      </c>
      <c r="AA773" s="27" t="n">
        <v>-48.234108</v>
      </c>
      <c r="AB773" s="37" t="s">
        <v>2338</v>
      </c>
      <c r="AC773" s="27" t="s">
        <v>3306</v>
      </c>
    </row>
    <row r="774" customFormat="false" ht="15" hidden="false" customHeight="false" outlineLevel="0" collapsed="false">
      <c r="A774" s="27" t="n">
        <v>773</v>
      </c>
      <c r="B774" s="27" t="s">
        <v>2197</v>
      </c>
      <c r="C774" s="27" t="s">
        <v>3316</v>
      </c>
      <c r="D774" s="27" t="s">
        <v>2196</v>
      </c>
      <c r="E774" s="27" t="s">
        <v>2198</v>
      </c>
      <c r="F774" s="32" t="n">
        <v>226.696724964835</v>
      </c>
      <c r="G774" s="28" t="n">
        <v>4737.37212328198</v>
      </c>
      <c r="H774" s="28" t="n">
        <v>640.242097871636</v>
      </c>
      <c r="I774" s="7" t="s">
        <v>24</v>
      </c>
      <c r="J774" s="27" t="s">
        <v>303</v>
      </c>
      <c r="K774" s="27" t="s">
        <v>572</v>
      </c>
      <c r="L774" s="27" t="n">
        <v>87</v>
      </c>
      <c r="M774" s="27" t="s">
        <v>238</v>
      </c>
      <c r="N774" s="27" t="s">
        <v>2640</v>
      </c>
      <c r="O774" s="27" t="s">
        <v>239</v>
      </c>
      <c r="P774" s="27" t="s">
        <v>54</v>
      </c>
      <c r="Q774" s="27" t="n">
        <v>0</v>
      </c>
      <c r="R774" s="27"/>
      <c r="S774" s="27" t="s">
        <v>41</v>
      </c>
      <c r="T774" s="27" t="s">
        <v>42</v>
      </c>
      <c r="U774" s="27" t="s">
        <v>44</v>
      </c>
      <c r="V774" s="27" t="s">
        <v>238</v>
      </c>
      <c r="W774" s="27"/>
      <c r="X774" s="27"/>
      <c r="Y774" s="27" t="s">
        <v>3305</v>
      </c>
      <c r="Z774" s="27" t="n">
        <v>-7.217314</v>
      </c>
      <c r="AA774" s="27" t="n">
        <v>-48.233072</v>
      </c>
      <c r="AB774" s="37" t="s">
        <v>2338</v>
      </c>
      <c r="AC774" s="27" t="s">
        <v>3306</v>
      </c>
    </row>
    <row r="775" customFormat="false" ht="15" hidden="false" customHeight="false" outlineLevel="0" collapsed="false">
      <c r="A775" s="27" t="n">
        <v>774</v>
      </c>
      <c r="B775" s="27" t="s">
        <v>2199</v>
      </c>
      <c r="C775" s="27" t="s">
        <v>3317</v>
      </c>
      <c r="D775" s="27" t="s">
        <v>2198</v>
      </c>
      <c r="E775" s="27" t="s">
        <v>2200</v>
      </c>
      <c r="F775" s="32" t="n">
        <v>34.7396443220099</v>
      </c>
      <c r="G775" s="28" t="n">
        <v>4772.11176760399</v>
      </c>
      <c r="H775" s="28" t="n">
        <v>674.981742193646</v>
      </c>
      <c r="I775" s="7" t="s">
        <v>24</v>
      </c>
      <c r="J775" s="27" t="s">
        <v>303</v>
      </c>
      <c r="K775" s="27" t="s">
        <v>572</v>
      </c>
      <c r="L775" s="27" t="n">
        <v>87</v>
      </c>
      <c r="M775" s="27" t="s">
        <v>238</v>
      </c>
      <c r="N775" s="27" t="s">
        <v>2640</v>
      </c>
      <c r="O775" s="27" t="s">
        <v>239</v>
      </c>
      <c r="P775" s="27" t="s">
        <v>54</v>
      </c>
      <c r="Q775" s="27" t="n">
        <v>0</v>
      </c>
      <c r="R775" s="27"/>
      <c r="S775" s="27" t="s">
        <v>41</v>
      </c>
      <c r="T775" s="27" t="s">
        <v>42</v>
      </c>
      <c r="U775" s="27" t="s">
        <v>44</v>
      </c>
      <c r="V775" s="27" t="s">
        <v>238</v>
      </c>
      <c r="W775" s="27"/>
      <c r="X775" s="27"/>
      <c r="Y775" s="27" t="s">
        <v>3305</v>
      </c>
      <c r="Z775" s="27" t="n">
        <v>-7.217514</v>
      </c>
      <c r="AA775" s="27" t="n">
        <v>-48.231915</v>
      </c>
      <c r="AB775" s="37" t="s">
        <v>2338</v>
      </c>
      <c r="AC775" s="27" t="s">
        <v>3306</v>
      </c>
    </row>
    <row r="776" customFormat="false" ht="15" hidden="false" customHeight="false" outlineLevel="0" collapsed="false">
      <c r="A776" s="27" t="n">
        <v>775</v>
      </c>
      <c r="B776" s="27" t="s">
        <v>2201</v>
      </c>
      <c r="C776" s="27" t="s">
        <v>3318</v>
      </c>
      <c r="D776" s="27" t="s">
        <v>2178</v>
      </c>
      <c r="E776" s="27" t="s">
        <v>2202</v>
      </c>
      <c r="F776" s="32" t="n">
        <v>10.1619993763618</v>
      </c>
      <c r="G776" s="28" t="n">
        <v>4508.8868746699</v>
      </c>
      <c r="H776" s="28" t="n">
        <v>411.756849259557</v>
      </c>
      <c r="I776" s="7" t="s">
        <v>24</v>
      </c>
      <c r="J776" s="27" t="s">
        <v>303</v>
      </c>
      <c r="K776" s="27" t="s">
        <v>572</v>
      </c>
      <c r="L776" s="27" t="n">
        <v>87</v>
      </c>
      <c r="M776" s="27" t="s">
        <v>238</v>
      </c>
      <c r="N776" s="27" t="s">
        <v>2640</v>
      </c>
      <c r="O776" s="27" t="s">
        <v>239</v>
      </c>
      <c r="P776" s="27" t="s">
        <v>54</v>
      </c>
      <c r="Q776" s="27" t="n">
        <v>0</v>
      </c>
      <c r="R776" s="27"/>
      <c r="S776" s="27" t="s">
        <v>41</v>
      </c>
      <c r="T776" s="27" t="s">
        <v>42</v>
      </c>
      <c r="U776" s="27" t="s">
        <v>44</v>
      </c>
      <c r="V776" s="27" t="s">
        <v>238</v>
      </c>
      <c r="W776" s="27"/>
      <c r="X776" s="27"/>
      <c r="Y776" s="27" t="s">
        <v>3305</v>
      </c>
      <c r="Z776" s="27" t="n">
        <v>-7.217161</v>
      </c>
      <c r="AA776" s="27" t="n">
        <v>-48.234207</v>
      </c>
      <c r="AB776" s="37" t="s">
        <v>2338</v>
      </c>
      <c r="AC776" s="27" t="s">
        <v>3306</v>
      </c>
    </row>
    <row r="777" customFormat="false" ht="15" hidden="false" customHeight="false" outlineLevel="0" collapsed="false">
      <c r="A777" s="27" t="n">
        <v>776</v>
      </c>
      <c r="B777" s="27" t="s">
        <v>2203</v>
      </c>
      <c r="C777" s="27" t="s">
        <v>3319</v>
      </c>
      <c r="D777" s="27" t="s">
        <v>2190</v>
      </c>
      <c r="E777" s="27" t="s">
        <v>2204</v>
      </c>
      <c r="F777" s="32" t="n">
        <v>5.41340366047044</v>
      </c>
      <c r="G777" s="28" t="n">
        <v>4649.56547081426</v>
      </c>
      <c r="H777" s="28" t="n">
        <v>5.41340366047007</v>
      </c>
      <c r="I777" s="7" t="s">
        <v>24</v>
      </c>
      <c r="J777" s="27" t="s">
        <v>303</v>
      </c>
      <c r="K777" s="27" t="s">
        <v>572</v>
      </c>
      <c r="L777" s="27" t="n">
        <v>88</v>
      </c>
      <c r="M777" s="27" t="s">
        <v>240</v>
      </c>
      <c r="N777" s="27" t="s">
        <v>2640</v>
      </c>
      <c r="O777" s="27" t="s">
        <v>241</v>
      </c>
      <c r="P777" s="27" t="s">
        <v>54</v>
      </c>
      <c r="Q777" s="27" t="n">
        <v>0</v>
      </c>
      <c r="R777" s="27"/>
      <c r="S777" s="27" t="s">
        <v>41</v>
      </c>
      <c r="T777" s="27" t="s">
        <v>42</v>
      </c>
      <c r="U777" s="27" t="s">
        <v>44</v>
      </c>
      <c r="V777" s="27" t="s">
        <v>238</v>
      </c>
      <c r="W777" s="27" t="s">
        <v>240</v>
      </c>
      <c r="X777" s="27"/>
      <c r="Y777" s="27" t="s">
        <v>3320</v>
      </c>
      <c r="Z777" s="27" t="n">
        <v>-7.218451</v>
      </c>
      <c r="AA777" s="27" t="n">
        <v>-48.2338125</v>
      </c>
      <c r="AB777" s="37" t="s">
        <v>2338</v>
      </c>
      <c r="AC777" s="27" t="s">
        <v>3321</v>
      </c>
    </row>
    <row r="778" customFormat="false" ht="15" hidden="false" customHeight="false" outlineLevel="0" collapsed="false">
      <c r="A778" s="27" t="n">
        <v>777</v>
      </c>
      <c r="B778" s="27" t="s">
        <v>2205</v>
      </c>
      <c r="C778" s="27" t="s">
        <v>3322</v>
      </c>
      <c r="D778" s="27" t="s">
        <v>2204</v>
      </c>
      <c r="E778" s="27" t="s">
        <v>2206</v>
      </c>
      <c r="F778" s="32" t="n">
        <v>15.5044868470411</v>
      </c>
      <c r="G778" s="28" t="n">
        <v>4665.0699576613</v>
      </c>
      <c r="H778" s="28" t="n">
        <v>20.9178905075114</v>
      </c>
      <c r="I778" s="7" t="s">
        <v>24</v>
      </c>
      <c r="J778" s="27" t="s">
        <v>303</v>
      </c>
      <c r="K778" s="27" t="s">
        <v>572</v>
      </c>
      <c r="L778" s="27" t="n">
        <v>88</v>
      </c>
      <c r="M778" s="27" t="s">
        <v>240</v>
      </c>
      <c r="N778" s="27" t="s">
        <v>2640</v>
      </c>
      <c r="O778" s="27" t="s">
        <v>241</v>
      </c>
      <c r="P778" s="27" t="s">
        <v>54</v>
      </c>
      <c r="Q778" s="27" t="n">
        <v>0</v>
      </c>
      <c r="R778" s="27"/>
      <c r="S778" s="27" t="s">
        <v>41</v>
      </c>
      <c r="T778" s="27" t="s">
        <v>42</v>
      </c>
      <c r="U778" s="27" t="s">
        <v>44</v>
      </c>
      <c r="V778" s="27" t="s">
        <v>238</v>
      </c>
      <c r="W778" s="27" t="s">
        <v>240</v>
      </c>
      <c r="X778" s="27"/>
      <c r="Y778" s="27" t="s">
        <v>3320</v>
      </c>
      <c r="Z778" s="27" t="n">
        <v>-7.2184175</v>
      </c>
      <c r="AA778" s="27" t="n">
        <v>-48.233724</v>
      </c>
      <c r="AB778" s="37" t="s">
        <v>2338</v>
      </c>
      <c r="AC778" s="27" t="s">
        <v>3321</v>
      </c>
    </row>
    <row r="779" customFormat="false" ht="15" hidden="false" customHeight="false" outlineLevel="0" collapsed="false">
      <c r="A779" s="27" t="n">
        <v>778</v>
      </c>
      <c r="B779" s="27" t="s">
        <v>2207</v>
      </c>
      <c r="C779" s="27" t="s">
        <v>3323</v>
      </c>
      <c r="D779" s="27" t="s">
        <v>2192</v>
      </c>
      <c r="E779" s="27" t="s">
        <v>2208</v>
      </c>
      <c r="F779" s="32" t="n">
        <v>19.3206110962785</v>
      </c>
      <c r="G779" s="28" t="n">
        <v>4552.03557867067</v>
      </c>
      <c r="H779" s="28" t="n">
        <v>19.3206110962783</v>
      </c>
      <c r="I779" s="7" t="s">
        <v>24</v>
      </c>
      <c r="J779" s="27" t="s">
        <v>303</v>
      </c>
      <c r="K779" s="27" t="s">
        <v>572</v>
      </c>
      <c r="L779" s="27" t="n">
        <v>89</v>
      </c>
      <c r="M779" s="27" t="s">
        <v>242</v>
      </c>
      <c r="N779" s="27" t="s">
        <v>2635</v>
      </c>
      <c r="O779" s="27" t="s">
        <v>243</v>
      </c>
      <c r="P779" s="27" t="s">
        <v>54</v>
      </c>
      <c r="Q779" s="27" t="n">
        <v>0</v>
      </c>
      <c r="R779" s="27"/>
      <c r="S779" s="27" t="s">
        <v>41</v>
      </c>
      <c r="T779" s="27" t="s">
        <v>42</v>
      </c>
      <c r="U779" s="27" t="s">
        <v>44</v>
      </c>
      <c r="V779" s="27" t="s">
        <v>238</v>
      </c>
      <c r="W779" s="27" t="s">
        <v>242</v>
      </c>
      <c r="X779" s="27"/>
      <c r="Y779" s="27" t="s">
        <v>3324</v>
      </c>
      <c r="Z779" s="27" t="n">
        <v>-7.2174905</v>
      </c>
      <c r="AA779" s="27" t="n">
        <v>-48.2340345</v>
      </c>
      <c r="AB779" s="37" t="s">
        <v>2338</v>
      </c>
      <c r="AC779" s="27" t="s">
        <v>3325</v>
      </c>
    </row>
    <row r="780" customFormat="false" ht="15" hidden="false" customHeight="false" outlineLevel="0" collapsed="false">
      <c r="A780" s="27" t="n">
        <v>779</v>
      </c>
      <c r="B780" s="27" t="s">
        <v>2209</v>
      </c>
      <c r="C780" s="27" t="s">
        <v>3326</v>
      </c>
      <c r="D780" s="27" t="s">
        <v>2208</v>
      </c>
      <c r="E780" s="27" t="s">
        <v>2210</v>
      </c>
      <c r="F780" s="32" t="n">
        <v>18.7533563893597</v>
      </c>
      <c r="G780" s="28" t="n">
        <v>4570.78893506003</v>
      </c>
      <c r="H780" s="28" t="n">
        <v>38.0739674856377</v>
      </c>
      <c r="I780" s="7" t="s">
        <v>24</v>
      </c>
      <c r="J780" s="27" t="s">
        <v>303</v>
      </c>
      <c r="K780" s="27" t="s">
        <v>572</v>
      </c>
      <c r="L780" s="27" t="n">
        <v>89</v>
      </c>
      <c r="M780" s="27" t="s">
        <v>242</v>
      </c>
      <c r="N780" s="27" t="s">
        <v>2635</v>
      </c>
      <c r="O780" s="27" t="s">
        <v>243</v>
      </c>
      <c r="P780" s="27" t="s">
        <v>54</v>
      </c>
      <c r="Q780" s="27" t="n">
        <v>0</v>
      </c>
      <c r="R780" s="27"/>
      <c r="S780" s="27" t="s">
        <v>41</v>
      </c>
      <c r="T780" s="27" t="s">
        <v>42</v>
      </c>
      <c r="U780" s="27" t="s">
        <v>44</v>
      </c>
      <c r="V780" s="27" t="s">
        <v>238</v>
      </c>
      <c r="W780" s="27" t="s">
        <v>242</v>
      </c>
      <c r="X780" s="27"/>
      <c r="Y780" s="27" t="s">
        <v>3324</v>
      </c>
      <c r="Z780" s="27" t="n">
        <v>-7.217494</v>
      </c>
      <c r="AA780" s="27" t="n">
        <v>-48.233862</v>
      </c>
      <c r="AB780" s="37" t="s">
        <v>2338</v>
      </c>
      <c r="AC780" s="27" t="s">
        <v>3325</v>
      </c>
    </row>
    <row r="781" customFormat="false" ht="15" hidden="false" customHeight="false" outlineLevel="0" collapsed="false">
      <c r="A781" s="27" t="n">
        <v>780</v>
      </c>
      <c r="B781" s="27" t="s">
        <v>2211</v>
      </c>
      <c r="C781" s="27" t="s">
        <v>3327</v>
      </c>
      <c r="D781" s="27" t="s">
        <v>816</v>
      </c>
      <c r="E781" s="27" t="s">
        <v>2212</v>
      </c>
      <c r="F781" s="32" t="n">
        <v>16.1416616276471</v>
      </c>
      <c r="G781" s="28" t="n">
        <v>4467.16413023875</v>
      </c>
      <c r="H781" s="28" t="n">
        <v>1381.16027380247</v>
      </c>
      <c r="I781" s="6" t="s">
        <v>23</v>
      </c>
      <c r="J781" s="27" t="s">
        <v>303</v>
      </c>
      <c r="K781" s="27" t="s">
        <v>576</v>
      </c>
      <c r="L781" s="27" t="n">
        <v>90</v>
      </c>
      <c r="M781" s="27" t="s">
        <v>44</v>
      </c>
      <c r="N781" s="27" t="s">
        <v>2385</v>
      </c>
      <c r="O781" s="27" t="s">
        <v>246</v>
      </c>
      <c r="P781" s="27" t="s">
        <v>54</v>
      </c>
      <c r="Q781" s="27" t="n">
        <v>0</v>
      </c>
      <c r="R781" s="27"/>
      <c r="S781" s="27" t="s">
        <v>41</v>
      </c>
      <c r="T781" s="27" t="s">
        <v>42</v>
      </c>
      <c r="U781" s="27" t="s">
        <v>44</v>
      </c>
      <c r="V781" s="27"/>
      <c r="W781" s="27"/>
      <c r="X781" s="27"/>
      <c r="Y781" s="27" t="s">
        <v>2426</v>
      </c>
      <c r="Z781" s="27" t="n">
        <v>-7.221535</v>
      </c>
      <c r="AA781" s="27" t="n">
        <v>-48.2370535</v>
      </c>
      <c r="AB781" s="37" t="s">
        <v>2338</v>
      </c>
      <c r="AC781" s="27" t="s">
        <v>2427</v>
      </c>
    </row>
    <row r="782" customFormat="false" ht="15" hidden="false" customHeight="false" outlineLevel="0" collapsed="false">
      <c r="A782" s="27" t="n">
        <v>781</v>
      </c>
      <c r="B782" s="27" t="s">
        <v>2213</v>
      </c>
      <c r="C782" s="27" t="s">
        <v>3328</v>
      </c>
      <c r="D782" s="27" t="s">
        <v>971</v>
      </c>
      <c r="E782" s="27" t="s">
        <v>2214</v>
      </c>
      <c r="F782" s="32" t="n">
        <v>33.5821239822394</v>
      </c>
      <c r="G782" s="28" t="n">
        <v>4496.87820649682</v>
      </c>
      <c r="H782" s="28" t="n">
        <v>33.582123982239</v>
      </c>
      <c r="I782" s="7" t="s">
        <v>24</v>
      </c>
      <c r="J782" s="27" t="s">
        <v>303</v>
      </c>
      <c r="K782" s="27" t="s">
        <v>577</v>
      </c>
      <c r="L782" s="27" t="n">
        <v>91</v>
      </c>
      <c r="M782" s="27" t="s">
        <v>248</v>
      </c>
      <c r="N782" s="27" t="s">
        <v>2640</v>
      </c>
      <c r="O782" s="27" t="s">
        <v>249</v>
      </c>
      <c r="P782" s="27" t="s">
        <v>54</v>
      </c>
      <c r="Q782" s="27" t="n">
        <v>0</v>
      </c>
      <c r="R782" s="27"/>
      <c r="S782" s="27" t="s">
        <v>41</v>
      </c>
      <c r="T782" s="27" t="s">
        <v>42</v>
      </c>
      <c r="U782" s="27" t="s">
        <v>44</v>
      </c>
      <c r="V782" s="27" t="s">
        <v>248</v>
      </c>
      <c r="W782" s="27"/>
      <c r="X782" s="27"/>
      <c r="Y782" s="27" t="s">
        <v>3329</v>
      </c>
      <c r="Z782" s="27" t="n">
        <v>-7.221758</v>
      </c>
      <c r="AA782" s="27" t="n">
        <v>-48.2369125</v>
      </c>
      <c r="AB782" s="37" t="s">
        <v>2338</v>
      </c>
      <c r="AC782" s="27" t="s">
        <v>3330</v>
      </c>
    </row>
    <row r="783" customFormat="false" ht="15" hidden="false" customHeight="false" outlineLevel="0" collapsed="false">
      <c r="A783" s="27" t="n">
        <v>782</v>
      </c>
      <c r="B783" s="27" t="s">
        <v>2215</v>
      </c>
      <c r="C783" s="27" t="s">
        <v>3331</v>
      </c>
      <c r="D783" s="27" t="s">
        <v>2214</v>
      </c>
      <c r="E783" s="27" t="s">
        <v>2216</v>
      </c>
      <c r="F783" s="32" t="n">
        <v>3.80137043054194</v>
      </c>
      <c r="G783" s="28" t="n">
        <v>4500.67957692736</v>
      </c>
      <c r="H783" s="28" t="n">
        <v>37.3834944127812</v>
      </c>
      <c r="I783" s="7" t="s">
        <v>24</v>
      </c>
      <c r="J783" s="27" t="s">
        <v>303</v>
      </c>
      <c r="K783" s="27" t="s">
        <v>577</v>
      </c>
      <c r="L783" s="27" t="n">
        <v>91</v>
      </c>
      <c r="M783" s="27" t="s">
        <v>248</v>
      </c>
      <c r="N783" s="27" t="s">
        <v>2640</v>
      </c>
      <c r="O783" s="27" t="s">
        <v>249</v>
      </c>
      <c r="P783" s="27" t="s">
        <v>54</v>
      </c>
      <c r="Q783" s="27" t="n">
        <v>0</v>
      </c>
      <c r="R783" s="27"/>
      <c r="S783" s="27" t="s">
        <v>41</v>
      </c>
      <c r="T783" s="27" t="s">
        <v>42</v>
      </c>
      <c r="U783" s="27" t="s">
        <v>44</v>
      </c>
      <c r="V783" s="27" t="s">
        <v>248</v>
      </c>
      <c r="W783" s="27"/>
      <c r="X783" s="27"/>
      <c r="Y783" s="27" t="s">
        <v>3329</v>
      </c>
      <c r="Z783" s="27" t="n">
        <v>-7.2219195</v>
      </c>
      <c r="AA783" s="27" t="n">
        <v>-48.2368655</v>
      </c>
      <c r="AB783" s="37" t="s">
        <v>2338</v>
      </c>
      <c r="AC783" s="27" t="s">
        <v>3330</v>
      </c>
    </row>
    <row r="784" customFormat="false" ht="15" hidden="false" customHeight="false" outlineLevel="0" collapsed="false">
      <c r="A784" s="27" t="n">
        <v>783</v>
      </c>
      <c r="B784" s="27" t="s">
        <v>2217</v>
      </c>
      <c r="C784" s="27" t="s">
        <v>3332</v>
      </c>
      <c r="D784" s="27" t="s">
        <v>2216</v>
      </c>
      <c r="E784" s="27" t="s">
        <v>2218</v>
      </c>
      <c r="F784" s="32" t="n">
        <v>113.736167853684</v>
      </c>
      <c r="G784" s="28" t="n">
        <v>4614.41574478105</v>
      </c>
      <c r="H784" s="28" t="n">
        <v>151.119662266466</v>
      </c>
      <c r="I784" s="7" t="s">
        <v>24</v>
      </c>
      <c r="J784" s="27" t="s">
        <v>303</v>
      </c>
      <c r="K784" s="27" t="s">
        <v>577</v>
      </c>
      <c r="L784" s="27" t="n">
        <v>91</v>
      </c>
      <c r="M784" s="27" t="s">
        <v>248</v>
      </c>
      <c r="N784" s="27" t="s">
        <v>2640</v>
      </c>
      <c r="O784" s="27" t="s">
        <v>249</v>
      </c>
      <c r="P784" s="27" t="s">
        <v>54</v>
      </c>
      <c r="Q784" s="27" t="n">
        <v>0</v>
      </c>
      <c r="R784" s="27"/>
      <c r="S784" s="27" t="s">
        <v>41</v>
      </c>
      <c r="T784" s="27" t="s">
        <v>42</v>
      </c>
      <c r="U784" s="27" t="s">
        <v>44</v>
      </c>
      <c r="V784" s="27" t="s">
        <v>248</v>
      </c>
      <c r="W784" s="27"/>
      <c r="X784" s="27"/>
      <c r="Y784" s="27" t="s">
        <v>3329</v>
      </c>
      <c r="Z784" s="27" t="n">
        <v>-7.2224275</v>
      </c>
      <c r="AA784" s="27" t="n">
        <v>-48.2367185</v>
      </c>
      <c r="AB784" s="37" t="s">
        <v>2338</v>
      </c>
      <c r="AC784" s="27" t="s">
        <v>3330</v>
      </c>
    </row>
    <row r="785" customFormat="false" ht="15" hidden="false" customHeight="false" outlineLevel="0" collapsed="false">
      <c r="A785" s="27" t="n">
        <v>784</v>
      </c>
      <c r="B785" s="27" t="s">
        <v>2219</v>
      </c>
      <c r="C785" s="27" t="s">
        <v>3333</v>
      </c>
      <c r="D785" s="27" t="s">
        <v>2218</v>
      </c>
      <c r="E785" s="27" t="s">
        <v>2220</v>
      </c>
      <c r="F785" s="32" t="n">
        <v>85.2375939281319</v>
      </c>
      <c r="G785" s="28" t="n">
        <v>4699.65333870918</v>
      </c>
      <c r="H785" s="28" t="n">
        <v>236.357256194598</v>
      </c>
      <c r="I785" s="7" t="s">
        <v>24</v>
      </c>
      <c r="J785" s="27" t="s">
        <v>303</v>
      </c>
      <c r="K785" s="27" t="s">
        <v>577</v>
      </c>
      <c r="L785" s="27" t="n">
        <v>91</v>
      </c>
      <c r="M785" s="27" t="s">
        <v>248</v>
      </c>
      <c r="N785" s="27" t="s">
        <v>2640</v>
      </c>
      <c r="O785" s="27" t="s">
        <v>249</v>
      </c>
      <c r="P785" s="27" t="s">
        <v>54</v>
      </c>
      <c r="Q785" s="27" t="n">
        <v>0</v>
      </c>
      <c r="R785" s="27"/>
      <c r="S785" s="27" t="s">
        <v>41</v>
      </c>
      <c r="T785" s="27" t="s">
        <v>42</v>
      </c>
      <c r="U785" s="27" t="s">
        <v>44</v>
      </c>
      <c r="V785" s="27" t="s">
        <v>248</v>
      </c>
      <c r="W785" s="27"/>
      <c r="X785" s="27"/>
      <c r="Y785" s="27" t="s">
        <v>3329</v>
      </c>
      <c r="Z785" s="27" t="n">
        <v>-7.223287</v>
      </c>
      <c r="AA785" s="27" t="n">
        <v>-48.236468</v>
      </c>
      <c r="AB785" s="37" t="s">
        <v>2338</v>
      </c>
      <c r="AC785" s="27" t="s">
        <v>3330</v>
      </c>
    </row>
    <row r="786" customFormat="false" ht="15" hidden="false" customHeight="false" outlineLevel="0" collapsed="false">
      <c r="A786" s="27" t="n">
        <v>785</v>
      </c>
      <c r="B786" s="27" t="s">
        <v>2221</v>
      </c>
      <c r="C786" s="27" t="s">
        <v>3334</v>
      </c>
      <c r="D786" s="27" t="s">
        <v>2220</v>
      </c>
      <c r="E786" s="27" t="s">
        <v>2222</v>
      </c>
      <c r="F786" s="32" t="n">
        <v>12.67704236029</v>
      </c>
      <c r="G786" s="28" t="n">
        <v>4712.33038106947</v>
      </c>
      <c r="H786" s="28" t="n">
        <v>249.034298554888</v>
      </c>
      <c r="I786" s="7" t="s">
        <v>24</v>
      </c>
      <c r="J786" s="27" t="s">
        <v>303</v>
      </c>
      <c r="K786" s="27" t="s">
        <v>577</v>
      </c>
      <c r="L786" s="27" t="n">
        <v>91</v>
      </c>
      <c r="M786" s="27" t="s">
        <v>248</v>
      </c>
      <c r="N786" s="27" t="s">
        <v>2640</v>
      </c>
      <c r="O786" s="27" t="s">
        <v>249</v>
      </c>
      <c r="P786" s="27" t="s">
        <v>54</v>
      </c>
      <c r="Q786" s="27" t="n">
        <v>0</v>
      </c>
      <c r="R786" s="27"/>
      <c r="S786" s="27" t="s">
        <v>41</v>
      </c>
      <c r="T786" s="27" t="s">
        <v>42</v>
      </c>
      <c r="U786" s="27" t="s">
        <v>44</v>
      </c>
      <c r="V786" s="27" t="s">
        <v>248</v>
      </c>
      <c r="W786" s="27"/>
      <c r="X786" s="27"/>
      <c r="Y786" s="27" t="s">
        <v>3329</v>
      </c>
      <c r="Z786" s="27" t="n">
        <v>-7.2236715</v>
      </c>
      <c r="AA786" s="27" t="n">
        <v>-48.236415</v>
      </c>
      <c r="AB786" s="37" t="s">
        <v>2338</v>
      </c>
      <c r="AC786" s="27" t="s">
        <v>3330</v>
      </c>
    </row>
    <row r="787" customFormat="false" ht="15" hidden="false" customHeight="false" outlineLevel="0" collapsed="false">
      <c r="A787" s="27" t="n">
        <v>786</v>
      </c>
      <c r="B787" s="27" t="s">
        <v>2223</v>
      </c>
      <c r="C787" s="27" t="s">
        <v>3335</v>
      </c>
      <c r="D787" s="27" t="s">
        <v>2220</v>
      </c>
      <c r="E787" s="27" t="s">
        <v>2224</v>
      </c>
      <c r="F787" s="32" t="n">
        <v>315.636106619759</v>
      </c>
      <c r="G787" s="28" t="n">
        <v>5015.28944532894</v>
      </c>
      <c r="H787" s="28" t="n">
        <v>551.993362814356</v>
      </c>
      <c r="I787" s="7" t="s">
        <v>24</v>
      </c>
      <c r="J787" s="27" t="s">
        <v>303</v>
      </c>
      <c r="K787" s="27" t="s">
        <v>577</v>
      </c>
      <c r="L787" s="27" t="n">
        <v>91</v>
      </c>
      <c r="M787" s="27" t="s">
        <v>248</v>
      </c>
      <c r="N787" s="27" t="s">
        <v>2640</v>
      </c>
      <c r="O787" s="27" t="s">
        <v>249</v>
      </c>
      <c r="P787" s="27" t="s">
        <v>54</v>
      </c>
      <c r="Q787" s="27" t="n">
        <v>0</v>
      </c>
      <c r="R787" s="27"/>
      <c r="S787" s="27" t="s">
        <v>41</v>
      </c>
      <c r="T787" s="27" t="s">
        <v>42</v>
      </c>
      <c r="U787" s="27" t="s">
        <v>44</v>
      </c>
      <c r="V787" s="27" t="s">
        <v>248</v>
      </c>
      <c r="W787" s="27"/>
      <c r="X787" s="27"/>
      <c r="Y787" s="27" t="s">
        <v>3329</v>
      </c>
      <c r="Z787" s="27" t="n">
        <v>-7.2232445</v>
      </c>
      <c r="AA787" s="27" t="n">
        <v>-48.2349905</v>
      </c>
      <c r="AB787" s="37" t="s">
        <v>2338</v>
      </c>
      <c r="AC787" s="27" t="s">
        <v>3330</v>
      </c>
    </row>
    <row r="788" customFormat="false" ht="15" hidden="false" customHeight="false" outlineLevel="0" collapsed="false">
      <c r="A788" s="27" t="n">
        <v>787</v>
      </c>
      <c r="B788" s="27" t="s">
        <v>2225</v>
      </c>
      <c r="C788" s="27" t="s">
        <v>3336</v>
      </c>
      <c r="D788" s="27" t="s">
        <v>2220</v>
      </c>
      <c r="E788" s="27" t="s">
        <v>2226</v>
      </c>
      <c r="F788" s="32" t="n">
        <v>22.6229541022549</v>
      </c>
      <c r="G788" s="28" t="n">
        <v>4722.27629281143</v>
      </c>
      <c r="H788" s="28" t="n">
        <v>258.980210296852</v>
      </c>
      <c r="I788" s="7" t="s">
        <v>24</v>
      </c>
      <c r="J788" s="27" t="s">
        <v>303</v>
      </c>
      <c r="K788" s="27" t="s">
        <v>577</v>
      </c>
      <c r="L788" s="27" t="n">
        <v>91</v>
      </c>
      <c r="M788" s="27" t="s">
        <v>248</v>
      </c>
      <c r="N788" s="27" t="s">
        <v>2640</v>
      </c>
      <c r="O788" s="27" t="s">
        <v>249</v>
      </c>
      <c r="P788" s="27" t="s">
        <v>54</v>
      </c>
      <c r="Q788" s="27" t="n">
        <v>0</v>
      </c>
      <c r="R788" s="27"/>
      <c r="S788" s="27" t="s">
        <v>41</v>
      </c>
      <c r="T788" s="27" t="s">
        <v>42</v>
      </c>
      <c r="U788" s="27" t="s">
        <v>44</v>
      </c>
      <c r="V788" s="27" t="s">
        <v>248</v>
      </c>
      <c r="W788" s="27"/>
      <c r="X788" s="27"/>
      <c r="Y788" s="27" t="s">
        <v>3329</v>
      </c>
      <c r="Z788" s="27" t="n">
        <v>-7.223753</v>
      </c>
      <c r="AA788" s="27" t="n">
        <v>-48.2363325</v>
      </c>
      <c r="AB788" s="37" t="s">
        <v>2338</v>
      </c>
      <c r="AC788" s="27" t="s">
        <v>3330</v>
      </c>
    </row>
    <row r="789" customFormat="false" ht="15" hidden="false" customHeight="false" outlineLevel="0" collapsed="false">
      <c r="A789" s="27" t="n">
        <v>788</v>
      </c>
      <c r="B789" s="27" t="s">
        <v>2227</v>
      </c>
      <c r="C789" s="27" t="s">
        <v>3337</v>
      </c>
      <c r="D789" s="27" t="s">
        <v>967</v>
      </c>
      <c r="E789" s="27" t="s">
        <v>2228</v>
      </c>
      <c r="F789" s="32" t="n">
        <v>5.16481701504008</v>
      </c>
      <c r="G789" s="28" t="n">
        <v>5030.25127034419</v>
      </c>
      <c r="H789" s="28" t="n">
        <v>5.16481701504017</v>
      </c>
      <c r="I789" s="7" t="s">
        <v>24</v>
      </c>
      <c r="J789" s="27" t="s">
        <v>303</v>
      </c>
      <c r="K789" s="27" t="s">
        <v>581</v>
      </c>
      <c r="L789" s="27" t="n">
        <v>92</v>
      </c>
      <c r="M789" s="27" t="s">
        <v>251</v>
      </c>
      <c r="N789" s="27" t="s">
        <v>2635</v>
      </c>
      <c r="O789" s="27" t="s">
        <v>252</v>
      </c>
      <c r="P789" s="27" t="s">
        <v>54</v>
      </c>
      <c r="Q789" s="27" t="n">
        <v>0</v>
      </c>
      <c r="R789" s="27"/>
      <c r="S789" s="27" t="s">
        <v>41</v>
      </c>
      <c r="T789" s="27" t="s">
        <v>42</v>
      </c>
      <c r="U789" s="27" t="s">
        <v>44</v>
      </c>
      <c r="V789" s="27" t="s">
        <v>251</v>
      </c>
      <c r="W789" s="27"/>
      <c r="X789" s="27"/>
      <c r="Y789" s="27" t="s">
        <v>3338</v>
      </c>
      <c r="Z789" s="27" t="n">
        <v>-7.220052</v>
      </c>
      <c r="AA789" s="27" t="n">
        <v>-48.2319995</v>
      </c>
      <c r="AB789" s="37" t="s">
        <v>2338</v>
      </c>
      <c r="AC789" s="27" t="s">
        <v>3339</v>
      </c>
    </row>
    <row r="790" customFormat="false" ht="15" hidden="false" customHeight="false" outlineLevel="0" collapsed="false">
      <c r="A790" s="27" t="n">
        <v>789</v>
      </c>
      <c r="B790" s="27" t="s">
        <v>2229</v>
      </c>
      <c r="C790" s="27" t="s">
        <v>3340</v>
      </c>
      <c r="D790" s="27" t="s">
        <v>2228</v>
      </c>
      <c r="E790" s="27" t="s">
        <v>2230</v>
      </c>
      <c r="F790" s="32" t="n">
        <v>18.4628700198665</v>
      </c>
      <c r="G790" s="28" t="n">
        <v>5048.71414036406</v>
      </c>
      <c r="H790" s="28" t="n">
        <v>23.6276870349066</v>
      </c>
      <c r="I790" s="7" t="s">
        <v>24</v>
      </c>
      <c r="J790" s="27" t="s">
        <v>303</v>
      </c>
      <c r="K790" s="27" t="s">
        <v>581</v>
      </c>
      <c r="L790" s="27" t="n">
        <v>92</v>
      </c>
      <c r="M790" s="27" t="s">
        <v>251</v>
      </c>
      <c r="N790" s="27" t="s">
        <v>2635</v>
      </c>
      <c r="O790" s="27" t="s">
        <v>252</v>
      </c>
      <c r="P790" s="27" t="s">
        <v>54</v>
      </c>
      <c r="Q790" s="27" t="n">
        <v>0</v>
      </c>
      <c r="R790" s="27"/>
      <c r="S790" s="27" t="s">
        <v>41</v>
      </c>
      <c r="T790" s="27" t="s">
        <v>42</v>
      </c>
      <c r="U790" s="27" t="s">
        <v>44</v>
      </c>
      <c r="V790" s="27" t="s">
        <v>251</v>
      </c>
      <c r="W790" s="27"/>
      <c r="X790" s="27"/>
      <c r="Y790" s="27" t="s">
        <v>3338</v>
      </c>
      <c r="Z790" s="27" t="n">
        <v>-7.2200795</v>
      </c>
      <c r="AA790" s="27" t="n">
        <v>-48.2319085</v>
      </c>
      <c r="AB790" s="37" t="s">
        <v>2338</v>
      </c>
      <c r="AC790" s="27" t="s">
        <v>3339</v>
      </c>
    </row>
    <row r="791" customFormat="false" ht="15" hidden="false" customHeight="false" outlineLevel="0" collapsed="false">
      <c r="A791" s="27" t="n">
        <v>790</v>
      </c>
      <c r="B791" s="27" t="s">
        <v>2231</v>
      </c>
      <c r="C791" s="27" t="s">
        <v>3341</v>
      </c>
      <c r="D791" s="27" t="s">
        <v>835</v>
      </c>
      <c r="E791" s="27" t="s">
        <v>2232</v>
      </c>
      <c r="F791" s="32" t="n">
        <v>7.35956298568549</v>
      </c>
      <c r="G791" s="28" t="n">
        <v>5089.70622827463</v>
      </c>
      <c r="H791" s="28" t="n">
        <v>2003.70237183835</v>
      </c>
      <c r="I791" s="6" t="s">
        <v>23</v>
      </c>
      <c r="J791" s="27" t="s">
        <v>303</v>
      </c>
      <c r="K791" s="27" t="s">
        <v>582</v>
      </c>
      <c r="L791" s="27" t="n">
        <v>93</v>
      </c>
      <c r="M791" s="27" t="s">
        <v>44</v>
      </c>
      <c r="N791" s="27" t="s">
        <v>2385</v>
      </c>
      <c r="O791" s="27" t="s">
        <v>255</v>
      </c>
      <c r="P791" s="27" t="s">
        <v>54</v>
      </c>
      <c r="Q791" s="27" t="n">
        <v>0</v>
      </c>
      <c r="R791" s="27"/>
      <c r="S791" s="27" t="s">
        <v>41</v>
      </c>
      <c r="T791" s="27" t="s">
        <v>42</v>
      </c>
      <c r="U791" s="27" t="s">
        <v>44</v>
      </c>
      <c r="V791" s="27"/>
      <c r="W791" s="27"/>
      <c r="X791" s="27"/>
      <c r="Y791" s="27" t="s">
        <v>2426</v>
      </c>
      <c r="Z791" s="27" t="n">
        <v>-7.219852</v>
      </c>
      <c r="AA791" s="27" t="n">
        <v>-48.2315045</v>
      </c>
      <c r="AB791" s="37" t="s">
        <v>2338</v>
      </c>
      <c r="AC791" s="27" t="s">
        <v>2427</v>
      </c>
    </row>
    <row r="792" customFormat="false" ht="15" hidden="false" customHeight="false" outlineLevel="0" collapsed="false">
      <c r="A792" s="27" t="n">
        <v>791</v>
      </c>
      <c r="B792" s="27" t="s">
        <v>2233</v>
      </c>
      <c r="C792" s="27" t="s">
        <v>3342</v>
      </c>
      <c r="D792" s="27" t="s">
        <v>835</v>
      </c>
      <c r="E792" s="27" t="s">
        <v>2234</v>
      </c>
      <c r="F792" s="32" t="n">
        <v>10.4413379869416</v>
      </c>
      <c r="G792" s="28" t="n">
        <v>5092.78800327588</v>
      </c>
      <c r="H792" s="28" t="n">
        <v>2006.78414683961</v>
      </c>
      <c r="I792" s="6" t="s">
        <v>23</v>
      </c>
      <c r="J792" s="27" t="s">
        <v>303</v>
      </c>
      <c r="K792" s="27" t="s">
        <v>582</v>
      </c>
      <c r="L792" s="27" t="n">
        <v>93</v>
      </c>
      <c r="M792" s="27" t="s">
        <v>44</v>
      </c>
      <c r="N792" s="27" t="s">
        <v>2385</v>
      </c>
      <c r="O792" s="27" t="s">
        <v>255</v>
      </c>
      <c r="P792" s="27" t="s">
        <v>54</v>
      </c>
      <c r="Q792" s="27" t="n">
        <v>0</v>
      </c>
      <c r="R792" s="27"/>
      <c r="S792" s="27" t="s">
        <v>41</v>
      </c>
      <c r="T792" s="27" t="s">
        <v>42</v>
      </c>
      <c r="U792" s="27" t="s">
        <v>44</v>
      </c>
      <c r="V792" s="27"/>
      <c r="W792" s="27"/>
      <c r="X792" s="27"/>
      <c r="Y792" s="27" t="s">
        <v>2426</v>
      </c>
      <c r="Z792" s="27" t="n">
        <v>-7.2198795</v>
      </c>
      <c r="AA792" s="27" t="n">
        <v>-48.231455</v>
      </c>
      <c r="AB792" s="37" t="s">
        <v>2338</v>
      </c>
      <c r="AC792" s="27" t="s">
        <v>2427</v>
      </c>
    </row>
    <row r="793" customFormat="false" ht="15" hidden="false" customHeight="false" outlineLevel="0" collapsed="false">
      <c r="A793" s="27" t="n">
        <v>792</v>
      </c>
      <c r="B793" s="27" t="s">
        <v>2235</v>
      </c>
      <c r="C793" s="27" t="s">
        <v>3343</v>
      </c>
      <c r="D793" s="27" t="s">
        <v>837</v>
      </c>
      <c r="E793" s="27" t="s">
        <v>2236</v>
      </c>
      <c r="F793" s="32" t="n">
        <v>11.6476956900128</v>
      </c>
      <c r="G793" s="28" t="n">
        <v>5198.35388703928</v>
      </c>
      <c r="H793" s="28" t="n">
        <v>2112.35003060301</v>
      </c>
      <c r="I793" s="6" t="s">
        <v>23</v>
      </c>
      <c r="J793" s="27" t="s">
        <v>303</v>
      </c>
      <c r="K793" s="27" t="s">
        <v>585</v>
      </c>
      <c r="L793" s="27" t="n">
        <v>94</v>
      </c>
      <c r="M793" s="27" t="s">
        <v>44</v>
      </c>
      <c r="N793" s="27" t="s">
        <v>2385</v>
      </c>
      <c r="O793" s="27" t="s">
        <v>258</v>
      </c>
      <c r="P793" s="27" t="s">
        <v>54</v>
      </c>
      <c r="Q793" s="27" t="n">
        <v>0</v>
      </c>
      <c r="R793" s="27"/>
      <c r="S793" s="27" t="s">
        <v>41</v>
      </c>
      <c r="T793" s="27" t="s">
        <v>42</v>
      </c>
      <c r="U793" s="27" t="s">
        <v>44</v>
      </c>
      <c r="V793" s="27"/>
      <c r="W793" s="27"/>
      <c r="X793" s="27"/>
      <c r="Y793" s="27" t="s">
        <v>2426</v>
      </c>
      <c r="Z793" s="27" t="n">
        <v>-7.2208335</v>
      </c>
      <c r="AA793" s="27" t="n">
        <v>-48.231213</v>
      </c>
      <c r="AB793" s="37" t="s">
        <v>2338</v>
      </c>
      <c r="AC793" s="27" t="s">
        <v>2427</v>
      </c>
    </row>
    <row r="794" customFormat="false" ht="15" hidden="false" customHeight="false" outlineLevel="0" collapsed="false">
      <c r="A794" s="27" t="n">
        <v>793</v>
      </c>
      <c r="B794" s="27" t="s">
        <v>2237</v>
      </c>
      <c r="C794" s="27" t="s">
        <v>3344</v>
      </c>
      <c r="D794" s="27" t="s">
        <v>837</v>
      </c>
      <c r="E794" s="27" t="s">
        <v>2238</v>
      </c>
      <c r="F794" s="32" t="n">
        <v>6.50942026737503</v>
      </c>
      <c r="G794" s="28" t="n">
        <v>5193.21561161665</v>
      </c>
      <c r="H794" s="28" t="n">
        <v>2107.21175518037</v>
      </c>
      <c r="I794" s="6" t="s">
        <v>23</v>
      </c>
      <c r="J794" s="27" t="s">
        <v>303</v>
      </c>
      <c r="K794" s="27" t="s">
        <v>585</v>
      </c>
      <c r="L794" s="27" t="n">
        <v>94</v>
      </c>
      <c r="M794" s="27" t="s">
        <v>44</v>
      </c>
      <c r="N794" s="27" t="s">
        <v>2385</v>
      </c>
      <c r="O794" s="27" t="s">
        <v>258</v>
      </c>
      <c r="P794" s="27" t="s">
        <v>54</v>
      </c>
      <c r="Q794" s="27" t="n">
        <v>0</v>
      </c>
      <c r="R794" s="27"/>
      <c r="S794" s="27" t="s">
        <v>41</v>
      </c>
      <c r="T794" s="27" t="s">
        <v>42</v>
      </c>
      <c r="U794" s="27" t="s">
        <v>44</v>
      </c>
      <c r="V794" s="27"/>
      <c r="W794" s="27"/>
      <c r="X794" s="27"/>
      <c r="Y794" s="27" t="s">
        <v>2426</v>
      </c>
      <c r="Z794" s="27" t="n">
        <v>-7.2207835</v>
      </c>
      <c r="AA794" s="27" t="n">
        <v>-48.2312565</v>
      </c>
      <c r="AB794" s="37" t="s">
        <v>2338</v>
      </c>
      <c r="AC794" s="27" t="s">
        <v>2427</v>
      </c>
    </row>
    <row r="795" customFormat="false" ht="15" hidden="false" customHeight="false" outlineLevel="0" collapsed="false">
      <c r="A795" s="27" t="n">
        <v>794</v>
      </c>
      <c r="B795" s="27" t="s">
        <v>2239</v>
      </c>
      <c r="C795" s="27" t="s">
        <v>3345</v>
      </c>
      <c r="D795" s="27" t="s">
        <v>2238</v>
      </c>
      <c r="E795" s="27" t="s">
        <v>2240</v>
      </c>
      <c r="F795" s="32" t="n">
        <v>2.90531827412032</v>
      </c>
      <c r="G795" s="28" t="n">
        <v>5196.12092989077</v>
      </c>
      <c r="H795" s="28" t="n">
        <v>2110.11707345449</v>
      </c>
      <c r="I795" s="6" t="s">
        <v>23</v>
      </c>
      <c r="J795" s="27" t="s">
        <v>303</v>
      </c>
      <c r="K795" s="27" t="s">
        <v>585</v>
      </c>
      <c r="L795" s="27" t="n">
        <v>94</v>
      </c>
      <c r="M795" s="27" t="s">
        <v>44</v>
      </c>
      <c r="N795" s="27" t="s">
        <v>2385</v>
      </c>
      <c r="O795" s="27" t="s">
        <v>258</v>
      </c>
      <c r="P795" s="27" t="s">
        <v>54</v>
      </c>
      <c r="Q795" s="27" t="n">
        <v>0</v>
      </c>
      <c r="R795" s="27"/>
      <c r="S795" s="27" t="s">
        <v>41</v>
      </c>
      <c r="T795" s="27" t="s">
        <v>42</v>
      </c>
      <c r="U795" s="27" t="s">
        <v>44</v>
      </c>
      <c r="V795" s="27"/>
      <c r="W795" s="27"/>
      <c r="X795" s="27"/>
      <c r="Y795" s="27" t="s">
        <v>2426</v>
      </c>
      <c r="Z795" s="27" t="n">
        <v>-7.2207925</v>
      </c>
      <c r="AA795" s="27" t="n">
        <v>-48.231296</v>
      </c>
      <c r="AB795" s="37" t="s">
        <v>2338</v>
      </c>
      <c r="AC795" s="27" t="s">
        <v>2427</v>
      </c>
    </row>
    <row r="796" customFormat="false" ht="15" hidden="false" customHeight="false" outlineLevel="0" collapsed="false">
      <c r="A796" s="27" t="n">
        <v>795</v>
      </c>
      <c r="B796" s="27" t="s">
        <v>2241</v>
      </c>
      <c r="C796" s="27" t="s">
        <v>3346</v>
      </c>
      <c r="D796" s="27" t="s">
        <v>2240</v>
      </c>
      <c r="E796" s="27" t="s">
        <v>2242</v>
      </c>
      <c r="F796" s="32" t="n">
        <v>233.050412818081</v>
      </c>
      <c r="G796" s="28" t="n">
        <v>5429.17134270885</v>
      </c>
      <c r="H796" s="28" t="n">
        <v>2343.16748627257</v>
      </c>
      <c r="I796" s="6" t="s">
        <v>23</v>
      </c>
      <c r="J796" s="27" t="s">
        <v>303</v>
      </c>
      <c r="K796" s="27" t="s">
        <v>585</v>
      </c>
      <c r="L796" s="27" t="n">
        <v>94</v>
      </c>
      <c r="M796" s="27" t="s">
        <v>44</v>
      </c>
      <c r="N796" s="27" t="s">
        <v>2385</v>
      </c>
      <c r="O796" s="27" t="s">
        <v>258</v>
      </c>
      <c r="P796" s="27" t="s">
        <v>54</v>
      </c>
      <c r="Q796" s="27" t="n">
        <v>0</v>
      </c>
      <c r="R796" s="27"/>
      <c r="S796" s="27" t="s">
        <v>41</v>
      </c>
      <c r="T796" s="27" t="s">
        <v>42</v>
      </c>
      <c r="U796" s="27" t="s">
        <v>44</v>
      </c>
      <c r="V796" s="27"/>
      <c r="W796" s="27"/>
      <c r="X796" s="27"/>
      <c r="Y796" s="27" t="s">
        <v>2426</v>
      </c>
      <c r="Z796" s="27" t="n">
        <v>-7.221103</v>
      </c>
      <c r="AA796" s="27" t="n">
        <v>-48.2323175</v>
      </c>
      <c r="AB796" s="37" t="s">
        <v>2338</v>
      </c>
      <c r="AC796" s="27" t="s">
        <v>2427</v>
      </c>
    </row>
    <row r="797" customFormat="false" ht="15" hidden="false" customHeight="false" outlineLevel="0" collapsed="false">
      <c r="A797" s="27" t="n">
        <v>796</v>
      </c>
      <c r="B797" s="27" t="s">
        <v>2243</v>
      </c>
      <c r="C797" s="27" t="s">
        <v>3347</v>
      </c>
      <c r="D797" s="27" t="s">
        <v>2242</v>
      </c>
      <c r="E797" s="27" t="s">
        <v>2244</v>
      </c>
      <c r="F797" s="32" t="n">
        <v>3.03633625658882</v>
      </c>
      <c r="G797" s="28" t="n">
        <v>5432.20767896544</v>
      </c>
      <c r="H797" s="28" t="n">
        <v>2346.20382252916</v>
      </c>
      <c r="I797" s="6" t="s">
        <v>23</v>
      </c>
      <c r="J797" s="27" t="s">
        <v>303</v>
      </c>
      <c r="K797" s="27" t="s">
        <v>585</v>
      </c>
      <c r="L797" s="27" t="n">
        <v>94</v>
      </c>
      <c r="M797" s="27" t="s">
        <v>44</v>
      </c>
      <c r="N797" s="27" t="s">
        <v>2385</v>
      </c>
      <c r="O797" s="27" t="s">
        <v>258</v>
      </c>
      <c r="P797" s="27" t="s">
        <v>54</v>
      </c>
      <c r="Q797" s="27" t="n">
        <v>0</v>
      </c>
      <c r="R797" s="27"/>
      <c r="S797" s="27" t="s">
        <v>41</v>
      </c>
      <c r="T797" s="27" t="s">
        <v>42</v>
      </c>
      <c r="U797" s="27" t="s">
        <v>44</v>
      </c>
      <c r="V797" s="27"/>
      <c r="W797" s="27"/>
      <c r="X797" s="27"/>
      <c r="Y797" s="27" t="s">
        <v>2426</v>
      </c>
      <c r="Z797" s="27" t="n">
        <v>-7.2214125</v>
      </c>
      <c r="AA797" s="27" t="n">
        <v>-48.2333405</v>
      </c>
      <c r="AB797" s="37" t="s">
        <v>2338</v>
      </c>
      <c r="AC797" s="27" t="s">
        <v>2427</v>
      </c>
    </row>
    <row r="798" customFormat="false" ht="15" hidden="false" customHeight="false" outlineLevel="0" collapsed="false">
      <c r="A798" s="27" t="n">
        <v>797</v>
      </c>
      <c r="B798" s="27" t="s">
        <v>2245</v>
      </c>
      <c r="C798" s="27" t="s">
        <v>3348</v>
      </c>
      <c r="D798" s="27" t="s">
        <v>2244</v>
      </c>
      <c r="E798" s="27" t="s">
        <v>2246</v>
      </c>
      <c r="F798" s="32" t="n">
        <v>372.025411368763</v>
      </c>
      <c r="G798" s="28" t="n">
        <v>5804.2330903342</v>
      </c>
      <c r="H798" s="28" t="n">
        <v>2718.22923389792</v>
      </c>
      <c r="I798" s="6" t="s">
        <v>23</v>
      </c>
      <c r="J798" s="27" t="s">
        <v>303</v>
      </c>
      <c r="K798" s="27" t="s">
        <v>585</v>
      </c>
      <c r="L798" s="27" t="n">
        <v>94</v>
      </c>
      <c r="M798" s="27" t="s">
        <v>44</v>
      </c>
      <c r="N798" s="27" t="s">
        <v>2385</v>
      </c>
      <c r="O798" s="27" t="s">
        <v>258</v>
      </c>
      <c r="P798" s="27" t="s">
        <v>54</v>
      </c>
      <c r="Q798" s="27" t="n">
        <v>0</v>
      </c>
      <c r="R798" s="27"/>
      <c r="S798" s="27" t="s">
        <v>41</v>
      </c>
      <c r="T798" s="27" t="s">
        <v>42</v>
      </c>
      <c r="U798" s="27" t="s">
        <v>44</v>
      </c>
      <c r="V798" s="27"/>
      <c r="W798" s="27"/>
      <c r="X798" s="27"/>
      <c r="Y798" s="27" t="s">
        <v>2426</v>
      </c>
      <c r="Z798" s="27" t="n">
        <v>-7.221906</v>
      </c>
      <c r="AA798" s="27" t="n">
        <v>-48.2349655</v>
      </c>
      <c r="AB798" s="37" t="s">
        <v>2338</v>
      </c>
      <c r="AC798" s="27" t="s">
        <v>2427</v>
      </c>
    </row>
    <row r="799" customFormat="false" ht="15" hidden="false" customHeight="false" outlineLevel="0" collapsed="false">
      <c r="A799" s="27" t="n">
        <v>798</v>
      </c>
      <c r="B799" s="27" t="s">
        <v>2247</v>
      </c>
      <c r="C799" s="27" t="s">
        <v>3349</v>
      </c>
      <c r="D799" s="27" t="s">
        <v>2246</v>
      </c>
      <c r="E799" s="27" t="s">
        <v>2248</v>
      </c>
      <c r="F799" s="32" t="n">
        <v>2.89773507313259</v>
      </c>
      <c r="G799" s="28" t="n">
        <v>5807.13082540733</v>
      </c>
      <c r="H799" s="28" t="n">
        <v>2721.12696897105</v>
      </c>
      <c r="I799" s="6" t="s">
        <v>23</v>
      </c>
      <c r="J799" s="27" t="s">
        <v>303</v>
      </c>
      <c r="K799" s="27" t="s">
        <v>585</v>
      </c>
      <c r="L799" s="27" t="n">
        <v>94</v>
      </c>
      <c r="M799" s="27" t="s">
        <v>44</v>
      </c>
      <c r="N799" s="27" t="s">
        <v>2385</v>
      </c>
      <c r="O799" s="27" t="s">
        <v>258</v>
      </c>
      <c r="P799" s="27" t="s">
        <v>54</v>
      </c>
      <c r="Q799" s="27" t="n">
        <v>0</v>
      </c>
      <c r="R799" s="27"/>
      <c r="S799" s="27" t="s">
        <v>41</v>
      </c>
      <c r="T799" s="27" t="s">
        <v>42</v>
      </c>
      <c r="U799" s="27" t="s">
        <v>44</v>
      </c>
      <c r="V799" s="27"/>
      <c r="W799" s="27"/>
      <c r="X799" s="27"/>
      <c r="Y799" s="27" t="s">
        <v>2426</v>
      </c>
      <c r="Z799" s="27" t="n">
        <v>-7.222396</v>
      </c>
      <c r="AA799" s="27" t="n">
        <v>-48.2365915</v>
      </c>
      <c r="AB799" s="37" t="s">
        <v>2338</v>
      </c>
      <c r="AC799" s="27" t="s">
        <v>2427</v>
      </c>
    </row>
    <row r="800" customFormat="false" ht="15" hidden="false" customHeight="false" outlineLevel="0" collapsed="false">
      <c r="A800" s="27" t="n">
        <v>799</v>
      </c>
      <c r="B800" s="27" t="s">
        <v>2249</v>
      </c>
      <c r="C800" s="27" t="s">
        <v>3350</v>
      </c>
      <c r="D800" s="27" t="s">
        <v>2248</v>
      </c>
      <c r="E800" s="27" t="s">
        <v>2250</v>
      </c>
      <c r="F800" s="32" t="n">
        <v>194.611041307739</v>
      </c>
      <c r="G800" s="28" t="n">
        <v>6001.74186671507</v>
      </c>
      <c r="H800" s="28" t="n">
        <v>2915.73801027879</v>
      </c>
      <c r="I800" s="6" t="s">
        <v>23</v>
      </c>
      <c r="J800" s="27" t="s">
        <v>303</v>
      </c>
      <c r="K800" s="27" t="s">
        <v>585</v>
      </c>
      <c r="L800" s="27" t="n">
        <v>94</v>
      </c>
      <c r="M800" s="27" t="s">
        <v>44</v>
      </c>
      <c r="N800" s="27" t="s">
        <v>2385</v>
      </c>
      <c r="O800" s="27" t="s">
        <v>258</v>
      </c>
      <c r="P800" s="27" t="s">
        <v>54</v>
      </c>
      <c r="Q800" s="27" t="n">
        <v>0</v>
      </c>
      <c r="R800" s="27"/>
      <c r="S800" s="27" t="s">
        <v>41</v>
      </c>
      <c r="T800" s="27" t="s">
        <v>42</v>
      </c>
      <c r="U800" s="27" t="s">
        <v>44</v>
      </c>
      <c r="V800" s="27"/>
      <c r="W800" s="27"/>
      <c r="X800" s="27"/>
      <c r="Y800" s="27" t="s">
        <v>2426</v>
      </c>
      <c r="Z800" s="27" t="n">
        <v>-7.222656</v>
      </c>
      <c r="AA800" s="27" t="n">
        <v>-48.2374475</v>
      </c>
      <c r="AB800" s="37" t="s">
        <v>2338</v>
      </c>
      <c r="AC800" s="27" t="s">
        <v>2427</v>
      </c>
    </row>
    <row r="801" customFormat="false" ht="15" hidden="false" customHeight="false" outlineLevel="0" collapsed="false">
      <c r="A801" s="27" t="n">
        <v>800</v>
      </c>
      <c r="B801" s="27" t="s">
        <v>2251</v>
      </c>
      <c r="C801" s="27" t="s">
        <v>3351</v>
      </c>
      <c r="D801" s="27" t="s">
        <v>852</v>
      </c>
      <c r="E801" s="27" t="s">
        <v>2252</v>
      </c>
      <c r="F801" s="32" t="n">
        <v>24.307985718508</v>
      </c>
      <c r="G801" s="28" t="n">
        <v>5568.73124598821</v>
      </c>
      <c r="H801" s="28" t="n">
        <v>2482.72738955193</v>
      </c>
      <c r="I801" s="6" t="s">
        <v>23</v>
      </c>
      <c r="J801" s="27" t="s">
        <v>303</v>
      </c>
      <c r="K801" s="27" t="s">
        <v>588</v>
      </c>
      <c r="L801" s="27" t="n">
        <v>95</v>
      </c>
      <c r="M801" s="27" t="s">
        <v>44</v>
      </c>
      <c r="N801" s="27" t="s">
        <v>2385</v>
      </c>
      <c r="O801" s="27" t="s">
        <v>261</v>
      </c>
      <c r="P801" s="27" t="s">
        <v>54</v>
      </c>
      <c r="Q801" s="27" t="n">
        <v>0</v>
      </c>
      <c r="R801" s="27"/>
      <c r="S801" s="27" t="s">
        <v>41</v>
      </c>
      <c r="T801" s="27" t="s">
        <v>42</v>
      </c>
      <c r="U801" s="27" t="s">
        <v>44</v>
      </c>
      <c r="V801" s="27"/>
      <c r="W801" s="27"/>
      <c r="X801" s="27"/>
      <c r="Y801" s="27" t="s">
        <v>2426</v>
      </c>
      <c r="Z801" s="27" t="n">
        <v>-7.220927</v>
      </c>
      <c r="AA801" s="27" t="n">
        <v>-48.2280845</v>
      </c>
      <c r="AB801" s="37" t="s">
        <v>2338</v>
      </c>
      <c r="AC801" s="27" t="s">
        <v>2427</v>
      </c>
    </row>
    <row r="802" customFormat="false" ht="15" hidden="false" customHeight="false" outlineLevel="0" collapsed="false">
      <c r="A802" s="27" t="n">
        <v>801</v>
      </c>
      <c r="B802" s="27" t="s">
        <v>2253</v>
      </c>
      <c r="C802" s="27" t="s">
        <v>3352</v>
      </c>
      <c r="D802" s="27" t="s">
        <v>2252</v>
      </c>
      <c r="E802" s="27" t="s">
        <v>2254</v>
      </c>
      <c r="F802" s="32" t="n">
        <v>4.93512132568285</v>
      </c>
      <c r="G802" s="28" t="n">
        <v>5573.6663673139</v>
      </c>
      <c r="H802" s="28" t="n">
        <v>2487.66251087762</v>
      </c>
      <c r="I802" s="6" t="s">
        <v>23</v>
      </c>
      <c r="J802" s="27" t="s">
        <v>303</v>
      </c>
      <c r="K802" s="27" t="s">
        <v>588</v>
      </c>
      <c r="L802" s="27" t="n">
        <v>95</v>
      </c>
      <c r="M802" s="27" t="s">
        <v>44</v>
      </c>
      <c r="N802" s="27" t="s">
        <v>2385</v>
      </c>
      <c r="O802" s="27" t="s">
        <v>261</v>
      </c>
      <c r="P802" s="27" t="s">
        <v>54</v>
      </c>
      <c r="Q802" s="27" t="n">
        <v>0</v>
      </c>
      <c r="R802" s="27"/>
      <c r="S802" s="27" t="s">
        <v>41</v>
      </c>
      <c r="T802" s="27" t="s">
        <v>42</v>
      </c>
      <c r="U802" s="27" t="s">
        <v>44</v>
      </c>
      <c r="V802" s="27"/>
      <c r="W802" s="27"/>
      <c r="X802" s="27"/>
      <c r="Y802" s="27" t="s">
        <v>2426</v>
      </c>
      <c r="Z802" s="27" t="n">
        <v>-7.22105</v>
      </c>
      <c r="AA802" s="27" t="n">
        <v>-48.2281225</v>
      </c>
      <c r="AB802" s="37" t="s">
        <v>2338</v>
      </c>
      <c r="AC802" s="27" t="s">
        <v>2427</v>
      </c>
    </row>
    <row r="803" customFormat="false" ht="15" hidden="false" customHeight="false" outlineLevel="0" collapsed="false">
      <c r="A803" s="27" t="n">
        <v>802</v>
      </c>
      <c r="B803" s="27" t="s">
        <v>2255</v>
      </c>
      <c r="C803" s="27" t="s">
        <v>3353</v>
      </c>
      <c r="D803" s="27" t="s">
        <v>2252</v>
      </c>
      <c r="E803" s="27" t="s">
        <v>2256</v>
      </c>
      <c r="F803" s="32" t="n">
        <v>0.351351338188335</v>
      </c>
      <c r="G803" s="28" t="n">
        <v>5569.0825973264</v>
      </c>
      <c r="H803" s="28" t="n">
        <v>2483.07874089012</v>
      </c>
      <c r="I803" s="6" t="s">
        <v>23</v>
      </c>
      <c r="J803" s="27" t="s">
        <v>303</v>
      </c>
      <c r="K803" s="27" t="s">
        <v>588</v>
      </c>
      <c r="L803" s="27" t="n">
        <v>95</v>
      </c>
      <c r="M803" s="27" t="s">
        <v>44</v>
      </c>
      <c r="N803" s="27" t="s">
        <v>2385</v>
      </c>
      <c r="O803" s="27" t="s">
        <v>261</v>
      </c>
      <c r="P803" s="27" t="s">
        <v>54</v>
      </c>
      <c r="Q803" s="27" t="n">
        <v>0</v>
      </c>
      <c r="R803" s="27"/>
      <c r="S803" s="27" t="s">
        <v>41</v>
      </c>
      <c r="T803" s="27" t="s">
        <v>42</v>
      </c>
      <c r="U803" s="27" t="s">
        <v>44</v>
      </c>
      <c r="V803" s="27"/>
      <c r="W803" s="27"/>
      <c r="X803" s="27"/>
      <c r="Y803" s="27" t="s">
        <v>2426</v>
      </c>
      <c r="Z803" s="27" t="n">
        <v>-7.2210355</v>
      </c>
      <c r="AA803" s="27" t="n">
        <v>-48.2281065</v>
      </c>
      <c r="AB803" s="37" t="s">
        <v>2338</v>
      </c>
      <c r="AC803" s="27" t="s">
        <v>2427</v>
      </c>
    </row>
    <row r="804" customFormat="false" ht="15" hidden="false" customHeight="false" outlineLevel="0" collapsed="false">
      <c r="A804" s="27" t="n">
        <v>803</v>
      </c>
      <c r="B804" s="27" t="s">
        <v>2257</v>
      </c>
      <c r="C804" s="27" t="s">
        <v>3354</v>
      </c>
      <c r="D804" s="27" t="s">
        <v>2256</v>
      </c>
      <c r="E804" s="27" t="s">
        <v>2258</v>
      </c>
      <c r="F804" s="32" t="n">
        <v>2.742784263893</v>
      </c>
      <c r="G804" s="28" t="n">
        <v>5571.82538159029</v>
      </c>
      <c r="H804" s="28" t="n">
        <v>2485.82152515402</v>
      </c>
      <c r="I804" s="6" t="s">
        <v>23</v>
      </c>
      <c r="J804" s="27" t="s">
        <v>303</v>
      </c>
      <c r="K804" s="27" t="s">
        <v>588</v>
      </c>
      <c r="L804" s="27" t="n">
        <v>95</v>
      </c>
      <c r="M804" s="27" t="s">
        <v>44</v>
      </c>
      <c r="N804" s="27" t="s">
        <v>2385</v>
      </c>
      <c r="O804" s="27" t="s">
        <v>261</v>
      </c>
      <c r="P804" s="27" t="s">
        <v>54</v>
      </c>
      <c r="Q804" s="27" t="n">
        <v>0</v>
      </c>
      <c r="R804" s="27"/>
      <c r="S804" s="27" t="s">
        <v>41</v>
      </c>
      <c r="T804" s="27" t="s">
        <v>42</v>
      </c>
      <c r="U804" s="27" t="s">
        <v>44</v>
      </c>
      <c r="V804" s="27"/>
      <c r="W804" s="27"/>
      <c r="X804" s="27"/>
      <c r="Y804" s="27" t="s">
        <v>2426</v>
      </c>
      <c r="Z804" s="27" t="n">
        <v>-7.221046</v>
      </c>
      <c r="AA804" s="27" t="n">
        <v>-48.2280975</v>
      </c>
      <c r="AB804" s="37" t="s">
        <v>2338</v>
      </c>
      <c r="AC804" s="27" t="s">
        <v>2427</v>
      </c>
    </row>
    <row r="805" customFormat="false" ht="15" hidden="false" customHeight="false" outlineLevel="0" collapsed="false">
      <c r="A805" s="27" t="n">
        <v>804</v>
      </c>
      <c r="B805" s="27" t="s">
        <v>2259</v>
      </c>
      <c r="C805" s="27" t="s">
        <v>3355</v>
      </c>
      <c r="D805" s="27" t="s">
        <v>852</v>
      </c>
      <c r="E805" s="27" t="s">
        <v>2260</v>
      </c>
      <c r="F805" s="32" t="n">
        <v>9.37726855129225</v>
      </c>
      <c r="G805" s="28" t="n">
        <v>5553.800528821</v>
      </c>
      <c r="H805" s="28" t="n">
        <v>2467.79667238472</v>
      </c>
      <c r="I805" s="6" t="s">
        <v>23</v>
      </c>
      <c r="J805" s="27" t="s">
        <v>303</v>
      </c>
      <c r="K805" s="27" t="s">
        <v>588</v>
      </c>
      <c r="L805" s="27" t="n">
        <v>95</v>
      </c>
      <c r="M805" s="27" t="s">
        <v>44</v>
      </c>
      <c r="N805" s="27" t="s">
        <v>2385</v>
      </c>
      <c r="O805" s="27" t="s">
        <v>261</v>
      </c>
      <c r="P805" s="27" t="s">
        <v>54</v>
      </c>
      <c r="Q805" s="27" t="n">
        <v>0</v>
      </c>
      <c r="R805" s="27"/>
      <c r="S805" s="27" t="s">
        <v>41</v>
      </c>
      <c r="T805" s="27" t="s">
        <v>42</v>
      </c>
      <c r="U805" s="27" t="s">
        <v>44</v>
      </c>
      <c r="V805" s="27"/>
      <c r="W805" s="27"/>
      <c r="X805" s="27"/>
      <c r="Y805" s="27" t="s">
        <v>2426</v>
      </c>
      <c r="Z805" s="27" t="n">
        <v>-7.2208195</v>
      </c>
      <c r="AA805" s="27" t="n">
        <v>-48.2280195</v>
      </c>
      <c r="AB805" s="37" t="s">
        <v>2338</v>
      </c>
      <c r="AC805" s="27" t="s">
        <v>2427</v>
      </c>
    </row>
    <row r="806" customFormat="false" ht="15" hidden="false" customHeight="false" outlineLevel="0" collapsed="false">
      <c r="A806" s="27" t="n">
        <v>805</v>
      </c>
      <c r="B806" s="27" t="s">
        <v>2261</v>
      </c>
      <c r="C806" s="27" t="s">
        <v>3356</v>
      </c>
      <c r="D806" s="27" t="s">
        <v>2260</v>
      </c>
      <c r="E806" s="27" t="s">
        <v>2262</v>
      </c>
      <c r="F806" s="32" t="n">
        <v>15.2236070082105</v>
      </c>
      <c r="G806" s="28" t="n">
        <v>5569.02413582921</v>
      </c>
      <c r="H806" s="28" t="n">
        <v>2483.02027939293</v>
      </c>
      <c r="I806" s="6" t="s">
        <v>23</v>
      </c>
      <c r="J806" s="27" t="s">
        <v>303</v>
      </c>
      <c r="K806" s="27" t="s">
        <v>588</v>
      </c>
      <c r="L806" s="27" t="n">
        <v>95</v>
      </c>
      <c r="M806" s="27" t="s">
        <v>44</v>
      </c>
      <c r="N806" s="27" t="s">
        <v>2385</v>
      </c>
      <c r="O806" s="27" t="s">
        <v>261</v>
      </c>
      <c r="P806" s="27" t="s">
        <v>54</v>
      </c>
      <c r="Q806" s="27" t="n">
        <v>0</v>
      </c>
      <c r="R806" s="27"/>
      <c r="S806" s="27" t="s">
        <v>41</v>
      </c>
      <c r="T806" s="27" t="s">
        <v>42</v>
      </c>
      <c r="U806" s="27" t="s">
        <v>44</v>
      </c>
      <c r="V806" s="27"/>
      <c r="W806" s="27"/>
      <c r="X806" s="27"/>
      <c r="Y806" s="27" t="s">
        <v>2426</v>
      </c>
      <c r="Z806" s="27" t="n">
        <v>-7.2208195</v>
      </c>
      <c r="AA806" s="27" t="n">
        <v>-48.227908</v>
      </c>
      <c r="AB806" s="37" t="s">
        <v>2338</v>
      </c>
      <c r="AC806" s="27" t="s">
        <v>2427</v>
      </c>
    </row>
    <row r="807" customFormat="false" ht="15" hidden="false" customHeight="false" outlineLevel="0" collapsed="false">
      <c r="A807" s="27" t="n">
        <v>806</v>
      </c>
      <c r="B807" s="27" t="s">
        <v>2263</v>
      </c>
      <c r="C807" s="27" t="s">
        <v>3357</v>
      </c>
      <c r="D807" s="27" t="s">
        <v>2260</v>
      </c>
      <c r="E807" s="27" t="s">
        <v>2264</v>
      </c>
      <c r="F807" s="32" t="n">
        <v>17.0930561010487</v>
      </c>
      <c r="G807" s="28" t="n">
        <v>5570.89358492205</v>
      </c>
      <c r="H807" s="28" t="n">
        <v>2484.88972848577</v>
      </c>
      <c r="I807" s="6" t="s">
        <v>23</v>
      </c>
      <c r="J807" s="27" t="s">
        <v>303</v>
      </c>
      <c r="K807" s="27" t="s">
        <v>588</v>
      </c>
      <c r="L807" s="27" t="n">
        <v>95</v>
      </c>
      <c r="M807" s="27" t="s">
        <v>44</v>
      </c>
      <c r="N807" s="27" t="s">
        <v>2385</v>
      </c>
      <c r="O807" s="27" t="s">
        <v>261</v>
      </c>
      <c r="P807" s="27" t="s">
        <v>54</v>
      </c>
      <c r="Q807" s="27" t="n">
        <v>0</v>
      </c>
      <c r="R807" s="27"/>
      <c r="S807" s="27" t="s">
        <v>41</v>
      </c>
      <c r="T807" s="27" t="s">
        <v>42</v>
      </c>
      <c r="U807" s="27" t="s">
        <v>44</v>
      </c>
      <c r="V807" s="27"/>
      <c r="W807" s="27"/>
      <c r="X807" s="27"/>
      <c r="Y807" s="27" t="s">
        <v>2426</v>
      </c>
      <c r="Z807" s="27" t="n">
        <v>-7.2208105</v>
      </c>
      <c r="AA807" s="27" t="n">
        <v>-48.2279</v>
      </c>
      <c r="AB807" s="37" t="s">
        <v>2338</v>
      </c>
      <c r="AC807" s="27" t="s">
        <v>2427</v>
      </c>
    </row>
    <row r="808" customFormat="false" ht="15" hidden="false" customHeight="false" outlineLevel="0" collapsed="false">
      <c r="A808" s="27" t="n">
        <v>807</v>
      </c>
      <c r="B808" s="27" t="s">
        <v>2265</v>
      </c>
      <c r="C808" s="27" t="s">
        <v>3358</v>
      </c>
      <c r="D808" s="27" t="s">
        <v>880</v>
      </c>
      <c r="E808" s="27" t="s">
        <v>2266</v>
      </c>
      <c r="F808" s="32" t="n">
        <v>26.4646224556558</v>
      </c>
      <c r="G808" s="28" t="n">
        <v>6394.65286032025</v>
      </c>
      <c r="H808" s="28" t="n">
        <v>3308.64900388397</v>
      </c>
      <c r="I808" s="6" t="s">
        <v>23</v>
      </c>
      <c r="J808" s="27" t="s">
        <v>303</v>
      </c>
      <c r="K808" s="27" t="s">
        <v>593</v>
      </c>
      <c r="L808" s="27" t="n">
        <v>96</v>
      </c>
      <c r="M808" s="27" t="s">
        <v>44</v>
      </c>
      <c r="N808" s="27" t="s">
        <v>2385</v>
      </c>
      <c r="O808" s="27" t="s">
        <v>264</v>
      </c>
      <c r="P808" s="27" t="s">
        <v>54</v>
      </c>
      <c r="Q808" s="27" t="n">
        <v>0</v>
      </c>
      <c r="R808" s="27"/>
      <c r="S808" s="27" t="s">
        <v>41</v>
      </c>
      <c r="T808" s="27" t="s">
        <v>42</v>
      </c>
      <c r="U808" s="27" t="s">
        <v>44</v>
      </c>
      <c r="V808" s="27"/>
      <c r="W808" s="27"/>
      <c r="X808" s="27"/>
      <c r="Y808" s="27" t="s">
        <v>2426</v>
      </c>
      <c r="Z808" s="27" t="n">
        <v>-7.217694</v>
      </c>
      <c r="AA808" s="27" t="n">
        <v>-48.2238525</v>
      </c>
      <c r="AB808" s="37" t="s">
        <v>2338</v>
      </c>
      <c r="AC808" s="27" t="s">
        <v>2427</v>
      </c>
    </row>
    <row r="809" customFormat="false" ht="15" hidden="false" customHeight="false" outlineLevel="0" collapsed="false">
      <c r="A809" s="27" t="n">
        <v>808</v>
      </c>
      <c r="B809" s="27" t="s">
        <v>2267</v>
      </c>
      <c r="C809" s="27" t="s">
        <v>3359</v>
      </c>
      <c r="D809" s="27" t="s">
        <v>880</v>
      </c>
      <c r="E809" s="27" t="s">
        <v>2268</v>
      </c>
      <c r="F809" s="32" t="n">
        <v>21.071117359363</v>
      </c>
      <c r="G809" s="28" t="n">
        <v>6389.25935522396</v>
      </c>
      <c r="H809" s="28" t="n">
        <v>3303.25549878768</v>
      </c>
      <c r="I809" s="6" t="s">
        <v>23</v>
      </c>
      <c r="J809" s="27" t="s">
        <v>303</v>
      </c>
      <c r="K809" s="27" t="s">
        <v>593</v>
      </c>
      <c r="L809" s="27" t="n">
        <v>96</v>
      </c>
      <c r="M809" s="27" t="s">
        <v>44</v>
      </c>
      <c r="N809" s="27" t="s">
        <v>2385</v>
      </c>
      <c r="O809" s="27" t="s">
        <v>264</v>
      </c>
      <c r="P809" s="27" t="s">
        <v>54</v>
      </c>
      <c r="Q809" s="27" t="n">
        <v>0</v>
      </c>
      <c r="R809" s="27"/>
      <c r="S809" s="27" t="s">
        <v>41</v>
      </c>
      <c r="T809" s="27" t="s">
        <v>42</v>
      </c>
      <c r="U809" s="27" t="s">
        <v>44</v>
      </c>
      <c r="V809" s="27"/>
      <c r="W809" s="27"/>
      <c r="X809" s="27"/>
      <c r="Y809" s="27" t="s">
        <v>2426</v>
      </c>
      <c r="Z809" s="27" t="n">
        <v>-7.217574</v>
      </c>
      <c r="AA809" s="27" t="n">
        <v>-48.2237575</v>
      </c>
      <c r="AB809" s="37" t="s">
        <v>2338</v>
      </c>
      <c r="AC809" s="27" t="s">
        <v>2427</v>
      </c>
    </row>
    <row r="810" customFormat="false" ht="15" hidden="false" customHeight="false" outlineLevel="0" collapsed="false">
      <c r="A810" s="27" t="n">
        <v>809</v>
      </c>
      <c r="B810" s="27" t="s">
        <v>2269</v>
      </c>
      <c r="C810" s="27" t="s">
        <v>3360</v>
      </c>
      <c r="D810" s="27" t="s">
        <v>887</v>
      </c>
      <c r="E810" s="27" t="s">
        <v>2270</v>
      </c>
      <c r="F810" s="32" t="n">
        <v>50.7068065183594</v>
      </c>
      <c r="G810" s="28" t="n">
        <v>6523.97864789787</v>
      </c>
      <c r="H810" s="28" t="n">
        <v>3437.97479146159</v>
      </c>
      <c r="I810" s="6" t="s">
        <v>23</v>
      </c>
      <c r="J810" s="27" t="s">
        <v>303</v>
      </c>
      <c r="K810" s="27" t="s">
        <v>596</v>
      </c>
      <c r="L810" s="27" t="n">
        <v>97</v>
      </c>
      <c r="M810" s="27" t="s">
        <v>44</v>
      </c>
      <c r="N810" s="27" t="s">
        <v>2385</v>
      </c>
      <c r="O810" s="27" t="s">
        <v>267</v>
      </c>
      <c r="P810" s="27" t="s">
        <v>54</v>
      </c>
      <c r="Q810" s="27" t="n">
        <v>0</v>
      </c>
      <c r="R810" s="27"/>
      <c r="S810" s="27" t="s">
        <v>41</v>
      </c>
      <c r="T810" s="27" t="s">
        <v>42</v>
      </c>
      <c r="U810" s="27" t="s">
        <v>44</v>
      </c>
      <c r="V810" s="27"/>
      <c r="W810" s="27"/>
      <c r="X810" s="27"/>
      <c r="Y810" s="27" t="s">
        <v>2426</v>
      </c>
      <c r="Z810" s="27" t="n">
        <v>-7.216464</v>
      </c>
      <c r="AA810" s="27" t="n">
        <v>-48.223861</v>
      </c>
      <c r="AB810" s="37" t="s">
        <v>2338</v>
      </c>
      <c r="AC810" s="27" t="s">
        <v>2427</v>
      </c>
    </row>
    <row r="811" customFormat="false" ht="15" hidden="false" customHeight="false" outlineLevel="0" collapsed="false">
      <c r="A811" s="27" t="n">
        <v>810</v>
      </c>
      <c r="B811" s="27" t="s">
        <v>2271</v>
      </c>
      <c r="C811" s="27" t="s">
        <v>3361</v>
      </c>
      <c r="D811" s="27" t="s">
        <v>904</v>
      </c>
      <c r="E811" s="27" t="s">
        <v>2272</v>
      </c>
      <c r="F811" s="32" t="n">
        <v>25.6869755767706</v>
      </c>
      <c r="G811" s="28" t="n">
        <v>6674.40965776029</v>
      </c>
      <c r="H811" s="28" t="n">
        <v>3588.40580132401</v>
      </c>
      <c r="I811" s="6" t="s">
        <v>23</v>
      </c>
      <c r="J811" s="27" t="s">
        <v>303</v>
      </c>
      <c r="K811" s="27" t="s">
        <v>597</v>
      </c>
      <c r="L811" s="27" t="n">
        <v>98</v>
      </c>
      <c r="M811" s="27" t="s">
        <v>44</v>
      </c>
      <c r="N811" s="27" t="s">
        <v>2385</v>
      </c>
      <c r="O811" s="27" t="s">
        <v>270</v>
      </c>
      <c r="P811" s="27" t="s">
        <v>54</v>
      </c>
      <c r="Q811" s="27" t="n">
        <v>0</v>
      </c>
      <c r="R811" s="27"/>
      <c r="S811" s="27" t="s">
        <v>41</v>
      </c>
      <c r="T811" s="27" t="s">
        <v>42</v>
      </c>
      <c r="U811" s="27" t="s">
        <v>44</v>
      </c>
      <c r="V811" s="27"/>
      <c r="W811" s="27"/>
      <c r="X811" s="27"/>
      <c r="Y811" s="27" t="s">
        <v>2426</v>
      </c>
      <c r="Z811" s="27" t="n">
        <v>-7.2154035</v>
      </c>
      <c r="AA811" s="27" t="n">
        <v>-48.223462</v>
      </c>
      <c r="AB811" s="37" t="s">
        <v>2338</v>
      </c>
      <c r="AC811" s="27" t="s">
        <v>2427</v>
      </c>
    </row>
    <row r="812" customFormat="false" ht="15" hidden="false" customHeight="false" outlineLevel="0" collapsed="false">
      <c r="A812" s="27" t="n">
        <v>811</v>
      </c>
      <c r="B812" s="27" t="s">
        <v>2273</v>
      </c>
      <c r="C812" s="27" t="s">
        <v>3362</v>
      </c>
      <c r="D812" s="27" t="s">
        <v>906</v>
      </c>
      <c r="E812" s="27" t="s">
        <v>2274</v>
      </c>
      <c r="F812" s="32" t="n">
        <v>4.52288804706825</v>
      </c>
      <c r="G812" s="28" t="n">
        <v>6653.68682760067</v>
      </c>
      <c r="H812" s="28" t="n">
        <v>4.52288804706859</v>
      </c>
      <c r="I812" s="7" t="s">
        <v>24</v>
      </c>
      <c r="J812" s="27" t="s">
        <v>303</v>
      </c>
      <c r="K812" s="27" t="s">
        <v>598</v>
      </c>
      <c r="L812" s="27" t="n">
        <v>99</v>
      </c>
      <c r="M812" s="27" t="s">
        <v>272</v>
      </c>
      <c r="N812" s="27" t="s">
        <v>2640</v>
      </c>
      <c r="O812" s="27" t="s">
        <v>273</v>
      </c>
      <c r="P812" s="27" t="s">
        <v>54</v>
      </c>
      <c r="Q812" s="27" t="n">
        <v>0</v>
      </c>
      <c r="R812" s="27"/>
      <c r="S812" s="27" t="s">
        <v>41</v>
      </c>
      <c r="T812" s="27" t="s">
        <v>42</v>
      </c>
      <c r="U812" s="27" t="s">
        <v>44</v>
      </c>
      <c r="V812" s="27" t="s">
        <v>272</v>
      </c>
      <c r="W812" s="27"/>
      <c r="X812" s="27"/>
      <c r="Y812" s="27" t="s">
        <v>3363</v>
      </c>
      <c r="Z812" s="27" t="n">
        <v>-7.215519</v>
      </c>
      <c r="AA812" s="27" t="n">
        <v>-48.2234365</v>
      </c>
      <c r="AB812" s="37" t="s">
        <v>2338</v>
      </c>
      <c r="AC812" s="27" t="s">
        <v>3364</v>
      </c>
    </row>
    <row r="813" customFormat="false" ht="15" hidden="false" customHeight="false" outlineLevel="0" collapsed="false">
      <c r="A813" s="27" t="n">
        <v>812</v>
      </c>
      <c r="B813" s="27" t="s">
        <v>2275</v>
      </c>
      <c r="C813" s="27" t="s">
        <v>3365</v>
      </c>
      <c r="D813" s="27" t="s">
        <v>896</v>
      </c>
      <c r="E813" s="27" t="s">
        <v>2276</v>
      </c>
      <c r="F813" s="32" t="n">
        <v>23.8288725439928</v>
      </c>
      <c r="G813" s="28" t="n">
        <v>6745.33282053602</v>
      </c>
      <c r="H813" s="28" t="n">
        <v>3659.32896409974</v>
      </c>
      <c r="I813" s="6" t="s">
        <v>23</v>
      </c>
      <c r="J813" s="27" t="s">
        <v>303</v>
      </c>
      <c r="K813" s="27" t="s">
        <v>599</v>
      </c>
      <c r="L813" s="27" t="n">
        <v>100</v>
      </c>
      <c r="M813" s="27" t="s">
        <v>44</v>
      </c>
      <c r="N813" s="27" t="s">
        <v>2385</v>
      </c>
      <c r="O813" s="27" t="s">
        <v>276</v>
      </c>
      <c r="P813" s="27" t="s">
        <v>54</v>
      </c>
      <c r="Q813" s="27" t="n">
        <v>0</v>
      </c>
      <c r="R813" s="27"/>
      <c r="S813" s="27" t="s">
        <v>41</v>
      </c>
      <c r="T813" s="27" t="s">
        <v>42</v>
      </c>
      <c r="U813" s="27" t="s">
        <v>44</v>
      </c>
      <c r="V813" s="27"/>
      <c r="W813" s="27"/>
      <c r="X813" s="27"/>
      <c r="Y813" s="27" t="s">
        <v>2426</v>
      </c>
      <c r="Z813" s="27" t="n">
        <v>-7.21672</v>
      </c>
      <c r="AA813" s="27" t="n">
        <v>-48.226217</v>
      </c>
      <c r="AB813" s="37" t="s">
        <v>2338</v>
      </c>
      <c r="AC813" s="27" t="s">
        <v>2427</v>
      </c>
    </row>
    <row r="814" customFormat="false" ht="15" hidden="false" customHeight="false" outlineLevel="0" collapsed="false">
      <c r="A814" s="27" t="n">
        <v>813</v>
      </c>
      <c r="B814" s="27" t="s">
        <v>2277</v>
      </c>
      <c r="C814" s="27" t="s">
        <v>3366</v>
      </c>
      <c r="D814" s="27" t="s">
        <v>898</v>
      </c>
      <c r="E814" s="27" t="s">
        <v>2278</v>
      </c>
      <c r="F814" s="32" t="n">
        <v>12.4253093027431</v>
      </c>
      <c r="G814" s="28" t="n">
        <v>6735.17049092269</v>
      </c>
      <c r="H814" s="28" t="n">
        <v>12.4253093027428</v>
      </c>
      <c r="I814" s="7" t="s">
        <v>24</v>
      </c>
      <c r="J814" s="27" t="s">
        <v>303</v>
      </c>
      <c r="K814" s="27" t="s">
        <v>600</v>
      </c>
      <c r="L814" s="27" t="n">
        <v>101</v>
      </c>
      <c r="M814" s="27" t="s">
        <v>278</v>
      </c>
      <c r="N814" s="27" t="s">
        <v>2640</v>
      </c>
      <c r="O814" s="27" t="s">
        <v>279</v>
      </c>
      <c r="P814" s="27" t="s">
        <v>54</v>
      </c>
      <c r="Q814" s="27" t="n">
        <v>0</v>
      </c>
      <c r="R814" s="27"/>
      <c r="S814" s="27" t="s">
        <v>41</v>
      </c>
      <c r="T814" s="27" t="s">
        <v>42</v>
      </c>
      <c r="U814" s="27" t="s">
        <v>44</v>
      </c>
      <c r="V814" s="27" t="s">
        <v>278</v>
      </c>
      <c r="W814" s="27"/>
      <c r="X814" s="27"/>
      <c r="Y814" s="27" t="s">
        <v>3367</v>
      </c>
      <c r="Z814" s="27" t="n">
        <v>-7.216658</v>
      </c>
      <c r="AA814" s="27" t="n">
        <v>-48.226137</v>
      </c>
      <c r="AB814" s="37" t="s">
        <v>2338</v>
      </c>
      <c r="AC814" s="27" t="s">
        <v>3368</v>
      </c>
    </row>
    <row r="815" customFormat="false" ht="15" hidden="false" customHeight="false" outlineLevel="0" collapsed="false">
      <c r="A815" s="27" t="n">
        <v>814</v>
      </c>
      <c r="B815" s="27" t="s">
        <v>2279</v>
      </c>
      <c r="C815" s="27" t="s">
        <v>3369</v>
      </c>
      <c r="D815" s="27" t="s">
        <v>912</v>
      </c>
      <c r="E815" s="27" t="s">
        <v>2280</v>
      </c>
      <c r="F815" s="32" t="n">
        <v>2.55748331285779</v>
      </c>
      <c r="G815" s="28" t="n">
        <v>6791.67654822554</v>
      </c>
      <c r="H815" s="28" t="n">
        <v>3705.67269178927</v>
      </c>
      <c r="I815" s="6" t="s">
        <v>23</v>
      </c>
      <c r="J815" s="27" t="s">
        <v>303</v>
      </c>
      <c r="K815" s="27" t="s">
        <v>601</v>
      </c>
      <c r="L815" s="27" t="n">
        <v>102</v>
      </c>
      <c r="M815" s="27" t="s">
        <v>44</v>
      </c>
      <c r="N815" s="27" t="s">
        <v>2385</v>
      </c>
      <c r="O815" s="27" t="s">
        <v>282</v>
      </c>
      <c r="P815" s="27" t="s">
        <v>54</v>
      </c>
      <c r="Q815" s="27" t="n">
        <v>0</v>
      </c>
      <c r="R815" s="27"/>
      <c r="S815" s="27" t="s">
        <v>41</v>
      </c>
      <c r="T815" s="27" t="s">
        <v>42</v>
      </c>
      <c r="U815" s="27" t="s">
        <v>44</v>
      </c>
      <c r="V815" s="27"/>
      <c r="W815" s="27"/>
      <c r="X815" s="27"/>
      <c r="Y815" s="27" t="s">
        <v>2426</v>
      </c>
      <c r="Z815" s="27" t="n">
        <v>-7.2166635</v>
      </c>
      <c r="AA815" s="27" t="n">
        <v>-48.220996</v>
      </c>
      <c r="AB815" s="37" t="s">
        <v>2338</v>
      </c>
      <c r="AC815" s="27" t="s">
        <v>2427</v>
      </c>
    </row>
    <row r="816" customFormat="false" ht="15" hidden="false" customHeight="false" outlineLevel="0" collapsed="false">
      <c r="A816" s="27" t="n">
        <v>815</v>
      </c>
      <c r="B816" s="27" t="s">
        <v>2281</v>
      </c>
      <c r="C816" s="27" t="s">
        <v>3370</v>
      </c>
      <c r="D816" s="27" t="s">
        <v>965</v>
      </c>
      <c r="E816" s="27" t="s">
        <v>2282</v>
      </c>
      <c r="F816" s="32" t="n">
        <v>42.700134312069</v>
      </c>
      <c r="G816" s="28" t="n">
        <v>6906.55078698954</v>
      </c>
      <c r="H816" s="28" t="n">
        <v>42.7001343120692</v>
      </c>
      <c r="I816" s="7" t="s">
        <v>24</v>
      </c>
      <c r="J816" s="27" t="s">
        <v>303</v>
      </c>
      <c r="K816" s="27" t="s">
        <v>602</v>
      </c>
      <c r="L816" s="27" t="n">
        <v>103</v>
      </c>
      <c r="M816" s="27" t="s">
        <v>284</v>
      </c>
      <c r="N816" s="27" t="s">
        <v>2640</v>
      </c>
      <c r="O816" s="27" t="s">
        <v>285</v>
      </c>
      <c r="P816" s="27" t="s">
        <v>3371</v>
      </c>
      <c r="Q816" s="27" t="n">
        <v>3</v>
      </c>
      <c r="R816" s="27"/>
      <c r="S816" s="27" t="s">
        <v>41</v>
      </c>
      <c r="T816" s="27" t="s">
        <v>42</v>
      </c>
      <c r="U816" s="27" t="s">
        <v>44</v>
      </c>
      <c r="V816" s="27" t="s">
        <v>284</v>
      </c>
      <c r="W816" s="27"/>
      <c r="X816" s="27"/>
      <c r="Y816" s="27" t="s">
        <v>3372</v>
      </c>
      <c r="Z816" s="27" t="n">
        <v>-7.217026</v>
      </c>
      <c r="AA816" s="27" t="n">
        <v>-48.2204815</v>
      </c>
      <c r="AB816" s="37" t="s">
        <v>2338</v>
      </c>
      <c r="AC816" s="27" t="s">
        <v>3373</v>
      </c>
    </row>
    <row r="817" customFormat="false" ht="15" hidden="false" customHeight="false" outlineLevel="0" collapsed="false">
      <c r="A817" s="27" t="n">
        <v>816</v>
      </c>
      <c r="B817" s="27" t="s">
        <v>2283</v>
      </c>
      <c r="C817" s="27" t="s">
        <v>3374</v>
      </c>
      <c r="D817" s="27" t="s">
        <v>2282</v>
      </c>
      <c r="E817" s="27" t="s">
        <v>2284</v>
      </c>
      <c r="F817" s="32" t="n">
        <v>55.1544487454093</v>
      </c>
      <c r="G817" s="28" t="n">
        <v>6961.70523573495</v>
      </c>
      <c r="H817" s="28" t="n">
        <v>97.8545830574785</v>
      </c>
      <c r="I817" s="7" t="s">
        <v>24</v>
      </c>
      <c r="J817" s="27" t="s">
        <v>303</v>
      </c>
      <c r="K817" s="27" t="s">
        <v>602</v>
      </c>
      <c r="L817" s="27" t="n">
        <v>103</v>
      </c>
      <c r="M817" s="27" t="s">
        <v>284</v>
      </c>
      <c r="N817" s="27" t="s">
        <v>2640</v>
      </c>
      <c r="O817" s="27" t="s">
        <v>285</v>
      </c>
      <c r="P817" s="27" t="s">
        <v>3371</v>
      </c>
      <c r="Q817" s="27" t="n">
        <v>3</v>
      </c>
      <c r="R817" s="27"/>
      <c r="S817" s="27" t="s">
        <v>41</v>
      </c>
      <c r="T817" s="27" t="s">
        <v>42</v>
      </c>
      <c r="U817" s="27" t="s">
        <v>44</v>
      </c>
      <c r="V817" s="27" t="s">
        <v>284</v>
      </c>
      <c r="W817" s="27"/>
      <c r="X817" s="27"/>
      <c r="Y817" s="27" t="s">
        <v>3372</v>
      </c>
      <c r="Z817" s="27" t="n">
        <v>-7.217466</v>
      </c>
      <c r="AA817" s="27" t="n">
        <v>-48.220478</v>
      </c>
      <c r="AB817" s="37" t="s">
        <v>2338</v>
      </c>
      <c r="AC817" s="27" t="s">
        <v>3373</v>
      </c>
    </row>
    <row r="818" customFormat="false" ht="15" hidden="false" customHeight="false" outlineLevel="0" collapsed="false">
      <c r="A818" s="27" t="n">
        <v>817</v>
      </c>
      <c r="B818" s="27" t="s">
        <v>2285</v>
      </c>
      <c r="C818" s="27" t="s">
        <v>3375</v>
      </c>
      <c r="D818" s="27" t="s">
        <v>2284</v>
      </c>
      <c r="E818" s="27" t="s">
        <v>2286</v>
      </c>
      <c r="F818" s="32" t="n">
        <v>22.8676935432435</v>
      </c>
      <c r="G818" s="28" t="n">
        <v>6984.57292927819</v>
      </c>
      <c r="H818" s="28" t="n">
        <v>120.722276600722</v>
      </c>
      <c r="I818" s="7" t="s">
        <v>24</v>
      </c>
      <c r="J818" s="27" t="s">
        <v>303</v>
      </c>
      <c r="K818" s="27" t="s">
        <v>602</v>
      </c>
      <c r="L818" s="27" t="n">
        <v>103</v>
      </c>
      <c r="M818" s="27" t="s">
        <v>284</v>
      </c>
      <c r="N818" s="27" t="s">
        <v>2640</v>
      </c>
      <c r="O818" s="27" t="s">
        <v>285</v>
      </c>
      <c r="P818" s="27" t="s">
        <v>54</v>
      </c>
      <c r="Q818" s="27" t="n">
        <v>0</v>
      </c>
      <c r="R818" s="27"/>
      <c r="S818" s="27" t="s">
        <v>41</v>
      </c>
      <c r="T818" s="27" t="s">
        <v>42</v>
      </c>
      <c r="U818" s="27" t="s">
        <v>44</v>
      </c>
      <c r="V818" s="27" t="s">
        <v>284</v>
      </c>
      <c r="W818" s="27"/>
      <c r="X818" s="27"/>
      <c r="Y818" s="27" t="s">
        <v>3372</v>
      </c>
      <c r="Z818" s="27" t="n">
        <v>-7.2177085</v>
      </c>
      <c r="AA818" s="27" t="n">
        <v>-48.2205795</v>
      </c>
      <c r="AB818" s="37" t="s">
        <v>2338</v>
      </c>
      <c r="AC818" s="27" t="s">
        <v>3373</v>
      </c>
    </row>
    <row r="819" customFormat="false" ht="15" hidden="false" customHeight="false" outlineLevel="0" collapsed="false">
      <c r="A819" s="27" t="n">
        <v>818</v>
      </c>
      <c r="B819" s="27" t="s">
        <v>2287</v>
      </c>
      <c r="C819" s="27" t="s">
        <v>3376</v>
      </c>
      <c r="D819" s="27" t="s">
        <v>2284</v>
      </c>
      <c r="E819" s="27" t="s">
        <v>2288</v>
      </c>
      <c r="F819" s="32" t="n">
        <v>9.67458756118568</v>
      </c>
      <c r="G819" s="28" t="n">
        <v>6971.37982329614</v>
      </c>
      <c r="H819" s="28" t="n">
        <v>107.529170618665</v>
      </c>
      <c r="I819" s="7" t="s">
        <v>24</v>
      </c>
      <c r="J819" s="27" t="s">
        <v>303</v>
      </c>
      <c r="K819" s="27" t="s">
        <v>602</v>
      </c>
      <c r="L819" s="27" t="n">
        <v>103</v>
      </c>
      <c r="M819" s="27" t="s">
        <v>284</v>
      </c>
      <c r="N819" s="27" t="s">
        <v>2640</v>
      </c>
      <c r="O819" s="27" t="s">
        <v>285</v>
      </c>
      <c r="P819" s="27" t="s">
        <v>54</v>
      </c>
      <c r="Q819" s="27" t="n">
        <v>0</v>
      </c>
      <c r="R819" s="27"/>
      <c r="S819" s="27" t="s">
        <v>41</v>
      </c>
      <c r="T819" s="27" t="s">
        <v>42</v>
      </c>
      <c r="U819" s="27" t="s">
        <v>44</v>
      </c>
      <c r="V819" s="27" t="s">
        <v>284</v>
      </c>
      <c r="W819" s="27"/>
      <c r="X819" s="27"/>
      <c r="Y819" s="27" t="s">
        <v>3372</v>
      </c>
      <c r="Z819" s="27" t="n">
        <v>-7.2177575</v>
      </c>
      <c r="AA819" s="27" t="n">
        <v>-48.2204755</v>
      </c>
      <c r="AB819" s="37" t="s">
        <v>2338</v>
      </c>
      <c r="AC819" s="27" t="s">
        <v>3373</v>
      </c>
    </row>
    <row r="820" customFormat="false" ht="15" hidden="false" customHeight="false" outlineLevel="0" collapsed="false">
      <c r="A820" s="27" t="n">
        <v>819</v>
      </c>
      <c r="B820" s="27" t="s">
        <v>2289</v>
      </c>
      <c r="C820" s="27" t="s">
        <v>3377</v>
      </c>
      <c r="D820" s="27" t="s">
        <v>2284</v>
      </c>
      <c r="E820" s="27" t="s">
        <v>2290</v>
      </c>
      <c r="F820" s="32" t="n">
        <v>200.251168916379</v>
      </c>
      <c r="G820" s="28" t="n">
        <v>7161.95640465133</v>
      </c>
      <c r="H820" s="28" t="n">
        <v>298.105751973858</v>
      </c>
      <c r="I820" s="7" t="s">
        <v>24</v>
      </c>
      <c r="J820" s="27" t="s">
        <v>303</v>
      </c>
      <c r="K820" s="27" t="s">
        <v>602</v>
      </c>
      <c r="L820" s="27" t="n">
        <v>103</v>
      </c>
      <c r="M820" s="27" t="s">
        <v>284</v>
      </c>
      <c r="N820" s="27" t="s">
        <v>2640</v>
      </c>
      <c r="O820" s="27" t="s">
        <v>285</v>
      </c>
      <c r="P820" s="27" t="s">
        <v>3371</v>
      </c>
      <c r="Q820" s="27" t="n">
        <v>3</v>
      </c>
      <c r="R820" s="27"/>
      <c r="S820" s="27" t="s">
        <v>41</v>
      </c>
      <c r="T820" s="27" t="s">
        <v>42</v>
      </c>
      <c r="U820" s="27" t="s">
        <v>44</v>
      </c>
      <c r="V820" s="27" t="s">
        <v>284</v>
      </c>
      <c r="W820" s="27"/>
      <c r="X820" s="27"/>
      <c r="Y820" s="27" t="s">
        <v>3372</v>
      </c>
      <c r="Z820" s="27" t="n">
        <v>-7.21773</v>
      </c>
      <c r="AA820" s="27" t="n">
        <v>-48.2195685</v>
      </c>
      <c r="AB820" s="37" t="s">
        <v>2338</v>
      </c>
      <c r="AC820" s="27" t="s">
        <v>3373</v>
      </c>
    </row>
    <row r="821" customFormat="false" ht="15" hidden="false" customHeight="false" outlineLevel="0" collapsed="false">
      <c r="A821" s="27" t="n">
        <v>820</v>
      </c>
      <c r="B821" s="27" t="s">
        <v>2291</v>
      </c>
      <c r="C821" s="27" t="s">
        <v>3378</v>
      </c>
      <c r="D821" s="27" t="s">
        <v>2290</v>
      </c>
      <c r="E821" s="27" t="s">
        <v>2292</v>
      </c>
      <c r="F821" s="32" t="n">
        <v>1.6547069948059</v>
      </c>
      <c r="G821" s="28" t="n">
        <v>7163.61111164614</v>
      </c>
      <c r="H821" s="28" t="n">
        <v>299.760458968663</v>
      </c>
      <c r="I821" s="7" t="s">
        <v>24</v>
      </c>
      <c r="J821" s="27" t="s">
        <v>303</v>
      </c>
      <c r="K821" s="27" t="s">
        <v>602</v>
      </c>
      <c r="L821" s="27" t="n">
        <v>103</v>
      </c>
      <c r="M821" s="27" t="s">
        <v>284</v>
      </c>
      <c r="N821" s="27" t="s">
        <v>2640</v>
      </c>
      <c r="O821" s="27" t="s">
        <v>285</v>
      </c>
      <c r="P821" s="27" t="s">
        <v>3371</v>
      </c>
      <c r="Q821" s="27" t="n">
        <v>3</v>
      </c>
      <c r="R821" s="27"/>
      <c r="S821" s="27" t="s">
        <v>41</v>
      </c>
      <c r="T821" s="27" t="s">
        <v>42</v>
      </c>
      <c r="U821" s="27" t="s">
        <v>44</v>
      </c>
      <c r="V821" s="27" t="s">
        <v>284</v>
      </c>
      <c r="W821" s="27"/>
      <c r="X821" s="27"/>
      <c r="Y821" s="27" t="s">
        <v>3372</v>
      </c>
      <c r="Z821" s="27" t="n">
        <v>-7.217746</v>
      </c>
      <c r="AA821" s="27" t="n">
        <v>-48.2186535</v>
      </c>
      <c r="AB821" s="37" t="s">
        <v>2338</v>
      </c>
      <c r="AC821" s="27" t="s">
        <v>3373</v>
      </c>
    </row>
    <row r="822" customFormat="false" ht="15" hidden="false" customHeight="false" outlineLevel="0" collapsed="false">
      <c r="A822" s="27" t="n">
        <v>821</v>
      </c>
      <c r="B822" s="27" t="s">
        <v>2293</v>
      </c>
      <c r="C822" s="27" t="s">
        <v>3379</v>
      </c>
      <c r="D822" s="27" t="s">
        <v>2292</v>
      </c>
      <c r="E822" s="27" t="s">
        <v>2294</v>
      </c>
      <c r="F822" s="32" t="n">
        <v>16.6796037914133</v>
      </c>
      <c r="G822" s="28" t="n">
        <v>7180.29071543755</v>
      </c>
      <c r="H822" s="28" t="n">
        <v>316.440062760077</v>
      </c>
      <c r="I822" s="7" t="s">
        <v>24</v>
      </c>
      <c r="J822" s="27" t="s">
        <v>303</v>
      </c>
      <c r="K822" s="27" t="s">
        <v>602</v>
      </c>
      <c r="L822" s="27" t="n">
        <v>103</v>
      </c>
      <c r="M822" s="27" t="s">
        <v>284</v>
      </c>
      <c r="N822" s="27" t="s">
        <v>2640</v>
      </c>
      <c r="O822" s="27" t="s">
        <v>285</v>
      </c>
      <c r="P822" s="27" t="s">
        <v>3371</v>
      </c>
      <c r="Q822" s="27" t="n">
        <v>3</v>
      </c>
      <c r="R822" s="27"/>
      <c r="S822" s="27" t="s">
        <v>41</v>
      </c>
      <c r="T822" s="27" t="s">
        <v>42</v>
      </c>
      <c r="U822" s="27" t="s">
        <v>44</v>
      </c>
      <c r="V822" s="27" t="s">
        <v>284</v>
      </c>
      <c r="W822" s="27"/>
      <c r="X822" s="27"/>
      <c r="Y822" s="27" t="s">
        <v>3372</v>
      </c>
      <c r="Z822" s="27" t="n">
        <v>-7.217821</v>
      </c>
      <c r="AA822" s="27" t="n">
        <v>-48.2186455</v>
      </c>
      <c r="AB822" s="37" t="s">
        <v>2338</v>
      </c>
      <c r="AC822" s="27" t="s">
        <v>3373</v>
      </c>
    </row>
    <row r="823" customFormat="false" ht="15" hidden="false" customHeight="false" outlineLevel="0" collapsed="false">
      <c r="A823" s="27" t="n">
        <v>822</v>
      </c>
      <c r="B823" s="27" t="s">
        <v>2295</v>
      </c>
      <c r="C823" s="27" t="s">
        <v>3380</v>
      </c>
      <c r="D823" s="27" t="s">
        <v>2294</v>
      </c>
      <c r="E823" s="27" t="s">
        <v>2296</v>
      </c>
      <c r="F823" s="32" t="n">
        <v>13.3452150653204</v>
      </c>
      <c r="G823" s="28" t="n">
        <v>7193.63593050287</v>
      </c>
      <c r="H823" s="28" t="n">
        <v>329.785277825397</v>
      </c>
      <c r="I823" s="7" t="s">
        <v>24</v>
      </c>
      <c r="J823" s="27" t="s">
        <v>303</v>
      </c>
      <c r="K823" s="27" t="s">
        <v>602</v>
      </c>
      <c r="L823" s="27" t="n">
        <v>103</v>
      </c>
      <c r="M823" s="27" t="s">
        <v>284</v>
      </c>
      <c r="N823" s="27" t="s">
        <v>2640</v>
      </c>
      <c r="O823" s="27" t="s">
        <v>285</v>
      </c>
      <c r="P823" s="27" t="s">
        <v>3371</v>
      </c>
      <c r="Q823" s="27" t="n">
        <v>3</v>
      </c>
      <c r="R823" s="27"/>
      <c r="S823" s="27" t="s">
        <v>41</v>
      </c>
      <c r="T823" s="27" t="s">
        <v>42</v>
      </c>
      <c r="U823" s="27" t="s">
        <v>44</v>
      </c>
      <c r="V823" s="27" t="s">
        <v>284</v>
      </c>
      <c r="W823" s="27"/>
      <c r="X823" s="27"/>
      <c r="Y823" s="27" t="s">
        <v>3372</v>
      </c>
      <c r="Z823" s="27" t="n">
        <v>-7.217956</v>
      </c>
      <c r="AA823" s="27" t="n">
        <v>-48.218644</v>
      </c>
      <c r="AB823" s="37" t="s">
        <v>2338</v>
      </c>
      <c r="AC823" s="27" t="s">
        <v>3373</v>
      </c>
    </row>
    <row r="824" customFormat="false" ht="15" hidden="false" customHeight="false" outlineLevel="0" collapsed="false">
      <c r="A824" s="27" t="n">
        <v>823</v>
      </c>
      <c r="B824" s="27" t="s">
        <v>2297</v>
      </c>
      <c r="C824" s="27" t="s">
        <v>3381</v>
      </c>
      <c r="D824" s="27" t="s">
        <v>2296</v>
      </c>
      <c r="E824" s="27" t="s">
        <v>2298</v>
      </c>
      <c r="F824" s="32" t="n">
        <v>28.577309063921</v>
      </c>
      <c r="G824" s="28" t="n">
        <v>7222.21323956679</v>
      </c>
      <c r="H824" s="28" t="n">
        <v>358.362586889319</v>
      </c>
      <c r="I824" s="7" t="s">
        <v>24</v>
      </c>
      <c r="J824" s="27" t="s">
        <v>303</v>
      </c>
      <c r="K824" s="27" t="s">
        <v>602</v>
      </c>
      <c r="L824" s="27" t="n">
        <v>103</v>
      </c>
      <c r="M824" s="27" t="s">
        <v>284</v>
      </c>
      <c r="N824" s="27" t="s">
        <v>2640</v>
      </c>
      <c r="O824" s="27" t="s">
        <v>285</v>
      </c>
      <c r="P824" s="27" t="s">
        <v>3382</v>
      </c>
      <c r="Q824" s="27" t="n">
        <v>2</v>
      </c>
      <c r="R824" s="27"/>
      <c r="S824" s="27" t="s">
        <v>41</v>
      </c>
      <c r="T824" s="27" t="s">
        <v>42</v>
      </c>
      <c r="U824" s="27" t="s">
        <v>44</v>
      </c>
      <c r="V824" s="27" t="s">
        <v>284</v>
      </c>
      <c r="W824" s="27"/>
      <c r="X824" s="27"/>
      <c r="Y824" s="27" t="s">
        <v>3372</v>
      </c>
      <c r="Z824" s="27" t="n">
        <v>-7.2181445</v>
      </c>
      <c r="AA824" s="27" t="n">
        <v>-48.2186425</v>
      </c>
      <c r="AB824" s="37" t="s">
        <v>2338</v>
      </c>
      <c r="AC824" s="27" t="s">
        <v>3373</v>
      </c>
    </row>
    <row r="825" customFormat="false" ht="15" hidden="false" customHeight="false" outlineLevel="0" collapsed="false">
      <c r="A825" s="27" t="n">
        <v>824</v>
      </c>
      <c r="B825" s="27" t="s">
        <v>2299</v>
      </c>
      <c r="C825" s="27" t="s">
        <v>3383</v>
      </c>
      <c r="D825" s="27" t="s">
        <v>2298</v>
      </c>
      <c r="E825" s="27" t="s">
        <v>2300</v>
      </c>
      <c r="F825" s="32" t="n">
        <v>3.00226301942638</v>
      </c>
      <c r="G825" s="28" t="n">
        <v>7225.21550258622</v>
      </c>
      <c r="H825" s="28" t="n">
        <v>361.364849908745</v>
      </c>
      <c r="I825" s="7" t="s">
        <v>24</v>
      </c>
      <c r="J825" s="27" t="s">
        <v>303</v>
      </c>
      <c r="K825" s="27" t="s">
        <v>602</v>
      </c>
      <c r="L825" s="27" t="n">
        <v>103</v>
      </c>
      <c r="M825" s="27" t="s">
        <v>284</v>
      </c>
      <c r="N825" s="27" t="s">
        <v>2640</v>
      </c>
      <c r="O825" s="27" t="s">
        <v>285</v>
      </c>
      <c r="P825" s="27" t="s">
        <v>3382</v>
      </c>
      <c r="Q825" s="27" t="n">
        <v>2</v>
      </c>
      <c r="R825" s="27"/>
      <c r="S825" s="27" t="s">
        <v>41</v>
      </c>
      <c r="T825" s="27" t="s">
        <v>42</v>
      </c>
      <c r="U825" s="27" t="s">
        <v>44</v>
      </c>
      <c r="V825" s="27" t="s">
        <v>284</v>
      </c>
      <c r="W825" s="27"/>
      <c r="X825" s="27"/>
      <c r="Y825" s="27" t="s">
        <v>3372</v>
      </c>
      <c r="Z825" s="27" t="n">
        <v>-7.2182865</v>
      </c>
      <c r="AA825" s="27" t="n">
        <v>-48.218642</v>
      </c>
      <c r="AB825" s="37" t="s">
        <v>2338</v>
      </c>
      <c r="AC825" s="27" t="s">
        <v>3373</v>
      </c>
    </row>
    <row r="826" customFormat="false" ht="15" hidden="false" customHeight="false" outlineLevel="0" collapsed="false">
      <c r="A826" s="27" t="n">
        <v>825</v>
      </c>
      <c r="B826" s="27" t="s">
        <v>2301</v>
      </c>
      <c r="C826" s="27" t="s">
        <v>3384</v>
      </c>
      <c r="D826" s="27" t="s">
        <v>2296</v>
      </c>
      <c r="E826" s="27" t="s">
        <v>2302</v>
      </c>
      <c r="F826" s="32" t="n">
        <v>1.98564720871787</v>
      </c>
      <c r="G826" s="28" t="n">
        <v>7195.62157771159</v>
      </c>
      <c r="H826" s="28" t="n">
        <v>331.770925034115</v>
      </c>
      <c r="I826" s="7" t="s">
        <v>24</v>
      </c>
      <c r="J826" s="27" t="s">
        <v>303</v>
      </c>
      <c r="K826" s="27" t="s">
        <v>602</v>
      </c>
      <c r="L826" s="27" t="n">
        <v>103</v>
      </c>
      <c r="M826" s="27" t="s">
        <v>284</v>
      </c>
      <c r="N826" s="27" t="s">
        <v>2640</v>
      </c>
      <c r="O826" s="27" t="s">
        <v>285</v>
      </c>
      <c r="P826" s="27" t="s">
        <v>290</v>
      </c>
      <c r="Q826" s="27" t="n">
        <v>1</v>
      </c>
      <c r="R826" s="27"/>
      <c r="S826" s="27" t="s">
        <v>41</v>
      </c>
      <c r="T826" s="27" t="s">
        <v>42</v>
      </c>
      <c r="U826" s="27" t="s">
        <v>44</v>
      </c>
      <c r="V826" s="27" t="s">
        <v>284</v>
      </c>
      <c r="W826" s="27"/>
      <c r="X826" s="27"/>
      <c r="Y826" s="27" t="s">
        <v>3372</v>
      </c>
      <c r="Z826" s="27" t="n">
        <v>-7.218016</v>
      </c>
      <c r="AA826" s="27" t="n">
        <v>-48.218634</v>
      </c>
      <c r="AB826" s="37" t="s">
        <v>2338</v>
      </c>
      <c r="AC826" s="27" t="s">
        <v>3373</v>
      </c>
    </row>
    <row r="827" customFormat="false" ht="15" hidden="false" customHeight="false" outlineLevel="0" collapsed="false">
      <c r="A827" s="27" t="n">
        <v>826</v>
      </c>
      <c r="B827" s="27" t="s">
        <v>2303</v>
      </c>
      <c r="C827" s="27" t="s">
        <v>3385</v>
      </c>
      <c r="D827" s="27" t="s">
        <v>2292</v>
      </c>
      <c r="E827" s="27" t="s">
        <v>2304</v>
      </c>
      <c r="F827" s="32" t="n">
        <v>24.1303077217831</v>
      </c>
      <c r="G827" s="28" t="n">
        <v>7187.74141936792</v>
      </c>
      <c r="H827" s="28" t="n">
        <v>323.890766690447</v>
      </c>
      <c r="I827" s="7" t="s">
        <v>24</v>
      </c>
      <c r="J827" s="27" t="s">
        <v>303</v>
      </c>
      <c r="K827" s="27" t="s">
        <v>602</v>
      </c>
      <c r="L827" s="27" t="n">
        <v>103</v>
      </c>
      <c r="M827" s="27" t="s">
        <v>284</v>
      </c>
      <c r="N827" s="27" t="s">
        <v>2640</v>
      </c>
      <c r="O827" s="27" t="s">
        <v>285</v>
      </c>
      <c r="P827" s="27" t="s">
        <v>54</v>
      </c>
      <c r="Q827" s="27" t="n">
        <v>0</v>
      </c>
      <c r="R827" s="27"/>
      <c r="S827" s="27" t="s">
        <v>41</v>
      </c>
      <c r="T827" s="27" t="s">
        <v>42</v>
      </c>
      <c r="U827" s="27" t="s">
        <v>44</v>
      </c>
      <c r="V827" s="27" t="s">
        <v>284</v>
      </c>
      <c r="W827" s="27"/>
      <c r="X827" s="27"/>
      <c r="Y827" s="27" t="s">
        <v>3372</v>
      </c>
      <c r="Z827" s="27" t="n">
        <v>-7.2176375</v>
      </c>
      <c r="AA827" s="27" t="n">
        <v>-48.218647</v>
      </c>
      <c r="AB827" s="37" t="s">
        <v>2338</v>
      </c>
      <c r="AC827" s="27" t="s">
        <v>3373</v>
      </c>
    </row>
    <row r="828" customFormat="false" ht="15" hidden="false" customHeight="false" outlineLevel="0" collapsed="false">
      <c r="A828" s="27" t="n">
        <v>827</v>
      </c>
      <c r="B828" s="27" t="s">
        <v>2305</v>
      </c>
      <c r="C828" s="27" t="s">
        <v>3386</v>
      </c>
      <c r="D828" s="27" t="s">
        <v>2300</v>
      </c>
      <c r="E828" s="27" t="s">
        <v>2306</v>
      </c>
      <c r="F828" s="32" t="n">
        <v>181.814548236924</v>
      </c>
      <c r="G828" s="28" t="n">
        <v>7407.03005082314</v>
      </c>
      <c r="H828" s="28" t="n">
        <v>181.814548236924</v>
      </c>
      <c r="I828" s="7" t="s">
        <v>24</v>
      </c>
      <c r="J828" s="27" t="s">
        <v>303</v>
      </c>
      <c r="K828" s="27" t="s">
        <v>602</v>
      </c>
      <c r="L828" s="27" t="n">
        <v>104</v>
      </c>
      <c r="M828" s="27" t="s">
        <v>286</v>
      </c>
      <c r="N828" s="27" t="s">
        <v>2640</v>
      </c>
      <c r="O828" s="27" t="s">
        <v>287</v>
      </c>
      <c r="P828" s="27" t="s">
        <v>288</v>
      </c>
      <c r="Q828" s="27" t="n">
        <v>1</v>
      </c>
      <c r="R828" s="27"/>
      <c r="S828" s="27" t="s">
        <v>41</v>
      </c>
      <c r="T828" s="27" t="s">
        <v>42</v>
      </c>
      <c r="U828" s="27" t="s">
        <v>44</v>
      </c>
      <c r="V828" s="27" t="s">
        <v>284</v>
      </c>
      <c r="W828" s="27" t="s">
        <v>286</v>
      </c>
      <c r="X828" s="27"/>
      <c r="Y828" s="27" t="s">
        <v>3387</v>
      </c>
      <c r="Z828" s="27" t="n">
        <v>-7.2191175</v>
      </c>
      <c r="AA828" s="27" t="n">
        <v>-48.218633</v>
      </c>
      <c r="AB828" s="37" t="s">
        <v>2338</v>
      </c>
      <c r="AC828" s="27" t="s">
        <v>3388</v>
      </c>
    </row>
    <row r="829" customFormat="false" ht="15" hidden="false" customHeight="false" outlineLevel="0" collapsed="false">
      <c r="A829" s="27" t="n">
        <v>828</v>
      </c>
      <c r="B829" s="27" t="s">
        <v>2307</v>
      </c>
      <c r="C829" s="27" t="s">
        <v>3389</v>
      </c>
      <c r="D829" s="27" t="s">
        <v>2306</v>
      </c>
      <c r="E829" s="27" t="s">
        <v>2308</v>
      </c>
      <c r="F829" s="32" t="n">
        <v>238.867152701626</v>
      </c>
      <c r="G829" s="28" t="n">
        <v>7645.89720352477</v>
      </c>
      <c r="H829" s="28" t="n">
        <v>420.68170093855</v>
      </c>
      <c r="I829" s="7" t="s">
        <v>24</v>
      </c>
      <c r="J829" s="27" t="s">
        <v>303</v>
      </c>
      <c r="K829" s="27" t="s">
        <v>602</v>
      </c>
      <c r="L829" s="27" t="n">
        <v>104</v>
      </c>
      <c r="M829" s="27" t="s">
        <v>286</v>
      </c>
      <c r="N829" s="27" t="s">
        <v>2640</v>
      </c>
      <c r="O829" s="27" t="s">
        <v>287</v>
      </c>
      <c r="P829" s="27" t="s">
        <v>288</v>
      </c>
      <c r="Q829" s="27" t="n">
        <v>1</v>
      </c>
      <c r="R829" s="27"/>
      <c r="S829" s="27" t="s">
        <v>41</v>
      </c>
      <c r="T829" s="27" t="s">
        <v>42</v>
      </c>
      <c r="U829" s="27" t="s">
        <v>44</v>
      </c>
      <c r="V829" s="27" t="s">
        <v>284</v>
      </c>
      <c r="W829" s="27" t="s">
        <v>286</v>
      </c>
      <c r="X829" s="27"/>
      <c r="Y829" s="27" t="s">
        <v>3387</v>
      </c>
      <c r="Z829" s="27" t="n">
        <v>-7.2203905</v>
      </c>
      <c r="AA829" s="27" t="n">
        <v>-48.2196045</v>
      </c>
      <c r="AB829" s="37" t="s">
        <v>2338</v>
      </c>
      <c r="AC829" s="27" t="s">
        <v>3388</v>
      </c>
    </row>
    <row r="830" customFormat="false" ht="15" hidden="false" customHeight="false" outlineLevel="0" collapsed="false">
      <c r="A830" s="27" t="n">
        <v>829</v>
      </c>
      <c r="B830" s="27" t="s">
        <v>2309</v>
      </c>
      <c r="C830" s="27" t="s">
        <v>3390</v>
      </c>
      <c r="D830" s="27" t="s">
        <v>2308</v>
      </c>
      <c r="E830" s="27" t="s">
        <v>2310</v>
      </c>
      <c r="F830" s="32" t="n">
        <v>3.09076607447682</v>
      </c>
      <c r="G830" s="28" t="n">
        <v>7648.98796959924</v>
      </c>
      <c r="H830" s="28" t="n">
        <v>423.772467013027</v>
      </c>
      <c r="I830" s="7" t="s">
        <v>24</v>
      </c>
      <c r="J830" s="27" t="s">
        <v>303</v>
      </c>
      <c r="K830" s="27" t="s">
        <v>602</v>
      </c>
      <c r="L830" s="27" t="n">
        <v>104</v>
      </c>
      <c r="M830" s="27" t="s">
        <v>286</v>
      </c>
      <c r="N830" s="27" t="s">
        <v>2640</v>
      </c>
      <c r="O830" s="27" t="s">
        <v>287</v>
      </c>
      <c r="P830" s="27" t="s">
        <v>54</v>
      </c>
      <c r="Q830" s="27" t="n">
        <v>0</v>
      </c>
      <c r="R830" s="27"/>
      <c r="S830" s="27" t="s">
        <v>41</v>
      </c>
      <c r="T830" s="27" t="s">
        <v>42</v>
      </c>
      <c r="U830" s="27" t="s">
        <v>44</v>
      </c>
      <c r="V830" s="27" t="s">
        <v>284</v>
      </c>
      <c r="W830" s="27" t="s">
        <v>286</v>
      </c>
      <c r="X830" s="27"/>
      <c r="Y830" s="27" t="s">
        <v>3387</v>
      </c>
      <c r="Z830" s="27" t="n">
        <v>-7.2208455</v>
      </c>
      <c r="AA830" s="27" t="n">
        <v>-48.220599</v>
      </c>
      <c r="AB830" s="37" t="s">
        <v>2338</v>
      </c>
      <c r="AC830" s="27" t="s">
        <v>3388</v>
      </c>
    </row>
    <row r="831" customFormat="false" ht="15" hidden="false" customHeight="false" outlineLevel="0" collapsed="false">
      <c r="A831" s="27" t="n">
        <v>830</v>
      </c>
      <c r="B831" s="27" t="s">
        <v>2311</v>
      </c>
      <c r="C831" s="27" t="s">
        <v>3391</v>
      </c>
      <c r="D831" s="27" t="s">
        <v>2310</v>
      </c>
      <c r="E831" s="27" t="s">
        <v>2312</v>
      </c>
      <c r="F831" s="32" t="n">
        <v>39.9357986198794</v>
      </c>
      <c r="G831" s="28" t="n">
        <v>7688.92376821912</v>
      </c>
      <c r="H831" s="28" t="n">
        <v>463.708265632906</v>
      </c>
      <c r="I831" s="7" t="s">
        <v>24</v>
      </c>
      <c r="J831" s="27" t="s">
        <v>303</v>
      </c>
      <c r="K831" s="27" t="s">
        <v>602</v>
      </c>
      <c r="L831" s="27" t="n">
        <v>104</v>
      </c>
      <c r="M831" s="27" t="s">
        <v>286</v>
      </c>
      <c r="N831" s="27" t="s">
        <v>2640</v>
      </c>
      <c r="O831" s="27" t="s">
        <v>287</v>
      </c>
      <c r="P831" s="27" t="s">
        <v>54</v>
      </c>
      <c r="Q831" s="27" t="n">
        <v>0</v>
      </c>
      <c r="R831" s="27"/>
      <c r="S831" s="27" t="s">
        <v>41</v>
      </c>
      <c r="T831" s="27" t="s">
        <v>42</v>
      </c>
      <c r="U831" s="27" t="s">
        <v>44</v>
      </c>
      <c r="V831" s="27" t="s">
        <v>284</v>
      </c>
      <c r="W831" s="27" t="s">
        <v>286</v>
      </c>
      <c r="X831" s="27"/>
      <c r="Y831" s="27" t="s">
        <v>3387</v>
      </c>
      <c r="Z831" s="27" t="n">
        <v>-7.220847</v>
      </c>
      <c r="AA831" s="27" t="n">
        <v>-48.220794</v>
      </c>
      <c r="AB831" s="37" t="s">
        <v>2338</v>
      </c>
      <c r="AC831" s="27" t="s">
        <v>3388</v>
      </c>
    </row>
    <row r="832" customFormat="false" ht="15" hidden="false" customHeight="false" outlineLevel="0" collapsed="false">
      <c r="A832" s="27" t="n">
        <v>831</v>
      </c>
      <c r="B832" s="27" t="s">
        <v>2313</v>
      </c>
      <c r="C832" s="27" t="s">
        <v>3392</v>
      </c>
      <c r="D832" s="27" t="s">
        <v>2308</v>
      </c>
      <c r="E832" s="27" t="s">
        <v>2314</v>
      </c>
      <c r="F832" s="32" t="n">
        <v>1.97379080169774</v>
      </c>
      <c r="G832" s="28" t="n">
        <v>7647.87099432646</v>
      </c>
      <c r="H832" s="28" t="n">
        <v>422.655491740247</v>
      </c>
      <c r="I832" s="7" t="s">
        <v>24</v>
      </c>
      <c r="J832" s="27" t="s">
        <v>303</v>
      </c>
      <c r="K832" s="27" t="s">
        <v>602</v>
      </c>
      <c r="L832" s="27" t="n">
        <v>104</v>
      </c>
      <c r="M832" s="27" t="s">
        <v>286</v>
      </c>
      <c r="N832" s="27" t="s">
        <v>2640</v>
      </c>
      <c r="O832" s="27" t="s">
        <v>287</v>
      </c>
      <c r="P832" s="27" t="s">
        <v>288</v>
      </c>
      <c r="Q832" s="27" t="n">
        <v>1</v>
      </c>
      <c r="R832" s="27"/>
      <c r="S832" s="27" t="s">
        <v>41</v>
      </c>
      <c r="T832" s="27" t="s">
        <v>42</v>
      </c>
      <c r="U832" s="27" t="s">
        <v>44</v>
      </c>
      <c r="V832" s="27" t="s">
        <v>284</v>
      </c>
      <c r="W832" s="27" t="s">
        <v>286</v>
      </c>
      <c r="X832" s="27"/>
      <c r="Y832" s="27" t="s">
        <v>3387</v>
      </c>
      <c r="Z832" s="27" t="n">
        <v>-7.220853</v>
      </c>
      <c r="AA832" s="27" t="n">
        <v>-48.2205795</v>
      </c>
      <c r="AB832" s="37" t="s">
        <v>2338</v>
      </c>
      <c r="AC832" s="27" t="s">
        <v>3388</v>
      </c>
    </row>
    <row r="833" customFormat="false" ht="15" hidden="false" customHeight="false" outlineLevel="0" collapsed="false">
      <c r="A833" s="27" t="n">
        <v>832</v>
      </c>
      <c r="B833" s="27" t="s">
        <v>2315</v>
      </c>
      <c r="C833" s="27" t="s">
        <v>3393</v>
      </c>
      <c r="D833" s="27" t="s">
        <v>2306</v>
      </c>
      <c r="E833" s="27" t="s">
        <v>2316</v>
      </c>
      <c r="F833" s="32" t="n">
        <v>13.3117827437865</v>
      </c>
      <c r="G833" s="28" t="n">
        <v>7420.34183356693</v>
      </c>
      <c r="H833" s="28" t="n">
        <v>195.12633098071</v>
      </c>
      <c r="I833" s="7" t="s">
        <v>24</v>
      </c>
      <c r="J833" s="27" t="s">
        <v>303</v>
      </c>
      <c r="K833" s="27" t="s">
        <v>602</v>
      </c>
      <c r="L833" s="27" t="n">
        <v>104</v>
      </c>
      <c r="M833" s="27" t="s">
        <v>286</v>
      </c>
      <c r="N833" s="27" t="s">
        <v>2640</v>
      </c>
      <c r="O833" s="27" t="s">
        <v>287</v>
      </c>
      <c r="P833" s="27" t="s">
        <v>54</v>
      </c>
      <c r="Q833" s="27" t="n">
        <v>0</v>
      </c>
      <c r="R833" s="27"/>
      <c r="S833" s="27" t="s">
        <v>41</v>
      </c>
      <c r="T833" s="27" t="s">
        <v>42</v>
      </c>
      <c r="U833" s="27" t="s">
        <v>44</v>
      </c>
      <c r="V833" s="27" t="s">
        <v>284</v>
      </c>
      <c r="W833" s="27" t="s">
        <v>286</v>
      </c>
      <c r="X833" s="27"/>
      <c r="Y833" s="27" t="s">
        <v>3387</v>
      </c>
      <c r="Z833" s="27" t="n">
        <v>-7.2199645</v>
      </c>
      <c r="AA833" s="27" t="n">
        <v>-48.2186765</v>
      </c>
      <c r="AB833" s="37" t="s">
        <v>2338</v>
      </c>
      <c r="AC833" s="27" t="s">
        <v>3388</v>
      </c>
    </row>
    <row r="834" customFormat="false" ht="15" hidden="false" customHeight="false" outlineLevel="0" collapsed="false">
      <c r="A834" s="27" t="n">
        <v>833</v>
      </c>
      <c r="B834" s="27" t="s">
        <v>2317</v>
      </c>
      <c r="C834" s="27" t="s">
        <v>3394</v>
      </c>
      <c r="D834" s="27" t="s">
        <v>2306</v>
      </c>
      <c r="E834" s="27" t="s">
        <v>2318</v>
      </c>
      <c r="F834" s="32" t="n">
        <v>9.86776061052029</v>
      </c>
      <c r="G834" s="28" t="n">
        <v>7416.89781143366</v>
      </c>
      <c r="H834" s="28" t="n">
        <v>191.682308847444</v>
      </c>
      <c r="I834" s="7" t="s">
        <v>24</v>
      </c>
      <c r="J834" s="27" t="s">
        <v>303</v>
      </c>
      <c r="K834" s="27" t="s">
        <v>602</v>
      </c>
      <c r="L834" s="27" t="n">
        <v>104</v>
      </c>
      <c r="M834" s="27" t="s">
        <v>286</v>
      </c>
      <c r="N834" s="27" t="s">
        <v>2640</v>
      </c>
      <c r="O834" s="27" t="s">
        <v>287</v>
      </c>
      <c r="P834" s="27" t="s">
        <v>54</v>
      </c>
      <c r="Q834" s="27" t="n">
        <v>0</v>
      </c>
      <c r="R834" s="27"/>
      <c r="S834" s="27" t="s">
        <v>41</v>
      </c>
      <c r="T834" s="27" t="s">
        <v>42</v>
      </c>
      <c r="U834" s="27" t="s">
        <v>44</v>
      </c>
      <c r="V834" s="27" t="s">
        <v>284</v>
      </c>
      <c r="W834" s="27" t="s">
        <v>286</v>
      </c>
      <c r="X834" s="27"/>
      <c r="Y834" s="27" t="s">
        <v>3387</v>
      </c>
      <c r="Z834" s="27" t="n">
        <v>-7.219966</v>
      </c>
      <c r="AA834" s="27" t="n">
        <v>-48.218656</v>
      </c>
      <c r="AB834" s="37" t="s">
        <v>2338</v>
      </c>
      <c r="AC834" s="27" t="s">
        <v>3388</v>
      </c>
    </row>
    <row r="835" customFormat="false" ht="15" hidden="false" customHeight="false" outlineLevel="0" collapsed="false">
      <c r="A835" s="27" t="n">
        <v>834</v>
      </c>
      <c r="B835" s="27" t="s">
        <v>2319</v>
      </c>
      <c r="C835" s="27" t="s">
        <v>3395</v>
      </c>
      <c r="D835" s="27" t="s">
        <v>2314</v>
      </c>
      <c r="E835" s="27" t="s">
        <v>2320</v>
      </c>
      <c r="F835" s="32" t="n">
        <v>18.075189589398</v>
      </c>
      <c r="G835" s="28" t="n">
        <v>7665.94618391586</v>
      </c>
      <c r="H835" s="28" t="n">
        <v>18.0751895893982</v>
      </c>
      <c r="I835" s="7" t="s">
        <v>24</v>
      </c>
      <c r="J835" s="27" t="s">
        <v>303</v>
      </c>
      <c r="K835" s="27" t="s">
        <v>602</v>
      </c>
      <c r="L835" s="27" t="n">
        <v>105</v>
      </c>
      <c r="M835" s="27" t="s">
        <v>288</v>
      </c>
      <c r="N835" s="27" t="s">
        <v>2640</v>
      </c>
      <c r="O835" s="27" t="s">
        <v>289</v>
      </c>
      <c r="P835" s="27" t="s">
        <v>54</v>
      </c>
      <c r="Q835" s="27" t="n">
        <v>0</v>
      </c>
      <c r="R835" s="27"/>
      <c r="S835" s="27" t="s">
        <v>41</v>
      </c>
      <c r="T835" s="27" t="s">
        <v>42</v>
      </c>
      <c r="U835" s="27" t="s">
        <v>44</v>
      </c>
      <c r="V835" s="27" t="s">
        <v>284</v>
      </c>
      <c r="W835" s="27" t="s">
        <v>286</v>
      </c>
      <c r="X835" s="27" t="s">
        <v>288</v>
      </c>
      <c r="Y835" s="27" t="s">
        <v>3396</v>
      </c>
      <c r="Z835" s="27" t="n">
        <v>-7.220924</v>
      </c>
      <c r="AA835" s="27" t="n">
        <v>-48.2205235</v>
      </c>
      <c r="AB835" s="37" t="s">
        <v>2338</v>
      </c>
      <c r="AC835" s="27" t="s">
        <v>3397</v>
      </c>
    </row>
    <row r="836" customFormat="false" ht="15" hidden="false" customHeight="false" outlineLevel="0" collapsed="false">
      <c r="A836" s="27" t="n">
        <v>835</v>
      </c>
      <c r="B836" s="27" t="s">
        <v>2321</v>
      </c>
      <c r="C836" s="27" t="s">
        <v>3398</v>
      </c>
      <c r="D836" s="27" t="s">
        <v>2302</v>
      </c>
      <c r="E836" s="27" t="s">
        <v>2322</v>
      </c>
      <c r="F836" s="32" t="n">
        <v>17.9814824451083</v>
      </c>
      <c r="G836" s="28" t="n">
        <v>7213.6030601567</v>
      </c>
      <c r="H836" s="28" t="n">
        <v>17.9814824451087</v>
      </c>
      <c r="I836" s="7" t="s">
        <v>24</v>
      </c>
      <c r="J836" s="27" t="s">
        <v>303</v>
      </c>
      <c r="K836" s="27" t="s">
        <v>602</v>
      </c>
      <c r="L836" s="27" t="n">
        <v>106</v>
      </c>
      <c r="M836" s="27" t="s">
        <v>290</v>
      </c>
      <c r="N836" s="27" t="s">
        <v>2640</v>
      </c>
      <c r="O836" s="27" t="s">
        <v>291</v>
      </c>
      <c r="P836" s="27" t="s">
        <v>54</v>
      </c>
      <c r="Q836" s="27" t="n">
        <v>0</v>
      </c>
      <c r="R836" s="27"/>
      <c r="S836" s="27" t="s">
        <v>41</v>
      </c>
      <c r="T836" s="27" t="s">
        <v>42</v>
      </c>
      <c r="U836" s="27" t="s">
        <v>44</v>
      </c>
      <c r="V836" s="27" t="s">
        <v>284</v>
      </c>
      <c r="W836" s="27" t="s">
        <v>290</v>
      </c>
      <c r="X836" s="27"/>
      <c r="Y836" s="27" t="s">
        <v>3399</v>
      </c>
      <c r="Z836" s="27" t="n">
        <v>-7.2180155</v>
      </c>
      <c r="AA836" s="27" t="n">
        <v>-48.2185435</v>
      </c>
      <c r="AB836" s="37" t="s">
        <v>2338</v>
      </c>
      <c r="AC836" s="27" t="s">
        <v>3400</v>
      </c>
    </row>
    <row r="837" customFormat="false" ht="15" hidden="false" customHeight="false" outlineLevel="0" collapsed="false">
      <c r="A837" s="27" t="n">
        <v>836</v>
      </c>
      <c r="B837" s="27" t="s">
        <v>2323</v>
      </c>
      <c r="C837" s="27" t="s">
        <v>3401</v>
      </c>
      <c r="D837" s="27" t="s">
        <v>957</v>
      </c>
      <c r="E837" s="27" t="s">
        <v>2324</v>
      </c>
      <c r="F837" s="32" t="n">
        <v>15.0789835379477</v>
      </c>
      <c r="G837" s="28" t="n">
        <v>7359.45330211292</v>
      </c>
      <c r="H837" s="28" t="n">
        <v>15.0789835379474</v>
      </c>
      <c r="I837" s="7" t="s">
        <v>24</v>
      </c>
      <c r="J837" s="27" t="s">
        <v>303</v>
      </c>
      <c r="K837" s="27" t="s">
        <v>609</v>
      </c>
      <c r="L837" s="27" t="n">
        <v>107</v>
      </c>
      <c r="M837" s="27" t="s">
        <v>293</v>
      </c>
      <c r="N837" s="27" t="s">
        <v>2640</v>
      </c>
      <c r="O837" s="27" t="s">
        <v>294</v>
      </c>
      <c r="P837" s="27" t="s">
        <v>54</v>
      </c>
      <c r="Q837" s="27" t="n">
        <v>0</v>
      </c>
      <c r="R837" s="27"/>
      <c r="S837" s="27" t="s">
        <v>41</v>
      </c>
      <c r="T837" s="27" t="s">
        <v>42</v>
      </c>
      <c r="U837" s="27" t="s">
        <v>44</v>
      </c>
      <c r="V837" s="27" t="s">
        <v>293</v>
      </c>
      <c r="W837" s="27"/>
      <c r="X837" s="27"/>
      <c r="Y837" s="27" t="s">
        <v>3402</v>
      </c>
      <c r="Z837" s="27" t="n">
        <v>-7.2159225</v>
      </c>
      <c r="AA837" s="27" t="n">
        <v>-48.2173695</v>
      </c>
      <c r="AB837" s="37" t="s">
        <v>2338</v>
      </c>
      <c r="AC837" s="27" t="s">
        <v>3403</v>
      </c>
    </row>
    <row r="838" customFormat="false" ht="15" hidden="false" customHeight="false" outlineLevel="0" collapsed="false">
      <c r="A838" s="27" t="n">
        <v>837</v>
      </c>
      <c r="B838" s="27" t="s">
        <v>2325</v>
      </c>
      <c r="C838" s="27" t="s">
        <v>3404</v>
      </c>
      <c r="D838" s="27" t="s">
        <v>957</v>
      </c>
      <c r="E838" s="27" t="s">
        <v>298</v>
      </c>
      <c r="F838" s="32" t="n">
        <v>4.54232460722324</v>
      </c>
      <c r="G838" s="28" t="n">
        <v>7348.91664318219</v>
      </c>
      <c r="H838" s="28" t="n">
        <v>4.54232460722324</v>
      </c>
      <c r="I838" s="7" t="s">
        <v>24</v>
      </c>
      <c r="J838" s="27" t="s">
        <v>303</v>
      </c>
      <c r="K838" s="27" t="s">
        <v>609</v>
      </c>
      <c r="L838" s="27" t="n">
        <v>107</v>
      </c>
      <c r="M838" s="27" t="s">
        <v>293</v>
      </c>
      <c r="N838" s="27" t="s">
        <v>2640</v>
      </c>
      <c r="O838" s="27" t="s">
        <v>294</v>
      </c>
      <c r="P838" s="27" t="s">
        <v>54</v>
      </c>
      <c r="Q838" s="27" t="n">
        <v>0</v>
      </c>
      <c r="R838" s="27"/>
      <c r="S838" s="27" t="s">
        <v>41</v>
      </c>
      <c r="T838" s="27" t="s">
        <v>42</v>
      </c>
      <c r="U838" s="27" t="s">
        <v>44</v>
      </c>
      <c r="V838" s="27" t="s">
        <v>293</v>
      </c>
      <c r="W838" s="27"/>
      <c r="X838" s="27"/>
      <c r="Y838" s="27" t="s">
        <v>3402</v>
      </c>
      <c r="Z838" s="27" t="n">
        <v>-7.2158745</v>
      </c>
      <c r="AA838" s="27" t="n">
        <v>-48.2173815</v>
      </c>
      <c r="AB838" s="37" t="s">
        <v>2338</v>
      </c>
      <c r="AC838" s="27" t="s">
        <v>3403</v>
      </c>
    </row>
  </sheetData>
  <hyperlinks>
    <hyperlink ref="AB2" r:id="rId2" display="abrir"/>
    <hyperlink ref="AB3" r:id="rId3" display="abrir"/>
    <hyperlink ref="AB4" r:id="rId4" display="abrir"/>
    <hyperlink ref="AB5" r:id="rId5" display="abrir"/>
    <hyperlink ref="AB6" r:id="rId6" display="abrir"/>
    <hyperlink ref="AB7" r:id="rId7" display="abrir"/>
    <hyperlink ref="AB8" r:id="rId8" display="abrir"/>
    <hyperlink ref="AB9" r:id="rId9" display="abrir"/>
    <hyperlink ref="AB10" r:id="rId10" display="abrir"/>
    <hyperlink ref="AB11" r:id="rId11" display="abrir"/>
    <hyperlink ref="AB12" r:id="rId12" display="abrir"/>
    <hyperlink ref="AB13" r:id="rId13" display="abrir"/>
    <hyperlink ref="AB14" r:id="rId14" display="abrir"/>
    <hyperlink ref="AB15" r:id="rId15" display="abrir"/>
    <hyperlink ref="AB16" r:id="rId16" display="abrir"/>
    <hyperlink ref="AB17" r:id="rId17" display="abrir"/>
    <hyperlink ref="AB18" r:id="rId18" display="abrir"/>
    <hyperlink ref="AB19" r:id="rId19" display="abrir"/>
    <hyperlink ref="AB20" r:id="rId20" display="abrir"/>
    <hyperlink ref="AB21" r:id="rId21" display="abrir"/>
    <hyperlink ref="AB22" r:id="rId22" display="abrir"/>
    <hyperlink ref="AB23" r:id="rId23" display="abrir"/>
    <hyperlink ref="AB24" r:id="rId24" display="abrir"/>
    <hyperlink ref="AB25" r:id="rId25" display="abrir"/>
    <hyperlink ref="AB26" r:id="rId26" display="abrir"/>
    <hyperlink ref="AB27" r:id="rId27" display="abrir"/>
    <hyperlink ref="AB28" r:id="rId28" display="abrir"/>
    <hyperlink ref="AB29" r:id="rId29" display="abrir"/>
    <hyperlink ref="AB30" r:id="rId30" display="abrir"/>
    <hyperlink ref="AB31" r:id="rId31" display="abrir"/>
    <hyperlink ref="AB32" r:id="rId32" display="abrir"/>
    <hyperlink ref="AB33" r:id="rId33" display="abrir"/>
    <hyperlink ref="AB34" r:id="rId34" display="abrir"/>
    <hyperlink ref="AB35" r:id="rId35" display="abrir"/>
    <hyperlink ref="AB36" r:id="rId36" display="abrir"/>
    <hyperlink ref="AB37" r:id="rId37" display="abrir"/>
    <hyperlink ref="AB38" r:id="rId38" display="abrir"/>
    <hyperlink ref="AB39" r:id="rId39" display="abrir"/>
    <hyperlink ref="AB40" r:id="rId40" display="abrir"/>
    <hyperlink ref="AB41" r:id="rId41" display="abrir"/>
    <hyperlink ref="AB42" r:id="rId42" display="abrir"/>
    <hyperlink ref="AB43" r:id="rId43" display="abrir"/>
    <hyperlink ref="AB44" r:id="rId44" display="abrir"/>
    <hyperlink ref="AB45" r:id="rId45" display="abrir"/>
    <hyperlink ref="AB46" r:id="rId46" display="abrir"/>
    <hyperlink ref="AB47" r:id="rId47" display="abrir"/>
    <hyperlink ref="AB48" r:id="rId48" display="abrir"/>
    <hyperlink ref="AB49" r:id="rId49" display="abrir"/>
    <hyperlink ref="AB50" r:id="rId50" display="abrir"/>
    <hyperlink ref="AB51" r:id="rId51" display="abrir"/>
    <hyperlink ref="AB52" r:id="rId52" display="abrir"/>
    <hyperlink ref="AB53" r:id="rId53" display="abrir"/>
    <hyperlink ref="AB54" r:id="rId54" display="abrir"/>
    <hyperlink ref="AB55" r:id="rId55" display="abrir"/>
    <hyperlink ref="AB56" r:id="rId56" display="abrir"/>
    <hyperlink ref="AB57" r:id="rId57" display="abrir"/>
    <hyperlink ref="AB58" r:id="rId58" display="abrir"/>
    <hyperlink ref="AB59" r:id="rId59" display="abrir"/>
    <hyperlink ref="AB60" r:id="rId60" display="abrir"/>
    <hyperlink ref="AB61" r:id="rId61" display="abrir"/>
    <hyperlink ref="AB62" r:id="rId62" display="abrir"/>
    <hyperlink ref="AB63" r:id="rId63" display="abrir"/>
    <hyperlink ref="AB64" r:id="rId64" display="abrir"/>
    <hyperlink ref="AB65" r:id="rId65" display="abrir"/>
    <hyperlink ref="AB66" r:id="rId66" display="abrir"/>
    <hyperlink ref="AB67" r:id="rId67" display="abrir"/>
    <hyperlink ref="AB68" r:id="rId68" display="abrir"/>
    <hyperlink ref="AB69" r:id="rId69" display="abrir"/>
    <hyperlink ref="AB70" r:id="rId70" display="abrir"/>
    <hyperlink ref="AB71" r:id="rId71" display="abrir"/>
    <hyperlink ref="AB72" r:id="rId72" display="abrir"/>
    <hyperlink ref="AB73" r:id="rId73" display="abrir"/>
    <hyperlink ref="AB74" r:id="rId74" display="abrir"/>
    <hyperlink ref="AB75" r:id="rId75" display="abrir"/>
    <hyperlink ref="AB76" r:id="rId76" display="abrir"/>
    <hyperlink ref="AB77" r:id="rId77" display="abrir"/>
    <hyperlink ref="AB78" r:id="rId78" display="abrir"/>
    <hyperlink ref="AB79" r:id="rId79" display="abrir"/>
    <hyperlink ref="AB80" r:id="rId80" display="abrir"/>
    <hyperlink ref="AB81" r:id="rId81" display="abrir"/>
    <hyperlink ref="AB82" r:id="rId82" display="abrir"/>
    <hyperlink ref="AB83" r:id="rId83" display="abrir"/>
    <hyperlink ref="AB84" r:id="rId84" display="abrir"/>
    <hyperlink ref="AB85" r:id="rId85" display="abrir"/>
    <hyperlink ref="AB86" r:id="rId86" display="abrir"/>
    <hyperlink ref="AB87" r:id="rId87" display="abrir"/>
    <hyperlink ref="AB88" r:id="rId88" display="abrir"/>
    <hyperlink ref="AB89" r:id="rId89" display="abrir"/>
    <hyperlink ref="AB90" r:id="rId90" display="abrir"/>
    <hyperlink ref="AB91" r:id="rId91" display="abrir"/>
    <hyperlink ref="AB92" r:id="rId92" display="abrir"/>
    <hyperlink ref="AB93" r:id="rId93" display="abrir"/>
    <hyperlink ref="AB94" r:id="rId94" display="abrir"/>
    <hyperlink ref="AB95" r:id="rId95" display="abrir"/>
    <hyperlink ref="AB96" r:id="rId96" display="abrir"/>
    <hyperlink ref="AB97" r:id="rId97" display="abrir"/>
    <hyperlink ref="AB98" r:id="rId98" display="abrir"/>
    <hyperlink ref="AB99" r:id="rId99" display="abrir"/>
    <hyperlink ref="AB100" r:id="rId100" display="abrir"/>
    <hyperlink ref="AB101" r:id="rId101" display="abrir"/>
    <hyperlink ref="AB102" r:id="rId102" display="abrir"/>
    <hyperlink ref="AB103" r:id="rId103" display="abrir"/>
    <hyperlink ref="AB104" r:id="rId104" display="abrir"/>
    <hyperlink ref="AB105" r:id="rId105" display="abrir"/>
    <hyperlink ref="AB106" r:id="rId106" display="abrir"/>
    <hyperlink ref="AB107" r:id="rId107" display="abrir"/>
    <hyperlink ref="AB108" r:id="rId108" display="abrir"/>
    <hyperlink ref="AB109" r:id="rId109" display="abrir"/>
    <hyperlink ref="AB110" r:id="rId110" display="abrir"/>
    <hyperlink ref="AB111" r:id="rId111" display="abrir"/>
    <hyperlink ref="AB112" r:id="rId112" display="abrir"/>
    <hyperlink ref="AB113" r:id="rId113" display="abrir"/>
    <hyperlink ref="AB114" r:id="rId114" display="abrir"/>
    <hyperlink ref="AB115" r:id="rId115" display="abrir"/>
    <hyperlink ref="AB116" r:id="rId116" display="abrir"/>
    <hyperlink ref="AB117" r:id="rId117" display="abrir"/>
    <hyperlink ref="AB118" r:id="rId118" display="abrir"/>
    <hyperlink ref="AB119" r:id="rId119" display="abrir"/>
    <hyperlink ref="AB120" r:id="rId120" display="abrir"/>
    <hyperlink ref="AB121" r:id="rId121" display="abrir"/>
    <hyperlink ref="AB122" r:id="rId122" display="abrir"/>
    <hyperlink ref="AB123" r:id="rId123" display="abrir"/>
    <hyperlink ref="AB124" r:id="rId124" display="abrir"/>
    <hyperlink ref="AB125" r:id="rId125" display="abrir"/>
    <hyperlink ref="AB126" r:id="rId126" display="abrir"/>
    <hyperlink ref="AB127" r:id="rId127" display="abrir"/>
    <hyperlink ref="AB128" r:id="rId128" display="abrir"/>
    <hyperlink ref="AB129" r:id="rId129" display="abrir"/>
    <hyperlink ref="AB130" r:id="rId130" display="abrir"/>
    <hyperlink ref="AB131" r:id="rId131" display="abrir"/>
    <hyperlink ref="AB132" r:id="rId132" display="abrir"/>
    <hyperlink ref="AB133" r:id="rId133" display="abrir"/>
    <hyperlink ref="AB134" r:id="rId134" display="abrir"/>
    <hyperlink ref="AB135" r:id="rId135" display="abrir"/>
    <hyperlink ref="AB136" r:id="rId136" display="abrir"/>
    <hyperlink ref="AB137" r:id="rId137" display="abrir"/>
    <hyperlink ref="AB138" r:id="rId138" display="abrir"/>
    <hyperlink ref="AB139" r:id="rId139" display="abrir"/>
    <hyperlink ref="AB140" r:id="rId140" display="abrir"/>
    <hyperlink ref="AB141" r:id="rId141" display="abrir"/>
    <hyperlink ref="AB142" r:id="rId142" display="abrir"/>
    <hyperlink ref="AB143" r:id="rId143" display="abrir"/>
    <hyperlink ref="AB144" r:id="rId144" display="abrir"/>
    <hyperlink ref="AB145" r:id="rId145" display="abrir"/>
    <hyperlink ref="AB146" r:id="rId146" display="abrir"/>
    <hyperlink ref="AB147" r:id="rId147" display="abrir"/>
    <hyperlink ref="AB148" r:id="rId148" display="abrir"/>
    <hyperlink ref="AB149" r:id="rId149" display="abrir"/>
    <hyperlink ref="AB150" r:id="rId150" display="abrir"/>
    <hyperlink ref="AB151" r:id="rId151" display="abrir"/>
    <hyperlink ref="AB152" r:id="rId152" display="abrir"/>
    <hyperlink ref="AB153" r:id="rId153" display="abrir"/>
    <hyperlink ref="AB154" r:id="rId154" display="abrir"/>
    <hyperlink ref="AB155" r:id="rId155" display="abrir"/>
    <hyperlink ref="AB156" r:id="rId156" display="abrir"/>
    <hyperlink ref="AB157" r:id="rId157" display="abrir"/>
    <hyperlink ref="AB158" r:id="rId158" display="abrir"/>
    <hyperlink ref="AB159" r:id="rId159" display="abrir"/>
    <hyperlink ref="AB160" r:id="rId160" display="abrir"/>
    <hyperlink ref="AB161" r:id="rId161" display="abrir"/>
    <hyperlink ref="AB162" r:id="rId162" display="abrir"/>
    <hyperlink ref="AB163" r:id="rId163" display="abrir"/>
    <hyperlink ref="AB164" r:id="rId164" display="abrir"/>
    <hyperlink ref="AB165" r:id="rId165" display="abrir"/>
    <hyperlink ref="AB166" r:id="rId166" display="abrir"/>
    <hyperlink ref="AB167" r:id="rId167" display="abrir"/>
    <hyperlink ref="AB168" r:id="rId168" display="abrir"/>
    <hyperlink ref="AB169" r:id="rId169" display="abrir"/>
    <hyperlink ref="AB170" r:id="rId170" display="abrir"/>
    <hyperlink ref="AB171" r:id="rId171" display="abrir"/>
    <hyperlink ref="AB172" r:id="rId172" display="abrir"/>
    <hyperlink ref="AB173" r:id="rId173" display="abrir"/>
    <hyperlink ref="AB174" r:id="rId174" display="abrir"/>
    <hyperlink ref="AB175" r:id="rId175" display="abrir"/>
    <hyperlink ref="AB176" r:id="rId176" display="abrir"/>
    <hyperlink ref="AB177" r:id="rId177" display="abrir"/>
    <hyperlink ref="AB178" r:id="rId178" display="abrir"/>
    <hyperlink ref="AB179" r:id="rId179" display="abrir"/>
    <hyperlink ref="AB180" r:id="rId180" display="abrir"/>
    <hyperlink ref="AB181" r:id="rId181" display="abrir"/>
    <hyperlink ref="AB182" r:id="rId182" display="abrir"/>
    <hyperlink ref="AB183" r:id="rId183" display="abrir"/>
    <hyperlink ref="AB184" r:id="rId184" display="abrir"/>
    <hyperlink ref="AB185" r:id="rId185" display="abrir"/>
    <hyperlink ref="AB186" r:id="rId186" display="abrir"/>
    <hyperlink ref="AB187" r:id="rId187" display="abrir"/>
    <hyperlink ref="AB188" r:id="rId188" display="abrir"/>
    <hyperlink ref="AB189" r:id="rId189" display="abrir"/>
    <hyperlink ref="AB190" r:id="rId190" display="abrir"/>
    <hyperlink ref="AB191" r:id="rId191" display="abrir"/>
    <hyperlink ref="AB192" r:id="rId192" display="abrir"/>
    <hyperlink ref="AB193" r:id="rId193" display="abrir"/>
    <hyperlink ref="AB194" r:id="rId194" display="abrir"/>
    <hyperlink ref="AB195" r:id="rId195" display="abrir"/>
    <hyperlink ref="AB196" r:id="rId196" display="abrir"/>
    <hyperlink ref="AB197" r:id="rId197" display="abrir"/>
    <hyperlink ref="AB198" r:id="rId198" display="abrir"/>
    <hyperlink ref="AB199" r:id="rId199" display="abrir"/>
    <hyperlink ref="AB200" r:id="rId200" display="abrir"/>
    <hyperlink ref="AB201" r:id="rId201" display="abrir"/>
    <hyperlink ref="AB202" r:id="rId202" display="abrir"/>
    <hyperlink ref="AB203" r:id="rId203" display="abrir"/>
    <hyperlink ref="AB204" r:id="rId204" display="abrir"/>
    <hyperlink ref="AB205" r:id="rId205" display="abrir"/>
    <hyperlink ref="AB206" r:id="rId206" display="abrir"/>
    <hyperlink ref="AB207" r:id="rId207" display="abrir"/>
    <hyperlink ref="AB208" r:id="rId208" display="abrir"/>
    <hyperlink ref="AB209" r:id="rId209" display="abrir"/>
    <hyperlink ref="AB210" r:id="rId210" display="abrir"/>
    <hyperlink ref="AB211" r:id="rId211" display="abrir"/>
    <hyperlink ref="AB212" r:id="rId212" display="abrir"/>
    <hyperlink ref="AB213" r:id="rId213" display="abrir"/>
    <hyperlink ref="AB214" r:id="rId214" display="abrir"/>
    <hyperlink ref="AB215" r:id="rId215" display="abrir"/>
    <hyperlink ref="AB216" r:id="rId216" display="abrir"/>
    <hyperlink ref="AB217" r:id="rId217" display="abrir"/>
    <hyperlink ref="AB218" r:id="rId218" display="abrir"/>
    <hyperlink ref="AB219" r:id="rId219" display="abrir"/>
    <hyperlink ref="AB220" r:id="rId220" display="abrir"/>
    <hyperlink ref="AB221" r:id="rId221" display="abrir"/>
    <hyperlink ref="AB222" r:id="rId222" display="abrir"/>
    <hyperlink ref="AB223" r:id="rId223" display="abrir"/>
    <hyperlink ref="AB224" r:id="rId224" display="abrir"/>
    <hyperlink ref="AB225" r:id="rId225" display="abrir"/>
    <hyperlink ref="AB226" r:id="rId226" display="abrir"/>
    <hyperlink ref="AB227" r:id="rId227" display="abrir"/>
    <hyperlink ref="AB228" r:id="rId228" display="abrir"/>
    <hyperlink ref="AB229" r:id="rId229" display="abrir"/>
    <hyperlink ref="AB230" r:id="rId230" display="abrir"/>
    <hyperlink ref="AB231" r:id="rId231" display="abrir"/>
    <hyperlink ref="AB232" r:id="rId232" display="abrir"/>
    <hyperlink ref="AB233" r:id="rId233" display="abrir"/>
    <hyperlink ref="AB234" r:id="rId234" display="abrir"/>
    <hyperlink ref="AB235" r:id="rId235" display="abrir"/>
    <hyperlink ref="AB236" r:id="rId236" display="abrir"/>
    <hyperlink ref="AB237" r:id="rId237" display="abrir"/>
    <hyperlink ref="AB238" r:id="rId238" display="abrir"/>
    <hyperlink ref="AB239" r:id="rId239" display="abrir"/>
    <hyperlink ref="AB240" r:id="rId240" display="abrir"/>
    <hyperlink ref="AB241" r:id="rId241" display="abrir"/>
    <hyperlink ref="AB242" r:id="rId242" display="abrir"/>
    <hyperlink ref="AB243" r:id="rId243" display="abrir"/>
    <hyperlink ref="AB244" r:id="rId244" display="abrir"/>
    <hyperlink ref="AB245" r:id="rId245" display="abrir"/>
    <hyperlink ref="AB246" r:id="rId246" display="abrir"/>
    <hyperlink ref="AB247" r:id="rId247" display="abrir"/>
    <hyperlink ref="AB248" r:id="rId248" display="abrir"/>
    <hyperlink ref="AB249" r:id="rId249" display="abrir"/>
    <hyperlink ref="AB250" r:id="rId250" display="abrir"/>
    <hyperlink ref="AB251" r:id="rId251" display="abrir"/>
    <hyperlink ref="AB252" r:id="rId252" display="abrir"/>
    <hyperlink ref="AB253" r:id="rId253" display="abrir"/>
    <hyperlink ref="AB254" r:id="rId254" display="abrir"/>
    <hyperlink ref="AB255" r:id="rId255" display="abrir"/>
    <hyperlink ref="AB256" r:id="rId256" display="abrir"/>
    <hyperlink ref="AB257" r:id="rId257" display="abrir"/>
    <hyperlink ref="AB258" r:id="rId258" display="abrir"/>
    <hyperlink ref="AB259" r:id="rId259" display="abrir"/>
    <hyperlink ref="AB260" r:id="rId260" display="abrir"/>
    <hyperlink ref="AB261" r:id="rId261" display="abrir"/>
    <hyperlink ref="AB262" r:id="rId262" display="abrir"/>
    <hyperlink ref="AB263" r:id="rId263" display="abrir"/>
    <hyperlink ref="AB264" r:id="rId264" display="abrir"/>
    <hyperlink ref="AB265" r:id="rId265" display="abrir"/>
    <hyperlink ref="AB266" r:id="rId266" display="abrir"/>
    <hyperlink ref="AB267" r:id="rId267" display="abrir"/>
    <hyperlink ref="AB268" r:id="rId268" display="abrir"/>
    <hyperlink ref="AB269" r:id="rId269" display="abrir"/>
    <hyperlink ref="AB270" r:id="rId270" display="abrir"/>
    <hyperlink ref="AB271" r:id="rId271" display="abrir"/>
    <hyperlink ref="AB272" r:id="rId272" display="abrir"/>
    <hyperlink ref="AB273" r:id="rId273" display="abrir"/>
    <hyperlink ref="AB274" r:id="rId274" display="abrir"/>
    <hyperlink ref="AB275" r:id="rId275" display="abrir"/>
    <hyperlink ref="AB276" r:id="rId276" display="abrir"/>
    <hyperlink ref="AB277" r:id="rId277" display="abrir"/>
    <hyperlink ref="AB278" r:id="rId278" display="abrir"/>
    <hyperlink ref="AB279" r:id="rId279" display="abrir"/>
    <hyperlink ref="AB280" r:id="rId280" display="abrir"/>
    <hyperlink ref="AB281" r:id="rId281" display="abrir"/>
    <hyperlink ref="AB282" r:id="rId282" display="abrir"/>
    <hyperlink ref="AB283" r:id="rId283" display="abrir"/>
    <hyperlink ref="AB284" r:id="rId284" display="abrir"/>
    <hyperlink ref="AB285" r:id="rId285" display="abrir"/>
    <hyperlink ref="AB286" r:id="rId286" display="abrir"/>
    <hyperlink ref="AB287" r:id="rId287" display="abrir"/>
    <hyperlink ref="AB288" r:id="rId288" display="abrir"/>
    <hyperlink ref="AB289" r:id="rId289" display="abrir"/>
    <hyperlink ref="AB290" r:id="rId290" display="abrir"/>
    <hyperlink ref="AB291" r:id="rId291" display="abrir"/>
    <hyperlink ref="AB292" r:id="rId292" display="abrir"/>
    <hyperlink ref="AB293" r:id="rId293" display="abrir"/>
    <hyperlink ref="AB294" r:id="rId294" display="abrir"/>
    <hyperlink ref="AB295" r:id="rId295" display="abrir"/>
    <hyperlink ref="AB296" r:id="rId296" display="abrir"/>
    <hyperlink ref="AB297" r:id="rId297" display="abrir"/>
    <hyperlink ref="AB298" r:id="rId298" display="abrir"/>
    <hyperlink ref="AB299" r:id="rId299" display="abrir"/>
    <hyperlink ref="AB300" r:id="rId300" display="abrir"/>
    <hyperlink ref="AB301" r:id="rId301" display="abrir"/>
    <hyperlink ref="AB302" r:id="rId302" display="abrir"/>
    <hyperlink ref="AB303" r:id="rId303" display="abrir"/>
    <hyperlink ref="AB304" r:id="rId304" display="abrir"/>
    <hyperlink ref="AB305" r:id="rId305" display="abrir"/>
    <hyperlink ref="AB306" r:id="rId306" display="abrir"/>
    <hyperlink ref="AB307" r:id="rId307" display="abrir"/>
    <hyperlink ref="AB308" r:id="rId308" display="abrir"/>
    <hyperlink ref="AB309" r:id="rId309" display="abrir"/>
    <hyperlink ref="AB310" r:id="rId310" display="abrir"/>
    <hyperlink ref="AB311" r:id="rId311" display="abrir"/>
    <hyperlink ref="AB312" r:id="rId312" display="abrir"/>
    <hyperlink ref="AB313" r:id="rId313" display="abrir"/>
    <hyperlink ref="AB314" r:id="rId314" display="abrir"/>
    <hyperlink ref="AB315" r:id="rId315" display="abrir"/>
    <hyperlink ref="AB316" r:id="rId316" display="abrir"/>
    <hyperlink ref="AB317" r:id="rId317" display="abrir"/>
    <hyperlink ref="AB318" r:id="rId318" display="abrir"/>
    <hyperlink ref="AB319" r:id="rId319" display="abrir"/>
    <hyperlink ref="AB320" r:id="rId320" display="abrir"/>
    <hyperlink ref="AB321" r:id="rId321" display="abrir"/>
    <hyperlink ref="AB322" r:id="rId322" display="abrir"/>
    <hyperlink ref="AB323" r:id="rId323" display="abrir"/>
    <hyperlink ref="AB324" r:id="rId324" display="abrir"/>
    <hyperlink ref="AB325" r:id="rId325" display="abrir"/>
    <hyperlink ref="AB326" r:id="rId326" display="abrir"/>
    <hyperlink ref="AB327" r:id="rId327" display="abrir"/>
    <hyperlink ref="AB328" r:id="rId328" display="abrir"/>
    <hyperlink ref="AB329" r:id="rId329" display="abrir"/>
    <hyperlink ref="AB330" r:id="rId330" display="abrir"/>
    <hyperlink ref="AB331" r:id="rId331" display="abrir"/>
    <hyperlink ref="AB332" r:id="rId332" display="abrir"/>
    <hyperlink ref="AB333" r:id="rId333" display="abrir"/>
    <hyperlink ref="AB334" r:id="rId334" display="abrir"/>
    <hyperlink ref="AB335" r:id="rId335" display="abrir"/>
    <hyperlink ref="AB336" r:id="rId336" display="abrir"/>
    <hyperlink ref="AB337" r:id="rId337" display="abrir"/>
    <hyperlink ref="AB338" r:id="rId338" display="abrir"/>
    <hyperlink ref="AB339" r:id="rId339" display="abrir"/>
    <hyperlink ref="AB340" r:id="rId340" display="abrir"/>
    <hyperlink ref="AB341" r:id="rId341" display="abrir"/>
    <hyperlink ref="AB342" r:id="rId342" display="abrir"/>
    <hyperlink ref="AB343" r:id="rId343" display="abrir"/>
    <hyperlink ref="AB344" r:id="rId344" display="abrir"/>
    <hyperlink ref="AB345" r:id="rId345" display="abrir"/>
    <hyperlink ref="AB346" r:id="rId346" display="abrir"/>
    <hyperlink ref="AB347" r:id="rId347" display="abrir"/>
    <hyperlink ref="AB348" r:id="rId348" display="abrir"/>
    <hyperlink ref="AB349" r:id="rId349" display="abrir"/>
    <hyperlink ref="AB350" r:id="rId350" display="abrir"/>
    <hyperlink ref="AB351" r:id="rId351" display="abrir"/>
    <hyperlink ref="AB352" r:id="rId352" display="abrir"/>
    <hyperlink ref="AB353" r:id="rId353" display="abrir"/>
    <hyperlink ref="AB354" r:id="rId354" display="abrir"/>
    <hyperlink ref="AB355" r:id="rId355" display="abrir"/>
    <hyperlink ref="AB356" r:id="rId356" display="abrir"/>
    <hyperlink ref="AB357" r:id="rId357" display="abrir"/>
    <hyperlink ref="AB358" r:id="rId358" display="abrir"/>
    <hyperlink ref="AB359" r:id="rId359" display="abrir"/>
    <hyperlink ref="AB360" r:id="rId360" display="abrir"/>
    <hyperlink ref="AB361" r:id="rId361" display="abrir"/>
    <hyperlink ref="AB362" r:id="rId362" display="abrir"/>
    <hyperlink ref="AB363" r:id="rId363" display="abrir"/>
    <hyperlink ref="AB364" r:id="rId364" display="abrir"/>
    <hyperlink ref="AB365" r:id="rId365" display="abrir"/>
    <hyperlink ref="AB366" r:id="rId366" display="abrir"/>
    <hyperlink ref="AB367" r:id="rId367" display="abrir"/>
    <hyperlink ref="AB368" r:id="rId368" display="abrir"/>
    <hyperlink ref="AB369" r:id="rId369" display="abrir"/>
    <hyperlink ref="AB370" r:id="rId370" display="abrir"/>
    <hyperlink ref="AB371" r:id="rId371" display="abrir"/>
    <hyperlink ref="AB372" r:id="rId372" display="abrir"/>
    <hyperlink ref="AB373" r:id="rId373" display="abrir"/>
    <hyperlink ref="AB374" r:id="rId374" display="abrir"/>
    <hyperlink ref="AB375" r:id="rId375" display="abrir"/>
    <hyperlink ref="AB376" r:id="rId376" display="abrir"/>
    <hyperlink ref="AB377" r:id="rId377" display="abrir"/>
    <hyperlink ref="AB378" r:id="rId378" display="abrir"/>
    <hyperlink ref="AB379" r:id="rId379" display="abrir"/>
    <hyperlink ref="AB380" r:id="rId380" display="abrir"/>
    <hyperlink ref="AB381" r:id="rId381" display="abrir"/>
    <hyperlink ref="AB382" r:id="rId382" display="abrir"/>
    <hyperlink ref="AB383" r:id="rId383" display="abrir"/>
    <hyperlink ref="AB384" r:id="rId384" display="abrir"/>
    <hyperlink ref="AB385" r:id="rId385" display="abrir"/>
    <hyperlink ref="AB386" r:id="rId386" display="abrir"/>
    <hyperlink ref="AB387" r:id="rId387" display="abrir"/>
    <hyperlink ref="AB388" r:id="rId388" display="abrir"/>
    <hyperlink ref="AB389" r:id="rId389" display="abrir"/>
    <hyperlink ref="AB390" r:id="rId390" display="abrir"/>
    <hyperlink ref="AB391" r:id="rId391" display="abrir"/>
    <hyperlink ref="AB392" r:id="rId392" display="abrir"/>
    <hyperlink ref="AB393" r:id="rId393" display="abrir"/>
    <hyperlink ref="AB394" r:id="rId394" display="abrir"/>
    <hyperlink ref="AB395" r:id="rId395" display="abrir"/>
    <hyperlink ref="AB396" r:id="rId396" display="abrir"/>
    <hyperlink ref="AB397" r:id="rId397" display="abrir"/>
    <hyperlink ref="AB398" r:id="rId398" display="abrir"/>
    <hyperlink ref="AB399" r:id="rId399" display="abrir"/>
    <hyperlink ref="AB400" r:id="rId400" display="abrir"/>
    <hyperlink ref="AB401" r:id="rId401" display="abrir"/>
    <hyperlink ref="AB402" r:id="rId402" display="abrir"/>
    <hyperlink ref="AB403" r:id="rId403" display="abrir"/>
    <hyperlink ref="AB404" r:id="rId404" display="abrir"/>
    <hyperlink ref="AB405" r:id="rId405" display="abrir"/>
    <hyperlink ref="AB406" r:id="rId406" display="abrir"/>
    <hyperlink ref="AB407" r:id="rId407" display="abrir"/>
    <hyperlink ref="AB408" r:id="rId408" display="abrir"/>
    <hyperlink ref="AB409" r:id="rId409" display="abrir"/>
    <hyperlink ref="AB410" r:id="rId410" display="abrir"/>
    <hyperlink ref="AB411" r:id="rId411" display="abrir"/>
    <hyperlink ref="AB412" r:id="rId412" display="abrir"/>
    <hyperlink ref="AB413" r:id="rId413" display="abrir"/>
    <hyperlink ref="AB414" r:id="rId414" display="abrir"/>
    <hyperlink ref="AB415" r:id="rId415" display="abrir"/>
    <hyperlink ref="AB416" r:id="rId416" display="abrir"/>
    <hyperlink ref="AB417" r:id="rId417" display="abrir"/>
    <hyperlink ref="AB418" r:id="rId418" display="abrir"/>
    <hyperlink ref="AB419" r:id="rId419" display="abrir"/>
    <hyperlink ref="AB420" r:id="rId420" display="abrir"/>
    <hyperlink ref="AB421" r:id="rId421" display="abrir"/>
    <hyperlink ref="AB422" r:id="rId422" display="abrir"/>
    <hyperlink ref="AB423" r:id="rId423" display="abrir"/>
    <hyperlink ref="AB424" r:id="rId424" display="abrir"/>
    <hyperlink ref="AB425" r:id="rId425" display="abrir"/>
    <hyperlink ref="AB426" r:id="rId426" display="abrir"/>
    <hyperlink ref="AB427" r:id="rId427" display="abrir"/>
    <hyperlink ref="AB428" r:id="rId428" display="abrir"/>
    <hyperlink ref="AB429" r:id="rId429" display="abrir"/>
    <hyperlink ref="AB430" r:id="rId430" display="abrir"/>
    <hyperlink ref="AB431" r:id="rId431" display="abrir"/>
    <hyperlink ref="AB432" r:id="rId432" display="abrir"/>
    <hyperlink ref="AB433" r:id="rId433" display="abrir"/>
    <hyperlink ref="AB434" r:id="rId434" display="abrir"/>
    <hyperlink ref="AB435" r:id="rId435" display="abrir"/>
    <hyperlink ref="AB436" r:id="rId436" display="abrir"/>
    <hyperlink ref="AB437" r:id="rId437" display="abrir"/>
    <hyperlink ref="AB438" r:id="rId438" display="abrir"/>
    <hyperlink ref="AB439" r:id="rId439" display="abrir"/>
    <hyperlink ref="AB440" r:id="rId440" display="abrir"/>
    <hyperlink ref="AB441" r:id="rId441" display="abrir"/>
    <hyperlink ref="AB442" r:id="rId442" display="abrir"/>
    <hyperlink ref="AB443" r:id="rId443" display="abrir"/>
    <hyperlink ref="AB444" r:id="rId444" display="abrir"/>
    <hyperlink ref="AB445" r:id="rId445" display="abrir"/>
    <hyperlink ref="AB446" r:id="rId446" display="abrir"/>
    <hyperlink ref="AB447" r:id="rId447" display="abrir"/>
    <hyperlink ref="AB448" r:id="rId448" display="abrir"/>
    <hyperlink ref="AB449" r:id="rId449" display="abrir"/>
    <hyperlink ref="AB450" r:id="rId450" display="abrir"/>
    <hyperlink ref="AB451" r:id="rId451" display="abrir"/>
    <hyperlink ref="AB452" r:id="rId452" display="abrir"/>
    <hyperlink ref="AB453" r:id="rId453" display="abrir"/>
    <hyperlink ref="AB454" r:id="rId454" display="abrir"/>
    <hyperlink ref="AB455" r:id="rId455" display="abrir"/>
    <hyperlink ref="AB456" r:id="rId456" display="abrir"/>
    <hyperlink ref="AB457" r:id="rId457" display="abrir"/>
    <hyperlink ref="AB458" r:id="rId458" display="abrir"/>
    <hyperlink ref="AB459" r:id="rId459" display="abrir"/>
    <hyperlink ref="AB460" r:id="rId460" display="abrir"/>
    <hyperlink ref="AB461" r:id="rId461" display="abrir"/>
    <hyperlink ref="AB462" r:id="rId462" display="abrir"/>
    <hyperlink ref="AB463" r:id="rId463" display="abrir"/>
    <hyperlink ref="AB464" r:id="rId464" display="abrir"/>
    <hyperlink ref="AB465" r:id="rId465" display="abrir"/>
    <hyperlink ref="AB466" r:id="rId466" display="abrir"/>
    <hyperlink ref="AB467" r:id="rId467" display="abrir"/>
    <hyperlink ref="AB468" r:id="rId468" display="abrir"/>
    <hyperlink ref="AB469" r:id="rId469" display="abrir"/>
    <hyperlink ref="AB470" r:id="rId470" display="abrir"/>
    <hyperlink ref="AB471" r:id="rId471" display="abrir"/>
    <hyperlink ref="AB472" r:id="rId472" display="abrir"/>
    <hyperlink ref="AB473" r:id="rId473" display="abrir"/>
    <hyperlink ref="AB474" r:id="rId474" display="abrir"/>
    <hyperlink ref="AB475" r:id="rId475" display="abrir"/>
    <hyperlink ref="AB476" r:id="rId476" display="abrir"/>
    <hyperlink ref="AB477" r:id="rId477" display="abrir"/>
    <hyperlink ref="AB478" r:id="rId478" display="abrir"/>
    <hyperlink ref="AB479" r:id="rId479" display="abrir"/>
    <hyperlink ref="AB480" r:id="rId480" display="abrir"/>
    <hyperlink ref="AB481" r:id="rId481" display="abrir"/>
    <hyperlink ref="AB482" r:id="rId482" display="abrir"/>
    <hyperlink ref="AB483" r:id="rId483" display="abrir"/>
    <hyperlink ref="AB484" r:id="rId484" display="abrir"/>
    <hyperlink ref="AB485" r:id="rId485" display="abrir"/>
    <hyperlink ref="AB486" r:id="rId486" display="abrir"/>
    <hyperlink ref="AB487" r:id="rId487" display="abrir"/>
    <hyperlink ref="AB488" r:id="rId488" display="abrir"/>
    <hyperlink ref="AB489" r:id="rId489" display="abrir"/>
    <hyperlink ref="AB490" r:id="rId490" display="abrir"/>
    <hyperlink ref="AB491" r:id="rId491" display="abrir"/>
    <hyperlink ref="AB492" r:id="rId492" display="abrir"/>
    <hyperlink ref="AB493" r:id="rId493" display="abrir"/>
    <hyperlink ref="AB494" r:id="rId494" display="abrir"/>
    <hyperlink ref="AB495" r:id="rId495" display="abrir"/>
    <hyperlink ref="AB496" r:id="rId496" display="abrir"/>
    <hyperlink ref="AB497" r:id="rId497" display="abrir"/>
    <hyperlink ref="AB498" r:id="rId498" display="abrir"/>
    <hyperlink ref="AB499" r:id="rId499" display="abrir"/>
    <hyperlink ref="AB500" r:id="rId500" display="abrir"/>
    <hyperlink ref="AB501" r:id="rId501" display="abrir"/>
    <hyperlink ref="AB502" r:id="rId502" display="abrir"/>
    <hyperlink ref="AB503" r:id="rId503" display="abrir"/>
    <hyperlink ref="AB504" r:id="rId504" display="abrir"/>
    <hyperlink ref="AB505" r:id="rId505" display="abrir"/>
    <hyperlink ref="AB506" r:id="rId506" display="abrir"/>
    <hyperlink ref="AB507" r:id="rId507" display="abrir"/>
    <hyperlink ref="AB508" r:id="rId508" display="abrir"/>
    <hyperlink ref="AB509" r:id="rId509" display="abrir"/>
    <hyperlink ref="AB510" r:id="rId510" display="abrir"/>
    <hyperlink ref="AB511" r:id="rId511" display="abrir"/>
    <hyperlink ref="AB512" r:id="rId512" display="abrir"/>
    <hyperlink ref="AB513" r:id="rId513" display="abrir"/>
    <hyperlink ref="AB514" r:id="rId514" display="abrir"/>
    <hyperlink ref="AB515" r:id="rId515" display="abrir"/>
    <hyperlink ref="AB516" r:id="rId516" display="abrir"/>
    <hyperlink ref="AB517" r:id="rId517" display="abrir"/>
    <hyperlink ref="AB518" r:id="rId518" display="abrir"/>
    <hyperlink ref="AB519" r:id="rId519" display="abrir"/>
    <hyperlink ref="AB520" r:id="rId520" display="abrir"/>
    <hyperlink ref="AB521" r:id="rId521" display="abrir"/>
    <hyperlink ref="AB522" r:id="rId522" display="abrir"/>
    <hyperlink ref="AB523" r:id="rId523" display="abrir"/>
    <hyperlink ref="AB524" r:id="rId524" display="abrir"/>
    <hyperlink ref="AB525" r:id="rId525" display="abrir"/>
    <hyperlink ref="AB526" r:id="rId526" display="abrir"/>
    <hyperlink ref="AB527" r:id="rId527" display="abrir"/>
    <hyperlink ref="AB528" r:id="rId528" display="abrir"/>
    <hyperlink ref="AB529" r:id="rId529" display="abrir"/>
    <hyperlink ref="AB530" r:id="rId530" display="abrir"/>
    <hyperlink ref="AB531" r:id="rId531" display="abrir"/>
    <hyperlink ref="AB532" r:id="rId532" display="abrir"/>
    <hyperlink ref="AB533" r:id="rId533" display="abrir"/>
    <hyperlink ref="AB534" r:id="rId534" display="abrir"/>
    <hyperlink ref="AB535" r:id="rId535" display="abrir"/>
    <hyperlink ref="AB536" r:id="rId536" display="abrir"/>
    <hyperlink ref="AB537" r:id="rId537" display="abrir"/>
    <hyperlink ref="AB538" r:id="rId538" display="abrir"/>
    <hyperlink ref="AB539" r:id="rId539" display="abrir"/>
    <hyperlink ref="AB540" r:id="rId540" display="abrir"/>
    <hyperlink ref="AB541" r:id="rId541" display="abrir"/>
    <hyperlink ref="AB542" r:id="rId542" display="abrir"/>
    <hyperlink ref="AB543" r:id="rId543" display="abrir"/>
    <hyperlink ref="AB544" r:id="rId544" display="abrir"/>
    <hyperlink ref="AB545" r:id="rId545" display="abrir"/>
    <hyperlink ref="AB546" r:id="rId546" display="abrir"/>
    <hyperlink ref="AB547" r:id="rId547" display="abrir"/>
    <hyperlink ref="AB548" r:id="rId548" display="abrir"/>
    <hyperlink ref="AB549" r:id="rId549" display="abrir"/>
    <hyperlink ref="AB550" r:id="rId550" display="abrir"/>
    <hyperlink ref="AB551" r:id="rId551" display="abrir"/>
    <hyperlink ref="AB552" r:id="rId552" display="abrir"/>
    <hyperlink ref="AB553" r:id="rId553" display="abrir"/>
    <hyperlink ref="AB554" r:id="rId554" display="abrir"/>
    <hyperlink ref="AB555" r:id="rId555" display="abrir"/>
    <hyperlink ref="AB556" r:id="rId556" display="abrir"/>
    <hyperlink ref="AB557" r:id="rId557" display="abrir"/>
    <hyperlink ref="AB558" r:id="rId558" display="abrir"/>
    <hyperlink ref="AB559" r:id="rId559" display="abrir"/>
    <hyperlink ref="AB560" r:id="rId560" display="abrir"/>
    <hyperlink ref="AB561" r:id="rId561" display="abrir"/>
    <hyperlink ref="AB562" r:id="rId562" display="abrir"/>
    <hyperlink ref="AB563" r:id="rId563" display="abrir"/>
    <hyperlink ref="AB564" r:id="rId564" display="abrir"/>
    <hyperlink ref="AB565" r:id="rId565" display="abrir"/>
    <hyperlink ref="AB566" r:id="rId566" display="abrir"/>
    <hyperlink ref="AB567" r:id="rId567" display="abrir"/>
    <hyperlink ref="AB568" r:id="rId568" display="abrir"/>
    <hyperlink ref="AB569" r:id="rId569" display="abrir"/>
    <hyperlink ref="AB570" r:id="rId570" display="abrir"/>
    <hyperlink ref="AB571" r:id="rId571" display="abrir"/>
    <hyperlink ref="AB572" r:id="rId572" display="abrir"/>
    <hyperlink ref="AB573" r:id="rId573" display="abrir"/>
    <hyperlink ref="AB574" r:id="rId574" display="abrir"/>
    <hyperlink ref="AB575" r:id="rId575" display="abrir"/>
    <hyperlink ref="AB576" r:id="rId576" display="abrir"/>
    <hyperlink ref="AB577" r:id="rId577" display="abrir"/>
    <hyperlink ref="AB578" r:id="rId578" display="abrir"/>
    <hyperlink ref="AB579" r:id="rId579" display="abrir"/>
    <hyperlink ref="AB580" r:id="rId580" display="abrir"/>
    <hyperlink ref="AB581" r:id="rId581" display="abrir"/>
    <hyperlink ref="AB582" r:id="rId582" display="abrir"/>
    <hyperlink ref="AB583" r:id="rId583" display="abrir"/>
    <hyperlink ref="AB584" r:id="rId584" display="abrir"/>
    <hyperlink ref="AB585" r:id="rId585" display="abrir"/>
    <hyperlink ref="AB586" r:id="rId586" display="abrir"/>
    <hyperlink ref="AB587" r:id="rId587" display="abrir"/>
    <hyperlink ref="AB588" r:id="rId588" display="abrir"/>
    <hyperlink ref="AB589" r:id="rId589" display="abrir"/>
    <hyperlink ref="AB590" r:id="rId590" display="abrir"/>
    <hyperlink ref="AB591" r:id="rId591" display="abrir"/>
    <hyperlink ref="AB592" r:id="rId592" display="abrir"/>
    <hyperlink ref="AB593" r:id="rId593" display="abrir"/>
    <hyperlink ref="AB594" r:id="rId594" display="abrir"/>
    <hyperlink ref="AB595" r:id="rId595" display="abrir"/>
    <hyperlink ref="AB596" r:id="rId596" display="abrir"/>
    <hyperlink ref="AB597" r:id="rId597" display="abrir"/>
    <hyperlink ref="AB598" r:id="rId598" display="abrir"/>
    <hyperlink ref="AB599" r:id="rId599" display="abrir"/>
    <hyperlink ref="AB600" r:id="rId600" display="abrir"/>
    <hyperlink ref="AB601" r:id="rId601" display="abrir"/>
    <hyperlink ref="AB602" r:id="rId602" display="abrir"/>
    <hyperlink ref="AB603" r:id="rId603" display="abrir"/>
    <hyperlink ref="AB604" r:id="rId604" display="abrir"/>
    <hyperlink ref="AB605" r:id="rId605" display="abrir"/>
    <hyperlink ref="AB606" r:id="rId606" display="abrir"/>
    <hyperlink ref="AB607" r:id="rId607" display="abrir"/>
    <hyperlink ref="AB608" r:id="rId608" display="abrir"/>
    <hyperlink ref="AB609" r:id="rId609" display="abrir"/>
    <hyperlink ref="AB610" r:id="rId610" display="abrir"/>
    <hyperlink ref="AB611" r:id="rId611" display="abrir"/>
    <hyperlink ref="AB612" r:id="rId612" display="abrir"/>
    <hyperlink ref="AB613" r:id="rId613" display="abrir"/>
    <hyperlink ref="AB614" r:id="rId614" display="abrir"/>
    <hyperlink ref="AB615" r:id="rId615" display="abrir"/>
    <hyperlink ref="AB616" r:id="rId616" display="abrir"/>
    <hyperlink ref="AB617" r:id="rId617" display="abrir"/>
    <hyperlink ref="AB618" r:id="rId618" display="abrir"/>
    <hyperlink ref="AB619" r:id="rId619" display="abrir"/>
    <hyperlink ref="AB620" r:id="rId620" display="abrir"/>
    <hyperlink ref="AB621" r:id="rId621" display="abrir"/>
    <hyperlink ref="AB622" r:id="rId622" display="abrir"/>
    <hyperlink ref="AB623" r:id="rId623" display="abrir"/>
    <hyperlink ref="AB624" r:id="rId624" display="abrir"/>
    <hyperlink ref="AB625" r:id="rId625" display="abrir"/>
    <hyperlink ref="AB626" r:id="rId626" display="abrir"/>
    <hyperlink ref="AB627" r:id="rId627" display="abrir"/>
    <hyperlink ref="AB628" r:id="rId628" display="abrir"/>
    <hyperlink ref="AB629" r:id="rId629" display="abrir"/>
    <hyperlink ref="AB630" r:id="rId630" display="abrir"/>
    <hyperlink ref="AB631" r:id="rId631" display="abrir"/>
    <hyperlink ref="AB632" r:id="rId632" display="abrir"/>
    <hyperlink ref="AB633" r:id="rId633" display="abrir"/>
    <hyperlink ref="AB634" r:id="rId634" display="abrir"/>
    <hyperlink ref="AB635" r:id="rId635" display="abrir"/>
    <hyperlink ref="AB636" r:id="rId636" display="abrir"/>
    <hyperlink ref="AB637" r:id="rId637" display="abrir"/>
    <hyperlink ref="AB638" r:id="rId638" display="abrir"/>
    <hyperlink ref="AB639" r:id="rId639" display="abrir"/>
    <hyperlink ref="AB640" r:id="rId640" display="abrir"/>
    <hyperlink ref="AB641" r:id="rId641" display="abrir"/>
    <hyperlink ref="AB642" r:id="rId642" display="abrir"/>
    <hyperlink ref="AB643" r:id="rId643" display="abrir"/>
    <hyperlink ref="AB644" r:id="rId644" display="abrir"/>
    <hyperlink ref="AB645" r:id="rId645" display="abrir"/>
    <hyperlink ref="AB646" r:id="rId646" display="abrir"/>
    <hyperlink ref="AB647" r:id="rId647" display="abrir"/>
    <hyperlink ref="AB648" r:id="rId648" display="abrir"/>
    <hyperlink ref="AB649" r:id="rId649" display="abrir"/>
    <hyperlink ref="AB650" r:id="rId650" display="abrir"/>
    <hyperlink ref="AB651" r:id="rId651" display="abrir"/>
    <hyperlink ref="AB652" r:id="rId652" display="abrir"/>
    <hyperlink ref="AB653" r:id="rId653" display="abrir"/>
    <hyperlink ref="AB654" r:id="rId654" display="abrir"/>
    <hyperlink ref="AB655" r:id="rId655" display="abrir"/>
    <hyperlink ref="AB656" r:id="rId656" display="abrir"/>
    <hyperlink ref="AB657" r:id="rId657" display="abrir"/>
    <hyperlink ref="AB658" r:id="rId658" display="abrir"/>
    <hyperlink ref="AB659" r:id="rId659" display="abrir"/>
    <hyperlink ref="AB660" r:id="rId660" display="abrir"/>
    <hyperlink ref="AB661" r:id="rId661" display="abrir"/>
    <hyperlink ref="AB662" r:id="rId662" display="abrir"/>
    <hyperlink ref="AB663" r:id="rId663" display="abrir"/>
    <hyperlink ref="AB664" r:id="rId664" display="abrir"/>
    <hyperlink ref="AB665" r:id="rId665" display="abrir"/>
    <hyperlink ref="AB666" r:id="rId666" display="abrir"/>
    <hyperlink ref="AB667" r:id="rId667" display="abrir"/>
    <hyperlink ref="AB668" r:id="rId668" display="abrir"/>
    <hyperlink ref="AB669" r:id="rId669" display="abrir"/>
    <hyperlink ref="AB670" r:id="rId670" display="abrir"/>
    <hyperlink ref="AB671" r:id="rId671" display="abrir"/>
    <hyperlink ref="AB672" r:id="rId672" display="abrir"/>
    <hyperlink ref="AB673" r:id="rId673" display="abrir"/>
    <hyperlink ref="AB674" r:id="rId674" display="abrir"/>
    <hyperlink ref="AB675" r:id="rId675" display="abrir"/>
    <hyperlink ref="AB676" r:id="rId676" display="abrir"/>
    <hyperlink ref="AB677" r:id="rId677" display="abrir"/>
    <hyperlink ref="AB678" r:id="rId678" display="abrir"/>
    <hyperlink ref="AB679" r:id="rId679" display="abrir"/>
    <hyperlink ref="AB680" r:id="rId680" display="abrir"/>
    <hyperlink ref="AB681" r:id="rId681" display="abrir"/>
    <hyperlink ref="AB682" r:id="rId682" display="abrir"/>
    <hyperlink ref="AB683" r:id="rId683" display="abrir"/>
    <hyperlink ref="AB684" r:id="rId684" display="abrir"/>
    <hyperlink ref="AB685" r:id="rId685" display="abrir"/>
    <hyperlink ref="AB686" r:id="rId686" display="abrir"/>
    <hyperlink ref="AB687" r:id="rId687" display="abrir"/>
    <hyperlink ref="AB688" r:id="rId688" display="abrir"/>
    <hyperlink ref="AB689" r:id="rId689" display="abrir"/>
    <hyperlink ref="AB690" r:id="rId690" display="abrir"/>
    <hyperlink ref="AB691" r:id="rId691" display="abrir"/>
    <hyperlink ref="AB692" r:id="rId692" display="abrir"/>
    <hyperlink ref="AB693" r:id="rId693" display="abrir"/>
    <hyperlink ref="AB694" r:id="rId694" display="abrir"/>
    <hyperlink ref="AB695" r:id="rId695" display="abrir"/>
    <hyperlink ref="AB696" r:id="rId696" display="abrir"/>
    <hyperlink ref="AB697" r:id="rId697" display="abrir"/>
    <hyperlink ref="AB698" r:id="rId698" display="abrir"/>
    <hyperlink ref="AB699" r:id="rId699" display="abrir"/>
    <hyperlink ref="AB700" r:id="rId700" display="abrir"/>
    <hyperlink ref="AB701" r:id="rId701" display="abrir"/>
    <hyperlink ref="AB702" r:id="rId702" display="abrir"/>
    <hyperlink ref="AB703" r:id="rId703" display="abrir"/>
    <hyperlink ref="AB704" r:id="rId704" display="abrir"/>
    <hyperlink ref="AB705" r:id="rId705" display="abrir"/>
    <hyperlink ref="AB706" r:id="rId706" display="abrir"/>
    <hyperlink ref="AB707" r:id="rId707" display="abrir"/>
    <hyperlink ref="AB708" r:id="rId708" display="abrir"/>
    <hyperlink ref="AB709" r:id="rId709" display="abrir"/>
    <hyperlink ref="AB710" r:id="rId710" display="abrir"/>
    <hyperlink ref="AB711" r:id="rId711" display="abrir"/>
    <hyperlink ref="AB712" r:id="rId712" display="abrir"/>
    <hyperlink ref="AB713" r:id="rId713" display="abrir"/>
    <hyperlink ref="AB714" r:id="rId714" display="abrir"/>
    <hyperlink ref="AB715" r:id="rId715" display="abrir"/>
    <hyperlink ref="AB716" r:id="rId716" display="abrir"/>
    <hyperlink ref="AB717" r:id="rId717" display="abrir"/>
    <hyperlink ref="AB718" r:id="rId718" display="abrir"/>
    <hyperlink ref="AB719" r:id="rId719" display="abrir"/>
    <hyperlink ref="AB720" r:id="rId720" display="abrir"/>
    <hyperlink ref="AB721" r:id="rId721" display="abrir"/>
    <hyperlink ref="AB722" r:id="rId722" display="abrir"/>
    <hyperlink ref="AB723" r:id="rId723" display="abrir"/>
    <hyperlink ref="AB724" r:id="rId724" display="abrir"/>
    <hyperlink ref="AB725" r:id="rId725" display="abrir"/>
    <hyperlink ref="AB726" r:id="rId726" display="abrir"/>
    <hyperlink ref="AB727" r:id="rId727" display="abrir"/>
    <hyperlink ref="AB728" r:id="rId728" display="abrir"/>
    <hyperlink ref="AB729" r:id="rId729" display="abrir"/>
    <hyperlink ref="AB730" r:id="rId730" display="abrir"/>
    <hyperlink ref="AB731" r:id="rId731" display="abrir"/>
    <hyperlink ref="AB732" r:id="rId732" display="abrir"/>
    <hyperlink ref="AB733" r:id="rId733" display="abrir"/>
    <hyperlink ref="AB734" r:id="rId734" display="abrir"/>
    <hyperlink ref="AB735" r:id="rId735" display="abrir"/>
    <hyperlink ref="AB736" r:id="rId736" display="abrir"/>
    <hyperlink ref="AB737" r:id="rId737" display="abrir"/>
    <hyperlink ref="AB738" r:id="rId738" display="abrir"/>
    <hyperlink ref="AB739" r:id="rId739" display="abrir"/>
    <hyperlink ref="AB740" r:id="rId740" display="abrir"/>
    <hyperlink ref="AB741" r:id="rId741" display="abrir"/>
    <hyperlink ref="AB742" r:id="rId742" display="abrir"/>
    <hyperlink ref="AB743" r:id="rId743" display="abrir"/>
    <hyperlink ref="AB744" r:id="rId744" display="abrir"/>
    <hyperlink ref="AB745" r:id="rId745" display="abrir"/>
    <hyperlink ref="AB746" r:id="rId746" display="abrir"/>
    <hyperlink ref="AB747" r:id="rId747" display="abrir"/>
    <hyperlink ref="AB748" r:id="rId748" display="abrir"/>
    <hyperlink ref="AB749" r:id="rId749" display="abrir"/>
    <hyperlink ref="AB750" r:id="rId750" display="abrir"/>
    <hyperlink ref="AB751" r:id="rId751" display="abrir"/>
    <hyperlink ref="AB752" r:id="rId752" display="abrir"/>
    <hyperlink ref="AB753" r:id="rId753" display="abrir"/>
    <hyperlink ref="AB754" r:id="rId754" display="abrir"/>
    <hyperlink ref="AB755" r:id="rId755" display="abrir"/>
    <hyperlink ref="AB756" r:id="rId756" display="abrir"/>
    <hyperlink ref="AB757" r:id="rId757" display="abrir"/>
    <hyperlink ref="AB758" r:id="rId758" display="abrir"/>
    <hyperlink ref="AB759" r:id="rId759" display="abrir"/>
    <hyperlink ref="AB760" r:id="rId760" display="abrir"/>
    <hyperlink ref="AB761" r:id="rId761" display="abrir"/>
    <hyperlink ref="AB762" r:id="rId762" display="abrir"/>
    <hyperlink ref="AB763" r:id="rId763" display="abrir"/>
    <hyperlink ref="AB764" r:id="rId764" display="abrir"/>
    <hyperlink ref="AB765" r:id="rId765" display="abrir"/>
    <hyperlink ref="AB766" r:id="rId766" display="abrir"/>
    <hyperlink ref="AB767" r:id="rId767" display="abrir"/>
    <hyperlink ref="AB768" r:id="rId768" display="abrir"/>
    <hyperlink ref="AB769" r:id="rId769" display="abrir"/>
    <hyperlink ref="AB770" r:id="rId770" display="abrir"/>
    <hyperlink ref="AB771" r:id="rId771" display="abrir"/>
    <hyperlink ref="AB772" r:id="rId772" display="abrir"/>
    <hyperlink ref="AB773" r:id="rId773" display="abrir"/>
    <hyperlink ref="AB774" r:id="rId774" display="abrir"/>
    <hyperlink ref="AB775" r:id="rId775" display="abrir"/>
    <hyperlink ref="AB776" r:id="rId776" display="abrir"/>
    <hyperlink ref="AB777" r:id="rId777" display="abrir"/>
    <hyperlink ref="AB778" r:id="rId778" display="abrir"/>
    <hyperlink ref="AB779" r:id="rId779" display="abrir"/>
    <hyperlink ref="AB780" r:id="rId780" display="abrir"/>
    <hyperlink ref="AB781" r:id="rId781" display="abrir"/>
    <hyperlink ref="AB782" r:id="rId782" display="abrir"/>
    <hyperlink ref="AB783" r:id="rId783" display="abrir"/>
    <hyperlink ref="AB784" r:id="rId784" display="abrir"/>
    <hyperlink ref="AB785" r:id="rId785" display="abrir"/>
    <hyperlink ref="AB786" r:id="rId786" display="abrir"/>
    <hyperlink ref="AB787" r:id="rId787" display="abrir"/>
    <hyperlink ref="AB788" r:id="rId788" display="abrir"/>
    <hyperlink ref="AB789" r:id="rId789" display="abrir"/>
    <hyperlink ref="AB790" r:id="rId790" display="abrir"/>
    <hyperlink ref="AB791" r:id="rId791" display="abrir"/>
    <hyperlink ref="AB792" r:id="rId792" display="abrir"/>
    <hyperlink ref="AB793" r:id="rId793" display="abrir"/>
    <hyperlink ref="AB794" r:id="rId794" display="abrir"/>
    <hyperlink ref="AB795" r:id="rId795" display="abrir"/>
    <hyperlink ref="AB796" r:id="rId796" display="abrir"/>
    <hyperlink ref="AB797" r:id="rId797" display="abrir"/>
    <hyperlink ref="AB798" r:id="rId798" display="abrir"/>
    <hyperlink ref="AB799" r:id="rId799" display="abrir"/>
    <hyperlink ref="AB800" r:id="rId800" display="abrir"/>
    <hyperlink ref="AB801" r:id="rId801" display="abrir"/>
    <hyperlink ref="AB802" r:id="rId802" display="abrir"/>
    <hyperlink ref="AB803" r:id="rId803" display="abrir"/>
    <hyperlink ref="AB804" r:id="rId804" display="abrir"/>
    <hyperlink ref="AB805" r:id="rId805" display="abrir"/>
    <hyperlink ref="AB806" r:id="rId806" display="abrir"/>
    <hyperlink ref="AB807" r:id="rId807" display="abrir"/>
    <hyperlink ref="AB808" r:id="rId808" display="abrir"/>
    <hyperlink ref="AB809" r:id="rId809" display="abrir"/>
    <hyperlink ref="AB810" r:id="rId810" display="abrir"/>
    <hyperlink ref="AB811" r:id="rId811" display="abrir"/>
    <hyperlink ref="AB812" r:id="rId812" display="abrir"/>
    <hyperlink ref="AB813" r:id="rId813" display="abrir"/>
    <hyperlink ref="AB814" r:id="rId814" display="abrir"/>
    <hyperlink ref="AB815" r:id="rId815" display="abrir"/>
    <hyperlink ref="AB816" r:id="rId816" display="abrir"/>
    <hyperlink ref="AB817" r:id="rId817" display="abrir"/>
    <hyperlink ref="AB818" r:id="rId818" display="abrir"/>
    <hyperlink ref="AB819" r:id="rId819" display="abrir"/>
    <hyperlink ref="AB820" r:id="rId820" display="abrir"/>
    <hyperlink ref="AB821" r:id="rId821" display="abrir"/>
    <hyperlink ref="AB822" r:id="rId822" display="abrir"/>
    <hyperlink ref="AB823" r:id="rId823" display="abrir"/>
    <hyperlink ref="AB824" r:id="rId824" display="abrir"/>
    <hyperlink ref="AB825" r:id="rId825" display="abrir"/>
    <hyperlink ref="AB826" r:id="rId826" display="abrir"/>
    <hyperlink ref="AB827" r:id="rId827" display="abrir"/>
    <hyperlink ref="AB828" r:id="rId828" display="abrir"/>
    <hyperlink ref="AB829" r:id="rId829" display="abrir"/>
    <hyperlink ref="AB830" r:id="rId830" display="abrir"/>
    <hyperlink ref="AB831" r:id="rId831" display="abrir"/>
    <hyperlink ref="AB832" r:id="rId832" display="abrir"/>
    <hyperlink ref="AB833" r:id="rId833" display="abrir"/>
    <hyperlink ref="AB834" r:id="rId834" display="abrir"/>
    <hyperlink ref="AB835" r:id="rId835" display="abrir"/>
    <hyperlink ref="AB836" r:id="rId836" display="abrir"/>
    <hyperlink ref="AB837" r:id="rId837" display="abrir"/>
    <hyperlink ref="AB838" r:id="rId838" display="abrir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839"/>
  <tableParts>
    <tablePart r:id="rId840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4" min="3" style="0" width="9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30"/>
    <col collapsed="false" customWidth="true" hidden="false" outlineLevel="0" max="10" min="10" style="0" width="11"/>
    <col collapsed="false" customWidth="true" hidden="false" outlineLevel="0" max="13" min="11" style="0" width="14"/>
    <col collapsed="false" customWidth="true" hidden="false" outlineLevel="0" max="14" min="14" style="0" width="40"/>
    <col collapsed="false" customWidth="true" hidden="false" outlineLevel="0" max="16" min="15" style="0" width="12"/>
    <col collapsed="false" customWidth="true" hidden="false" outlineLevel="0" max="17" min="17" style="0" width="8"/>
  </cols>
  <sheetData>
    <row r="1" customFormat="false" ht="31.5" hidden="false" customHeight="true" outlineLevel="0" collapsed="false">
      <c r="A1" s="12" t="s">
        <v>3405</v>
      </c>
      <c r="B1" s="12" t="s">
        <v>3406</v>
      </c>
      <c r="C1" s="12" t="s">
        <v>297</v>
      </c>
      <c r="D1" s="12" t="s">
        <v>3407</v>
      </c>
      <c r="E1" s="12" t="s">
        <v>3408</v>
      </c>
      <c r="F1" s="12" t="s">
        <v>3409</v>
      </c>
      <c r="G1" s="12" t="s">
        <v>3410</v>
      </c>
      <c r="H1" s="12" t="s">
        <v>3411</v>
      </c>
      <c r="I1" s="12" t="s">
        <v>307</v>
      </c>
      <c r="J1" s="12" t="s">
        <v>3412</v>
      </c>
      <c r="K1" s="12" t="s">
        <v>3413</v>
      </c>
      <c r="L1" s="12" t="s">
        <v>3414</v>
      </c>
      <c r="M1" s="12" t="s">
        <v>3415</v>
      </c>
      <c r="N1" s="12" t="s">
        <v>9</v>
      </c>
      <c r="O1" s="12" t="s">
        <v>308</v>
      </c>
      <c r="P1" s="12" t="s">
        <v>309</v>
      </c>
      <c r="Q1" s="12" t="s">
        <v>2333</v>
      </c>
    </row>
    <row r="2" customFormat="false" ht="15" hidden="false" customHeight="false" outlineLevel="0" collapsed="false">
      <c r="A2" s="27" t="s">
        <v>41</v>
      </c>
      <c r="B2" s="27" t="s">
        <v>2336</v>
      </c>
      <c r="C2" s="27" t="s">
        <v>619</v>
      </c>
      <c r="D2" s="27" t="s">
        <v>3416</v>
      </c>
      <c r="E2" s="27" t="s">
        <v>54</v>
      </c>
      <c r="F2" s="27" t="s">
        <v>22</v>
      </c>
      <c r="G2" s="27" t="s">
        <v>54</v>
      </c>
      <c r="H2" s="27" t="s">
        <v>3417</v>
      </c>
      <c r="I2" s="27" t="s">
        <v>41</v>
      </c>
      <c r="J2" s="27" t="n">
        <f aca="false">COUNTIFS(Trechos!$M$2:$M$838,A2)</f>
        <v>293</v>
      </c>
      <c r="K2" s="28" t="n">
        <f aca="false">SUMIFS(Trechos!$F$2:$F$838,Trechos!$M$2:$M$838,A2)</f>
        <v>14794.2544039177</v>
      </c>
      <c r="L2" s="27" t="n">
        <f aca="false">SUMPRODUCT(--ISNUMBER(SEARCH("|"&amp;A2&amp;"|",Trechos!$AC$2:$AC$838)))</f>
        <v>837</v>
      </c>
      <c r="M2" s="28" t="n">
        <f aca="false">SUMPRODUCT(ISNUMBER(SEARCH("|"&amp;A2&amp;"|",Trechos!$AC$2:$AC$838))*Trechos!$F$2:$F$838)</f>
        <v>46534.9681643711</v>
      </c>
      <c r="N2" s="27" t="s">
        <v>2337</v>
      </c>
      <c r="O2" s="27" t="n">
        <v>-7.195262</v>
      </c>
      <c r="P2" s="27" t="n">
        <v>-48.237967</v>
      </c>
      <c r="Q2" s="37" t="s">
        <v>2338</v>
      </c>
    </row>
    <row r="3" customFormat="false" ht="15" hidden="false" customHeight="false" outlineLevel="0" collapsed="false">
      <c r="A3" s="27" t="s">
        <v>623</v>
      </c>
      <c r="B3" s="27" t="s">
        <v>3418</v>
      </c>
      <c r="C3" s="27" t="s">
        <v>622</v>
      </c>
      <c r="D3" s="27" t="s">
        <v>3416</v>
      </c>
      <c r="E3" s="27" t="s">
        <v>22</v>
      </c>
      <c r="F3" s="27" t="s">
        <v>22</v>
      </c>
      <c r="G3" s="27" t="n">
        <v>1</v>
      </c>
      <c r="H3" s="27" t="s">
        <v>54</v>
      </c>
      <c r="I3" s="27" t="s">
        <v>41</v>
      </c>
      <c r="J3" s="27"/>
      <c r="K3" s="27"/>
      <c r="L3" s="27"/>
      <c r="M3" s="27"/>
      <c r="N3" s="27" t="s">
        <v>2337</v>
      </c>
      <c r="O3" s="27" t="n">
        <v>-7.195513</v>
      </c>
      <c r="P3" s="27" t="n">
        <v>-48.238263</v>
      </c>
      <c r="Q3" s="37" t="s">
        <v>2338</v>
      </c>
    </row>
    <row r="4" customFormat="false" ht="15" hidden="false" customHeight="false" outlineLevel="0" collapsed="false">
      <c r="A4" s="27" t="s">
        <v>650</v>
      </c>
      <c r="B4" s="27" t="s">
        <v>3418</v>
      </c>
      <c r="C4" s="27" t="s">
        <v>649</v>
      </c>
      <c r="D4" s="27" t="s">
        <v>3416</v>
      </c>
      <c r="E4" s="27" t="s">
        <v>22</v>
      </c>
      <c r="F4" s="27" t="s">
        <v>22</v>
      </c>
      <c r="G4" s="27" t="n">
        <v>1</v>
      </c>
      <c r="H4" s="27" t="s">
        <v>54</v>
      </c>
      <c r="I4" s="27" t="s">
        <v>41</v>
      </c>
      <c r="J4" s="27"/>
      <c r="K4" s="27"/>
      <c r="L4" s="27"/>
      <c r="M4" s="27"/>
      <c r="N4" s="27" t="s">
        <v>2353</v>
      </c>
      <c r="O4" s="27" t="n">
        <v>-7.197219</v>
      </c>
      <c r="P4" s="27" t="n">
        <v>-48.23783</v>
      </c>
      <c r="Q4" s="37" t="s">
        <v>2338</v>
      </c>
    </row>
    <row r="5" customFormat="false" ht="15" hidden="false" customHeight="false" outlineLevel="0" collapsed="false">
      <c r="A5" s="27" t="s">
        <v>677</v>
      </c>
      <c r="B5" s="27" t="s">
        <v>3418</v>
      </c>
      <c r="C5" s="27" t="s">
        <v>676</v>
      </c>
      <c r="D5" s="27" t="s">
        <v>3416</v>
      </c>
      <c r="E5" s="27" t="s">
        <v>22</v>
      </c>
      <c r="F5" s="27" t="s">
        <v>22</v>
      </c>
      <c r="G5" s="27" t="n">
        <v>1</v>
      </c>
      <c r="H5" s="27" t="s">
        <v>54</v>
      </c>
      <c r="I5" s="27" t="s">
        <v>41</v>
      </c>
      <c r="J5" s="27"/>
      <c r="K5" s="27"/>
      <c r="L5" s="27"/>
      <c r="M5" s="27"/>
      <c r="N5" s="27" t="s">
        <v>2353</v>
      </c>
      <c r="O5" s="27" t="n">
        <v>-7.200394</v>
      </c>
      <c r="P5" s="27" t="n">
        <v>-48.238605</v>
      </c>
      <c r="Q5" s="37" t="s">
        <v>2338</v>
      </c>
    </row>
    <row r="6" customFormat="false" ht="15" hidden="false" customHeight="false" outlineLevel="0" collapsed="false">
      <c r="A6" s="27" t="s">
        <v>694</v>
      </c>
      <c r="B6" s="27" t="s">
        <v>3418</v>
      </c>
      <c r="C6" s="27" t="s">
        <v>693</v>
      </c>
      <c r="D6" s="27" t="s">
        <v>3416</v>
      </c>
      <c r="E6" s="27" t="s">
        <v>22</v>
      </c>
      <c r="F6" s="27" t="s">
        <v>22</v>
      </c>
      <c r="G6" s="27" t="n">
        <v>1</v>
      </c>
      <c r="H6" s="27" t="s">
        <v>54</v>
      </c>
      <c r="I6" s="27" t="s">
        <v>41</v>
      </c>
      <c r="J6" s="27"/>
      <c r="K6" s="27"/>
      <c r="L6" s="27"/>
      <c r="M6" s="27"/>
      <c r="N6" s="27" t="s">
        <v>2375</v>
      </c>
      <c r="O6" s="27" t="n">
        <v>-7.206968</v>
      </c>
      <c r="P6" s="27" t="n">
        <v>-48.241349</v>
      </c>
      <c r="Q6" s="37" t="s">
        <v>2338</v>
      </c>
    </row>
    <row r="7" customFormat="false" ht="15" hidden="false" customHeight="false" outlineLevel="0" collapsed="false">
      <c r="A7" s="27" t="s">
        <v>42</v>
      </c>
      <c r="B7" s="27" t="s">
        <v>2385</v>
      </c>
      <c r="C7" s="27" t="s">
        <v>708</v>
      </c>
      <c r="D7" s="27" t="s">
        <v>3416</v>
      </c>
      <c r="E7" s="27" t="s">
        <v>22</v>
      </c>
      <c r="F7" s="27" t="s">
        <v>23</v>
      </c>
      <c r="G7" s="27" t="n">
        <v>1</v>
      </c>
      <c r="H7" s="27" t="s">
        <v>3419</v>
      </c>
      <c r="I7" s="27" t="s">
        <v>2387</v>
      </c>
      <c r="J7" s="27" t="n">
        <f aca="false">COUNTIFS(Trechos!$M$2:$M$838,A7)</f>
        <v>82</v>
      </c>
      <c r="K7" s="28" t="n">
        <f aca="false">SUMIFS(Trechos!$F$2:$F$838,Trechos!$M$2:$M$838,A7)</f>
        <v>3464.9632942993</v>
      </c>
      <c r="L7" s="27" t="n">
        <f aca="false">SUMPRODUCT(--ISNUMBER(SEARCH("|"&amp;A7&amp;"|",Trechos!$AC$2:$AC$838)))</f>
        <v>348</v>
      </c>
      <c r="M7" s="28" t="n">
        <f aca="false">SUMPRODUCT(ISNUMBER(SEARCH("|"&amp;A7&amp;"|",Trechos!$AC$2:$AC$838))*Trechos!$F$2:$F$838)</f>
        <v>16425.6168274857</v>
      </c>
      <c r="N7" s="27" t="s">
        <v>2386</v>
      </c>
      <c r="O7" s="27" t="n">
        <v>-7.207884</v>
      </c>
      <c r="P7" s="27" t="n">
        <v>-48.241312</v>
      </c>
      <c r="Q7" s="37" t="s">
        <v>2338</v>
      </c>
    </row>
    <row r="8" customFormat="false" ht="15" hidden="false" customHeight="false" outlineLevel="0" collapsed="false">
      <c r="A8" s="27" t="s">
        <v>733</v>
      </c>
      <c r="B8" s="27" t="s">
        <v>3418</v>
      </c>
      <c r="C8" s="27" t="s">
        <v>732</v>
      </c>
      <c r="D8" s="27" t="s">
        <v>3416</v>
      </c>
      <c r="E8" s="27" t="s">
        <v>23</v>
      </c>
      <c r="F8" s="27" t="s">
        <v>23</v>
      </c>
      <c r="G8" s="27" t="n">
        <v>2</v>
      </c>
      <c r="H8" s="27" t="s">
        <v>54</v>
      </c>
      <c r="I8" s="27" t="s">
        <v>2387</v>
      </c>
      <c r="J8" s="27"/>
      <c r="K8" s="27"/>
      <c r="L8" s="27"/>
      <c r="M8" s="27"/>
      <c r="N8" s="27" t="s">
        <v>2399</v>
      </c>
      <c r="O8" s="27" t="n">
        <v>-7.211523</v>
      </c>
      <c r="P8" s="27" t="n">
        <v>-48.243053</v>
      </c>
      <c r="Q8" s="37" t="s">
        <v>2338</v>
      </c>
    </row>
    <row r="9" customFormat="false" ht="15" hidden="false" customHeight="false" outlineLevel="0" collapsed="false">
      <c r="A9" s="27" t="s">
        <v>738</v>
      </c>
      <c r="B9" s="27" t="s">
        <v>3420</v>
      </c>
      <c r="C9" s="27" t="s">
        <v>737</v>
      </c>
      <c r="D9" s="27" t="s">
        <v>3416</v>
      </c>
      <c r="E9" s="27" t="s">
        <v>23</v>
      </c>
      <c r="F9" s="27" t="s">
        <v>23</v>
      </c>
      <c r="G9" s="27" t="n">
        <v>2</v>
      </c>
      <c r="H9" s="27" t="s">
        <v>54</v>
      </c>
      <c r="I9" s="27" t="s">
        <v>2387</v>
      </c>
      <c r="J9" s="27"/>
      <c r="K9" s="27"/>
      <c r="L9" s="27"/>
      <c r="M9" s="27"/>
      <c r="N9" s="27" t="s">
        <v>2399</v>
      </c>
      <c r="O9" s="27" t="n">
        <v>-7.211596</v>
      </c>
      <c r="P9" s="27" t="n">
        <v>-48.243087</v>
      </c>
      <c r="Q9" s="37" t="s">
        <v>2338</v>
      </c>
    </row>
    <row r="10" customFormat="false" ht="15" hidden="false" customHeight="false" outlineLevel="0" collapsed="false">
      <c r="A10" s="27" t="s">
        <v>759</v>
      </c>
      <c r="B10" s="27" t="s">
        <v>3418</v>
      </c>
      <c r="C10" s="27" t="s">
        <v>758</v>
      </c>
      <c r="D10" s="27" t="s">
        <v>3416</v>
      </c>
      <c r="E10" s="27" t="s">
        <v>23</v>
      </c>
      <c r="F10" s="27" t="s">
        <v>23</v>
      </c>
      <c r="G10" s="27" t="n">
        <v>2</v>
      </c>
      <c r="H10" s="27" t="s">
        <v>54</v>
      </c>
      <c r="I10" s="27" t="s">
        <v>2387</v>
      </c>
      <c r="J10" s="27"/>
      <c r="K10" s="27"/>
      <c r="L10" s="27"/>
      <c r="M10" s="27"/>
      <c r="N10" s="27" t="s">
        <v>2415</v>
      </c>
      <c r="O10" s="27" t="n">
        <v>-7.217896</v>
      </c>
      <c r="P10" s="27" t="n">
        <v>-48.246114</v>
      </c>
      <c r="Q10" s="37" t="s">
        <v>2338</v>
      </c>
    </row>
    <row r="11" customFormat="false" ht="15" hidden="false" customHeight="false" outlineLevel="0" collapsed="false">
      <c r="A11" s="27" t="s">
        <v>766</v>
      </c>
      <c r="B11" s="27" t="s">
        <v>3418</v>
      </c>
      <c r="C11" s="27" t="s">
        <v>765</v>
      </c>
      <c r="D11" s="27" t="s">
        <v>3416</v>
      </c>
      <c r="E11" s="27" t="s">
        <v>23</v>
      </c>
      <c r="F11" s="27" t="s">
        <v>23</v>
      </c>
      <c r="G11" s="27" t="n">
        <v>2</v>
      </c>
      <c r="H11" s="27" t="s">
        <v>54</v>
      </c>
      <c r="I11" s="27" t="s">
        <v>2387</v>
      </c>
      <c r="J11" s="27"/>
      <c r="K11" s="27"/>
      <c r="L11" s="27"/>
      <c r="M11" s="27"/>
      <c r="N11" s="27" t="s">
        <v>2421</v>
      </c>
      <c r="O11" s="27" t="n">
        <v>-7.219004</v>
      </c>
      <c r="P11" s="27" t="n">
        <v>-48.246549</v>
      </c>
      <c r="Q11" s="37" t="s">
        <v>2338</v>
      </c>
    </row>
    <row r="12" customFormat="false" ht="15" hidden="false" customHeight="false" outlineLevel="0" collapsed="false">
      <c r="A12" s="27" t="s">
        <v>44</v>
      </c>
      <c r="B12" s="27" t="s">
        <v>2385</v>
      </c>
      <c r="C12" s="27" t="s">
        <v>770</v>
      </c>
      <c r="D12" s="27" t="s">
        <v>3416</v>
      </c>
      <c r="E12" s="27" t="s">
        <v>23</v>
      </c>
      <c r="F12" s="27" t="s">
        <v>23</v>
      </c>
      <c r="G12" s="27" t="n">
        <v>2</v>
      </c>
      <c r="H12" s="27" t="s">
        <v>3421</v>
      </c>
      <c r="I12" s="27" t="s">
        <v>2426</v>
      </c>
      <c r="J12" s="27" t="n">
        <f aca="false">COUNTIFS(Trechos!$M$2:$M$838,A12)</f>
        <v>154</v>
      </c>
      <c r="K12" s="28" t="n">
        <f aca="false">SUMIFS(Trechos!$F$2:$F$838,Trechos!$M$2:$M$838,A12)</f>
        <v>7586.88927606899</v>
      </c>
      <c r="L12" s="27" t="n">
        <f aca="false">SUMPRODUCT(--ISNUMBER(SEARCH("|"&amp;A12&amp;"|",Trechos!$AC$2:$AC$838)))</f>
        <v>239</v>
      </c>
      <c r="M12" s="28" t="n">
        <f aca="false">SUMPRODUCT(ISNUMBER(SEARCH("|"&amp;A12&amp;"|",Trechos!$AC$2:$AC$838))*Trechos!$F$2:$F$838)</f>
        <v>12058.6650669429</v>
      </c>
      <c r="N12" s="27" t="s">
        <v>2425</v>
      </c>
      <c r="O12" s="27" t="n">
        <v>-7.21909</v>
      </c>
      <c r="P12" s="27" t="n">
        <v>-48.24638</v>
      </c>
      <c r="Q12" s="37" t="s">
        <v>2338</v>
      </c>
    </row>
    <row r="13" customFormat="false" ht="15" hidden="false" customHeight="false" outlineLevel="0" collapsed="false">
      <c r="A13" s="27" t="s">
        <v>203</v>
      </c>
      <c r="B13" s="27" t="s">
        <v>2640</v>
      </c>
      <c r="C13" s="27" t="s">
        <v>790</v>
      </c>
      <c r="D13" s="27" t="s">
        <v>3416</v>
      </c>
      <c r="E13" s="27" t="s">
        <v>23</v>
      </c>
      <c r="F13" s="27" t="s">
        <v>24</v>
      </c>
      <c r="G13" s="27" t="n">
        <v>3</v>
      </c>
      <c r="H13" s="27" t="s">
        <v>3422</v>
      </c>
      <c r="I13" s="27" t="s">
        <v>3242</v>
      </c>
      <c r="J13" s="27" t="n">
        <f aca="false">COUNTIFS(Trechos!$M$2:$M$838,A13)</f>
        <v>26</v>
      </c>
      <c r="K13" s="28" t="n">
        <f aca="false">SUMIFS(Trechos!$F$2:$F$838,Trechos!$M$2:$M$838,A13)</f>
        <v>1411.64193664859</v>
      </c>
      <c r="L13" s="27" t="n">
        <f aca="false">SUMPRODUCT(--ISNUMBER(SEARCH("|"&amp;A13&amp;"|",Trechos!$AC$2:$AC$838)))</f>
        <v>28</v>
      </c>
      <c r="M13" s="28" t="n">
        <f aca="false">SUMPRODUCT(ISNUMBER(SEARCH("|"&amp;A13&amp;"|",Trechos!$AC$2:$AC$838))*Trechos!$F$2:$F$838)</f>
        <v>1426.92049539383</v>
      </c>
      <c r="N13" s="27" t="s">
        <v>3241</v>
      </c>
      <c r="O13" s="27" t="n">
        <v>-7.219653</v>
      </c>
      <c r="P13" s="27" t="n">
        <v>-48.241743</v>
      </c>
      <c r="Q13" s="37" t="s">
        <v>2338</v>
      </c>
    </row>
    <row r="14" customFormat="false" ht="15" hidden="false" customHeight="false" outlineLevel="0" collapsed="false">
      <c r="A14" s="27" t="s">
        <v>799</v>
      </c>
      <c r="B14" s="27" t="s">
        <v>3418</v>
      </c>
      <c r="C14" s="27" t="s">
        <v>798</v>
      </c>
      <c r="D14" s="27" t="s">
        <v>3416</v>
      </c>
      <c r="E14" s="27" t="s">
        <v>23</v>
      </c>
      <c r="F14" s="27" t="s">
        <v>23</v>
      </c>
      <c r="G14" s="27" t="n">
        <v>3</v>
      </c>
      <c r="H14" s="27" t="s">
        <v>54</v>
      </c>
      <c r="I14" s="27" t="s">
        <v>2426</v>
      </c>
      <c r="J14" s="27"/>
      <c r="K14" s="27"/>
      <c r="L14" s="27"/>
      <c r="M14" s="27"/>
      <c r="N14" s="27" t="s">
        <v>2442</v>
      </c>
      <c r="O14" s="27" t="n">
        <v>-7.218903</v>
      </c>
      <c r="P14" s="27" t="n">
        <v>-48.240193</v>
      </c>
      <c r="Q14" s="37" t="s">
        <v>2338</v>
      </c>
    </row>
    <row r="15" customFormat="false" ht="15" hidden="false" customHeight="false" outlineLevel="0" collapsed="false">
      <c r="A15" s="27" t="s">
        <v>238</v>
      </c>
      <c r="B15" s="27" t="s">
        <v>2640</v>
      </c>
      <c r="C15" s="27" t="s">
        <v>805</v>
      </c>
      <c r="D15" s="27" t="s">
        <v>3416</v>
      </c>
      <c r="E15" s="27" t="s">
        <v>23</v>
      </c>
      <c r="F15" s="27" t="s">
        <v>24</v>
      </c>
      <c r="G15" s="27" t="n">
        <v>3</v>
      </c>
      <c r="H15" s="27" t="s">
        <v>3423</v>
      </c>
      <c r="I15" s="27" t="s">
        <v>3305</v>
      </c>
      <c r="J15" s="27" t="n">
        <f aca="false">COUNTIFS(Trechos!$M$2:$M$838,A15)</f>
        <v>13</v>
      </c>
      <c r="K15" s="28" t="n">
        <f aca="false">SUMIFS(Trechos!$F$2:$F$838,Trechos!$M$2:$M$838,A15)</f>
        <v>873.423362786328</v>
      </c>
      <c r="L15" s="27" t="n">
        <f aca="false">SUMPRODUCT(--ISNUMBER(SEARCH("|"&amp;A15&amp;"|",Trechos!$AC$2:$AC$838)))</f>
        <v>17</v>
      </c>
      <c r="M15" s="28" t="n">
        <f aca="false">SUMPRODUCT(ISNUMBER(SEARCH("|"&amp;A15&amp;"|",Trechos!$AC$2:$AC$838))*Trechos!$F$2:$F$838)</f>
        <v>932.415220779478</v>
      </c>
      <c r="N15" s="27" t="s">
        <v>3304</v>
      </c>
      <c r="O15" s="27" t="n">
        <v>-7.218175</v>
      </c>
      <c r="P15" s="27" t="n">
        <v>-48.237706</v>
      </c>
      <c r="Q15" s="37" t="s">
        <v>2338</v>
      </c>
    </row>
    <row r="16" customFormat="false" ht="15" hidden="false" customHeight="false" outlineLevel="0" collapsed="false">
      <c r="A16" s="27" t="s">
        <v>810</v>
      </c>
      <c r="B16" s="27" t="s">
        <v>3418</v>
      </c>
      <c r="C16" s="27" t="s">
        <v>809</v>
      </c>
      <c r="D16" s="27" t="s">
        <v>3416</v>
      </c>
      <c r="E16" s="27" t="s">
        <v>23</v>
      </c>
      <c r="F16" s="27" t="s">
        <v>23</v>
      </c>
      <c r="G16" s="27" t="n">
        <v>3</v>
      </c>
      <c r="H16" s="27" t="s">
        <v>54</v>
      </c>
      <c r="I16" s="27" t="s">
        <v>2426</v>
      </c>
      <c r="J16" s="27"/>
      <c r="K16" s="27"/>
      <c r="L16" s="27"/>
      <c r="M16" s="27"/>
      <c r="N16" s="27" t="s">
        <v>2450</v>
      </c>
      <c r="O16" s="27" t="n">
        <v>-7.218314</v>
      </c>
      <c r="P16" s="27" t="n">
        <v>-48.237893</v>
      </c>
      <c r="Q16" s="37" t="s">
        <v>2338</v>
      </c>
    </row>
    <row r="17" customFormat="false" ht="15" hidden="false" customHeight="false" outlineLevel="0" collapsed="false">
      <c r="A17" s="27" t="s">
        <v>821</v>
      </c>
      <c r="B17" s="27" t="s">
        <v>3418</v>
      </c>
      <c r="C17" s="27" t="s">
        <v>820</v>
      </c>
      <c r="D17" s="27" t="s">
        <v>3416</v>
      </c>
      <c r="E17" s="27" t="s">
        <v>23</v>
      </c>
      <c r="F17" s="27" t="s">
        <v>23</v>
      </c>
      <c r="G17" s="27" t="n">
        <v>3</v>
      </c>
      <c r="H17" s="27" t="s">
        <v>54</v>
      </c>
      <c r="I17" s="27" t="s">
        <v>2426</v>
      </c>
      <c r="J17" s="27"/>
      <c r="K17" s="27"/>
      <c r="L17" s="27"/>
      <c r="M17" s="27"/>
      <c r="N17" s="27" t="s">
        <v>2456</v>
      </c>
      <c r="O17" s="27" t="n">
        <v>-7.221437</v>
      </c>
      <c r="P17" s="27" t="n">
        <v>-48.236726</v>
      </c>
      <c r="Q17" s="37" t="s">
        <v>2338</v>
      </c>
    </row>
    <row r="18" customFormat="false" ht="15" hidden="false" customHeight="false" outlineLevel="0" collapsed="false">
      <c r="A18" s="27" t="s">
        <v>850</v>
      </c>
      <c r="B18" s="27" t="s">
        <v>3418</v>
      </c>
      <c r="C18" s="27" t="s">
        <v>849</v>
      </c>
      <c r="D18" s="27" t="s">
        <v>3416</v>
      </c>
      <c r="E18" s="27" t="s">
        <v>23</v>
      </c>
      <c r="F18" s="27" t="s">
        <v>23</v>
      </c>
      <c r="G18" s="27" t="n">
        <v>3</v>
      </c>
      <c r="H18" s="27" t="s">
        <v>54</v>
      </c>
      <c r="I18" s="27" t="s">
        <v>2426</v>
      </c>
      <c r="J18" s="27"/>
      <c r="K18" s="27"/>
      <c r="L18" s="27"/>
      <c r="M18" s="27"/>
      <c r="N18" s="27" t="s">
        <v>2463</v>
      </c>
      <c r="O18" s="27" t="n">
        <v>-7.220842</v>
      </c>
      <c r="P18" s="27" t="n">
        <v>-48.228297</v>
      </c>
      <c r="Q18" s="37" t="s">
        <v>2338</v>
      </c>
    </row>
    <row r="19" customFormat="false" ht="15" hidden="false" customHeight="false" outlineLevel="0" collapsed="false">
      <c r="A19" s="27" t="s">
        <v>857</v>
      </c>
      <c r="B19" s="27" t="s">
        <v>3418</v>
      </c>
      <c r="C19" s="27" t="s">
        <v>856</v>
      </c>
      <c r="D19" s="27" t="s">
        <v>3416</v>
      </c>
      <c r="E19" s="27" t="s">
        <v>23</v>
      </c>
      <c r="F19" s="27" t="s">
        <v>23</v>
      </c>
      <c r="G19" s="27" t="n">
        <v>3</v>
      </c>
      <c r="H19" s="27" t="s">
        <v>54</v>
      </c>
      <c r="I19" s="27" t="s">
        <v>2426</v>
      </c>
      <c r="J19" s="27"/>
      <c r="K19" s="27"/>
      <c r="L19" s="27"/>
      <c r="M19" s="27"/>
      <c r="N19" s="27" t="s">
        <v>2463</v>
      </c>
      <c r="O19" s="27" t="n">
        <v>-7.220422</v>
      </c>
      <c r="P19" s="27" t="n">
        <v>-48.228065</v>
      </c>
      <c r="Q19" s="37" t="s">
        <v>2338</v>
      </c>
    </row>
    <row r="20" customFormat="false" ht="15" hidden="false" customHeight="false" outlineLevel="0" collapsed="false">
      <c r="A20" s="27" t="s">
        <v>870</v>
      </c>
      <c r="B20" s="27" t="s">
        <v>3418</v>
      </c>
      <c r="C20" s="27" t="s">
        <v>869</v>
      </c>
      <c r="D20" s="27" t="s">
        <v>3416</v>
      </c>
      <c r="E20" s="27" t="s">
        <v>23</v>
      </c>
      <c r="F20" s="27" t="s">
        <v>23</v>
      </c>
      <c r="G20" s="27" t="n">
        <v>3</v>
      </c>
      <c r="H20" s="27" t="s">
        <v>54</v>
      </c>
      <c r="I20" s="27" t="s">
        <v>2426</v>
      </c>
      <c r="J20" s="27"/>
      <c r="K20" s="27"/>
      <c r="L20" s="27"/>
      <c r="M20" s="27"/>
      <c r="N20" s="27" t="s">
        <v>2463</v>
      </c>
      <c r="O20" s="27" t="n">
        <v>-7.217603</v>
      </c>
      <c r="P20" s="27" t="n">
        <v>-48.228026</v>
      </c>
      <c r="Q20" s="37" t="s">
        <v>2338</v>
      </c>
    </row>
    <row r="21" customFormat="false" ht="15" hidden="false" customHeight="false" outlineLevel="0" collapsed="false">
      <c r="A21" s="27" t="s">
        <v>885</v>
      </c>
      <c r="B21" s="27" t="s">
        <v>3418</v>
      </c>
      <c r="C21" s="27" t="s">
        <v>884</v>
      </c>
      <c r="D21" s="27" t="s">
        <v>3416</v>
      </c>
      <c r="E21" s="27" t="s">
        <v>23</v>
      </c>
      <c r="F21" s="27" t="s">
        <v>23</v>
      </c>
      <c r="G21" s="27" t="n">
        <v>3</v>
      </c>
      <c r="H21" s="27" t="s">
        <v>54</v>
      </c>
      <c r="I21" s="27" t="s">
        <v>2426</v>
      </c>
      <c r="J21" s="27"/>
      <c r="K21" s="27"/>
      <c r="L21" s="27"/>
      <c r="M21" s="27"/>
      <c r="N21" s="27" t="s">
        <v>2463</v>
      </c>
      <c r="O21" s="27" t="n">
        <v>-7.216757</v>
      </c>
      <c r="P21" s="27" t="n">
        <v>-48.223857</v>
      </c>
      <c r="Q21" s="37" t="s">
        <v>2338</v>
      </c>
    </row>
    <row r="22" customFormat="false" ht="15" hidden="false" customHeight="false" outlineLevel="0" collapsed="false">
      <c r="A22" s="27" t="s">
        <v>892</v>
      </c>
      <c r="B22" s="27" t="s">
        <v>3418</v>
      </c>
      <c r="C22" s="27" t="s">
        <v>891</v>
      </c>
      <c r="D22" s="27" t="s">
        <v>3416</v>
      </c>
      <c r="E22" s="27" t="s">
        <v>23</v>
      </c>
      <c r="F22" s="27" t="s">
        <v>23</v>
      </c>
      <c r="G22" s="27" t="n">
        <v>3</v>
      </c>
      <c r="H22" s="27" t="s">
        <v>54</v>
      </c>
      <c r="I22" s="27" t="s">
        <v>2426</v>
      </c>
      <c r="J22" s="27"/>
      <c r="K22" s="27"/>
      <c r="L22" s="27"/>
      <c r="M22" s="27"/>
      <c r="N22" s="27" t="s">
        <v>278</v>
      </c>
      <c r="O22" s="27" t="n">
        <v>-7.2167</v>
      </c>
      <c r="P22" s="27" t="n">
        <v>-48.224093</v>
      </c>
      <c r="Q22" s="37" t="s">
        <v>2338</v>
      </c>
    </row>
    <row r="23" customFormat="false" ht="15" hidden="false" customHeight="false" outlineLevel="0" collapsed="false">
      <c r="A23" s="27" t="s">
        <v>278</v>
      </c>
      <c r="B23" s="27" t="s">
        <v>2640</v>
      </c>
      <c r="C23" s="27" t="s">
        <v>898</v>
      </c>
      <c r="D23" s="27" t="s">
        <v>3416</v>
      </c>
      <c r="E23" s="27" t="s">
        <v>23</v>
      </c>
      <c r="F23" s="27" t="s">
        <v>24</v>
      </c>
      <c r="G23" s="27" t="n">
        <v>3</v>
      </c>
      <c r="H23" s="27" t="s">
        <v>3424</v>
      </c>
      <c r="I23" s="27" t="s">
        <v>3367</v>
      </c>
      <c r="J23" s="27" t="n">
        <f aca="false">COUNTIFS(Trechos!$M$2:$M$838,A23)</f>
        <v>1</v>
      </c>
      <c r="K23" s="28" t="n">
        <f aca="false">SUMIFS(Trechos!$F$2:$F$838,Trechos!$M$2:$M$838,A23)</f>
        <v>12.4253093027431</v>
      </c>
      <c r="L23" s="27" t="n">
        <f aca="false">SUMPRODUCT(--ISNUMBER(SEARCH("|"&amp;A23&amp;"|",Trechos!$AC$2:$AC$838)))</f>
        <v>1</v>
      </c>
      <c r="M23" s="28" t="n">
        <f aca="false">SUMPRODUCT(ISNUMBER(SEARCH("|"&amp;A23&amp;"|",Trechos!$AC$2:$AC$838))*Trechos!$F$2:$F$838)</f>
        <v>12.4253093027431</v>
      </c>
      <c r="N23" s="27" t="s">
        <v>54</v>
      </c>
      <c r="O23" s="27" t="n">
        <v>-7.216709</v>
      </c>
      <c r="P23" s="27" t="n">
        <v>-48.226114</v>
      </c>
      <c r="Q23" s="37" t="s">
        <v>2338</v>
      </c>
    </row>
    <row r="24" customFormat="false" ht="15" hidden="false" customHeight="false" outlineLevel="0" collapsed="false">
      <c r="A24" s="27" t="s">
        <v>272</v>
      </c>
      <c r="B24" s="27" t="s">
        <v>2640</v>
      </c>
      <c r="C24" s="27" t="s">
        <v>906</v>
      </c>
      <c r="D24" s="27" t="s">
        <v>3416</v>
      </c>
      <c r="E24" s="27" t="s">
        <v>23</v>
      </c>
      <c r="F24" s="27" t="s">
        <v>24</v>
      </c>
      <c r="G24" s="27" t="n">
        <v>3</v>
      </c>
      <c r="H24" s="27" t="s">
        <v>3425</v>
      </c>
      <c r="I24" s="27" t="s">
        <v>3363</v>
      </c>
      <c r="J24" s="27" t="n">
        <f aca="false">COUNTIFS(Trechos!$M$2:$M$838,A24)</f>
        <v>1</v>
      </c>
      <c r="K24" s="28" t="n">
        <f aca="false">SUMIFS(Trechos!$F$2:$F$838,Trechos!$M$2:$M$838,A24)</f>
        <v>4.52288804706825</v>
      </c>
      <c r="L24" s="27" t="n">
        <f aca="false">SUMPRODUCT(--ISNUMBER(SEARCH("|"&amp;A24&amp;"|",Trechos!$AC$2:$AC$838)))</f>
        <v>1</v>
      </c>
      <c r="M24" s="28" t="n">
        <f aca="false">SUMPRODUCT(ISNUMBER(SEARCH("|"&amp;A24&amp;"|",Trechos!$AC$2:$AC$838))*Trechos!$F$2:$F$838)</f>
        <v>4.52288804706825</v>
      </c>
      <c r="N24" s="27" t="s">
        <v>54</v>
      </c>
      <c r="O24" s="27" t="n">
        <v>-7.215519</v>
      </c>
      <c r="P24" s="27" t="n">
        <v>-48.223457</v>
      </c>
      <c r="Q24" s="37" t="s">
        <v>2338</v>
      </c>
    </row>
    <row r="25" customFormat="false" ht="15" hidden="false" customHeight="false" outlineLevel="0" collapsed="false">
      <c r="A25" s="27" t="s">
        <v>917</v>
      </c>
      <c r="B25" s="27" t="s">
        <v>3418</v>
      </c>
      <c r="C25" s="27" t="s">
        <v>916</v>
      </c>
      <c r="D25" s="27" t="s">
        <v>3416</v>
      </c>
      <c r="E25" s="27" t="s">
        <v>23</v>
      </c>
      <c r="F25" s="27" t="s">
        <v>23</v>
      </c>
      <c r="G25" s="27" t="n">
        <v>3</v>
      </c>
      <c r="H25" s="27" t="s">
        <v>54</v>
      </c>
      <c r="I25" s="27" t="s">
        <v>2426</v>
      </c>
      <c r="J25" s="27"/>
      <c r="K25" s="27"/>
      <c r="L25" s="27"/>
      <c r="M25" s="27"/>
      <c r="N25" s="27" t="s">
        <v>2501</v>
      </c>
      <c r="O25" s="27" t="n">
        <v>-7.216677</v>
      </c>
      <c r="P25" s="27" t="n">
        <v>-48.220805</v>
      </c>
      <c r="Q25" s="37" t="s">
        <v>2338</v>
      </c>
    </row>
    <row r="26" customFormat="false" ht="15" hidden="false" customHeight="false" outlineLevel="0" collapsed="false">
      <c r="A26" s="27" t="s">
        <v>293</v>
      </c>
      <c r="B26" s="27" t="s">
        <v>2640</v>
      </c>
      <c r="C26" s="27" t="s">
        <v>957</v>
      </c>
      <c r="D26" s="27" t="s">
        <v>3416</v>
      </c>
      <c r="E26" s="27" t="s">
        <v>23</v>
      </c>
      <c r="F26" s="27" t="s">
        <v>24</v>
      </c>
      <c r="G26" s="27" t="n">
        <v>3</v>
      </c>
      <c r="H26" s="27" t="s">
        <v>3426</v>
      </c>
      <c r="I26" s="27" t="s">
        <v>3402</v>
      </c>
      <c r="J26" s="27" t="n">
        <f aca="false">COUNTIFS(Trechos!$M$2:$M$838,A26)</f>
        <v>2</v>
      </c>
      <c r="K26" s="28" t="n">
        <f aca="false">SUMIFS(Trechos!$F$2:$F$838,Trechos!$M$2:$M$838,A26)</f>
        <v>19.6213081451709</v>
      </c>
      <c r="L26" s="27" t="n">
        <f aca="false">SUMPRODUCT(--ISNUMBER(SEARCH("|"&amp;A26&amp;"|",Trechos!$AC$2:$AC$838)))</f>
        <v>2</v>
      </c>
      <c r="M26" s="28" t="n">
        <f aca="false">SUMPRODUCT(ISNUMBER(SEARCH("|"&amp;A26&amp;"|",Trechos!$AC$2:$AC$838))*Trechos!$F$2:$F$838)</f>
        <v>19.6213081451709</v>
      </c>
      <c r="N26" s="27" t="s">
        <v>54</v>
      </c>
      <c r="O26" s="27" t="n">
        <v>-7.21586</v>
      </c>
      <c r="P26" s="27" t="n">
        <v>-48.217396</v>
      </c>
      <c r="Q26" s="37" t="s">
        <v>2338</v>
      </c>
    </row>
    <row r="27" customFormat="false" ht="15" hidden="false" customHeight="false" outlineLevel="0" collapsed="false">
      <c r="A27" s="27" t="s">
        <v>284</v>
      </c>
      <c r="B27" s="27" t="s">
        <v>2640</v>
      </c>
      <c r="C27" s="27" t="s">
        <v>965</v>
      </c>
      <c r="D27" s="27" t="s">
        <v>3416</v>
      </c>
      <c r="E27" s="27" t="s">
        <v>23</v>
      </c>
      <c r="F27" s="27" t="s">
        <v>24</v>
      </c>
      <c r="G27" s="27" t="n">
        <v>3</v>
      </c>
      <c r="H27" s="27" t="s">
        <v>3427</v>
      </c>
      <c r="I27" s="27" t="s">
        <v>3372</v>
      </c>
      <c r="J27" s="27" t="n">
        <f aca="false">COUNTIFS(Trechos!$M$2:$M$838,A27)</f>
        <v>12</v>
      </c>
      <c r="K27" s="28" t="n">
        <f aca="false">SUMIFS(Trechos!$F$2:$F$838,Trechos!$M$2:$M$838,A27)</f>
        <v>420.023085943675</v>
      </c>
      <c r="L27" s="27" t="n">
        <f aca="false">SUMPRODUCT(--ISNUMBER(SEARCH("|"&amp;A27&amp;"|",Trechos!$AC$2:$AC$838)))</f>
        <v>21</v>
      </c>
      <c r="M27" s="28" t="n">
        <f aca="false">SUMPRODUCT(ISNUMBER(SEARCH("|"&amp;A27&amp;"|",Trechos!$AC$2:$AC$838))*Trechos!$F$2:$F$838)</f>
        <v>944.941357767091</v>
      </c>
      <c r="N27" s="27" t="s">
        <v>3371</v>
      </c>
      <c r="O27" s="27" t="n">
        <v>-7.216834</v>
      </c>
      <c r="P27" s="27" t="n">
        <v>-48.220483</v>
      </c>
      <c r="Q27" s="37" t="s">
        <v>2338</v>
      </c>
    </row>
    <row r="28" customFormat="false" ht="15" hidden="false" customHeight="false" outlineLevel="0" collapsed="false">
      <c r="A28" s="27" t="s">
        <v>251</v>
      </c>
      <c r="B28" s="27" t="s">
        <v>2635</v>
      </c>
      <c r="C28" s="27" t="s">
        <v>967</v>
      </c>
      <c r="D28" s="27" t="s">
        <v>3416</v>
      </c>
      <c r="E28" s="27" t="s">
        <v>23</v>
      </c>
      <c r="F28" s="27" t="s">
        <v>24</v>
      </c>
      <c r="G28" s="27" t="n">
        <v>3</v>
      </c>
      <c r="H28" s="27" t="s">
        <v>3428</v>
      </c>
      <c r="I28" s="27" t="s">
        <v>3338</v>
      </c>
      <c r="J28" s="27" t="n">
        <f aca="false">COUNTIFS(Trechos!$M$2:$M$838,A28)</f>
        <v>2</v>
      </c>
      <c r="K28" s="28" t="n">
        <f aca="false">SUMIFS(Trechos!$F$2:$F$838,Trechos!$M$2:$M$838,A28)</f>
        <v>23.6276870349066</v>
      </c>
      <c r="L28" s="27" t="n">
        <f aca="false">SUMPRODUCT(--ISNUMBER(SEARCH("|"&amp;A28&amp;"|",Trechos!$AC$2:$AC$838)))</f>
        <v>2</v>
      </c>
      <c r="M28" s="28" t="n">
        <f aca="false">SUMPRODUCT(ISNUMBER(SEARCH("|"&amp;A28&amp;"|",Trechos!$AC$2:$AC$838))*Trechos!$F$2:$F$838)</f>
        <v>23.6276870349066</v>
      </c>
      <c r="N28" s="27" t="s">
        <v>54</v>
      </c>
      <c r="O28" s="27" t="n">
        <v>-7.22003</v>
      </c>
      <c r="P28" s="27" t="n">
        <v>-48.232007</v>
      </c>
      <c r="Q28" s="37" t="s">
        <v>2338</v>
      </c>
    </row>
    <row r="29" customFormat="false" ht="15" hidden="false" customHeight="false" outlineLevel="0" collapsed="false">
      <c r="A29" s="27" t="s">
        <v>248</v>
      </c>
      <c r="B29" s="27" t="s">
        <v>2640</v>
      </c>
      <c r="C29" s="27" t="s">
        <v>971</v>
      </c>
      <c r="D29" s="27" t="s">
        <v>3416</v>
      </c>
      <c r="E29" s="27" t="s">
        <v>23</v>
      </c>
      <c r="F29" s="27" t="s">
        <v>24</v>
      </c>
      <c r="G29" s="27" t="n">
        <v>3</v>
      </c>
      <c r="H29" s="27" t="s">
        <v>3429</v>
      </c>
      <c r="I29" s="27" t="s">
        <v>3329</v>
      </c>
      <c r="J29" s="27" t="n">
        <f aca="false">COUNTIFS(Trechos!$M$2:$M$838,A29)</f>
        <v>7</v>
      </c>
      <c r="K29" s="28" t="n">
        <f aca="false">SUMIFS(Trechos!$F$2:$F$838,Trechos!$M$2:$M$838,A29)</f>
        <v>587.293359276902</v>
      </c>
      <c r="L29" s="27" t="n">
        <f aca="false">SUMPRODUCT(--ISNUMBER(SEARCH("|"&amp;A29&amp;"|",Trechos!$AC$2:$AC$838)))</f>
        <v>7</v>
      </c>
      <c r="M29" s="28" t="n">
        <f aca="false">SUMPRODUCT(ISNUMBER(SEARCH("|"&amp;A29&amp;"|",Trechos!$AC$2:$AC$838))*Trechos!$F$2:$F$838)</f>
        <v>587.293359276902</v>
      </c>
      <c r="N29" s="27" t="s">
        <v>54</v>
      </c>
      <c r="O29" s="27" t="n">
        <v>-7.221613</v>
      </c>
      <c r="P29" s="27" t="n">
        <v>-48.236955</v>
      </c>
      <c r="Q29" s="37" t="s">
        <v>2338</v>
      </c>
    </row>
    <row r="30" customFormat="false" ht="15" hidden="false" customHeight="false" outlineLevel="0" collapsed="false">
      <c r="A30" s="27" t="s">
        <v>211</v>
      </c>
      <c r="B30" s="27" t="s">
        <v>2640</v>
      </c>
      <c r="C30" s="27" t="s">
        <v>973</v>
      </c>
      <c r="D30" s="27" t="s">
        <v>3416</v>
      </c>
      <c r="E30" s="27" t="s">
        <v>23</v>
      </c>
      <c r="F30" s="27" t="s">
        <v>24</v>
      </c>
      <c r="G30" s="27" t="n">
        <v>3</v>
      </c>
      <c r="H30" s="27" t="s">
        <v>3430</v>
      </c>
      <c r="I30" s="27" t="s">
        <v>3276</v>
      </c>
      <c r="J30" s="27" t="n">
        <f aca="false">COUNTIFS(Trechos!$M$2:$M$838,A30)</f>
        <v>2</v>
      </c>
      <c r="K30" s="28" t="n">
        <f aca="false">SUMIFS(Trechos!$F$2:$F$838,Trechos!$M$2:$M$838,A30)</f>
        <v>497.374537974624</v>
      </c>
      <c r="L30" s="27" t="n">
        <f aca="false">SUMPRODUCT(--ISNUMBER(SEARCH("|"&amp;A30&amp;"|",Trechos!$AC$2:$AC$838)))</f>
        <v>2</v>
      </c>
      <c r="M30" s="28" t="n">
        <f aca="false">SUMPRODUCT(ISNUMBER(SEARCH("|"&amp;A30&amp;"|",Trechos!$AC$2:$AC$838))*Trechos!$F$2:$F$838)</f>
        <v>497.374537974624</v>
      </c>
      <c r="N30" s="27" t="s">
        <v>54</v>
      </c>
      <c r="O30" s="27" t="n">
        <v>-7.219229</v>
      </c>
      <c r="P30" s="27" t="n">
        <v>-48.24143</v>
      </c>
      <c r="Q30" s="37" t="s">
        <v>2338</v>
      </c>
    </row>
    <row r="31" customFormat="false" ht="15" hidden="false" customHeight="false" outlineLevel="0" collapsed="false">
      <c r="A31" s="27" t="s">
        <v>980</v>
      </c>
      <c r="B31" s="27" t="s">
        <v>3418</v>
      </c>
      <c r="C31" s="27" t="s">
        <v>979</v>
      </c>
      <c r="D31" s="27" t="s">
        <v>3416</v>
      </c>
      <c r="E31" s="27" t="s">
        <v>23</v>
      </c>
      <c r="F31" s="27" t="s">
        <v>23</v>
      </c>
      <c r="G31" s="27" t="n">
        <v>3</v>
      </c>
      <c r="H31" s="27" t="s">
        <v>54</v>
      </c>
      <c r="I31" s="27" t="s">
        <v>2426</v>
      </c>
      <c r="J31" s="27"/>
      <c r="K31" s="27"/>
      <c r="L31" s="27"/>
      <c r="M31" s="27"/>
      <c r="N31" s="27" t="s">
        <v>2536</v>
      </c>
      <c r="O31" s="27" t="n">
        <v>-7.221696</v>
      </c>
      <c r="P31" s="27" t="n">
        <v>-48.245502</v>
      </c>
      <c r="Q31" s="37" t="s">
        <v>2338</v>
      </c>
    </row>
    <row r="32" customFormat="false" ht="15" hidden="false" customHeight="false" outlineLevel="0" collapsed="false">
      <c r="A32" s="27" t="s">
        <v>229</v>
      </c>
      <c r="B32" s="27" t="s">
        <v>2635</v>
      </c>
      <c r="C32" s="27" t="s">
        <v>992</v>
      </c>
      <c r="D32" s="27" t="s">
        <v>3416</v>
      </c>
      <c r="E32" s="27" t="s">
        <v>23</v>
      </c>
      <c r="F32" s="27" t="s">
        <v>24</v>
      </c>
      <c r="G32" s="27" t="n">
        <v>3</v>
      </c>
      <c r="H32" s="27" t="s">
        <v>3431</v>
      </c>
      <c r="I32" s="27" t="s">
        <v>3293</v>
      </c>
      <c r="J32" s="27" t="n">
        <f aca="false">COUNTIFS(Trechos!$M$2:$M$838,A32)</f>
        <v>2</v>
      </c>
      <c r="K32" s="28" t="n">
        <f aca="false">SUMIFS(Trechos!$F$2:$F$838,Trechos!$M$2:$M$838,A32)</f>
        <v>16.1554809754665</v>
      </c>
      <c r="L32" s="27" t="n">
        <f aca="false">SUMPRODUCT(--ISNUMBER(SEARCH("|"&amp;A32&amp;"|",Trechos!$AC$2:$AC$838)))</f>
        <v>2</v>
      </c>
      <c r="M32" s="28" t="n">
        <f aca="false">SUMPRODUCT(ISNUMBER(SEARCH("|"&amp;A32&amp;"|",Trechos!$AC$2:$AC$838))*Trechos!$F$2:$F$838)</f>
        <v>16.1554809754665</v>
      </c>
      <c r="N32" s="27" t="s">
        <v>54</v>
      </c>
      <c r="O32" s="27" t="n">
        <v>-7.22501</v>
      </c>
      <c r="P32" s="27" t="n">
        <v>-48.246691</v>
      </c>
      <c r="Q32" s="37" t="s">
        <v>2338</v>
      </c>
    </row>
    <row r="33" customFormat="false" ht="15" hidden="false" customHeight="false" outlineLevel="0" collapsed="false">
      <c r="A33" s="27" t="s">
        <v>232</v>
      </c>
      <c r="B33" s="27" t="s">
        <v>2640</v>
      </c>
      <c r="C33" s="27" t="s">
        <v>1006</v>
      </c>
      <c r="D33" s="27" t="s">
        <v>3416</v>
      </c>
      <c r="E33" s="27" t="s">
        <v>23</v>
      </c>
      <c r="F33" s="27" t="s">
        <v>24</v>
      </c>
      <c r="G33" s="27" t="n">
        <v>3</v>
      </c>
      <c r="H33" s="27" t="s">
        <v>3432</v>
      </c>
      <c r="I33" s="27" t="s">
        <v>3297</v>
      </c>
      <c r="J33" s="27" t="n">
        <f aca="false">COUNTIFS(Trechos!$M$2:$M$838,A33)</f>
        <v>1</v>
      </c>
      <c r="K33" s="28" t="n">
        <f aca="false">SUMIFS(Trechos!$F$2:$F$838,Trechos!$M$2:$M$838,A33)</f>
        <v>1.79624857415318</v>
      </c>
      <c r="L33" s="27" t="n">
        <f aca="false">SUMPRODUCT(--ISNUMBER(SEARCH("|"&amp;A33&amp;"|",Trechos!$AC$2:$AC$838)))</f>
        <v>1</v>
      </c>
      <c r="M33" s="28" t="n">
        <f aca="false">SUMPRODUCT(ISNUMBER(SEARCH("|"&amp;A33&amp;"|",Trechos!$AC$2:$AC$838))*Trechos!$F$2:$F$838)</f>
        <v>1.79624857415318</v>
      </c>
      <c r="N33" s="27" t="s">
        <v>54</v>
      </c>
      <c r="O33" s="27" t="n">
        <v>-7.222703</v>
      </c>
      <c r="P33" s="27" t="n">
        <v>-48.24706</v>
      </c>
      <c r="Q33" s="37" t="s">
        <v>2338</v>
      </c>
    </row>
    <row r="34" customFormat="false" ht="15" hidden="false" customHeight="false" outlineLevel="0" collapsed="false">
      <c r="A34" s="27" t="s">
        <v>220</v>
      </c>
      <c r="B34" s="27" t="s">
        <v>2635</v>
      </c>
      <c r="C34" s="27" t="s">
        <v>1008</v>
      </c>
      <c r="D34" s="27" t="s">
        <v>3416</v>
      </c>
      <c r="E34" s="27" t="s">
        <v>23</v>
      </c>
      <c r="F34" s="27" t="s">
        <v>24</v>
      </c>
      <c r="G34" s="27" t="n">
        <v>3</v>
      </c>
      <c r="H34" s="27" t="s">
        <v>3433</v>
      </c>
      <c r="I34" s="27" t="s">
        <v>3287</v>
      </c>
      <c r="J34" s="27" t="n">
        <f aca="false">COUNTIFS(Trechos!$M$2:$M$838,A34)</f>
        <v>1</v>
      </c>
      <c r="K34" s="28" t="n">
        <f aca="false">SUMIFS(Trechos!$F$2:$F$838,Trechos!$M$2:$M$838,A34)</f>
        <v>4.68189760252389</v>
      </c>
      <c r="L34" s="27" t="n">
        <f aca="false">SUMPRODUCT(--ISNUMBER(SEARCH("|"&amp;A34&amp;"|",Trechos!$AC$2:$AC$838)))</f>
        <v>1</v>
      </c>
      <c r="M34" s="28" t="n">
        <f aca="false">SUMPRODUCT(ISNUMBER(SEARCH("|"&amp;A34&amp;"|",Trechos!$AC$2:$AC$838))*Trechos!$F$2:$F$838)</f>
        <v>4.68189760252389</v>
      </c>
      <c r="N34" s="27" t="s">
        <v>54</v>
      </c>
      <c r="O34" s="27" t="n">
        <v>-7.223727</v>
      </c>
      <c r="P34" s="27" t="n">
        <v>-48.246863</v>
      </c>
      <c r="Q34" s="37" t="s">
        <v>2338</v>
      </c>
    </row>
    <row r="35" customFormat="false" ht="15" hidden="false" customHeight="false" outlineLevel="0" collapsed="false">
      <c r="A35" s="27" t="s">
        <v>1013</v>
      </c>
      <c r="B35" s="27" t="s">
        <v>3418</v>
      </c>
      <c r="C35" s="27" t="s">
        <v>1012</v>
      </c>
      <c r="D35" s="27" t="s">
        <v>3434</v>
      </c>
      <c r="E35" s="27" t="s">
        <v>22</v>
      </c>
      <c r="F35" s="27" t="s">
        <v>22</v>
      </c>
      <c r="G35" s="27" t="n">
        <v>4</v>
      </c>
      <c r="H35" s="27" t="s">
        <v>54</v>
      </c>
      <c r="I35" s="27" t="s">
        <v>41</v>
      </c>
      <c r="J35" s="27"/>
      <c r="K35" s="27"/>
      <c r="L35" s="27"/>
      <c r="M35" s="27"/>
      <c r="N35" s="27" t="s">
        <v>2555</v>
      </c>
      <c r="O35" s="27" t="n">
        <v>-7.197038</v>
      </c>
      <c r="P35" s="27" t="n">
        <v>-48.23822</v>
      </c>
      <c r="Q35" s="37" t="s">
        <v>2338</v>
      </c>
    </row>
    <row r="36" customFormat="false" ht="15" hidden="false" customHeight="false" outlineLevel="0" collapsed="false">
      <c r="A36" s="27" t="s">
        <v>1028</v>
      </c>
      <c r="B36" s="27" t="s">
        <v>3418</v>
      </c>
      <c r="C36" s="27" t="s">
        <v>1027</v>
      </c>
      <c r="D36" s="27" t="s">
        <v>3434</v>
      </c>
      <c r="E36" s="27" t="s">
        <v>22</v>
      </c>
      <c r="F36" s="27" t="s">
        <v>22</v>
      </c>
      <c r="G36" s="27" t="n">
        <v>4</v>
      </c>
      <c r="H36" s="27" t="s">
        <v>54</v>
      </c>
      <c r="I36" s="27" t="s">
        <v>41</v>
      </c>
      <c r="J36" s="27"/>
      <c r="K36" s="27"/>
      <c r="L36" s="27"/>
      <c r="M36" s="27"/>
      <c r="N36" s="27" t="s">
        <v>2563</v>
      </c>
      <c r="O36" s="27" t="n">
        <v>-7.199271</v>
      </c>
      <c r="P36" s="27" t="n">
        <v>-48.240713</v>
      </c>
      <c r="Q36" s="37" t="s">
        <v>2338</v>
      </c>
    </row>
    <row r="37" customFormat="false" ht="15" hidden="false" customHeight="false" outlineLevel="0" collapsed="false">
      <c r="A37" s="27" t="s">
        <v>1043</v>
      </c>
      <c r="B37" s="27" t="s">
        <v>3418</v>
      </c>
      <c r="C37" s="27" t="s">
        <v>1042</v>
      </c>
      <c r="D37" s="27" t="s">
        <v>3434</v>
      </c>
      <c r="E37" s="27" t="s">
        <v>22</v>
      </c>
      <c r="F37" s="27" t="s">
        <v>22</v>
      </c>
      <c r="G37" s="27" t="n">
        <v>4</v>
      </c>
      <c r="H37" s="27" t="s">
        <v>54</v>
      </c>
      <c r="I37" s="27" t="s">
        <v>41</v>
      </c>
      <c r="J37" s="27"/>
      <c r="K37" s="27"/>
      <c r="L37" s="27"/>
      <c r="M37" s="27"/>
      <c r="N37" s="27" t="s">
        <v>2563</v>
      </c>
      <c r="O37" s="27" t="n">
        <v>-7.19893</v>
      </c>
      <c r="P37" s="27" t="n">
        <v>-48.249784</v>
      </c>
      <c r="Q37" s="37" t="s">
        <v>2338</v>
      </c>
    </row>
    <row r="38" customFormat="false" ht="15" hidden="false" customHeight="false" outlineLevel="0" collapsed="false">
      <c r="A38" s="27" t="s">
        <v>52</v>
      </c>
      <c r="B38" s="27" t="s">
        <v>2635</v>
      </c>
      <c r="C38" s="27" t="s">
        <v>1053</v>
      </c>
      <c r="D38" s="27" t="s">
        <v>3434</v>
      </c>
      <c r="E38" s="27" t="s">
        <v>22</v>
      </c>
      <c r="F38" s="27" t="s">
        <v>24</v>
      </c>
      <c r="G38" s="27" t="n">
        <v>4</v>
      </c>
      <c r="H38" s="27" t="s">
        <v>3435</v>
      </c>
      <c r="I38" s="27" t="s">
        <v>2636</v>
      </c>
      <c r="J38" s="27" t="n">
        <f aca="false">COUNTIFS(Trechos!$M$2:$M$838,A38)</f>
        <v>2</v>
      </c>
      <c r="K38" s="28" t="n">
        <f aca="false">SUMIFS(Trechos!$F$2:$F$838,Trechos!$M$2:$M$838,A38)</f>
        <v>26.2552504748723</v>
      </c>
      <c r="L38" s="27" t="n">
        <f aca="false">SUMPRODUCT(--ISNUMBER(SEARCH("|"&amp;A38&amp;"|",Trechos!$AC$2:$AC$838)))</f>
        <v>2</v>
      </c>
      <c r="M38" s="28" t="n">
        <f aca="false">SUMPRODUCT(ISNUMBER(SEARCH("|"&amp;A38&amp;"|",Trechos!$AC$2:$AC$838))*Trechos!$F$2:$F$838)</f>
        <v>26.2552504748723</v>
      </c>
      <c r="N38" s="27" t="s">
        <v>54</v>
      </c>
      <c r="O38" s="27" t="n">
        <v>-7.200027</v>
      </c>
      <c r="P38" s="27" t="n">
        <v>-48.250527</v>
      </c>
      <c r="Q38" s="37" t="s">
        <v>2338</v>
      </c>
    </row>
    <row r="39" customFormat="false" ht="15" hidden="false" customHeight="false" outlineLevel="0" collapsed="false">
      <c r="A39" s="27" t="s">
        <v>55</v>
      </c>
      <c r="B39" s="27" t="s">
        <v>2640</v>
      </c>
      <c r="C39" s="27" t="s">
        <v>1055</v>
      </c>
      <c r="D39" s="27" t="s">
        <v>3434</v>
      </c>
      <c r="E39" s="27" t="s">
        <v>22</v>
      </c>
      <c r="F39" s="27" t="s">
        <v>24</v>
      </c>
      <c r="G39" s="27" t="n">
        <v>4</v>
      </c>
      <c r="H39" s="27" t="s">
        <v>3436</v>
      </c>
      <c r="I39" s="27" t="s">
        <v>2641</v>
      </c>
      <c r="J39" s="27" t="n">
        <f aca="false">COUNTIFS(Trechos!$M$2:$M$838,A39)</f>
        <v>2</v>
      </c>
      <c r="K39" s="28" t="n">
        <f aca="false">SUMIFS(Trechos!$F$2:$F$838,Trechos!$M$2:$M$838,A39)</f>
        <v>86.2364614302115</v>
      </c>
      <c r="L39" s="27" t="n">
        <f aca="false">SUMPRODUCT(--ISNUMBER(SEARCH("|"&amp;A39&amp;"|",Trechos!$AC$2:$AC$838)))</f>
        <v>2</v>
      </c>
      <c r="M39" s="28" t="n">
        <f aca="false">SUMPRODUCT(ISNUMBER(SEARCH("|"&amp;A39&amp;"|",Trechos!$AC$2:$AC$838))*Trechos!$F$2:$F$838)</f>
        <v>86.2364614302115</v>
      </c>
      <c r="N39" s="27" t="s">
        <v>54</v>
      </c>
      <c r="O39" s="27" t="n">
        <v>-7.19905</v>
      </c>
      <c r="P39" s="27" t="n">
        <v>-48.249833</v>
      </c>
      <c r="Q39" s="37" t="s">
        <v>2338</v>
      </c>
    </row>
    <row r="40" customFormat="false" ht="15" hidden="false" customHeight="false" outlineLevel="0" collapsed="false">
      <c r="A40" s="27" t="s">
        <v>1062</v>
      </c>
      <c r="B40" s="27" t="s">
        <v>3418</v>
      </c>
      <c r="C40" s="27" t="s">
        <v>1061</v>
      </c>
      <c r="D40" s="27" t="s">
        <v>3434</v>
      </c>
      <c r="E40" s="27" t="s">
        <v>22</v>
      </c>
      <c r="F40" s="27" t="s">
        <v>22</v>
      </c>
      <c r="G40" s="27" t="n">
        <v>4</v>
      </c>
      <c r="H40" s="27" t="s">
        <v>54</v>
      </c>
      <c r="I40" s="27" t="s">
        <v>41</v>
      </c>
      <c r="J40" s="27"/>
      <c r="K40" s="27"/>
      <c r="L40" s="27"/>
      <c r="M40" s="27"/>
      <c r="N40" s="27" t="s">
        <v>2580</v>
      </c>
      <c r="O40" s="27" t="n">
        <v>-7.199795</v>
      </c>
      <c r="P40" s="27" t="n">
        <v>-48.240016</v>
      </c>
      <c r="Q40" s="37" t="s">
        <v>2338</v>
      </c>
    </row>
    <row r="41" customFormat="false" ht="15" hidden="false" customHeight="false" outlineLevel="0" collapsed="false">
      <c r="A41" s="27" t="s">
        <v>57</v>
      </c>
      <c r="B41" s="27" t="s">
        <v>2640</v>
      </c>
      <c r="C41" s="27" t="s">
        <v>1078</v>
      </c>
      <c r="D41" s="27" t="s">
        <v>3434</v>
      </c>
      <c r="E41" s="27" t="s">
        <v>22</v>
      </c>
      <c r="F41" s="27" t="s">
        <v>24</v>
      </c>
      <c r="G41" s="27" t="n">
        <v>4</v>
      </c>
      <c r="H41" s="27" t="s">
        <v>3437</v>
      </c>
      <c r="I41" s="27" t="s">
        <v>2645</v>
      </c>
      <c r="J41" s="27" t="n">
        <f aca="false">COUNTIFS(Trechos!$M$2:$M$838,A41)</f>
        <v>2</v>
      </c>
      <c r="K41" s="28" t="n">
        <f aca="false">SUMIFS(Trechos!$F$2:$F$838,Trechos!$M$2:$M$838,A41)</f>
        <v>164.576402340383</v>
      </c>
      <c r="L41" s="27" t="n">
        <f aca="false">SUMPRODUCT(--ISNUMBER(SEARCH("|"&amp;A41&amp;"|",Trechos!$AC$2:$AC$838)))</f>
        <v>2</v>
      </c>
      <c r="M41" s="28" t="n">
        <f aca="false">SUMPRODUCT(ISNUMBER(SEARCH("|"&amp;A41&amp;"|",Trechos!$AC$2:$AC$838))*Trechos!$F$2:$F$838)</f>
        <v>164.576402340383</v>
      </c>
      <c r="N41" s="27" t="s">
        <v>54</v>
      </c>
      <c r="O41" s="27" t="n">
        <v>-7.201359</v>
      </c>
      <c r="P41" s="27" t="n">
        <v>-48.243799</v>
      </c>
      <c r="Q41" s="37" t="s">
        <v>2338</v>
      </c>
    </row>
    <row r="42" customFormat="false" ht="15" hidden="false" customHeight="false" outlineLevel="0" collapsed="false">
      <c r="A42" s="27" t="s">
        <v>1085</v>
      </c>
      <c r="B42" s="27" t="s">
        <v>3418</v>
      </c>
      <c r="C42" s="27" t="s">
        <v>1084</v>
      </c>
      <c r="D42" s="27" t="s">
        <v>3434</v>
      </c>
      <c r="E42" s="27" t="s">
        <v>22</v>
      </c>
      <c r="F42" s="27" t="s">
        <v>22</v>
      </c>
      <c r="G42" s="27" t="n">
        <v>4</v>
      </c>
      <c r="H42" s="27" t="s">
        <v>54</v>
      </c>
      <c r="I42" s="27" t="s">
        <v>41</v>
      </c>
      <c r="J42" s="27"/>
      <c r="K42" s="27"/>
      <c r="L42" s="27"/>
      <c r="M42" s="27"/>
      <c r="N42" s="27" t="s">
        <v>2592</v>
      </c>
      <c r="O42" s="27" t="n">
        <v>-7.20291</v>
      </c>
      <c r="P42" s="27" t="n">
        <v>-48.241475</v>
      </c>
      <c r="Q42" s="37" t="s">
        <v>2338</v>
      </c>
    </row>
    <row r="43" customFormat="false" ht="15" hidden="false" customHeight="false" outlineLevel="0" collapsed="false">
      <c r="A43" s="27" t="s">
        <v>1092</v>
      </c>
      <c r="B43" s="27" t="s">
        <v>3418</v>
      </c>
      <c r="C43" s="27" t="s">
        <v>1091</v>
      </c>
      <c r="D43" s="27" t="s">
        <v>3434</v>
      </c>
      <c r="E43" s="27" t="s">
        <v>22</v>
      </c>
      <c r="F43" s="27" t="s">
        <v>22</v>
      </c>
      <c r="G43" s="27" t="n">
        <v>4</v>
      </c>
      <c r="H43" s="27" t="s">
        <v>54</v>
      </c>
      <c r="I43" s="27" t="s">
        <v>41</v>
      </c>
      <c r="J43" s="27"/>
      <c r="K43" s="27"/>
      <c r="L43" s="27"/>
      <c r="M43" s="27"/>
      <c r="N43" s="27" t="s">
        <v>2592</v>
      </c>
      <c r="O43" s="27" t="n">
        <v>-7.204746</v>
      </c>
      <c r="P43" s="27" t="n">
        <v>-48.242333</v>
      </c>
      <c r="Q43" s="37" t="s">
        <v>2338</v>
      </c>
    </row>
    <row r="44" customFormat="false" ht="15" hidden="false" customHeight="false" outlineLevel="0" collapsed="false">
      <c r="A44" s="27" t="s">
        <v>1111</v>
      </c>
      <c r="B44" s="27" t="s">
        <v>3418</v>
      </c>
      <c r="C44" s="27" t="s">
        <v>1110</v>
      </c>
      <c r="D44" s="27" t="s">
        <v>3434</v>
      </c>
      <c r="E44" s="27" t="s">
        <v>22</v>
      </c>
      <c r="F44" s="27" t="s">
        <v>22</v>
      </c>
      <c r="G44" s="27" t="n">
        <v>4</v>
      </c>
      <c r="H44" s="27" t="s">
        <v>54</v>
      </c>
      <c r="I44" s="27" t="s">
        <v>41</v>
      </c>
      <c r="J44" s="27"/>
      <c r="K44" s="27"/>
      <c r="L44" s="27"/>
      <c r="M44" s="27"/>
      <c r="N44" s="27" t="s">
        <v>2601</v>
      </c>
      <c r="O44" s="27" t="n">
        <v>-7.206289</v>
      </c>
      <c r="P44" s="27" t="n">
        <v>-48.243292</v>
      </c>
      <c r="Q44" s="37" t="s">
        <v>2338</v>
      </c>
    </row>
    <row r="45" customFormat="false" ht="15" hidden="false" customHeight="false" outlineLevel="0" collapsed="false">
      <c r="A45" s="27" t="s">
        <v>59</v>
      </c>
      <c r="B45" s="27" t="s">
        <v>2640</v>
      </c>
      <c r="C45" s="27" t="s">
        <v>1123</v>
      </c>
      <c r="D45" s="27" t="s">
        <v>3434</v>
      </c>
      <c r="E45" s="27" t="s">
        <v>22</v>
      </c>
      <c r="F45" s="27" t="s">
        <v>24</v>
      </c>
      <c r="G45" s="27" t="n">
        <v>4</v>
      </c>
      <c r="H45" s="27" t="s">
        <v>3438</v>
      </c>
      <c r="I45" s="27" t="s">
        <v>2649</v>
      </c>
      <c r="J45" s="27" t="n">
        <f aca="false">COUNTIFS(Trechos!$M$2:$M$838,A45)</f>
        <v>4</v>
      </c>
      <c r="K45" s="28" t="n">
        <f aca="false">SUMIFS(Trechos!$F$2:$F$838,Trechos!$M$2:$M$838,A45)</f>
        <v>242.112352860839</v>
      </c>
      <c r="L45" s="27" t="n">
        <f aca="false">SUMPRODUCT(--ISNUMBER(SEARCH("|"&amp;A45&amp;"|",Trechos!$AC$2:$AC$838)))</f>
        <v>4</v>
      </c>
      <c r="M45" s="28" t="n">
        <f aca="false">SUMPRODUCT(ISNUMBER(SEARCH("|"&amp;A45&amp;"|",Trechos!$AC$2:$AC$838))*Trechos!$F$2:$F$838)</f>
        <v>242.112352860839</v>
      </c>
      <c r="N45" s="27" t="s">
        <v>54</v>
      </c>
      <c r="O45" s="27" t="n">
        <v>-7.204272</v>
      </c>
      <c r="P45" s="27" t="n">
        <v>-48.247291</v>
      </c>
      <c r="Q45" s="37" t="s">
        <v>2338</v>
      </c>
    </row>
    <row r="46" customFormat="false" ht="15" hidden="false" customHeight="false" outlineLevel="0" collapsed="false">
      <c r="A46" s="27" t="s">
        <v>61</v>
      </c>
      <c r="B46" s="27" t="s">
        <v>2655</v>
      </c>
      <c r="C46" s="27" t="s">
        <v>1125</v>
      </c>
      <c r="D46" s="27" t="s">
        <v>3434</v>
      </c>
      <c r="E46" s="27" t="s">
        <v>22</v>
      </c>
      <c r="F46" s="27" t="s">
        <v>24</v>
      </c>
      <c r="G46" s="27" t="n">
        <v>4</v>
      </c>
      <c r="H46" s="27" t="s">
        <v>3439</v>
      </c>
      <c r="I46" s="27" t="s">
        <v>2657</v>
      </c>
      <c r="J46" s="27" t="n">
        <f aca="false">COUNTIFS(Trechos!$M$2:$M$838,A46)</f>
        <v>6</v>
      </c>
      <c r="K46" s="28" t="n">
        <f aca="false">SUMIFS(Trechos!$F$2:$F$838,Trechos!$M$2:$M$838,A46)</f>
        <v>419.614498891667</v>
      </c>
      <c r="L46" s="27" t="n">
        <f aca="false">SUMPRODUCT(--ISNUMBER(SEARCH("|"&amp;A46&amp;"|",Trechos!$AC$2:$AC$838)))</f>
        <v>15</v>
      </c>
      <c r="M46" s="28" t="n">
        <f aca="false">SUMPRODUCT(ISNUMBER(SEARCH("|"&amp;A46&amp;"|",Trechos!$AC$2:$AC$838))*Trechos!$F$2:$F$838)</f>
        <v>1100.92613453269</v>
      </c>
      <c r="N46" s="27" t="s">
        <v>2656</v>
      </c>
      <c r="O46" s="27" t="n">
        <v>-7.204637</v>
      </c>
      <c r="P46" s="27" t="n">
        <v>-48.247175</v>
      </c>
      <c r="Q46" s="37" t="s">
        <v>2338</v>
      </c>
    </row>
    <row r="47" customFormat="false" ht="15" hidden="false" customHeight="false" outlineLevel="0" collapsed="false">
      <c r="A47" s="27" t="s">
        <v>68</v>
      </c>
      <c r="B47" s="27" t="s">
        <v>2635</v>
      </c>
      <c r="C47" s="27" t="s">
        <v>1127</v>
      </c>
      <c r="D47" s="27" t="s">
        <v>3434</v>
      </c>
      <c r="E47" s="27" t="s">
        <v>22</v>
      </c>
      <c r="F47" s="27" t="s">
        <v>24</v>
      </c>
      <c r="G47" s="27" t="n">
        <v>4</v>
      </c>
      <c r="H47" s="27" t="s">
        <v>3440</v>
      </c>
      <c r="I47" s="27" t="s">
        <v>2681</v>
      </c>
      <c r="J47" s="27" t="n">
        <f aca="false">COUNTIFS(Trechos!$M$2:$M$838,A47)</f>
        <v>3</v>
      </c>
      <c r="K47" s="28" t="n">
        <f aca="false">SUMIFS(Trechos!$F$2:$F$838,Trechos!$M$2:$M$838,A47)</f>
        <v>17.6317886192389</v>
      </c>
      <c r="L47" s="27" t="n">
        <f aca="false">SUMPRODUCT(--ISNUMBER(SEARCH("|"&amp;A47&amp;"|",Trechos!$AC$2:$AC$838)))</f>
        <v>3</v>
      </c>
      <c r="M47" s="28" t="n">
        <f aca="false">SUMPRODUCT(ISNUMBER(SEARCH("|"&amp;A47&amp;"|",Trechos!$AC$2:$AC$838))*Trechos!$F$2:$F$838)</f>
        <v>17.6317886192389</v>
      </c>
      <c r="N47" s="27" t="s">
        <v>54</v>
      </c>
      <c r="O47" s="27" t="n">
        <v>-7.205537</v>
      </c>
      <c r="P47" s="27" t="n">
        <v>-48.245767</v>
      </c>
      <c r="Q47" s="37" t="s">
        <v>2338</v>
      </c>
    </row>
    <row r="48" customFormat="false" ht="15" hidden="false" customHeight="false" outlineLevel="0" collapsed="false">
      <c r="A48" s="27" t="s">
        <v>70</v>
      </c>
      <c r="B48" s="27" t="s">
        <v>2640</v>
      </c>
      <c r="C48" s="27" t="s">
        <v>1143</v>
      </c>
      <c r="D48" s="27" t="s">
        <v>3434</v>
      </c>
      <c r="E48" s="27" t="s">
        <v>22</v>
      </c>
      <c r="F48" s="27" t="s">
        <v>24</v>
      </c>
      <c r="G48" s="27" t="n">
        <v>4</v>
      </c>
      <c r="H48" s="27" t="s">
        <v>3441</v>
      </c>
      <c r="I48" s="27" t="s">
        <v>2686</v>
      </c>
      <c r="J48" s="27" t="n">
        <f aca="false">COUNTIFS(Trechos!$M$2:$M$838,A48)</f>
        <v>1</v>
      </c>
      <c r="K48" s="28" t="n">
        <f aca="false">SUMIFS(Trechos!$F$2:$F$838,Trechos!$M$2:$M$838,A48)</f>
        <v>5.16474565625425</v>
      </c>
      <c r="L48" s="27" t="n">
        <f aca="false">SUMPRODUCT(--ISNUMBER(SEARCH("|"&amp;A48&amp;"|",Trechos!$AC$2:$AC$838)))</f>
        <v>1</v>
      </c>
      <c r="M48" s="28" t="n">
        <f aca="false">SUMPRODUCT(ISNUMBER(SEARCH("|"&amp;A48&amp;"|",Trechos!$AC$2:$AC$838))*Trechos!$F$2:$F$838)</f>
        <v>5.16474565625425</v>
      </c>
      <c r="N48" s="27" t="s">
        <v>54</v>
      </c>
      <c r="O48" s="27" t="n">
        <v>-7.205092</v>
      </c>
      <c r="P48" s="27" t="n">
        <v>-48.242817</v>
      </c>
      <c r="Q48" s="37" t="s">
        <v>2338</v>
      </c>
    </row>
    <row r="49" customFormat="false" ht="15" hidden="false" customHeight="false" outlineLevel="0" collapsed="false">
      <c r="A49" s="27" t="s">
        <v>62</v>
      </c>
      <c r="B49" s="27" t="s">
        <v>2640</v>
      </c>
      <c r="C49" s="27" t="s">
        <v>1193</v>
      </c>
      <c r="D49" s="27" t="s">
        <v>3434</v>
      </c>
      <c r="E49" s="27" t="s">
        <v>24</v>
      </c>
      <c r="F49" s="27" t="s">
        <v>24</v>
      </c>
      <c r="G49" s="27" t="n">
        <v>9</v>
      </c>
      <c r="H49" s="27" t="s">
        <v>3442</v>
      </c>
      <c r="I49" s="27" t="s">
        <v>2666</v>
      </c>
      <c r="J49" s="27" t="n">
        <f aca="false">COUNTIFS(Trechos!$M$2:$M$838,A49)</f>
        <v>7</v>
      </c>
      <c r="K49" s="28" t="n">
        <f aca="false">SUMIFS(Trechos!$F$2:$F$838,Trechos!$M$2:$M$838,A49)</f>
        <v>505.377204353388</v>
      </c>
      <c r="L49" s="27" t="n">
        <f aca="false">SUMPRODUCT(--ISNUMBER(SEARCH("|"&amp;A49&amp;"|",Trechos!$AC$2:$AC$838)))</f>
        <v>9</v>
      </c>
      <c r="M49" s="28" t="n">
        <f aca="false">SUMPRODUCT(ISNUMBER(SEARCH("|"&amp;A49&amp;"|",Trechos!$AC$2:$AC$838))*Trechos!$F$2:$F$838)</f>
        <v>681.311635641023</v>
      </c>
      <c r="N49" s="27" t="s">
        <v>2665</v>
      </c>
      <c r="O49" s="27" t="n">
        <v>-7.207237</v>
      </c>
      <c r="P49" s="27" t="n">
        <v>-48.249866</v>
      </c>
      <c r="Q49" s="37" t="s">
        <v>2338</v>
      </c>
    </row>
    <row r="50" customFormat="false" ht="15" hidden="false" customHeight="false" outlineLevel="0" collapsed="false">
      <c r="A50" s="27" t="s">
        <v>64</v>
      </c>
      <c r="B50" s="27" t="s">
        <v>2640</v>
      </c>
      <c r="C50" s="27" t="s">
        <v>1203</v>
      </c>
      <c r="D50" s="27" t="s">
        <v>3434</v>
      </c>
      <c r="E50" s="27" t="s">
        <v>24</v>
      </c>
      <c r="F50" s="27" t="s">
        <v>24</v>
      </c>
      <c r="G50" s="27" t="n">
        <v>10</v>
      </c>
      <c r="H50" s="27" t="s">
        <v>3443</v>
      </c>
      <c r="I50" s="27" t="s">
        <v>2675</v>
      </c>
      <c r="J50" s="27" t="n">
        <f aca="false">COUNTIFS(Trechos!$M$2:$M$838,A50)</f>
        <v>1</v>
      </c>
      <c r="K50" s="28" t="n">
        <f aca="false">SUMIFS(Trechos!$F$2:$F$838,Trechos!$M$2:$M$838,A50)</f>
        <v>122.547958825086</v>
      </c>
      <c r="L50" s="27" t="n">
        <f aca="false">SUMPRODUCT(--ISNUMBER(SEARCH("|"&amp;A50&amp;"|",Trechos!$AC$2:$AC$838)))</f>
        <v>1</v>
      </c>
      <c r="M50" s="28" t="n">
        <f aca="false">SUMPRODUCT(ISNUMBER(SEARCH("|"&amp;A50&amp;"|",Trechos!$AC$2:$AC$838))*Trechos!$F$2:$F$838)</f>
        <v>122.547958825086</v>
      </c>
      <c r="N50" s="27" t="s">
        <v>54</v>
      </c>
      <c r="O50" s="27" t="n">
        <v>-7.210452</v>
      </c>
      <c r="P50" s="27" t="n">
        <v>-48.251962</v>
      </c>
      <c r="Q50" s="37" t="s">
        <v>2338</v>
      </c>
    </row>
    <row r="51" customFormat="false" ht="15" hidden="false" customHeight="false" outlineLevel="0" collapsed="false">
      <c r="A51" s="27" t="s">
        <v>66</v>
      </c>
      <c r="B51" s="27" t="s">
        <v>2640</v>
      </c>
      <c r="C51" s="27" t="s">
        <v>1205</v>
      </c>
      <c r="D51" s="27" t="s">
        <v>3434</v>
      </c>
      <c r="E51" s="27" t="s">
        <v>24</v>
      </c>
      <c r="F51" s="27" t="s">
        <v>24</v>
      </c>
      <c r="G51" s="27" t="n">
        <v>10</v>
      </c>
      <c r="H51" s="27" t="s">
        <v>3444</v>
      </c>
      <c r="I51" s="27" t="s">
        <v>2678</v>
      </c>
      <c r="J51" s="27" t="n">
        <f aca="false">COUNTIFS(Trechos!$M$2:$M$838,A51)</f>
        <v>1</v>
      </c>
      <c r="K51" s="28" t="n">
        <f aca="false">SUMIFS(Trechos!$F$2:$F$838,Trechos!$M$2:$M$838,A51)</f>
        <v>53.3864724625481</v>
      </c>
      <c r="L51" s="27" t="n">
        <f aca="false">SUMPRODUCT(--ISNUMBER(SEARCH("|"&amp;A51&amp;"|",Trechos!$AC$2:$AC$838)))</f>
        <v>1</v>
      </c>
      <c r="M51" s="28" t="n">
        <f aca="false">SUMPRODUCT(ISNUMBER(SEARCH("|"&amp;A51&amp;"|",Trechos!$AC$2:$AC$838))*Trechos!$F$2:$F$838)</f>
        <v>53.3864724625481</v>
      </c>
      <c r="N51" s="27" t="s">
        <v>54</v>
      </c>
      <c r="O51" s="27" t="n">
        <v>-7.210244</v>
      </c>
      <c r="P51" s="27" t="n">
        <v>-48.251661</v>
      </c>
      <c r="Q51" s="37" t="s">
        <v>2338</v>
      </c>
    </row>
    <row r="52" customFormat="false" ht="15" hidden="false" customHeight="false" outlineLevel="0" collapsed="false">
      <c r="A52" s="27" t="s">
        <v>1230</v>
      </c>
      <c r="B52" s="27" t="s">
        <v>3418</v>
      </c>
      <c r="C52" s="27" t="s">
        <v>1229</v>
      </c>
      <c r="D52" s="27" t="s">
        <v>3434</v>
      </c>
      <c r="E52" s="27" t="s">
        <v>22</v>
      </c>
      <c r="F52" s="27" t="s">
        <v>22</v>
      </c>
      <c r="G52" s="27" t="n">
        <v>16</v>
      </c>
      <c r="H52" s="27" t="s">
        <v>54</v>
      </c>
      <c r="I52" s="27" t="s">
        <v>41</v>
      </c>
      <c r="J52" s="27"/>
      <c r="K52" s="27"/>
      <c r="L52" s="27"/>
      <c r="M52" s="27"/>
      <c r="N52" s="27" t="s">
        <v>2691</v>
      </c>
      <c r="O52" s="27" t="n">
        <v>-7.207849</v>
      </c>
      <c r="P52" s="27" t="n">
        <v>-48.242089</v>
      </c>
      <c r="Q52" s="37" t="s">
        <v>2338</v>
      </c>
    </row>
    <row r="53" customFormat="false" ht="15" hidden="false" customHeight="false" outlineLevel="0" collapsed="false">
      <c r="A53" s="27" t="s">
        <v>1239</v>
      </c>
      <c r="B53" s="27" t="s">
        <v>3418</v>
      </c>
      <c r="C53" s="27" t="s">
        <v>1238</v>
      </c>
      <c r="D53" s="27" t="s">
        <v>3434</v>
      </c>
      <c r="E53" s="27" t="s">
        <v>22</v>
      </c>
      <c r="F53" s="27" t="s">
        <v>22</v>
      </c>
      <c r="G53" s="27" t="n">
        <v>16</v>
      </c>
      <c r="H53" s="27" t="s">
        <v>54</v>
      </c>
      <c r="I53" s="27" t="s">
        <v>41</v>
      </c>
      <c r="J53" s="27"/>
      <c r="K53" s="27"/>
      <c r="L53" s="27"/>
      <c r="M53" s="27"/>
      <c r="N53" s="27" t="s">
        <v>2691</v>
      </c>
      <c r="O53" s="27" t="n">
        <v>-7.21414</v>
      </c>
      <c r="P53" s="27" t="n">
        <v>-48.245117</v>
      </c>
      <c r="Q53" s="37" t="s">
        <v>2338</v>
      </c>
    </row>
    <row r="54" customFormat="false" ht="15" hidden="false" customHeight="false" outlineLevel="0" collapsed="false">
      <c r="A54" s="27" t="s">
        <v>1248</v>
      </c>
      <c r="B54" s="27" t="s">
        <v>3418</v>
      </c>
      <c r="C54" s="27" t="s">
        <v>1247</v>
      </c>
      <c r="D54" s="27" t="s">
        <v>3434</v>
      </c>
      <c r="E54" s="27" t="s">
        <v>22</v>
      </c>
      <c r="F54" s="27" t="s">
        <v>22</v>
      </c>
      <c r="G54" s="27" t="n">
        <v>16</v>
      </c>
      <c r="H54" s="27" t="s">
        <v>54</v>
      </c>
      <c r="I54" s="27" t="s">
        <v>41</v>
      </c>
      <c r="J54" s="27"/>
      <c r="K54" s="27"/>
      <c r="L54" s="27"/>
      <c r="M54" s="27"/>
      <c r="N54" s="27" t="s">
        <v>2700</v>
      </c>
      <c r="O54" s="27" t="n">
        <v>-7.217301</v>
      </c>
      <c r="P54" s="27" t="n">
        <v>-48.246594</v>
      </c>
      <c r="Q54" s="37" t="s">
        <v>2338</v>
      </c>
    </row>
    <row r="55" customFormat="false" ht="15" hidden="false" customHeight="false" outlineLevel="0" collapsed="false">
      <c r="A55" s="27" t="s">
        <v>1269</v>
      </c>
      <c r="B55" s="27" t="s">
        <v>3418</v>
      </c>
      <c r="C55" s="27" t="s">
        <v>1268</v>
      </c>
      <c r="D55" s="27" t="s">
        <v>3434</v>
      </c>
      <c r="E55" s="27" t="s">
        <v>22</v>
      </c>
      <c r="F55" s="27" t="s">
        <v>22</v>
      </c>
      <c r="G55" s="27" t="n">
        <v>16</v>
      </c>
      <c r="H55" s="27" t="s">
        <v>54</v>
      </c>
      <c r="I55" s="27" t="s">
        <v>41</v>
      </c>
      <c r="J55" s="27"/>
      <c r="K55" s="27"/>
      <c r="L55" s="27"/>
      <c r="M55" s="27"/>
      <c r="N55" s="27" t="s">
        <v>2712</v>
      </c>
      <c r="O55" s="27" t="n">
        <v>-7.222594</v>
      </c>
      <c r="P55" s="27" t="n">
        <v>-48.249084</v>
      </c>
      <c r="Q55" s="37" t="s">
        <v>2338</v>
      </c>
    </row>
    <row r="56" customFormat="false" ht="15" hidden="false" customHeight="false" outlineLevel="0" collapsed="false">
      <c r="A56" s="27" t="s">
        <v>1290</v>
      </c>
      <c r="B56" s="27" t="s">
        <v>3418</v>
      </c>
      <c r="C56" s="27" t="s">
        <v>1289</v>
      </c>
      <c r="D56" s="27" t="s">
        <v>3434</v>
      </c>
      <c r="E56" s="27" t="s">
        <v>22</v>
      </c>
      <c r="F56" s="27" t="s">
        <v>22</v>
      </c>
      <c r="G56" s="27" t="n">
        <v>16</v>
      </c>
      <c r="H56" s="27" t="s">
        <v>54</v>
      </c>
      <c r="I56" s="27" t="s">
        <v>41</v>
      </c>
      <c r="J56" s="27"/>
      <c r="K56" s="27"/>
      <c r="L56" s="27"/>
      <c r="M56" s="27"/>
      <c r="N56" s="27" t="s">
        <v>2727</v>
      </c>
      <c r="O56" s="27" t="n">
        <v>-7.228596</v>
      </c>
      <c r="P56" s="27" t="n">
        <v>-48.251895</v>
      </c>
      <c r="Q56" s="37" t="s">
        <v>2338</v>
      </c>
    </row>
    <row r="57" customFormat="false" ht="15" hidden="false" customHeight="false" outlineLevel="0" collapsed="false">
      <c r="A57" s="27" t="s">
        <v>79</v>
      </c>
      <c r="B57" s="27" t="s">
        <v>2640</v>
      </c>
      <c r="C57" s="27" t="s">
        <v>1314</v>
      </c>
      <c r="D57" s="27" t="s">
        <v>3434</v>
      </c>
      <c r="E57" s="27" t="s">
        <v>22</v>
      </c>
      <c r="F57" s="27" t="s">
        <v>24</v>
      </c>
      <c r="G57" s="27" t="n">
        <v>16</v>
      </c>
      <c r="H57" s="27" t="s">
        <v>3445</v>
      </c>
      <c r="I57" s="27" t="s">
        <v>2882</v>
      </c>
      <c r="J57" s="27" t="n">
        <f aca="false">COUNTIFS(Trechos!$M$2:$M$838,A57)</f>
        <v>13</v>
      </c>
      <c r="K57" s="28" t="n">
        <f aca="false">SUMIFS(Trechos!$F$2:$F$838,Trechos!$M$2:$M$838,A57)</f>
        <v>1089.05853291961</v>
      </c>
      <c r="L57" s="27" t="n">
        <f aca="false">SUMPRODUCT(--ISNUMBER(SEARCH("|"&amp;A57&amp;"|",Trechos!$AC$2:$AC$838)))</f>
        <v>99</v>
      </c>
      <c r="M57" s="28" t="n">
        <f aca="false">SUMPRODUCT(ISNUMBER(SEARCH("|"&amp;A57&amp;"|",Trechos!$AC$2:$AC$838))*Trechos!$F$2:$F$838)</f>
        <v>9250.97080354549</v>
      </c>
      <c r="N57" s="27" t="s">
        <v>2881</v>
      </c>
      <c r="O57" s="27" t="n">
        <v>-7.231161</v>
      </c>
      <c r="P57" s="27" t="n">
        <v>-48.255346</v>
      </c>
      <c r="Q57" s="37" t="s">
        <v>2338</v>
      </c>
    </row>
    <row r="58" customFormat="false" ht="15" hidden="false" customHeight="false" outlineLevel="0" collapsed="false">
      <c r="A58" s="27" t="s">
        <v>115</v>
      </c>
      <c r="B58" s="27" t="s">
        <v>2640</v>
      </c>
      <c r="C58" s="27" t="s">
        <v>1324</v>
      </c>
      <c r="D58" s="27" t="s">
        <v>3434</v>
      </c>
      <c r="E58" s="27" t="s">
        <v>22</v>
      </c>
      <c r="F58" s="27" t="s">
        <v>24</v>
      </c>
      <c r="G58" s="27" t="n">
        <v>16</v>
      </c>
      <c r="H58" s="27" t="s">
        <v>3446</v>
      </c>
      <c r="I58" s="27" t="s">
        <v>3032</v>
      </c>
      <c r="J58" s="27" t="n">
        <f aca="false">COUNTIFS(Trechos!$M$2:$M$838,A58)</f>
        <v>2</v>
      </c>
      <c r="K58" s="28" t="n">
        <f aca="false">SUMIFS(Trechos!$F$2:$F$838,Trechos!$M$2:$M$838,A58)</f>
        <v>14.9755209740523</v>
      </c>
      <c r="L58" s="27" t="n">
        <f aca="false">SUMPRODUCT(--ISNUMBER(SEARCH("|"&amp;A58&amp;"|",Trechos!$AC$2:$AC$838)))</f>
        <v>2</v>
      </c>
      <c r="M58" s="28" t="n">
        <f aca="false">SUMPRODUCT(ISNUMBER(SEARCH("|"&amp;A58&amp;"|",Trechos!$AC$2:$AC$838))*Trechos!$F$2:$F$838)</f>
        <v>14.9755209740523</v>
      </c>
      <c r="N58" s="27" t="s">
        <v>54</v>
      </c>
      <c r="O58" s="27" t="n">
        <v>-7.231105</v>
      </c>
      <c r="P58" s="27" t="n">
        <v>-48.253281</v>
      </c>
      <c r="Q58" s="37" t="s">
        <v>2338</v>
      </c>
    </row>
    <row r="59" customFormat="false" ht="15" hidden="false" customHeight="false" outlineLevel="0" collapsed="false">
      <c r="A59" s="27" t="s">
        <v>1361</v>
      </c>
      <c r="B59" s="27" t="s">
        <v>3418</v>
      </c>
      <c r="C59" s="27" t="s">
        <v>1360</v>
      </c>
      <c r="D59" s="27" t="s">
        <v>3434</v>
      </c>
      <c r="E59" s="27" t="s">
        <v>22</v>
      </c>
      <c r="F59" s="27" t="s">
        <v>22</v>
      </c>
      <c r="G59" s="27" t="n">
        <v>16</v>
      </c>
      <c r="H59" s="27" t="s">
        <v>54</v>
      </c>
      <c r="I59" s="27" t="s">
        <v>41</v>
      </c>
      <c r="J59" s="27"/>
      <c r="K59" s="27"/>
      <c r="L59" s="27"/>
      <c r="M59" s="27"/>
      <c r="N59" s="27" t="s">
        <v>117</v>
      </c>
      <c r="O59" s="27" t="n">
        <v>-7.228261</v>
      </c>
      <c r="P59" s="27" t="n">
        <v>-48.261073</v>
      </c>
      <c r="Q59" s="37" t="s">
        <v>2338</v>
      </c>
    </row>
    <row r="60" customFormat="false" ht="15" hidden="false" customHeight="false" outlineLevel="0" collapsed="false">
      <c r="A60" s="27" t="s">
        <v>117</v>
      </c>
      <c r="B60" s="27" t="s">
        <v>2640</v>
      </c>
      <c r="C60" s="27" t="s">
        <v>1373</v>
      </c>
      <c r="D60" s="27" t="s">
        <v>3434</v>
      </c>
      <c r="E60" s="27" t="s">
        <v>22</v>
      </c>
      <c r="F60" s="27" t="s">
        <v>24</v>
      </c>
      <c r="G60" s="27" t="n">
        <v>16</v>
      </c>
      <c r="H60" s="27" t="s">
        <v>3447</v>
      </c>
      <c r="I60" s="27" t="s">
        <v>3036</v>
      </c>
      <c r="J60" s="27" t="n">
        <f aca="false">COUNTIFS(Trechos!$M$2:$M$838,A60)</f>
        <v>1</v>
      </c>
      <c r="K60" s="28" t="n">
        <f aca="false">SUMIFS(Trechos!$F$2:$F$838,Trechos!$M$2:$M$838,A60)</f>
        <v>13.6181650270171</v>
      </c>
      <c r="L60" s="27" t="n">
        <f aca="false">SUMPRODUCT(--ISNUMBER(SEARCH("|"&amp;A60&amp;"|",Trechos!$AC$2:$AC$838)))</f>
        <v>1</v>
      </c>
      <c r="M60" s="28" t="n">
        <f aca="false">SUMPRODUCT(ISNUMBER(SEARCH("|"&amp;A60&amp;"|",Trechos!$AC$2:$AC$838))*Trechos!$F$2:$F$838)</f>
        <v>13.6181650270171</v>
      </c>
      <c r="N60" s="27" t="s">
        <v>54</v>
      </c>
      <c r="O60" s="27" t="n">
        <v>-7.226509</v>
      </c>
      <c r="P60" s="27" t="n">
        <v>-48.262154</v>
      </c>
      <c r="Q60" s="37" t="s">
        <v>2338</v>
      </c>
    </row>
    <row r="61" customFormat="false" ht="15" hidden="false" customHeight="false" outlineLevel="0" collapsed="false">
      <c r="A61" s="27" t="s">
        <v>119</v>
      </c>
      <c r="B61" s="27" t="s">
        <v>2640</v>
      </c>
      <c r="C61" s="27" t="s">
        <v>1375</v>
      </c>
      <c r="D61" s="27" t="s">
        <v>3434</v>
      </c>
      <c r="E61" s="27" t="s">
        <v>22</v>
      </c>
      <c r="F61" s="27" t="s">
        <v>24</v>
      </c>
      <c r="G61" s="27" t="n">
        <v>16</v>
      </c>
      <c r="H61" s="27" t="s">
        <v>3448</v>
      </c>
      <c r="I61" s="27" t="s">
        <v>3039</v>
      </c>
      <c r="J61" s="27" t="n">
        <f aca="false">COUNTIFS(Trechos!$M$2:$M$838,A61)</f>
        <v>11</v>
      </c>
      <c r="K61" s="28" t="n">
        <f aca="false">SUMIFS(Trechos!$F$2:$F$838,Trechos!$M$2:$M$838,A61)</f>
        <v>499.028674643975</v>
      </c>
      <c r="L61" s="27" t="n">
        <f aca="false">SUMPRODUCT(--ISNUMBER(SEARCH("|"&amp;A61&amp;"|",Trechos!$AC$2:$AC$838)))</f>
        <v>11</v>
      </c>
      <c r="M61" s="28" t="n">
        <f aca="false">SUMPRODUCT(ISNUMBER(SEARCH("|"&amp;A61&amp;"|",Trechos!$AC$2:$AC$838))*Trechos!$F$2:$F$838)</f>
        <v>499.028674643975</v>
      </c>
      <c r="N61" s="27" t="s">
        <v>54</v>
      </c>
      <c r="O61" s="27" t="n">
        <v>-7.228492</v>
      </c>
      <c r="P61" s="27" t="n">
        <v>-48.26077</v>
      </c>
      <c r="Q61" s="37" t="s">
        <v>2338</v>
      </c>
    </row>
    <row r="62" customFormat="false" ht="15" hidden="false" customHeight="false" outlineLevel="0" collapsed="false">
      <c r="A62" s="27" t="s">
        <v>121</v>
      </c>
      <c r="B62" s="27" t="s">
        <v>2635</v>
      </c>
      <c r="C62" s="27" t="s">
        <v>1379</v>
      </c>
      <c r="D62" s="27" t="s">
        <v>3434</v>
      </c>
      <c r="E62" s="27" t="s">
        <v>22</v>
      </c>
      <c r="F62" s="27" t="s">
        <v>24</v>
      </c>
      <c r="G62" s="27" t="n">
        <v>16</v>
      </c>
      <c r="H62" s="27" t="s">
        <v>3449</v>
      </c>
      <c r="I62" s="27" t="s">
        <v>3052</v>
      </c>
      <c r="J62" s="27" t="n">
        <f aca="false">COUNTIFS(Trechos!$M$2:$M$838,A62)</f>
        <v>1</v>
      </c>
      <c r="K62" s="28" t="n">
        <f aca="false">SUMIFS(Trechos!$F$2:$F$838,Trechos!$M$2:$M$838,A62)</f>
        <v>99.536474084685</v>
      </c>
      <c r="L62" s="27" t="n">
        <f aca="false">SUMPRODUCT(--ISNUMBER(SEARCH("|"&amp;A62&amp;"|",Trechos!$AC$2:$AC$838)))</f>
        <v>1</v>
      </c>
      <c r="M62" s="28" t="n">
        <f aca="false">SUMPRODUCT(ISNUMBER(SEARCH("|"&amp;A62&amp;"|",Trechos!$AC$2:$AC$838))*Trechos!$F$2:$F$838)</f>
        <v>99.536474084685</v>
      </c>
      <c r="N62" s="27" t="s">
        <v>54</v>
      </c>
      <c r="O62" s="27" t="n">
        <v>-7.22924</v>
      </c>
      <c r="P62" s="27" t="n">
        <v>-48.25756</v>
      </c>
      <c r="Q62" s="37" t="s">
        <v>2338</v>
      </c>
    </row>
    <row r="63" customFormat="false" ht="15" hidden="false" customHeight="false" outlineLevel="0" collapsed="false">
      <c r="A63" s="27" t="s">
        <v>123</v>
      </c>
      <c r="B63" s="27" t="s">
        <v>2640</v>
      </c>
      <c r="C63" s="27" t="s">
        <v>1397</v>
      </c>
      <c r="D63" s="27" t="s">
        <v>3434</v>
      </c>
      <c r="E63" s="27" t="s">
        <v>22</v>
      </c>
      <c r="F63" s="27" t="s">
        <v>24</v>
      </c>
      <c r="G63" s="27" t="n">
        <v>16</v>
      </c>
      <c r="H63" s="27" t="s">
        <v>3450</v>
      </c>
      <c r="I63" s="27" t="s">
        <v>3055</v>
      </c>
      <c r="J63" s="27" t="n">
        <f aca="false">COUNTIFS(Trechos!$M$2:$M$838,A63)</f>
        <v>7</v>
      </c>
      <c r="K63" s="28" t="n">
        <f aca="false">SUMIFS(Trechos!$F$2:$F$838,Trechos!$M$2:$M$838,A63)</f>
        <v>438.92528121548</v>
      </c>
      <c r="L63" s="27" t="n">
        <f aca="false">SUMPRODUCT(--ISNUMBER(SEARCH("|"&amp;A63&amp;"|",Trechos!$AC$2:$AC$838)))</f>
        <v>7</v>
      </c>
      <c r="M63" s="28" t="n">
        <f aca="false">SUMPRODUCT(ISNUMBER(SEARCH("|"&amp;A63&amp;"|",Trechos!$AC$2:$AC$838))*Trechos!$F$2:$F$838)</f>
        <v>438.92528121548</v>
      </c>
      <c r="N63" s="27" t="s">
        <v>54</v>
      </c>
      <c r="O63" s="27" t="n">
        <v>-7.232651</v>
      </c>
      <c r="P63" s="27" t="n">
        <v>-48.255257</v>
      </c>
      <c r="Q63" s="37" t="s">
        <v>2338</v>
      </c>
    </row>
    <row r="64" customFormat="false" ht="15" hidden="false" customHeight="false" outlineLevel="0" collapsed="false">
      <c r="A64" s="27" t="s">
        <v>125</v>
      </c>
      <c r="B64" s="27" t="s">
        <v>2640</v>
      </c>
      <c r="C64" s="27" t="s">
        <v>1407</v>
      </c>
      <c r="D64" s="27" t="s">
        <v>3434</v>
      </c>
      <c r="E64" s="27" t="s">
        <v>22</v>
      </c>
      <c r="F64" s="27" t="s">
        <v>24</v>
      </c>
      <c r="G64" s="27" t="n">
        <v>16</v>
      </c>
      <c r="H64" s="27" t="s">
        <v>3451</v>
      </c>
      <c r="I64" s="27" t="s">
        <v>3064</v>
      </c>
      <c r="J64" s="27" t="n">
        <f aca="false">COUNTIFS(Trechos!$M$2:$M$838,A64)</f>
        <v>6</v>
      </c>
      <c r="K64" s="28" t="n">
        <f aca="false">SUMIFS(Trechos!$F$2:$F$838,Trechos!$M$2:$M$838,A64)</f>
        <v>411.997129045167</v>
      </c>
      <c r="L64" s="27" t="n">
        <f aca="false">SUMPRODUCT(--ISNUMBER(SEARCH("|"&amp;A64&amp;"|",Trechos!$AC$2:$AC$838)))</f>
        <v>8</v>
      </c>
      <c r="M64" s="28" t="n">
        <f aca="false">SUMPRODUCT(ISNUMBER(SEARCH("|"&amp;A64&amp;"|",Trechos!$AC$2:$AC$838))*Trechos!$F$2:$F$838)</f>
        <v>471.609301318337</v>
      </c>
      <c r="N64" s="27" t="s">
        <v>126</v>
      </c>
      <c r="O64" s="27" t="n">
        <v>-7.227675</v>
      </c>
      <c r="P64" s="27" t="n">
        <v>-48.251501</v>
      </c>
      <c r="Q64" s="37" t="s">
        <v>2338</v>
      </c>
    </row>
    <row r="65" customFormat="false" ht="15" hidden="false" customHeight="false" outlineLevel="0" collapsed="false">
      <c r="A65" s="27" t="s">
        <v>128</v>
      </c>
      <c r="B65" s="27" t="s">
        <v>2640</v>
      </c>
      <c r="C65" s="27" t="s">
        <v>1415</v>
      </c>
      <c r="D65" s="27" t="s">
        <v>3434</v>
      </c>
      <c r="E65" s="27" t="s">
        <v>22</v>
      </c>
      <c r="F65" s="27" t="s">
        <v>24</v>
      </c>
      <c r="G65" s="27" t="n">
        <v>16</v>
      </c>
      <c r="H65" s="27" t="s">
        <v>3452</v>
      </c>
      <c r="I65" s="27" t="s">
        <v>3076</v>
      </c>
      <c r="J65" s="27" t="n">
        <f aca="false">COUNTIFS(Trechos!$M$2:$M$838,A65)</f>
        <v>6</v>
      </c>
      <c r="K65" s="28" t="n">
        <f aca="false">SUMIFS(Trechos!$F$2:$F$838,Trechos!$M$2:$M$838,A65)</f>
        <v>1387.10887729362</v>
      </c>
      <c r="L65" s="27" t="n">
        <f aca="false">SUMPRODUCT(--ISNUMBER(SEARCH("|"&amp;A65&amp;"|",Trechos!$AC$2:$AC$838)))</f>
        <v>7</v>
      </c>
      <c r="M65" s="28" t="n">
        <f aca="false">SUMPRODUCT(ISNUMBER(SEARCH("|"&amp;A65&amp;"|",Trechos!$AC$2:$AC$838))*Trechos!$F$2:$F$838)</f>
        <v>1668.41426273279</v>
      </c>
      <c r="N65" s="27" t="s">
        <v>129</v>
      </c>
      <c r="O65" s="27" t="n">
        <v>-7.225048</v>
      </c>
      <c r="P65" s="27" t="n">
        <v>-48.250605</v>
      </c>
      <c r="Q65" s="37" t="s">
        <v>2338</v>
      </c>
    </row>
    <row r="66" customFormat="false" ht="15" hidden="false" customHeight="false" outlineLevel="0" collapsed="false">
      <c r="A66" s="27" t="s">
        <v>131</v>
      </c>
      <c r="B66" s="27" t="s">
        <v>2635</v>
      </c>
      <c r="C66" s="27" t="s">
        <v>1417</v>
      </c>
      <c r="D66" s="27" t="s">
        <v>3434</v>
      </c>
      <c r="E66" s="27" t="s">
        <v>22</v>
      </c>
      <c r="F66" s="27" t="s">
        <v>24</v>
      </c>
      <c r="G66" s="27" t="n">
        <v>16</v>
      </c>
      <c r="H66" s="27" t="s">
        <v>3453</v>
      </c>
      <c r="I66" s="27" t="s">
        <v>3087</v>
      </c>
      <c r="J66" s="27" t="n">
        <f aca="false">COUNTIFS(Trechos!$M$2:$M$838,A66)</f>
        <v>2</v>
      </c>
      <c r="K66" s="28" t="n">
        <f aca="false">SUMIFS(Trechos!$F$2:$F$838,Trechos!$M$2:$M$838,A66)</f>
        <v>36.5036013188628</v>
      </c>
      <c r="L66" s="27" t="n">
        <f aca="false">SUMPRODUCT(--ISNUMBER(SEARCH("|"&amp;A66&amp;"|",Trechos!$AC$2:$AC$838)))</f>
        <v>2</v>
      </c>
      <c r="M66" s="28" t="n">
        <f aca="false">SUMPRODUCT(ISNUMBER(SEARCH("|"&amp;A66&amp;"|",Trechos!$AC$2:$AC$838))*Trechos!$F$2:$F$838)</f>
        <v>36.5036013188628</v>
      </c>
      <c r="N66" s="27" t="s">
        <v>54</v>
      </c>
      <c r="O66" s="27" t="n">
        <v>-7.224351</v>
      </c>
      <c r="P66" s="27" t="n">
        <v>-48.249905</v>
      </c>
      <c r="Q66" s="37" t="s">
        <v>2338</v>
      </c>
    </row>
    <row r="67" customFormat="false" ht="15" hidden="false" customHeight="false" outlineLevel="0" collapsed="false">
      <c r="A67" s="27" t="s">
        <v>133</v>
      </c>
      <c r="B67" s="27" t="s">
        <v>2640</v>
      </c>
      <c r="C67" s="27" t="s">
        <v>1421</v>
      </c>
      <c r="D67" s="27" t="s">
        <v>3434</v>
      </c>
      <c r="E67" s="27" t="s">
        <v>22</v>
      </c>
      <c r="F67" s="27" t="s">
        <v>24</v>
      </c>
      <c r="G67" s="27" t="n">
        <v>16</v>
      </c>
      <c r="H67" s="27" t="s">
        <v>3454</v>
      </c>
      <c r="I67" s="27" t="s">
        <v>3091</v>
      </c>
      <c r="J67" s="27" t="n">
        <f aca="false">COUNTIFS(Trechos!$M$2:$M$838,A67)</f>
        <v>2</v>
      </c>
      <c r="K67" s="28" t="n">
        <f aca="false">SUMIFS(Trechos!$F$2:$F$838,Trechos!$M$2:$M$838,A67)</f>
        <v>5.21714313214573</v>
      </c>
      <c r="L67" s="27" t="n">
        <f aca="false">SUMPRODUCT(--ISNUMBER(SEARCH("|"&amp;A67&amp;"|",Trechos!$AC$2:$AC$838)))</f>
        <v>2</v>
      </c>
      <c r="M67" s="28" t="n">
        <f aca="false">SUMPRODUCT(ISNUMBER(SEARCH("|"&amp;A67&amp;"|",Trechos!$AC$2:$AC$838))*Trechos!$F$2:$F$838)</f>
        <v>5.21714313214573</v>
      </c>
      <c r="N67" s="27" t="s">
        <v>54</v>
      </c>
      <c r="O67" s="27" t="n">
        <v>-7.223759</v>
      </c>
      <c r="P67" s="27" t="n">
        <v>-48.24961</v>
      </c>
      <c r="Q67" s="37" t="s">
        <v>2338</v>
      </c>
    </row>
    <row r="68" customFormat="false" ht="15" hidden="false" customHeight="false" outlineLevel="0" collapsed="false">
      <c r="A68" s="27" t="s">
        <v>135</v>
      </c>
      <c r="B68" s="27" t="s">
        <v>2635</v>
      </c>
      <c r="C68" s="27" t="s">
        <v>1423</v>
      </c>
      <c r="D68" s="27" t="s">
        <v>3434</v>
      </c>
      <c r="E68" s="27" t="s">
        <v>22</v>
      </c>
      <c r="F68" s="27" t="s">
        <v>24</v>
      </c>
      <c r="G68" s="27" t="n">
        <v>16</v>
      </c>
      <c r="H68" s="27" t="s">
        <v>3455</v>
      </c>
      <c r="I68" s="27" t="s">
        <v>3095</v>
      </c>
      <c r="J68" s="27" t="n">
        <f aca="false">COUNTIFS(Trechos!$M$2:$M$838,A68)</f>
        <v>2</v>
      </c>
      <c r="K68" s="28" t="n">
        <f aca="false">SUMIFS(Trechos!$F$2:$F$838,Trechos!$M$2:$M$838,A68)</f>
        <v>21.9975305593168</v>
      </c>
      <c r="L68" s="27" t="n">
        <f aca="false">SUMPRODUCT(--ISNUMBER(SEARCH("|"&amp;A68&amp;"|",Trechos!$AC$2:$AC$838)))</f>
        <v>2</v>
      </c>
      <c r="M68" s="28" t="n">
        <f aca="false">SUMPRODUCT(ISNUMBER(SEARCH("|"&amp;A68&amp;"|",Trechos!$AC$2:$AC$838))*Trechos!$F$2:$F$838)</f>
        <v>21.9975305593168</v>
      </c>
      <c r="N68" s="27" t="s">
        <v>54</v>
      </c>
      <c r="O68" s="27" t="n">
        <v>-7.219937</v>
      </c>
      <c r="P68" s="27" t="n">
        <v>-48.247817</v>
      </c>
      <c r="Q68" s="37" t="s">
        <v>2338</v>
      </c>
    </row>
    <row r="69" customFormat="false" ht="15" hidden="false" customHeight="false" outlineLevel="0" collapsed="false">
      <c r="A69" s="27" t="s">
        <v>137</v>
      </c>
      <c r="B69" s="27" t="s">
        <v>2640</v>
      </c>
      <c r="C69" s="27" t="s">
        <v>1473</v>
      </c>
      <c r="D69" s="27" t="s">
        <v>3434</v>
      </c>
      <c r="E69" s="27" t="s">
        <v>22</v>
      </c>
      <c r="F69" s="27" t="s">
        <v>24</v>
      </c>
      <c r="G69" s="27" t="n">
        <v>16</v>
      </c>
      <c r="H69" s="27" t="s">
        <v>3456</v>
      </c>
      <c r="I69" s="27" t="s">
        <v>3099</v>
      </c>
      <c r="J69" s="27" t="n">
        <f aca="false">COUNTIFS(Trechos!$M$2:$M$838,A69)</f>
        <v>17</v>
      </c>
      <c r="K69" s="28" t="n">
        <f aca="false">SUMIFS(Trechos!$F$2:$F$838,Trechos!$M$2:$M$838,A69)</f>
        <v>934.40969699882</v>
      </c>
      <c r="L69" s="27" t="n">
        <f aca="false">SUMPRODUCT(--ISNUMBER(SEARCH("|"&amp;A69&amp;"|",Trechos!$AC$2:$AC$838)))</f>
        <v>18</v>
      </c>
      <c r="M69" s="28" t="n">
        <f aca="false">SUMPRODUCT(ISNUMBER(SEARCH("|"&amp;A69&amp;"|",Trechos!$AC$2:$AC$838))*Trechos!$F$2:$F$838)</f>
        <v>1006.2268834511</v>
      </c>
      <c r="N69" s="27" t="s">
        <v>139</v>
      </c>
      <c r="O69" s="27" t="n">
        <v>-7.211818</v>
      </c>
      <c r="P69" s="27" t="n">
        <v>-48.249986</v>
      </c>
      <c r="Q69" s="37" t="s">
        <v>2338</v>
      </c>
    </row>
    <row r="70" customFormat="false" ht="15" hidden="false" customHeight="false" outlineLevel="0" collapsed="false">
      <c r="A70" s="27" t="s">
        <v>141</v>
      </c>
      <c r="B70" s="27" t="s">
        <v>2635</v>
      </c>
      <c r="C70" s="27" t="s">
        <v>1479</v>
      </c>
      <c r="D70" s="27" t="s">
        <v>3434</v>
      </c>
      <c r="E70" s="27" t="s">
        <v>22</v>
      </c>
      <c r="F70" s="27" t="s">
        <v>24</v>
      </c>
      <c r="G70" s="27" t="n">
        <v>16</v>
      </c>
      <c r="H70" s="27" t="s">
        <v>3457</v>
      </c>
      <c r="I70" s="27" t="s">
        <v>3121</v>
      </c>
      <c r="J70" s="27" t="n">
        <f aca="false">COUNTIFS(Trechos!$M$2:$M$838,A70)</f>
        <v>1</v>
      </c>
      <c r="K70" s="28" t="n">
        <f aca="false">SUMIFS(Trechos!$F$2:$F$838,Trechos!$M$2:$M$838,A70)</f>
        <v>18.1883751631324</v>
      </c>
      <c r="L70" s="27" t="n">
        <f aca="false">SUMPRODUCT(--ISNUMBER(SEARCH("|"&amp;A70&amp;"|",Trechos!$AC$2:$AC$838)))</f>
        <v>1</v>
      </c>
      <c r="M70" s="28" t="n">
        <f aca="false">SUMPRODUCT(ISNUMBER(SEARCH("|"&amp;A70&amp;"|",Trechos!$AC$2:$AC$838))*Trechos!$F$2:$F$838)</f>
        <v>18.1883751631324</v>
      </c>
      <c r="N70" s="27" t="s">
        <v>54</v>
      </c>
      <c r="O70" s="27" t="n">
        <v>-7.214692</v>
      </c>
      <c r="P70" s="27" t="n">
        <v>-48.250497</v>
      </c>
      <c r="Q70" s="37" t="s">
        <v>2338</v>
      </c>
    </row>
    <row r="71" customFormat="false" ht="15" hidden="false" customHeight="false" outlineLevel="0" collapsed="false">
      <c r="A71" s="27" t="s">
        <v>1486</v>
      </c>
      <c r="B71" s="27" t="s">
        <v>3418</v>
      </c>
      <c r="C71" s="27" t="s">
        <v>1485</v>
      </c>
      <c r="D71" s="27" t="s">
        <v>3434</v>
      </c>
      <c r="E71" s="27" t="s">
        <v>22</v>
      </c>
      <c r="F71" s="27" t="s">
        <v>22</v>
      </c>
      <c r="G71" s="27" t="n">
        <v>16</v>
      </c>
      <c r="H71" s="27" t="s">
        <v>54</v>
      </c>
      <c r="I71" s="27" t="s">
        <v>41</v>
      </c>
      <c r="J71" s="27"/>
      <c r="K71" s="27"/>
      <c r="L71" s="27"/>
      <c r="M71" s="27"/>
      <c r="N71" s="27" t="s">
        <v>143</v>
      </c>
      <c r="O71" s="27" t="n">
        <v>-7.216101</v>
      </c>
      <c r="P71" s="27" t="n">
        <v>-48.252541</v>
      </c>
      <c r="Q71" s="37" t="s">
        <v>2338</v>
      </c>
    </row>
    <row r="72" customFormat="false" ht="15" hidden="false" customHeight="false" outlineLevel="0" collapsed="false">
      <c r="A72" s="27" t="s">
        <v>1519</v>
      </c>
      <c r="B72" s="27" t="s">
        <v>3418</v>
      </c>
      <c r="C72" s="27" t="s">
        <v>1518</v>
      </c>
      <c r="D72" s="27" t="s">
        <v>3434</v>
      </c>
      <c r="E72" s="27" t="s">
        <v>22</v>
      </c>
      <c r="F72" s="27" t="s">
        <v>22</v>
      </c>
      <c r="G72" s="27" t="n">
        <v>16</v>
      </c>
      <c r="H72" s="27" t="s">
        <v>54</v>
      </c>
      <c r="I72" s="27" t="s">
        <v>41</v>
      </c>
      <c r="J72" s="27"/>
      <c r="K72" s="27"/>
      <c r="L72" s="27"/>
      <c r="M72" s="27"/>
      <c r="N72" s="27" t="s">
        <v>143</v>
      </c>
      <c r="O72" s="27" t="n">
        <v>-7.216223</v>
      </c>
      <c r="P72" s="27" t="n">
        <v>-48.255267</v>
      </c>
      <c r="Q72" s="37" t="s">
        <v>2338</v>
      </c>
    </row>
    <row r="73" customFormat="false" ht="15" hidden="false" customHeight="false" outlineLevel="0" collapsed="false">
      <c r="A73" s="27" t="s">
        <v>143</v>
      </c>
      <c r="B73" s="27" t="s">
        <v>2640</v>
      </c>
      <c r="C73" s="27" t="s">
        <v>1547</v>
      </c>
      <c r="D73" s="27" t="s">
        <v>3434</v>
      </c>
      <c r="E73" s="27" t="s">
        <v>22</v>
      </c>
      <c r="F73" s="27" t="s">
        <v>24</v>
      </c>
      <c r="G73" s="27" t="n">
        <v>16</v>
      </c>
      <c r="H73" s="27" t="s">
        <v>3458</v>
      </c>
      <c r="I73" s="27" t="s">
        <v>3124</v>
      </c>
      <c r="J73" s="27" t="n">
        <f aca="false">COUNTIFS(Trechos!$M$2:$M$838,A73)</f>
        <v>2</v>
      </c>
      <c r="K73" s="28" t="n">
        <f aca="false">SUMIFS(Trechos!$F$2:$F$838,Trechos!$M$2:$M$838,A73)</f>
        <v>13.7394333667504</v>
      </c>
      <c r="L73" s="27" t="n">
        <f aca="false">SUMPRODUCT(--ISNUMBER(SEARCH("|"&amp;A73&amp;"|",Trechos!$AC$2:$AC$838)))</f>
        <v>2</v>
      </c>
      <c r="M73" s="28" t="n">
        <f aca="false">SUMPRODUCT(ISNUMBER(SEARCH("|"&amp;A73&amp;"|",Trechos!$AC$2:$AC$838))*Trechos!$F$2:$F$838)</f>
        <v>13.7394333667504</v>
      </c>
      <c r="N73" s="27" t="s">
        <v>54</v>
      </c>
      <c r="O73" s="27" t="n">
        <v>-7.215533</v>
      </c>
      <c r="P73" s="27" t="n">
        <v>-48.257916</v>
      </c>
      <c r="Q73" s="37" t="s">
        <v>2338</v>
      </c>
    </row>
    <row r="74" customFormat="false" ht="15" hidden="false" customHeight="false" outlineLevel="0" collapsed="false">
      <c r="A74" s="27" t="s">
        <v>1552</v>
      </c>
      <c r="B74" s="27" t="s">
        <v>3418</v>
      </c>
      <c r="C74" s="27" t="s">
        <v>1551</v>
      </c>
      <c r="D74" s="27" t="s">
        <v>3434</v>
      </c>
      <c r="E74" s="27" t="s">
        <v>22</v>
      </c>
      <c r="F74" s="27" t="s">
        <v>22</v>
      </c>
      <c r="G74" s="27" t="n">
        <v>16</v>
      </c>
      <c r="H74" s="27" t="s">
        <v>54</v>
      </c>
      <c r="I74" s="27" t="s">
        <v>41</v>
      </c>
      <c r="J74" s="27"/>
      <c r="K74" s="27"/>
      <c r="L74" s="27"/>
      <c r="M74" s="27"/>
      <c r="N74" s="27" t="s">
        <v>145</v>
      </c>
      <c r="O74" s="27" t="n">
        <v>-7.216964</v>
      </c>
      <c r="P74" s="27" t="n">
        <v>-48.249927</v>
      </c>
      <c r="Q74" s="37" t="s">
        <v>2338</v>
      </c>
    </row>
    <row r="75" customFormat="false" ht="15" hidden="false" customHeight="false" outlineLevel="0" collapsed="false">
      <c r="A75" s="27" t="s">
        <v>145</v>
      </c>
      <c r="B75" s="27" t="s">
        <v>2640</v>
      </c>
      <c r="C75" s="27" t="s">
        <v>1560</v>
      </c>
      <c r="D75" s="27" t="s">
        <v>3434</v>
      </c>
      <c r="E75" s="27" t="s">
        <v>22</v>
      </c>
      <c r="F75" s="27" t="s">
        <v>24</v>
      </c>
      <c r="G75" s="27" t="n">
        <v>16</v>
      </c>
      <c r="H75" s="27" t="s">
        <v>3459</v>
      </c>
      <c r="I75" s="27" t="s">
        <v>3128</v>
      </c>
      <c r="J75" s="27" t="n">
        <f aca="false">COUNTIFS(Trechos!$M$2:$M$838,A75)</f>
        <v>1</v>
      </c>
      <c r="K75" s="28" t="n">
        <f aca="false">SUMIFS(Trechos!$F$2:$F$838,Trechos!$M$2:$M$838,A75)</f>
        <v>29.8546668707764</v>
      </c>
      <c r="L75" s="27" t="n">
        <f aca="false">SUMPRODUCT(--ISNUMBER(SEARCH("|"&amp;A75&amp;"|",Trechos!$AC$2:$AC$838)))</f>
        <v>1</v>
      </c>
      <c r="M75" s="28" t="n">
        <f aca="false">SUMPRODUCT(ISNUMBER(SEARCH("|"&amp;A75&amp;"|",Trechos!$AC$2:$AC$838))*Trechos!$F$2:$F$838)</f>
        <v>29.8546668707764</v>
      </c>
      <c r="N75" s="27" t="s">
        <v>54</v>
      </c>
      <c r="O75" s="27" t="n">
        <v>-7.218045</v>
      </c>
      <c r="P75" s="27" t="n">
        <v>-48.250472</v>
      </c>
      <c r="Q75" s="37" t="s">
        <v>2338</v>
      </c>
    </row>
    <row r="76" customFormat="false" ht="15" hidden="false" customHeight="false" outlineLevel="0" collapsed="false">
      <c r="A76" s="27" t="s">
        <v>147</v>
      </c>
      <c r="B76" s="27" t="s">
        <v>2635</v>
      </c>
      <c r="C76" s="27" t="s">
        <v>1576</v>
      </c>
      <c r="D76" s="27" t="s">
        <v>3434</v>
      </c>
      <c r="E76" s="27" t="s">
        <v>22</v>
      </c>
      <c r="F76" s="27" t="s">
        <v>24</v>
      </c>
      <c r="G76" s="27" t="n">
        <v>16</v>
      </c>
      <c r="H76" s="27" t="s">
        <v>3460</v>
      </c>
      <c r="I76" s="27" t="s">
        <v>3131</v>
      </c>
      <c r="J76" s="27" t="n">
        <f aca="false">COUNTIFS(Trechos!$M$2:$M$838,A76)</f>
        <v>3</v>
      </c>
      <c r="K76" s="28" t="n">
        <f aca="false">SUMIFS(Trechos!$F$2:$F$838,Trechos!$M$2:$M$838,A76)</f>
        <v>83.3876796493266</v>
      </c>
      <c r="L76" s="27" t="n">
        <f aca="false">SUMPRODUCT(--ISNUMBER(SEARCH("|"&amp;A76&amp;"|",Trechos!$AC$2:$AC$838)))</f>
        <v>3</v>
      </c>
      <c r="M76" s="28" t="n">
        <f aca="false">SUMPRODUCT(ISNUMBER(SEARCH("|"&amp;A76&amp;"|",Trechos!$AC$2:$AC$838))*Trechos!$F$2:$F$838)</f>
        <v>83.3876796493266</v>
      </c>
      <c r="N76" s="27" t="s">
        <v>54</v>
      </c>
      <c r="O76" s="27" t="n">
        <v>-7.214617</v>
      </c>
      <c r="P76" s="27" t="n">
        <v>-48.245366</v>
      </c>
      <c r="Q76" s="37" t="s">
        <v>2338</v>
      </c>
    </row>
    <row r="77" customFormat="false" ht="15" hidden="false" customHeight="false" outlineLevel="0" collapsed="false">
      <c r="A77" s="27" t="s">
        <v>81</v>
      </c>
      <c r="B77" s="27" t="s">
        <v>2655</v>
      </c>
      <c r="C77" s="27" t="s">
        <v>1592</v>
      </c>
      <c r="D77" s="27" t="s">
        <v>3434</v>
      </c>
      <c r="E77" s="27" t="s">
        <v>24</v>
      </c>
      <c r="F77" s="27" t="s">
        <v>24</v>
      </c>
      <c r="G77" s="27" t="n">
        <v>17</v>
      </c>
      <c r="H77" s="27" t="s">
        <v>3461</v>
      </c>
      <c r="I77" s="27" t="s">
        <v>2901</v>
      </c>
      <c r="J77" s="27" t="n">
        <f aca="false">COUNTIFS(Trechos!$M$2:$M$838,A77)</f>
        <v>12</v>
      </c>
      <c r="K77" s="28" t="n">
        <f aca="false">SUMIFS(Trechos!$F$2:$F$838,Trechos!$M$2:$M$838,A77)</f>
        <v>1422.78854058268</v>
      </c>
      <c r="L77" s="27" t="n">
        <f aca="false">SUMPRODUCT(--ISNUMBER(SEARCH("|"&amp;A77&amp;"|",Trechos!$AC$2:$AC$838)))</f>
        <v>61</v>
      </c>
      <c r="M77" s="28" t="n">
        <f aca="false">SUMPRODUCT(ISNUMBER(SEARCH("|"&amp;A77&amp;"|",Trechos!$AC$2:$AC$838))*Trechos!$F$2:$F$838)</f>
        <v>6931.76992590411</v>
      </c>
      <c r="N77" s="27" t="s">
        <v>2900</v>
      </c>
      <c r="O77" s="27" t="n">
        <v>-7.236656</v>
      </c>
      <c r="P77" s="27" t="n">
        <v>-48.258168</v>
      </c>
      <c r="Q77" s="37" t="s">
        <v>2338</v>
      </c>
    </row>
    <row r="78" customFormat="false" ht="15" hidden="false" customHeight="false" outlineLevel="0" collapsed="false">
      <c r="A78" s="27" t="s">
        <v>109</v>
      </c>
      <c r="B78" s="27" t="s">
        <v>2640</v>
      </c>
      <c r="C78" s="27" t="s">
        <v>1598</v>
      </c>
      <c r="D78" s="27" t="s">
        <v>3434</v>
      </c>
      <c r="E78" s="27" t="s">
        <v>24</v>
      </c>
      <c r="F78" s="27" t="s">
        <v>24</v>
      </c>
      <c r="G78" s="27" t="n">
        <v>17</v>
      </c>
      <c r="H78" s="27" t="s">
        <v>3462</v>
      </c>
      <c r="I78" s="27" t="s">
        <v>3001</v>
      </c>
      <c r="J78" s="27" t="n">
        <f aca="false">COUNTIFS(Trechos!$M$2:$M$838,A78)</f>
        <v>12</v>
      </c>
      <c r="K78" s="28" t="n">
        <f aca="false">SUMIFS(Trechos!$F$2:$F$838,Trechos!$M$2:$M$838,A78)</f>
        <v>559.312234111401</v>
      </c>
      <c r="L78" s="27" t="n">
        <f aca="false">SUMPRODUCT(--ISNUMBER(SEARCH("|"&amp;A78&amp;"|",Trechos!$AC$2:$AC$838)))</f>
        <v>22</v>
      </c>
      <c r="M78" s="28" t="n">
        <f aca="false">SUMPRODUCT(ISNUMBER(SEARCH("|"&amp;A78&amp;"|",Trechos!$AC$2:$AC$838))*Trechos!$F$2:$F$838)</f>
        <v>1206.61513015548</v>
      </c>
      <c r="N78" s="27" t="s">
        <v>111</v>
      </c>
      <c r="O78" s="27" t="n">
        <v>-7.23251</v>
      </c>
      <c r="P78" s="27" t="n">
        <v>-48.257681</v>
      </c>
      <c r="Q78" s="37" t="s">
        <v>2338</v>
      </c>
    </row>
    <row r="79" customFormat="false" ht="15" hidden="false" customHeight="false" outlineLevel="0" collapsed="false">
      <c r="A79" s="27" t="s">
        <v>113</v>
      </c>
      <c r="B79" s="27" t="s">
        <v>2640</v>
      </c>
      <c r="C79" s="27" t="s">
        <v>1602</v>
      </c>
      <c r="D79" s="27" t="s">
        <v>3434</v>
      </c>
      <c r="E79" s="27" t="s">
        <v>24</v>
      </c>
      <c r="F79" s="27" t="s">
        <v>24</v>
      </c>
      <c r="G79" s="27" t="n">
        <v>17</v>
      </c>
      <c r="H79" s="27" t="s">
        <v>3463</v>
      </c>
      <c r="I79" s="27" t="s">
        <v>3027</v>
      </c>
      <c r="J79" s="27" t="n">
        <f aca="false">COUNTIFS(Trechos!$M$2:$M$838,A79)</f>
        <v>3</v>
      </c>
      <c r="K79" s="28" t="n">
        <f aca="false">SUMIFS(Trechos!$F$2:$F$838,Trechos!$M$2:$M$838,A79)</f>
        <v>23.5272145662876</v>
      </c>
      <c r="L79" s="27" t="n">
        <f aca="false">SUMPRODUCT(--ISNUMBER(SEARCH("|"&amp;A79&amp;"|",Trechos!$AC$2:$AC$838)))</f>
        <v>3</v>
      </c>
      <c r="M79" s="28" t="n">
        <f aca="false">SUMPRODUCT(ISNUMBER(SEARCH("|"&amp;A79&amp;"|",Trechos!$AC$2:$AC$838))*Trechos!$F$2:$F$838)</f>
        <v>23.5272145662876</v>
      </c>
      <c r="N79" s="27" t="s">
        <v>54</v>
      </c>
      <c r="O79" s="27" t="n">
        <v>-7.23088</v>
      </c>
      <c r="P79" s="27" t="n">
        <v>-48.256241</v>
      </c>
      <c r="Q79" s="37" t="s">
        <v>2338</v>
      </c>
    </row>
    <row r="80" customFormat="false" ht="15" hidden="false" customHeight="false" outlineLevel="0" collapsed="false">
      <c r="A80" s="27" t="s">
        <v>83</v>
      </c>
      <c r="B80" s="27" t="s">
        <v>2655</v>
      </c>
      <c r="C80" s="27" t="s">
        <v>1618</v>
      </c>
      <c r="D80" s="27" t="s">
        <v>3434</v>
      </c>
      <c r="E80" s="27" t="s">
        <v>24</v>
      </c>
      <c r="F80" s="27" t="s">
        <v>24</v>
      </c>
      <c r="G80" s="27" t="n">
        <v>18</v>
      </c>
      <c r="H80" s="27" t="s">
        <v>3464</v>
      </c>
      <c r="I80" s="27" t="s">
        <v>2919</v>
      </c>
      <c r="J80" s="27" t="n">
        <f aca="false">COUNTIFS(Trechos!$M$2:$M$838,A80)</f>
        <v>5</v>
      </c>
      <c r="K80" s="28" t="n">
        <f aca="false">SUMIFS(Trechos!$F$2:$F$838,Trechos!$M$2:$M$838,A80)</f>
        <v>300.018250853091</v>
      </c>
      <c r="L80" s="27" t="n">
        <f aca="false">SUMPRODUCT(--ISNUMBER(SEARCH("|"&amp;A80&amp;"|",Trechos!$AC$2:$AC$838)))</f>
        <v>46</v>
      </c>
      <c r="M80" s="28" t="n">
        <f aca="false">SUMPRODUCT(ISNUMBER(SEARCH("|"&amp;A80&amp;"|",Trechos!$AC$2:$AC$838))*Trechos!$F$2:$F$838)</f>
        <v>5069.7071189139</v>
      </c>
      <c r="N80" s="27" t="s">
        <v>2918</v>
      </c>
      <c r="O80" s="27" t="n">
        <v>-7.24172</v>
      </c>
      <c r="P80" s="27" t="n">
        <v>-48.267816</v>
      </c>
      <c r="Q80" s="37" t="s">
        <v>2338</v>
      </c>
    </row>
    <row r="81" customFormat="false" ht="15" hidden="false" customHeight="false" outlineLevel="0" collapsed="false">
      <c r="A81" s="27" t="s">
        <v>103</v>
      </c>
      <c r="B81" s="27" t="s">
        <v>2640</v>
      </c>
      <c r="C81" s="27" t="s">
        <v>1622</v>
      </c>
      <c r="D81" s="27" t="s">
        <v>3434</v>
      </c>
      <c r="E81" s="27" t="s">
        <v>24</v>
      </c>
      <c r="F81" s="27" t="s">
        <v>24</v>
      </c>
      <c r="G81" s="27" t="n">
        <v>18</v>
      </c>
      <c r="H81" s="27" t="s">
        <v>3465</v>
      </c>
      <c r="I81" s="27" t="s">
        <v>2992</v>
      </c>
      <c r="J81" s="27" t="n">
        <f aca="false">COUNTIFS(Trechos!$M$2:$M$838,A81)</f>
        <v>1</v>
      </c>
      <c r="K81" s="28" t="n">
        <f aca="false">SUMIFS(Trechos!$F$2:$F$838,Trechos!$M$2:$M$838,A81)</f>
        <v>30.8355904582397</v>
      </c>
      <c r="L81" s="27" t="n">
        <f aca="false">SUMPRODUCT(--ISNUMBER(SEARCH("|"&amp;A81&amp;"|",Trechos!$AC$2:$AC$838)))</f>
        <v>1</v>
      </c>
      <c r="M81" s="28" t="n">
        <f aca="false">SUMPRODUCT(ISNUMBER(SEARCH("|"&amp;A81&amp;"|",Trechos!$AC$2:$AC$838))*Trechos!$F$2:$F$838)</f>
        <v>30.8355904582397</v>
      </c>
      <c r="N81" s="27" t="s">
        <v>54</v>
      </c>
      <c r="O81" s="27" t="n">
        <v>-7.242001</v>
      </c>
      <c r="P81" s="27" t="n">
        <v>-48.267671</v>
      </c>
      <c r="Q81" s="37" t="s">
        <v>2338</v>
      </c>
    </row>
    <row r="82" customFormat="false" ht="15" hidden="false" customHeight="false" outlineLevel="0" collapsed="false">
      <c r="A82" s="27" t="s">
        <v>105</v>
      </c>
      <c r="B82" s="27" t="s">
        <v>2640</v>
      </c>
      <c r="C82" s="27" t="s">
        <v>1624</v>
      </c>
      <c r="D82" s="27" t="s">
        <v>3434</v>
      </c>
      <c r="E82" s="27" t="s">
        <v>24</v>
      </c>
      <c r="F82" s="27" t="s">
        <v>24</v>
      </c>
      <c r="G82" s="27" t="n">
        <v>18</v>
      </c>
      <c r="H82" s="27" t="s">
        <v>3466</v>
      </c>
      <c r="I82" s="27" t="s">
        <v>2995</v>
      </c>
      <c r="J82" s="27" t="n">
        <f aca="false">COUNTIFS(Trechos!$M$2:$M$838,A82)</f>
        <v>1</v>
      </c>
      <c r="K82" s="28" t="n">
        <f aca="false">SUMIFS(Trechos!$F$2:$F$838,Trechos!$M$2:$M$838,A82)</f>
        <v>60.4709293449866</v>
      </c>
      <c r="L82" s="27" t="n">
        <f aca="false">SUMPRODUCT(--ISNUMBER(SEARCH("|"&amp;A82&amp;"|",Trechos!$AC$2:$AC$838)))</f>
        <v>1</v>
      </c>
      <c r="M82" s="28" t="n">
        <f aca="false">SUMPRODUCT(ISNUMBER(SEARCH("|"&amp;A82&amp;"|",Trechos!$AC$2:$AC$838))*Trechos!$F$2:$F$838)</f>
        <v>60.4709293449866</v>
      </c>
      <c r="N82" s="27" t="s">
        <v>54</v>
      </c>
      <c r="O82" s="27" t="n">
        <v>-7.241759</v>
      </c>
      <c r="P82" s="27" t="n">
        <v>-48.266783</v>
      </c>
      <c r="Q82" s="37" t="s">
        <v>2338</v>
      </c>
    </row>
    <row r="83" customFormat="false" ht="15" hidden="false" customHeight="false" outlineLevel="0" collapsed="false">
      <c r="A83" s="27" t="s">
        <v>107</v>
      </c>
      <c r="B83" s="27" t="s">
        <v>2640</v>
      </c>
      <c r="C83" s="27" t="s">
        <v>1626</v>
      </c>
      <c r="D83" s="27" t="s">
        <v>3434</v>
      </c>
      <c r="E83" s="27" t="s">
        <v>24</v>
      </c>
      <c r="F83" s="27" t="s">
        <v>24</v>
      </c>
      <c r="G83" s="27" t="n">
        <v>18</v>
      </c>
      <c r="H83" s="27" t="s">
        <v>3467</v>
      </c>
      <c r="I83" s="27" t="s">
        <v>2998</v>
      </c>
      <c r="J83" s="27" t="n">
        <f aca="false">COUNTIFS(Trechos!$M$2:$M$838,A83)</f>
        <v>1</v>
      </c>
      <c r="K83" s="28" t="n">
        <f aca="false">SUMIFS(Trechos!$F$2:$F$838,Trechos!$M$2:$M$838,A83)</f>
        <v>347.967746604303</v>
      </c>
      <c r="L83" s="27" t="n">
        <f aca="false">SUMPRODUCT(--ISNUMBER(SEARCH("|"&amp;A83&amp;"|",Trechos!$AC$2:$AC$838)))</f>
        <v>1</v>
      </c>
      <c r="M83" s="28" t="n">
        <f aca="false">SUMPRODUCT(ISNUMBER(SEARCH("|"&amp;A83&amp;"|",Trechos!$AC$2:$AC$838))*Trechos!$F$2:$F$838)</f>
        <v>347.967746604303</v>
      </c>
      <c r="N83" s="27" t="s">
        <v>54</v>
      </c>
      <c r="O83" s="27" t="n">
        <v>-7.240753</v>
      </c>
      <c r="P83" s="27" t="n">
        <v>-48.26288</v>
      </c>
      <c r="Q83" s="37" t="s">
        <v>2338</v>
      </c>
    </row>
    <row r="84" customFormat="false" ht="15" hidden="false" customHeight="false" outlineLevel="0" collapsed="false">
      <c r="A84" s="27" t="s">
        <v>85</v>
      </c>
      <c r="B84" s="27" t="s">
        <v>2640</v>
      </c>
      <c r="C84" s="27" t="s">
        <v>1634</v>
      </c>
      <c r="D84" s="27" t="s">
        <v>3434</v>
      </c>
      <c r="E84" s="27" t="s">
        <v>24</v>
      </c>
      <c r="F84" s="27" t="s">
        <v>24</v>
      </c>
      <c r="G84" s="27" t="n">
        <v>19</v>
      </c>
      <c r="H84" s="27" t="s">
        <v>3468</v>
      </c>
      <c r="I84" s="27" t="s">
        <v>2927</v>
      </c>
      <c r="J84" s="27" t="n">
        <f aca="false">COUNTIFS(Trechos!$M$2:$M$838,A84)</f>
        <v>31</v>
      </c>
      <c r="K84" s="28" t="n">
        <f aca="false">SUMIFS(Trechos!$F$2:$F$838,Trechos!$M$2:$M$838,A84)</f>
        <v>3388.76749524746</v>
      </c>
      <c r="L84" s="27" t="n">
        <f aca="false">SUMPRODUCT(--ISNUMBER(SEARCH("|"&amp;A84&amp;"|",Trechos!$AC$2:$AC$838)))</f>
        <v>41</v>
      </c>
      <c r="M84" s="28" t="n">
        <f aca="false">SUMPRODUCT(ISNUMBER(SEARCH("|"&amp;A84&amp;"|",Trechos!$AC$2:$AC$838))*Trechos!$F$2:$F$838)</f>
        <v>4769.68886806081</v>
      </c>
      <c r="N84" s="27" t="s">
        <v>2926</v>
      </c>
      <c r="O84" s="27" t="n">
        <v>-7.241034</v>
      </c>
      <c r="P84" s="27" t="n">
        <v>-48.268801</v>
      </c>
      <c r="Q84" s="37" t="s">
        <v>2338</v>
      </c>
    </row>
    <row r="85" customFormat="false" ht="15" hidden="false" customHeight="false" outlineLevel="0" collapsed="false">
      <c r="A85" s="27" t="s">
        <v>87</v>
      </c>
      <c r="B85" s="27" t="s">
        <v>2640</v>
      </c>
      <c r="C85" s="27" t="s">
        <v>1648</v>
      </c>
      <c r="D85" s="27" t="s">
        <v>3434</v>
      </c>
      <c r="E85" s="27" t="s">
        <v>24</v>
      </c>
      <c r="F85" s="27" t="s">
        <v>24</v>
      </c>
      <c r="G85" s="27" t="n">
        <v>20</v>
      </c>
      <c r="H85" s="27" t="s">
        <v>3469</v>
      </c>
      <c r="I85" s="27" t="s">
        <v>2966</v>
      </c>
      <c r="J85" s="27" t="n">
        <f aca="false">COUNTIFS(Trechos!$M$2:$M$838,A85)</f>
        <v>1</v>
      </c>
      <c r="K85" s="28" t="n">
        <f aca="false">SUMIFS(Trechos!$F$2:$F$838,Trechos!$M$2:$M$838,A85)</f>
        <v>35.9284296513527</v>
      </c>
      <c r="L85" s="27" t="n">
        <f aca="false">SUMPRODUCT(--ISNUMBER(SEARCH("|"&amp;A85&amp;"|",Trechos!$AC$2:$AC$838)))</f>
        <v>1</v>
      </c>
      <c r="M85" s="28" t="n">
        <f aca="false">SUMPRODUCT(ISNUMBER(SEARCH("|"&amp;A85&amp;"|",Trechos!$AC$2:$AC$838))*Trechos!$F$2:$F$838)</f>
        <v>35.9284296513527</v>
      </c>
      <c r="N85" s="27" t="s">
        <v>54</v>
      </c>
      <c r="O85" s="27" t="n">
        <v>-7.231594</v>
      </c>
      <c r="P85" s="27" t="n">
        <v>-48.271587</v>
      </c>
      <c r="Q85" s="37" t="s">
        <v>2338</v>
      </c>
    </row>
    <row r="86" customFormat="false" ht="15" hidden="false" customHeight="false" outlineLevel="0" collapsed="false">
      <c r="A86" s="27" t="s">
        <v>89</v>
      </c>
      <c r="B86" s="27" t="s">
        <v>2640</v>
      </c>
      <c r="C86" s="27" t="s">
        <v>1654</v>
      </c>
      <c r="D86" s="27" t="s">
        <v>3434</v>
      </c>
      <c r="E86" s="27" t="s">
        <v>24</v>
      </c>
      <c r="F86" s="27" t="s">
        <v>24</v>
      </c>
      <c r="G86" s="27" t="n">
        <v>20</v>
      </c>
      <c r="H86" s="27" t="s">
        <v>3470</v>
      </c>
      <c r="I86" s="27" t="s">
        <v>2969</v>
      </c>
      <c r="J86" s="27" t="n">
        <f aca="false">COUNTIFS(Trechos!$M$2:$M$838,A86)</f>
        <v>1</v>
      </c>
      <c r="K86" s="28" t="n">
        <f aca="false">SUMIFS(Trechos!$F$2:$F$838,Trechos!$M$2:$M$838,A86)</f>
        <v>466.717236768371</v>
      </c>
      <c r="L86" s="27" t="n">
        <f aca="false">SUMPRODUCT(--ISNUMBER(SEARCH("|"&amp;A86&amp;"|",Trechos!$AC$2:$AC$838)))</f>
        <v>1</v>
      </c>
      <c r="M86" s="28" t="n">
        <f aca="false">SUMPRODUCT(ISNUMBER(SEARCH("|"&amp;A86&amp;"|",Trechos!$AC$2:$AC$838))*Trechos!$F$2:$F$838)</f>
        <v>466.717236768371</v>
      </c>
      <c r="N86" s="27" t="s">
        <v>54</v>
      </c>
      <c r="O86" s="27" t="n">
        <v>-7.231365</v>
      </c>
      <c r="P86" s="27" t="n">
        <v>-48.271398</v>
      </c>
      <c r="Q86" s="37" t="s">
        <v>2338</v>
      </c>
    </row>
    <row r="87" customFormat="false" ht="15" hidden="false" customHeight="false" outlineLevel="0" collapsed="false">
      <c r="A87" s="27" t="s">
        <v>91</v>
      </c>
      <c r="B87" s="27" t="s">
        <v>2640</v>
      </c>
      <c r="C87" s="27" t="s">
        <v>1658</v>
      </c>
      <c r="D87" s="27" t="s">
        <v>3434</v>
      </c>
      <c r="E87" s="27" t="s">
        <v>24</v>
      </c>
      <c r="F87" s="27" t="s">
        <v>24</v>
      </c>
      <c r="G87" s="27" t="n">
        <v>20</v>
      </c>
      <c r="H87" s="27" t="s">
        <v>3471</v>
      </c>
      <c r="I87" s="27" t="s">
        <v>2972</v>
      </c>
      <c r="J87" s="27" t="n">
        <f aca="false">COUNTIFS(Trechos!$M$2:$M$838,A87)</f>
        <v>1</v>
      </c>
      <c r="K87" s="28" t="n">
        <f aca="false">SUMIFS(Trechos!$F$2:$F$838,Trechos!$M$2:$M$838,A87)</f>
        <v>261.896214627817</v>
      </c>
      <c r="L87" s="27" t="n">
        <f aca="false">SUMPRODUCT(--ISNUMBER(SEARCH("|"&amp;A87&amp;"|",Trechos!$AC$2:$AC$838)))</f>
        <v>1</v>
      </c>
      <c r="M87" s="28" t="n">
        <f aca="false">SUMPRODUCT(ISNUMBER(SEARCH("|"&amp;A87&amp;"|",Trechos!$AC$2:$AC$838))*Trechos!$F$2:$F$838)</f>
        <v>261.896214627817</v>
      </c>
      <c r="N87" s="27" t="s">
        <v>54</v>
      </c>
      <c r="O87" s="27" t="n">
        <v>-7.237396</v>
      </c>
      <c r="P87" s="27" t="n">
        <v>-48.270742</v>
      </c>
      <c r="Q87" s="37" t="s">
        <v>2338</v>
      </c>
    </row>
    <row r="88" customFormat="false" ht="15" hidden="false" customHeight="false" outlineLevel="0" collapsed="false">
      <c r="A88" s="27" t="s">
        <v>93</v>
      </c>
      <c r="B88" s="27" t="s">
        <v>2640</v>
      </c>
      <c r="C88" s="27" t="s">
        <v>1676</v>
      </c>
      <c r="D88" s="27" t="s">
        <v>3434</v>
      </c>
      <c r="E88" s="27" t="s">
        <v>24</v>
      </c>
      <c r="F88" s="27" t="s">
        <v>24</v>
      </c>
      <c r="G88" s="27" t="n">
        <v>20</v>
      </c>
      <c r="H88" s="27" t="s">
        <v>3472</v>
      </c>
      <c r="I88" s="27" t="s">
        <v>2975</v>
      </c>
      <c r="J88" s="27" t="n">
        <f aca="false">COUNTIFS(Trechos!$M$2:$M$838,A88)</f>
        <v>1</v>
      </c>
      <c r="K88" s="28" t="n">
        <f aca="false">SUMIFS(Trechos!$F$2:$F$838,Trechos!$M$2:$M$838,A88)</f>
        <v>114.556695977505</v>
      </c>
      <c r="L88" s="27" t="n">
        <f aca="false">SUMPRODUCT(--ISNUMBER(SEARCH("|"&amp;A88&amp;"|",Trechos!$AC$2:$AC$838)))</f>
        <v>1</v>
      </c>
      <c r="M88" s="28" t="n">
        <f aca="false">SUMPRODUCT(ISNUMBER(SEARCH("|"&amp;A88&amp;"|",Trechos!$AC$2:$AC$838))*Trechos!$F$2:$F$838)</f>
        <v>114.556695977505</v>
      </c>
      <c r="N88" s="27" t="s">
        <v>54</v>
      </c>
      <c r="O88" s="27" t="n">
        <v>-7.230649</v>
      </c>
      <c r="P88" s="27" t="n">
        <v>-48.278094</v>
      </c>
      <c r="Q88" s="37" t="s">
        <v>2338</v>
      </c>
    </row>
    <row r="89" customFormat="false" ht="15" hidden="false" customHeight="false" outlineLevel="0" collapsed="false">
      <c r="A89" s="27" t="s">
        <v>95</v>
      </c>
      <c r="B89" s="27" t="s">
        <v>2640</v>
      </c>
      <c r="C89" s="27" t="s">
        <v>1678</v>
      </c>
      <c r="D89" s="27" t="s">
        <v>3434</v>
      </c>
      <c r="E89" s="27" t="s">
        <v>24</v>
      </c>
      <c r="F89" s="27" t="s">
        <v>24</v>
      </c>
      <c r="G89" s="27" t="n">
        <v>20</v>
      </c>
      <c r="H89" s="27" t="s">
        <v>3473</v>
      </c>
      <c r="I89" s="27" t="s">
        <v>2978</v>
      </c>
      <c r="J89" s="27" t="n">
        <f aca="false">COUNTIFS(Trechos!$M$2:$M$838,A89)</f>
        <v>3</v>
      </c>
      <c r="K89" s="28" t="n">
        <f aca="false">SUMIFS(Trechos!$F$2:$F$838,Trechos!$M$2:$M$838,A89)</f>
        <v>106.355731496363</v>
      </c>
      <c r="L89" s="27" t="n">
        <f aca="false">SUMPRODUCT(--ISNUMBER(SEARCH("|"&amp;A89&amp;"|",Trechos!$AC$2:$AC$838)))</f>
        <v>3</v>
      </c>
      <c r="M89" s="28" t="n">
        <f aca="false">SUMPRODUCT(ISNUMBER(SEARCH("|"&amp;A89&amp;"|",Trechos!$AC$2:$AC$838))*Trechos!$F$2:$F$838)</f>
        <v>106.355731496363</v>
      </c>
      <c r="N89" s="27" t="s">
        <v>54</v>
      </c>
      <c r="O89" s="27" t="n">
        <v>-7.235557</v>
      </c>
      <c r="P89" s="27" t="n">
        <v>-48.276563</v>
      </c>
      <c r="Q89" s="37" t="s">
        <v>2338</v>
      </c>
    </row>
    <row r="90" customFormat="false" ht="15" hidden="false" customHeight="false" outlineLevel="0" collapsed="false">
      <c r="A90" s="27" t="s">
        <v>97</v>
      </c>
      <c r="B90" s="27" t="s">
        <v>2640</v>
      </c>
      <c r="C90" s="27" t="s">
        <v>1692</v>
      </c>
      <c r="D90" s="27" t="s">
        <v>3434</v>
      </c>
      <c r="E90" s="27" t="s">
        <v>24</v>
      </c>
      <c r="F90" s="27" t="s">
        <v>24</v>
      </c>
      <c r="G90" s="27" t="n">
        <v>20</v>
      </c>
      <c r="H90" s="27" t="s">
        <v>3474</v>
      </c>
      <c r="I90" s="27" t="s">
        <v>2983</v>
      </c>
      <c r="J90" s="27" t="n">
        <f aca="false">COUNTIFS(Trechos!$M$2:$M$838,A90)</f>
        <v>1</v>
      </c>
      <c r="K90" s="28" t="n">
        <f aca="false">SUMIFS(Trechos!$F$2:$F$838,Trechos!$M$2:$M$838,A90)</f>
        <v>50.2992505888517</v>
      </c>
      <c r="L90" s="27" t="n">
        <f aca="false">SUMPRODUCT(--ISNUMBER(SEARCH("|"&amp;A90&amp;"|",Trechos!$AC$2:$AC$838)))</f>
        <v>1</v>
      </c>
      <c r="M90" s="28" t="n">
        <f aca="false">SUMPRODUCT(ISNUMBER(SEARCH("|"&amp;A90&amp;"|",Trechos!$AC$2:$AC$838))*Trechos!$F$2:$F$838)</f>
        <v>50.2992505888517</v>
      </c>
      <c r="N90" s="27" t="s">
        <v>54</v>
      </c>
      <c r="O90" s="27" t="n">
        <v>-7.24073</v>
      </c>
      <c r="P90" s="27" t="n">
        <v>-48.276765</v>
      </c>
      <c r="Q90" s="37" t="s">
        <v>2338</v>
      </c>
    </row>
    <row r="91" customFormat="false" ht="15" hidden="false" customHeight="false" outlineLevel="0" collapsed="false">
      <c r="A91" s="27" t="s">
        <v>99</v>
      </c>
      <c r="B91" s="27" t="s">
        <v>2640</v>
      </c>
      <c r="C91" s="27" t="s">
        <v>1696</v>
      </c>
      <c r="D91" s="27" t="s">
        <v>3434</v>
      </c>
      <c r="E91" s="27" t="s">
        <v>24</v>
      </c>
      <c r="F91" s="27" t="s">
        <v>24</v>
      </c>
      <c r="G91" s="27" t="n">
        <v>20</v>
      </c>
      <c r="H91" s="27" t="s">
        <v>3475</v>
      </c>
      <c r="I91" s="27" t="s">
        <v>2986</v>
      </c>
      <c r="J91" s="27" t="n">
        <f aca="false">COUNTIFS(Trechos!$M$2:$M$838,A91)</f>
        <v>1</v>
      </c>
      <c r="K91" s="28" t="n">
        <f aca="false">SUMIFS(Trechos!$F$2:$F$838,Trechos!$M$2:$M$838,A91)</f>
        <v>92.2586306696714</v>
      </c>
      <c r="L91" s="27" t="n">
        <f aca="false">SUMPRODUCT(--ISNUMBER(SEARCH("|"&amp;A91&amp;"|",Trechos!$AC$2:$AC$838)))</f>
        <v>1</v>
      </c>
      <c r="M91" s="28" t="n">
        <f aca="false">SUMPRODUCT(ISNUMBER(SEARCH("|"&amp;A91&amp;"|",Trechos!$AC$2:$AC$838))*Trechos!$F$2:$F$838)</f>
        <v>92.2586306696714</v>
      </c>
      <c r="N91" s="27" t="s">
        <v>54</v>
      </c>
      <c r="O91" s="27" t="n">
        <v>-7.240687</v>
      </c>
      <c r="P91" s="27" t="n">
        <v>-48.278805</v>
      </c>
      <c r="Q91" s="37" t="s">
        <v>2338</v>
      </c>
    </row>
    <row r="92" customFormat="false" ht="15" hidden="false" customHeight="false" outlineLevel="0" collapsed="false">
      <c r="A92" s="27" t="s">
        <v>101</v>
      </c>
      <c r="B92" s="27" t="s">
        <v>2640</v>
      </c>
      <c r="C92" s="27" t="s">
        <v>1698</v>
      </c>
      <c r="D92" s="27" t="s">
        <v>3434</v>
      </c>
      <c r="E92" s="27" t="s">
        <v>24</v>
      </c>
      <c r="F92" s="27" t="s">
        <v>24</v>
      </c>
      <c r="G92" s="27" t="n">
        <v>20</v>
      </c>
      <c r="H92" s="27" t="s">
        <v>3476</v>
      </c>
      <c r="I92" s="27" t="s">
        <v>2989</v>
      </c>
      <c r="J92" s="27" t="n">
        <f aca="false">COUNTIFS(Trechos!$M$2:$M$838,A92)</f>
        <v>1</v>
      </c>
      <c r="K92" s="28" t="n">
        <f aca="false">SUMIFS(Trechos!$F$2:$F$838,Trechos!$M$2:$M$838,A92)</f>
        <v>252.909183033416</v>
      </c>
      <c r="L92" s="27" t="n">
        <f aca="false">SUMPRODUCT(--ISNUMBER(SEARCH("|"&amp;A92&amp;"|",Trechos!$AC$2:$AC$838)))</f>
        <v>1</v>
      </c>
      <c r="M92" s="28" t="n">
        <f aca="false">SUMPRODUCT(ISNUMBER(SEARCH("|"&amp;A92&amp;"|",Trechos!$AC$2:$AC$838))*Trechos!$F$2:$F$838)</f>
        <v>252.909183033416</v>
      </c>
      <c r="N92" s="27" t="s">
        <v>54</v>
      </c>
      <c r="O92" s="27" t="n">
        <v>-7.237718</v>
      </c>
      <c r="P92" s="27" t="n">
        <v>-48.271399</v>
      </c>
      <c r="Q92" s="37" t="s">
        <v>2338</v>
      </c>
    </row>
    <row r="93" customFormat="false" ht="15" hidden="false" customHeight="false" outlineLevel="0" collapsed="false">
      <c r="A93" s="27" t="s">
        <v>111</v>
      </c>
      <c r="B93" s="27" t="s">
        <v>2640</v>
      </c>
      <c r="C93" s="27" t="s">
        <v>1736</v>
      </c>
      <c r="D93" s="27" t="s">
        <v>3434</v>
      </c>
      <c r="E93" s="27" t="s">
        <v>24</v>
      </c>
      <c r="F93" s="27" t="s">
        <v>24</v>
      </c>
      <c r="G93" s="27" t="n">
        <v>32</v>
      </c>
      <c r="H93" s="27" t="s">
        <v>3477</v>
      </c>
      <c r="I93" s="27" t="s">
        <v>3015</v>
      </c>
      <c r="J93" s="27" t="n">
        <f aca="false">COUNTIFS(Trechos!$M$2:$M$838,A93)</f>
        <v>10</v>
      </c>
      <c r="K93" s="28" t="n">
        <f aca="false">SUMIFS(Trechos!$F$2:$F$838,Trechos!$M$2:$M$838,A93)</f>
        <v>647.302896044083</v>
      </c>
      <c r="L93" s="27" t="n">
        <f aca="false">SUMPRODUCT(--ISNUMBER(SEARCH("|"&amp;A93&amp;"|",Trechos!$AC$2:$AC$838)))</f>
        <v>10</v>
      </c>
      <c r="M93" s="28" t="n">
        <f aca="false">SUMPRODUCT(ISNUMBER(SEARCH("|"&amp;A93&amp;"|",Trechos!$AC$2:$AC$838))*Trechos!$F$2:$F$838)</f>
        <v>647.302896044083</v>
      </c>
      <c r="N93" s="27" t="s">
        <v>54</v>
      </c>
      <c r="O93" s="27" t="n">
        <v>-7.232498</v>
      </c>
      <c r="P93" s="27" t="n">
        <v>-48.260005</v>
      </c>
      <c r="Q93" s="37" t="s">
        <v>2338</v>
      </c>
    </row>
    <row r="94" customFormat="false" ht="15" hidden="false" customHeight="false" outlineLevel="0" collapsed="false">
      <c r="A94" s="27" t="s">
        <v>126</v>
      </c>
      <c r="B94" s="27" t="s">
        <v>2635</v>
      </c>
      <c r="C94" s="27" t="s">
        <v>1830</v>
      </c>
      <c r="D94" s="27" t="s">
        <v>3434</v>
      </c>
      <c r="E94" s="27" t="s">
        <v>24</v>
      </c>
      <c r="F94" s="27" t="s">
        <v>24</v>
      </c>
      <c r="G94" s="27" t="n">
        <v>40</v>
      </c>
      <c r="H94" s="27" t="s">
        <v>3478</v>
      </c>
      <c r="I94" s="27" t="s">
        <v>3072</v>
      </c>
      <c r="J94" s="27" t="n">
        <f aca="false">COUNTIFS(Trechos!$M$2:$M$838,A94)</f>
        <v>2</v>
      </c>
      <c r="K94" s="28" t="n">
        <f aca="false">SUMIFS(Trechos!$F$2:$F$838,Trechos!$M$2:$M$838,A94)</f>
        <v>59.6121722731697</v>
      </c>
      <c r="L94" s="27" t="n">
        <f aca="false">SUMPRODUCT(--ISNUMBER(SEARCH("|"&amp;A94&amp;"|",Trechos!$AC$2:$AC$838)))</f>
        <v>2</v>
      </c>
      <c r="M94" s="28" t="n">
        <f aca="false">SUMPRODUCT(ISNUMBER(SEARCH("|"&amp;A94&amp;"|",Trechos!$AC$2:$AC$838))*Trechos!$F$2:$F$838)</f>
        <v>59.6121722731697</v>
      </c>
      <c r="N94" s="27" t="s">
        <v>54</v>
      </c>
      <c r="O94" s="27" t="n">
        <v>-7.226599</v>
      </c>
      <c r="P94" s="27" t="n">
        <v>-48.255041</v>
      </c>
      <c r="Q94" s="37" t="s">
        <v>2338</v>
      </c>
    </row>
    <row r="95" customFormat="false" ht="15" hidden="false" customHeight="false" outlineLevel="0" collapsed="false">
      <c r="A95" s="27" t="s">
        <v>129</v>
      </c>
      <c r="B95" s="27" t="s">
        <v>2640</v>
      </c>
      <c r="C95" s="27" t="s">
        <v>1846</v>
      </c>
      <c r="D95" s="27" t="s">
        <v>3434</v>
      </c>
      <c r="E95" s="27" t="s">
        <v>24</v>
      </c>
      <c r="F95" s="27" t="s">
        <v>24</v>
      </c>
      <c r="G95" s="27" t="n">
        <v>42</v>
      </c>
      <c r="H95" s="27" t="s">
        <v>3479</v>
      </c>
      <c r="I95" s="27" t="s">
        <v>3084</v>
      </c>
      <c r="J95" s="27" t="n">
        <f aca="false">COUNTIFS(Trechos!$M$2:$M$838,A95)</f>
        <v>1</v>
      </c>
      <c r="K95" s="28" t="n">
        <f aca="false">SUMIFS(Trechos!$F$2:$F$838,Trechos!$M$2:$M$838,A95)</f>
        <v>281.305385439173</v>
      </c>
      <c r="L95" s="27" t="n">
        <f aca="false">SUMPRODUCT(--ISNUMBER(SEARCH("|"&amp;A95&amp;"|",Trechos!$AC$2:$AC$838)))</f>
        <v>1</v>
      </c>
      <c r="M95" s="28" t="n">
        <f aca="false">SUMPRODUCT(ISNUMBER(SEARCH("|"&amp;A95&amp;"|",Trechos!$AC$2:$AC$838))*Trechos!$F$2:$F$838)</f>
        <v>281.305385439173</v>
      </c>
      <c r="N95" s="27" t="s">
        <v>54</v>
      </c>
      <c r="O95" s="27" t="n">
        <v>-7.220927</v>
      </c>
      <c r="P95" s="27" t="n">
        <v>-48.262368</v>
      </c>
      <c r="Q95" s="37" t="s">
        <v>2338</v>
      </c>
    </row>
    <row r="96" customFormat="false" ht="15" hidden="false" customHeight="false" outlineLevel="0" collapsed="false">
      <c r="A96" s="27" t="s">
        <v>139</v>
      </c>
      <c r="B96" s="27" t="s">
        <v>2640</v>
      </c>
      <c r="C96" s="27" t="s">
        <v>1894</v>
      </c>
      <c r="D96" s="27" t="s">
        <v>3434</v>
      </c>
      <c r="E96" s="27" t="s">
        <v>24</v>
      </c>
      <c r="F96" s="27" t="s">
        <v>24</v>
      </c>
      <c r="G96" s="27" t="n">
        <v>47</v>
      </c>
      <c r="H96" s="27" t="s">
        <v>3480</v>
      </c>
      <c r="I96" s="27" t="s">
        <v>3118</v>
      </c>
      <c r="J96" s="27" t="n">
        <f aca="false">COUNTIFS(Trechos!$M$2:$M$838,A96)</f>
        <v>1</v>
      </c>
      <c r="K96" s="28" t="n">
        <f aca="false">SUMIFS(Trechos!$F$2:$F$838,Trechos!$M$2:$M$838,A96)</f>
        <v>71.8171864522846</v>
      </c>
      <c r="L96" s="27" t="n">
        <f aca="false">SUMPRODUCT(--ISNUMBER(SEARCH("|"&amp;A96&amp;"|",Trechos!$AC$2:$AC$838)))</f>
        <v>1</v>
      </c>
      <c r="M96" s="28" t="n">
        <f aca="false">SUMPRODUCT(ISNUMBER(SEARCH("|"&amp;A96&amp;"|",Trechos!$AC$2:$AC$838))*Trechos!$F$2:$F$838)</f>
        <v>71.8171864522846</v>
      </c>
      <c r="N96" s="27" t="s">
        <v>54</v>
      </c>
      <c r="O96" s="27" t="n">
        <v>-7.208127</v>
      </c>
      <c r="P96" s="27" t="n">
        <v>-48.256661</v>
      </c>
      <c r="Q96" s="37" t="s">
        <v>2338</v>
      </c>
    </row>
    <row r="97" customFormat="false" ht="15" hidden="false" customHeight="false" outlineLevel="0" collapsed="false">
      <c r="A97" s="27" t="s">
        <v>160</v>
      </c>
      <c r="B97" s="27" t="s">
        <v>2635</v>
      </c>
      <c r="C97" s="27" t="s">
        <v>1920</v>
      </c>
      <c r="D97" s="27" t="s">
        <v>3434</v>
      </c>
      <c r="E97" s="27" t="s">
        <v>23</v>
      </c>
      <c r="F97" s="27" t="s">
        <v>24</v>
      </c>
      <c r="G97" s="27" t="n">
        <v>56</v>
      </c>
      <c r="H97" s="27" t="s">
        <v>3481</v>
      </c>
      <c r="I97" s="27" t="s">
        <v>3141</v>
      </c>
      <c r="J97" s="27" t="n">
        <f aca="false">COUNTIFS(Trechos!$M$2:$M$838,A97)</f>
        <v>4</v>
      </c>
      <c r="K97" s="28" t="n">
        <f aca="false">SUMIFS(Trechos!$F$2:$F$838,Trechos!$M$2:$M$838,A97)</f>
        <v>203.968023140271</v>
      </c>
      <c r="L97" s="27" t="n">
        <f aca="false">SUMPRODUCT(--ISNUMBER(SEARCH("|"&amp;A97&amp;"|",Trechos!$AC$2:$AC$838)))</f>
        <v>4</v>
      </c>
      <c r="M97" s="28" t="n">
        <f aca="false">SUMPRODUCT(ISNUMBER(SEARCH("|"&amp;A97&amp;"|",Trechos!$AC$2:$AC$838))*Trechos!$F$2:$F$838)</f>
        <v>203.968023140271</v>
      </c>
      <c r="N97" s="27" t="s">
        <v>54</v>
      </c>
      <c r="O97" s="27" t="n">
        <v>-7.211316</v>
      </c>
      <c r="P97" s="27" t="n">
        <v>-48.242952</v>
      </c>
      <c r="Q97" s="37" t="s">
        <v>2338</v>
      </c>
    </row>
    <row r="98" customFormat="false" ht="15" hidden="false" customHeight="false" outlineLevel="0" collapsed="false">
      <c r="A98" s="27" t="s">
        <v>164</v>
      </c>
      <c r="B98" s="27" t="s">
        <v>2635</v>
      </c>
      <c r="C98" s="27" t="s">
        <v>1930</v>
      </c>
      <c r="D98" s="27" t="s">
        <v>3434</v>
      </c>
      <c r="E98" s="27" t="s">
        <v>23</v>
      </c>
      <c r="F98" s="27" t="s">
        <v>24</v>
      </c>
      <c r="G98" s="27" t="n">
        <v>58</v>
      </c>
      <c r="H98" s="27" t="s">
        <v>3482</v>
      </c>
      <c r="I98" s="27" t="s">
        <v>3148</v>
      </c>
      <c r="J98" s="27" t="n">
        <f aca="false">COUNTIFS(Trechos!$M$2:$M$838,A98)</f>
        <v>1</v>
      </c>
      <c r="K98" s="28" t="n">
        <f aca="false">SUMIFS(Trechos!$F$2:$F$838,Trechos!$M$2:$M$838,A98)</f>
        <v>32.4139609250605</v>
      </c>
      <c r="L98" s="27" t="n">
        <f aca="false">SUMPRODUCT(--ISNUMBER(SEARCH("|"&amp;A98&amp;"|",Trechos!$AC$2:$AC$838)))</f>
        <v>1</v>
      </c>
      <c r="M98" s="28" t="n">
        <f aca="false">SUMPRODUCT(ISNUMBER(SEARCH("|"&amp;A98&amp;"|",Trechos!$AC$2:$AC$838))*Trechos!$F$2:$F$838)</f>
        <v>32.4139609250605</v>
      </c>
      <c r="N98" s="27" t="s">
        <v>54</v>
      </c>
      <c r="O98" s="27" t="n">
        <v>-7.213367</v>
      </c>
      <c r="P98" s="27" t="n">
        <v>-48.243894</v>
      </c>
      <c r="Q98" s="37" t="s">
        <v>2338</v>
      </c>
    </row>
    <row r="99" customFormat="false" ht="15" hidden="false" customHeight="false" outlineLevel="0" collapsed="false">
      <c r="A99" s="27" t="s">
        <v>168</v>
      </c>
      <c r="B99" s="27" t="s">
        <v>2640</v>
      </c>
      <c r="C99" s="27" t="s">
        <v>1936</v>
      </c>
      <c r="D99" s="27" t="s">
        <v>3434</v>
      </c>
      <c r="E99" s="27" t="s">
        <v>23</v>
      </c>
      <c r="F99" s="27" t="s">
        <v>24</v>
      </c>
      <c r="G99" s="27" t="n">
        <v>60</v>
      </c>
      <c r="H99" s="27" t="s">
        <v>3483</v>
      </c>
      <c r="I99" s="27" t="s">
        <v>3153</v>
      </c>
      <c r="J99" s="27" t="n">
        <f aca="false">COUNTIFS(Trechos!$M$2:$M$838,A99)</f>
        <v>1</v>
      </c>
      <c r="K99" s="28" t="n">
        <f aca="false">SUMIFS(Trechos!$F$2:$F$838,Trechos!$M$2:$M$838,A99)</f>
        <v>4.53964890126043</v>
      </c>
      <c r="L99" s="27" t="n">
        <f aca="false">SUMPRODUCT(--ISNUMBER(SEARCH("|"&amp;A99&amp;"|",Trechos!$AC$2:$AC$838)))</f>
        <v>1</v>
      </c>
      <c r="M99" s="28" t="n">
        <f aca="false">SUMPRODUCT(ISNUMBER(SEARCH("|"&amp;A99&amp;"|",Trechos!$AC$2:$AC$838))*Trechos!$F$2:$F$838)</f>
        <v>4.53964890126043</v>
      </c>
      <c r="N99" s="27" t="s">
        <v>54</v>
      </c>
      <c r="O99" s="27" t="n">
        <v>-7.21497</v>
      </c>
      <c r="P99" s="27" t="n">
        <v>-48.244586</v>
      </c>
      <c r="Q99" s="37" t="s">
        <v>2338</v>
      </c>
    </row>
    <row r="100" customFormat="false" ht="15" hidden="false" customHeight="false" outlineLevel="0" collapsed="false">
      <c r="A100" s="27" t="s">
        <v>172</v>
      </c>
      <c r="B100" s="27" t="s">
        <v>2640</v>
      </c>
      <c r="C100" s="27" t="s">
        <v>1944</v>
      </c>
      <c r="D100" s="27" t="s">
        <v>3434</v>
      </c>
      <c r="E100" s="27" t="s">
        <v>23</v>
      </c>
      <c r="F100" s="27" t="s">
        <v>24</v>
      </c>
      <c r="G100" s="27" t="n">
        <v>62</v>
      </c>
      <c r="H100" s="27" t="s">
        <v>3484</v>
      </c>
      <c r="I100" s="27" t="s">
        <v>3160</v>
      </c>
      <c r="J100" s="27" t="n">
        <f aca="false">COUNTIFS(Trechos!$M$2:$M$838,A100)</f>
        <v>5</v>
      </c>
      <c r="K100" s="28" t="n">
        <f aca="false">SUMIFS(Trechos!$F$2:$F$838,Trechos!$M$2:$M$838,A100)</f>
        <v>224.089176505866</v>
      </c>
      <c r="L100" s="27" t="n">
        <f aca="false">SUMPRODUCT(--ISNUMBER(SEARCH("|"&amp;A100&amp;"|",Trechos!$AC$2:$AC$838)))</f>
        <v>6</v>
      </c>
      <c r="M100" s="28" t="n">
        <f aca="false">SUMPRODUCT(ISNUMBER(SEARCH("|"&amp;A100&amp;"|",Trechos!$AC$2:$AC$838))*Trechos!$F$2:$F$838)</f>
        <v>228.108788753307</v>
      </c>
      <c r="N100" s="27" t="s">
        <v>174</v>
      </c>
      <c r="O100" s="27" t="n">
        <v>-7.215394</v>
      </c>
      <c r="P100" s="27" t="n">
        <v>-48.244523</v>
      </c>
      <c r="Q100" s="37" t="s">
        <v>2338</v>
      </c>
    </row>
    <row r="101" customFormat="false" ht="15" hidden="false" customHeight="false" outlineLevel="0" collapsed="false">
      <c r="A101" s="27" t="s">
        <v>174</v>
      </c>
      <c r="B101" s="27" t="s">
        <v>2640</v>
      </c>
      <c r="C101" s="27" t="s">
        <v>1954</v>
      </c>
      <c r="D101" s="27" t="s">
        <v>3434</v>
      </c>
      <c r="E101" s="27" t="s">
        <v>24</v>
      </c>
      <c r="F101" s="27" t="s">
        <v>24</v>
      </c>
      <c r="G101" s="27" t="n">
        <v>63</v>
      </c>
      <c r="H101" s="27" t="s">
        <v>3485</v>
      </c>
      <c r="I101" s="27" t="s">
        <v>3167</v>
      </c>
      <c r="J101" s="27" t="n">
        <f aca="false">COUNTIFS(Trechos!$M$2:$M$838,A101)</f>
        <v>1</v>
      </c>
      <c r="K101" s="28" t="n">
        <f aca="false">SUMIFS(Trechos!$F$2:$F$838,Trechos!$M$2:$M$838,A101)</f>
        <v>4.01961224744084</v>
      </c>
      <c r="L101" s="27" t="n">
        <f aca="false">SUMPRODUCT(--ISNUMBER(SEARCH("|"&amp;A101&amp;"|",Trechos!$AC$2:$AC$838)))</f>
        <v>1</v>
      </c>
      <c r="M101" s="28" t="n">
        <f aca="false">SUMPRODUCT(ISNUMBER(SEARCH("|"&amp;A101&amp;"|",Trechos!$AC$2:$AC$838))*Trechos!$F$2:$F$838)</f>
        <v>4.01961224744084</v>
      </c>
      <c r="N101" s="27" t="s">
        <v>54</v>
      </c>
      <c r="O101" s="27" t="n">
        <v>-7.214623</v>
      </c>
      <c r="P101" s="27" t="n">
        <v>-48.243372</v>
      </c>
      <c r="Q101" s="37" t="s">
        <v>2338</v>
      </c>
    </row>
    <row r="102" customFormat="false" ht="15" hidden="false" customHeight="false" outlineLevel="0" collapsed="false">
      <c r="A102" s="27" t="s">
        <v>178</v>
      </c>
      <c r="B102" s="27" t="s">
        <v>2640</v>
      </c>
      <c r="C102" s="27" t="s">
        <v>1958</v>
      </c>
      <c r="D102" s="27" t="s">
        <v>3434</v>
      </c>
      <c r="E102" s="27" t="s">
        <v>23</v>
      </c>
      <c r="F102" s="27" t="s">
        <v>24</v>
      </c>
      <c r="G102" s="27" t="n">
        <v>65</v>
      </c>
      <c r="H102" s="27" t="s">
        <v>3486</v>
      </c>
      <c r="I102" s="27" t="s">
        <v>3171</v>
      </c>
      <c r="J102" s="27" t="n">
        <f aca="false">COUNTIFS(Trechos!$M$2:$M$838,A102)</f>
        <v>11</v>
      </c>
      <c r="K102" s="28" t="n">
        <f aca="false">SUMIFS(Trechos!$F$2:$F$838,Trechos!$M$2:$M$838,A102)</f>
        <v>379.697822817925</v>
      </c>
      <c r="L102" s="27" t="n">
        <f aca="false">SUMPRODUCT(--ISNUMBER(SEARCH("|"&amp;A102&amp;"|",Trechos!$AC$2:$AC$838)))</f>
        <v>11</v>
      </c>
      <c r="M102" s="28" t="n">
        <f aca="false">SUMPRODUCT(ISNUMBER(SEARCH("|"&amp;A102&amp;"|",Trechos!$AC$2:$AC$838))*Trechos!$F$2:$F$838)</f>
        <v>379.697822817925</v>
      </c>
      <c r="N102" s="27" t="s">
        <v>54</v>
      </c>
      <c r="O102" s="27" t="n">
        <v>-7.217167</v>
      </c>
      <c r="P102" s="27" t="n">
        <v>-48.245771</v>
      </c>
      <c r="Q102" s="37" t="s">
        <v>2338</v>
      </c>
    </row>
    <row r="103" customFormat="false" ht="15" hidden="false" customHeight="false" outlineLevel="0" collapsed="false">
      <c r="A103" s="27" t="s">
        <v>180</v>
      </c>
      <c r="B103" s="27" t="s">
        <v>3487</v>
      </c>
      <c r="C103" s="27" t="s">
        <v>1974</v>
      </c>
      <c r="D103" s="27" t="s">
        <v>3434</v>
      </c>
      <c r="E103" s="27" t="s">
        <v>24</v>
      </c>
      <c r="F103" s="27" t="s">
        <v>24</v>
      </c>
      <c r="G103" s="27" t="n">
        <v>66</v>
      </c>
      <c r="H103" s="27" t="s">
        <v>54</v>
      </c>
      <c r="I103" s="27" t="s">
        <v>3171</v>
      </c>
      <c r="J103" s="27"/>
      <c r="K103" s="27"/>
      <c r="L103" s="27"/>
      <c r="M103" s="27"/>
      <c r="N103" s="27" t="s">
        <v>54</v>
      </c>
      <c r="O103" s="27" t="n">
        <v>-7.217186</v>
      </c>
      <c r="P103" s="27" t="n">
        <v>-48.245605</v>
      </c>
      <c r="Q103" s="37" t="s">
        <v>2338</v>
      </c>
    </row>
    <row r="104" customFormat="false" ht="15" hidden="false" customHeight="false" outlineLevel="0" collapsed="false">
      <c r="A104" s="27" t="s">
        <v>183</v>
      </c>
      <c r="B104" s="27" t="s">
        <v>2635</v>
      </c>
      <c r="C104" s="27" t="s">
        <v>1982</v>
      </c>
      <c r="D104" s="27" t="s">
        <v>3434</v>
      </c>
      <c r="E104" s="27" t="s">
        <v>23</v>
      </c>
      <c r="F104" s="27" t="s">
        <v>24</v>
      </c>
      <c r="G104" s="27" t="n">
        <v>67</v>
      </c>
      <c r="H104" s="27" t="s">
        <v>3488</v>
      </c>
      <c r="I104" s="27" t="s">
        <v>3185</v>
      </c>
      <c r="J104" s="27" t="n">
        <f aca="false">COUNTIFS(Trechos!$M$2:$M$838,A104)</f>
        <v>2</v>
      </c>
      <c r="K104" s="28" t="n">
        <f aca="false">SUMIFS(Trechos!$F$2:$F$838,Trechos!$M$2:$M$838,A104)</f>
        <v>29.7290914186443</v>
      </c>
      <c r="L104" s="27" t="n">
        <f aca="false">SUMPRODUCT(--ISNUMBER(SEARCH("|"&amp;A104&amp;"|",Trechos!$AC$2:$AC$838)))</f>
        <v>2</v>
      </c>
      <c r="M104" s="28" t="n">
        <f aca="false">SUMPRODUCT(ISNUMBER(SEARCH("|"&amp;A104&amp;"|",Trechos!$AC$2:$AC$838))*Trechos!$F$2:$F$838)</f>
        <v>29.7290914186443</v>
      </c>
      <c r="N104" s="27" t="s">
        <v>54</v>
      </c>
      <c r="O104" s="27" t="n">
        <v>-7.218245</v>
      </c>
      <c r="P104" s="27" t="n">
        <v>-48.246207</v>
      </c>
      <c r="Q104" s="37" t="s">
        <v>2338</v>
      </c>
    </row>
    <row r="105" customFormat="false" ht="15" hidden="false" customHeight="false" outlineLevel="0" collapsed="false">
      <c r="A105" s="27" t="s">
        <v>188</v>
      </c>
      <c r="B105" s="27" t="s">
        <v>3418</v>
      </c>
      <c r="C105" s="27" t="s">
        <v>2038</v>
      </c>
      <c r="D105" s="27" t="s">
        <v>3434</v>
      </c>
      <c r="E105" s="27" t="s">
        <v>23</v>
      </c>
      <c r="F105" s="27" t="s">
        <v>23</v>
      </c>
      <c r="G105" s="27" t="n">
        <v>69</v>
      </c>
      <c r="H105" s="27" t="s">
        <v>54</v>
      </c>
      <c r="I105" s="27" t="s">
        <v>2387</v>
      </c>
      <c r="J105" s="27"/>
      <c r="K105" s="27"/>
      <c r="L105" s="27"/>
      <c r="M105" s="27"/>
      <c r="N105" s="27" t="s">
        <v>3189</v>
      </c>
      <c r="O105" s="27" t="n">
        <v>-7.222387</v>
      </c>
      <c r="P105" s="27" t="n">
        <v>-48.248127</v>
      </c>
      <c r="Q105" s="37" t="s">
        <v>2338</v>
      </c>
    </row>
    <row r="106" customFormat="false" ht="15" hidden="false" customHeight="false" outlineLevel="0" collapsed="false">
      <c r="A106" s="27" t="s">
        <v>189</v>
      </c>
      <c r="B106" s="27" t="s">
        <v>2640</v>
      </c>
      <c r="C106" s="27" t="s">
        <v>2064</v>
      </c>
      <c r="D106" s="27" t="s">
        <v>3434</v>
      </c>
      <c r="E106" s="27" t="s">
        <v>23</v>
      </c>
      <c r="F106" s="27" t="s">
        <v>24</v>
      </c>
      <c r="G106" s="27" t="n">
        <v>69</v>
      </c>
      <c r="H106" s="27" t="s">
        <v>3489</v>
      </c>
      <c r="I106" s="27" t="s">
        <v>3231</v>
      </c>
      <c r="J106" s="27" t="n">
        <f aca="false">COUNTIFS(Trechos!$M$2:$M$838,A106)</f>
        <v>1</v>
      </c>
      <c r="K106" s="28" t="n">
        <f aca="false">SUMIFS(Trechos!$F$2:$F$838,Trechos!$M$2:$M$838,A106)</f>
        <v>10.9270182219447</v>
      </c>
      <c r="L106" s="27" t="n">
        <f aca="false">SUMPRODUCT(--ISNUMBER(SEARCH("|"&amp;A106&amp;"|",Trechos!$AC$2:$AC$838)))</f>
        <v>1</v>
      </c>
      <c r="M106" s="28" t="n">
        <f aca="false">SUMPRODUCT(ISNUMBER(SEARCH("|"&amp;A106&amp;"|",Trechos!$AC$2:$AC$838))*Trechos!$F$2:$F$838)</f>
        <v>10.9270182219447</v>
      </c>
      <c r="N106" s="27" t="s">
        <v>54</v>
      </c>
      <c r="O106" s="27" t="n">
        <v>-7.224928</v>
      </c>
      <c r="P106" s="27" t="n">
        <v>-48.248504</v>
      </c>
      <c r="Q106" s="37" t="s">
        <v>2338</v>
      </c>
    </row>
    <row r="107" customFormat="false" ht="15" hidden="false" customHeight="false" outlineLevel="0" collapsed="false">
      <c r="A107" s="27" t="s">
        <v>191</v>
      </c>
      <c r="B107" s="27" t="s">
        <v>2635</v>
      </c>
      <c r="C107" s="27" t="s">
        <v>2068</v>
      </c>
      <c r="D107" s="27" t="s">
        <v>3434</v>
      </c>
      <c r="E107" s="27" t="s">
        <v>23</v>
      </c>
      <c r="F107" s="27" t="s">
        <v>24</v>
      </c>
      <c r="G107" s="27" t="n">
        <v>69</v>
      </c>
      <c r="H107" s="27" t="s">
        <v>3490</v>
      </c>
      <c r="I107" s="27" t="s">
        <v>3234</v>
      </c>
      <c r="J107" s="27" t="n">
        <f aca="false">COUNTIFS(Trechos!$M$2:$M$838,A107)</f>
        <v>1</v>
      </c>
      <c r="K107" s="28" t="n">
        <f aca="false">SUMIFS(Trechos!$F$2:$F$838,Trechos!$M$2:$M$838,A107)</f>
        <v>12.6041120650505</v>
      </c>
      <c r="L107" s="27" t="n">
        <f aca="false">SUMPRODUCT(--ISNUMBER(SEARCH("|"&amp;A107&amp;"|",Trechos!$AC$2:$AC$838)))</f>
        <v>1</v>
      </c>
      <c r="M107" s="28" t="n">
        <f aca="false">SUMPRODUCT(ISNUMBER(SEARCH("|"&amp;A107&amp;"|",Trechos!$AC$2:$AC$838))*Trechos!$F$2:$F$838)</f>
        <v>12.6041120650505</v>
      </c>
      <c r="N107" s="27" t="s">
        <v>54</v>
      </c>
      <c r="O107" s="27" t="n">
        <v>-7.223917</v>
      </c>
      <c r="P107" s="27" t="n">
        <v>-48.248857</v>
      </c>
      <c r="Q107" s="37" t="s">
        <v>2338</v>
      </c>
    </row>
    <row r="108" customFormat="false" ht="15" hidden="false" customHeight="false" outlineLevel="0" collapsed="false">
      <c r="A108" s="27" t="s">
        <v>205</v>
      </c>
      <c r="B108" s="27" t="s">
        <v>3418</v>
      </c>
      <c r="C108" s="27" t="s">
        <v>2114</v>
      </c>
      <c r="D108" s="27" t="s">
        <v>3434</v>
      </c>
      <c r="E108" s="27" t="s">
        <v>24</v>
      </c>
      <c r="F108" s="27" t="s">
        <v>24</v>
      </c>
      <c r="G108" s="27" t="n">
        <v>75</v>
      </c>
      <c r="H108" s="27" t="s">
        <v>54</v>
      </c>
      <c r="I108" s="27" t="s">
        <v>3242</v>
      </c>
      <c r="J108" s="27"/>
      <c r="K108" s="27"/>
      <c r="L108" s="27"/>
      <c r="M108" s="27"/>
      <c r="N108" s="27" t="s">
        <v>206</v>
      </c>
      <c r="O108" s="27" t="n">
        <v>-7.22196</v>
      </c>
      <c r="P108" s="27" t="n">
        <v>-48.241147</v>
      </c>
      <c r="Q108" s="37" t="s">
        <v>2338</v>
      </c>
    </row>
    <row r="109" customFormat="false" ht="15" hidden="false" customHeight="false" outlineLevel="0" collapsed="false">
      <c r="A109" s="27" t="s">
        <v>206</v>
      </c>
      <c r="B109" s="27" t="s">
        <v>2640</v>
      </c>
      <c r="C109" s="27" t="s">
        <v>2120</v>
      </c>
      <c r="D109" s="27" t="s">
        <v>3434</v>
      </c>
      <c r="E109" s="27" t="s">
        <v>24</v>
      </c>
      <c r="F109" s="27" t="s">
        <v>24</v>
      </c>
      <c r="G109" s="27" t="n">
        <v>75</v>
      </c>
      <c r="H109" s="27" t="s">
        <v>3491</v>
      </c>
      <c r="I109" s="27" t="s">
        <v>3270</v>
      </c>
      <c r="J109" s="27" t="n">
        <f aca="false">COUNTIFS(Trechos!$M$2:$M$838,A109)</f>
        <v>1</v>
      </c>
      <c r="K109" s="28" t="n">
        <f aca="false">SUMIFS(Trechos!$F$2:$F$838,Trechos!$M$2:$M$838,A109)</f>
        <v>6.35943390482056</v>
      </c>
      <c r="L109" s="27" t="n">
        <f aca="false">SUMPRODUCT(--ISNUMBER(SEARCH("|"&amp;A109&amp;"|",Trechos!$AC$2:$AC$838)))</f>
        <v>1</v>
      </c>
      <c r="M109" s="28" t="n">
        <f aca="false">SUMPRODUCT(ISNUMBER(SEARCH("|"&amp;A109&amp;"|",Trechos!$AC$2:$AC$838))*Trechos!$F$2:$F$838)</f>
        <v>6.35943390482056</v>
      </c>
      <c r="N109" s="27" t="s">
        <v>54</v>
      </c>
      <c r="O109" s="27" t="n">
        <v>-7.221666</v>
      </c>
      <c r="P109" s="27" t="n">
        <v>-48.242291</v>
      </c>
      <c r="Q109" s="37" t="s">
        <v>2338</v>
      </c>
    </row>
    <row r="110" customFormat="false" ht="15" hidden="false" customHeight="false" outlineLevel="0" collapsed="false">
      <c r="A110" s="27" t="s">
        <v>208</v>
      </c>
      <c r="B110" s="27" t="s">
        <v>2640</v>
      </c>
      <c r="C110" s="27" t="s">
        <v>2132</v>
      </c>
      <c r="D110" s="27" t="s">
        <v>3434</v>
      </c>
      <c r="E110" s="27" t="s">
        <v>24</v>
      </c>
      <c r="F110" s="27" t="s">
        <v>24</v>
      </c>
      <c r="G110" s="27" t="n">
        <v>75</v>
      </c>
      <c r="H110" s="27" t="s">
        <v>3492</v>
      </c>
      <c r="I110" s="27" t="s">
        <v>3273</v>
      </c>
      <c r="J110" s="27" t="n">
        <f aca="false">COUNTIFS(Trechos!$M$2:$M$838,A110)</f>
        <v>1</v>
      </c>
      <c r="K110" s="28" t="n">
        <f aca="false">SUMIFS(Trechos!$F$2:$F$838,Trechos!$M$2:$M$838,A110)</f>
        <v>8.91912484041897</v>
      </c>
      <c r="L110" s="27" t="n">
        <f aca="false">SUMPRODUCT(--ISNUMBER(SEARCH("|"&amp;A110&amp;"|",Trechos!$AC$2:$AC$838)))</f>
        <v>1</v>
      </c>
      <c r="M110" s="28" t="n">
        <f aca="false">SUMPRODUCT(ISNUMBER(SEARCH("|"&amp;A110&amp;"|",Trechos!$AC$2:$AC$838))*Trechos!$F$2:$F$838)</f>
        <v>8.91912484041897</v>
      </c>
      <c r="N110" s="27" t="s">
        <v>54</v>
      </c>
      <c r="O110" s="27" t="n">
        <v>-7.220802</v>
      </c>
      <c r="P110" s="27" t="n">
        <v>-48.239497</v>
      </c>
      <c r="Q110" s="37" t="s">
        <v>2338</v>
      </c>
    </row>
    <row r="111" customFormat="false" ht="15" hidden="false" customHeight="false" outlineLevel="0" collapsed="false">
      <c r="A111" s="27" t="s">
        <v>240</v>
      </c>
      <c r="B111" s="27" t="s">
        <v>2640</v>
      </c>
      <c r="C111" s="27" t="s">
        <v>2190</v>
      </c>
      <c r="D111" s="27" t="s">
        <v>3434</v>
      </c>
      <c r="E111" s="27" t="s">
        <v>24</v>
      </c>
      <c r="F111" s="27" t="s">
        <v>24</v>
      </c>
      <c r="G111" s="27" t="n">
        <v>87</v>
      </c>
      <c r="H111" s="27" t="s">
        <v>3493</v>
      </c>
      <c r="I111" s="27" t="s">
        <v>3320</v>
      </c>
      <c r="J111" s="27" t="n">
        <f aca="false">COUNTIFS(Trechos!$M$2:$M$838,A111)</f>
        <v>2</v>
      </c>
      <c r="K111" s="28" t="n">
        <f aca="false">SUMIFS(Trechos!$F$2:$F$838,Trechos!$M$2:$M$838,A111)</f>
        <v>20.9178905075115</v>
      </c>
      <c r="L111" s="27" t="n">
        <f aca="false">SUMPRODUCT(--ISNUMBER(SEARCH("|"&amp;A111&amp;"|",Trechos!$AC$2:$AC$838)))</f>
        <v>2</v>
      </c>
      <c r="M111" s="28" t="n">
        <f aca="false">SUMPRODUCT(ISNUMBER(SEARCH("|"&amp;A111&amp;"|",Trechos!$AC$2:$AC$838))*Trechos!$F$2:$F$838)</f>
        <v>20.9178905075115</v>
      </c>
      <c r="N111" s="27" t="s">
        <v>54</v>
      </c>
      <c r="O111" s="27" t="n">
        <v>-7.218458</v>
      </c>
      <c r="P111" s="27" t="n">
        <v>-48.233836</v>
      </c>
      <c r="Q111" s="37" t="s">
        <v>2338</v>
      </c>
    </row>
    <row r="112" customFormat="false" ht="15" hidden="false" customHeight="false" outlineLevel="0" collapsed="false">
      <c r="A112" s="27" t="s">
        <v>242</v>
      </c>
      <c r="B112" s="27" t="s">
        <v>2635</v>
      </c>
      <c r="C112" s="27" t="s">
        <v>2192</v>
      </c>
      <c r="D112" s="27" t="s">
        <v>3434</v>
      </c>
      <c r="E112" s="27" t="s">
        <v>24</v>
      </c>
      <c r="F112" s="27" t="s">
        <v>24</v>
      </c>
      <c r="G112" s="27" t="n">
        <v>87</v>
      </c>
      <c r="H112" s="27" t="s">
        <v>3494</v>
      </c>
      <c r="I112" s="27" t="s">
        <v>3324</v>
      </c>
      <c r="J112" s="27" t="n">
        <f aca="false">COUNTIFS(Trechos!$M$2:$M$838,A112)</f>
        <v>2</v>
      </c>
      <c r="K112" s="28" t="n">
        <f aca="false">SUMIFS(Trechos!$F$2:$F$838,Trechos!$M$2:$M$838,A112)</f>
        <v>38.0739674856382</v>
      </c>
      <c r="L112" s="27" t="n">
        <f aca="false">SUMPRODUCT(--ISNUMBER(SEARCH("|"&amp;A112&amp;"|",Trechos!$AC$2:$AC$838)))</f>
        <v>2</v>
      </c>
      <c r="M112" s="28" t="n">
        <f aca="false">SUMPRODUCT(ISNUMBER(SEARCH("|"&amp;A112&amp;"|",Trechos!$AC$2:$AC$838))*Trechos!$F$2:$F$838)</f>
        <v>38.0739674856382</v>
      </c>
      <c r="N112" s="27" t="s">
        <v>54</v>
      </c>
      <c r="O112" s="27" t="n">
        <v>-7.217487</v>
      </c>
      <c r="P112" s="27" t="n">
        <v>-48.234122</v>
      </c>
      <c r="Q112" s="37" t="s">
        <v>2338</v>
      </c>
    </row>
    <row r="113" customFormat="false" ht="15" hidden="false" customHeight="false" outlineLevel="0" collapsed="false">
      <c r="A113" s="27" t="s">
        <v>286</v>
      </c>
      <c r="B113" s="27" t="s">
        <v>2640</v>
      </c>
      <c r="C113" s="27" t="s">
        <v>2300</v>
      </c>
      <c r="D113" s="27" t="s">
        <v>3434</v>
      </c>
      <c r="E113" s="27" t="s">
        <v>24</v>
      </c>
      <c r="F113" s="27" t="s">
        <v>24</v>
      </c>
      <c r="G113" s="27" t="n">
        <v>103</v>
      </c>
      <c r="H113" s="27" t="s">
        <v>3495</v>
      </c>
      <c r="I113" s="27" t="s">
        <v>3387</v>
      </c>
      <c r="J113" s="27" t="n">
        <f aca="false">COUNTIFS(Trechos!$M$2:$M$838,A113)</f>
        <v>7</v>
      </c>
      <c r="K113" s="28" t="n">
        <f aca="false">SUMIFS(Trechos!$F$2:$F$838,Trechos!$M$2:$M$838,A113)</f>
        <v>488.86159978891</v>
      </c>
      <c r="L113" s="27" t="n">
        <f aca="false">SUMPRODUCT(--ISNUMBER(SEARCH("|"&amp;A113&amp;"|",Trechos!$AC$2:$AC$838)))</f>
        <v>8</v>
      </c>
      <c r="M113" s="28" t="n">
        <f aca="false">SUMPRODUCT(ISNUMBER(SEARCH("|"&amp;A113&amp;"|",Trechos!$AC$2:$AC$838))*Trechos!$F$2:$F$838)</f>
        <v>506.936789378308</v>
      </c>
      <c r="N113" s="27" t="s">
        <v>288</v>
      </c>
      <c r="O113" s="27" t="n">
        <v>-7.2183</v>
      </c>
      <c r="P113" s="27" t="n">
        <v>-48.218642</v>
      </c>
      <c r="Q113" s="37" t="s">
        <v>2338</v>
      </c>
    </row>
    <row r="114" customFormat="false" ht="15" hidden="false" customHeight="false" outlineLevel="0" collapsed="false">
      <c r="A114" s="27" t="s">
        <v>290</v>
      </c>
      <c r="B114" s="27" t="s">
        <v>2640</v>
      </c>
      <c r="C114" s="27" t="s">
        <v>2302</v>
      </c>
      <c r="D114" s="27" t="s">
        <v>3434</v>
      </c>
      <c r="E114" s="27" t="s">
        <v>24</v>
      </c>
      <c r="F114" s="27" t="s">
        <v>24</v>
      </c>
      <c r="G114" s="27" t="n">
        <v>103</v>
      </c>
      <c r="H114" s="27" t="s">
        <v>3496</v>
      </c>
      <c r="I114" s="27" t="s">
        <v>3399</v>
      </c>
      <c r="J114" s="27" t="n">
        <f aca="false">COUNTIFS(Trechos!$M$2:$M$838,A114)</f>
        <v>1</v>
      </c>
      <c r="K114" s="28" t="n">
        <f aca="false">SUMIFS(Trechos!$F$2:$F$838,Trechos!$M$2:$M$838,A114)</f>
        <v>17.9814824451083</v>
      </c>
      <c r="L114" s="27" t="n">
        <f aca="false">SUMPRODUCT(--ISNUMBER(SEARCH("|"&amp;A114&amp;"|",Trechos!$AC$2:$AC$838)))</f>
        <v>1</v>
      </c>
      <c r="M114" s="28" t="n">
        <f aca="false">SUMPRODUCT(ISNUMBER(SEARCH("|"&amp;A114&amp;"|",Trechos!$AC$2:$AC$838))*Trechos!$F$2:$F$838)</f>
        <v>17.9814824451083</v>
      </c>
      <c r="N114" s="27" t="s">
        <v>54</v>
      </c>
      <c r="O114" s="27" t="n">
        <v>-7.218016</v>
      </c>
      <c r="P114" s="27" t="n">
        <v>-48.218625</v>
      </c>
      <c r="Q114" s="37" t="s">
        <v>2338</v>
      </c>
    </row>
    <row r="115" customFormat="false" ht="15" hidden="false" customHeight="false" outlineLevel="0" collapsed="false">
      <c r="A115" s="27" t="s">
        <v>288</v>
      </c>
      <c r="B115" s="27" t="s">
        <v>2640</v>
      </c>
      <c r="C115" s="27" t="s">
        <v>2314</v>
      </c>
      <c r="D115" s="27" t="s">
        <v>3434</v>
      </c>
      <c r="E115" s="27" t="s">
        <v>24</v>
      </c>
      <c r="F115" s="27" t="s">
        <v>24</v>
      </c>
      <c r="G115" s="27" t="n">
        <v>104</v>
      </c>
      <c r="H115" s="27" t="s">
        <v>3497</v>
      </c>
      <c r="I115" s="27" t="s">
        <v>3396</v>
      </c>
      <c r="J115" s="27" t="n">
        <f aca="false">COUNTIFS(Trechos!$M$2:$M$838,A115)</f>
        <v>1</v>
      </c>
      <c r="K115" s="28" t="n">
        <f aca="false">SUMIFS(Trechos!$F$2:$F$838,Trechos!$M$2:$M$838,A115)</f>
        <v>18.075189589398</v>
      </c>
      <c r="L115" s="27" t="n">
        <f aca="false">SUMPRODUCT(--ISNUMBER(SEARCH("|"&amp;A115&amp;"|",Trechos!$AC$2:$AC$838)))</f>
        <v>1</v>
      </c>
      <c r="M115" s="28" t="n">
        <f aca="false">SUMPRODUCT(ISNUMBER(SEARCH("|"&amp;A115&amp;"|",Trechos!$AC$2:$AC$838))*Trechos!$F$2:$F$838)</f>
        <v>18.075189589398</v>
      </c>
      <c r="N115" s="27" t="s">
        <v>54</v>
      </c>
      <c r="O115" s="27" t="n">
        <v>-7.22086</v>
      </c>
      <c r="P115" s="27" t="n">
        <v>-48.220574</v>
      </c>
      <c r="Q115" s="37" t="s">
        <v>2338</v>
      </c>
    </row>
  </sheetData>
  <hyperlinks>
    <hyperlink ref="Q2" r:id="rId2" display="abrir"/>
    <hyperlink ref="Q3" r:id="rId3" display="abrir"/>
    <hyperlink ref="Q4" r:id="rId4" display="abrir"/>
    <hyperlink ref="Q5" r:id="rId5" display="abrir"/>
    <hyperlink ref="Q6" r:id="rId6" display="abrir"/>
    <hyperlink ref="Q7" r:id="rId7" display="abrir"/>
    <hyperlink ref="Q8" r:id="rId8" display="abrir"/>
    <hyperlink ref="Q9" r:id="rId9" display="abrir"/>
    <hyperlink ref="Q10" r:id="rId10" display="abrir"/>
    <hyperlink ref="Q11" r:id="rId11" display="abrir"/>
    <hyperlink ref="Q12" r:id="rId12" display="abrir"/>
    <hyperlink ref="Q13" r:id="rId13" display="abrir"/>
    <hyperlink ref="Q14" r:id="rId14" display="abrir"/>
    <hyperlink ref="Q15" r:id="rId15" display="abrir"/>
    <hyperlink ref="Q16" r:id="rId16" display="abrir"/>
    <hyperlink ref="Q17" r:id="rId17" display="abrir"/>
    <hyperlink ref="Q18" r:id="rId18" display="abrir"/>
    <hyperlink ref="Q19" r:id="rId19" display="abrir"/>
    <hyperlink ref="Q20" r:id="rId20" display="abrir"/>
    <hyperlink ref="Q21" r:id="rId21" display="abrir"/>
    <hyperlink ref="Q22" r:id="rId22" display="abrir"/>
    <hyperlink ref="Q23" r:id="rId23" display="abrir"/>
    <hyperlink ref="Q24" r:id="rId24" display="abrir"/>
    <hyperlink ref="Q25" r:id="rId25" display="abrir"/>
    <hyperlink ref="Q26" r:id="rId26" display="abrir"/>
    <hyperlink ref="Q27" r:id="rId27" display="abrir"/>
    <hyperlink ref="Q28" r:id="rId28" display="abrir"/>
    <hyperlink ref="Q29" r:id="rId29" display="abrir"/>
    <hyperlink ref="Q30" r:id="rId30" display="abrir"/>
    <hyperlink ref="Q31" r:id="rId31" display="abrir"/>
    <hyperlink ref="Q32" r:id="rId32" display="abrir"/>
    <hyperlink ref="Q33" r:id="rId33" display="abrir"/>
    <hyperlink ref="Q34" r:id="rId34" display="abrir"/>
    <hyperlink ref="Q35" r:id="rId35" display="abrir"/>
    <hyperlink ref="Q36" r:id="rId36" display="abrir"/>
    <hyperlink ref="Q37" r:id="rId37" display="abrir"/>
    <hyperlink ref="Q38" r:id="rId38" display="abrir"/>
    <hyperlink ref="Q39" r:id="rId39" display="abrir"/>
    <hyperlink ref="Q40" r:id="rId40" display="abrir"/>
    <hyperlink ref="Q41" r:id="rId41" display="abrir"/>
    <hyperlink ref="Q42" r:id="rId42" display="abrir"/>
    <hyperlink ref="Q43" r:id="rId43" display="abrir"/>
    <hyperlink ref="Q44" r:id="rId44" display="abrir"/>
    <hyperlink ref="Q45" r:id="rId45" display="abrir"/>
    <hyperlink ref="Q46" r:id="rId46" display="abrir"/>
    <hyperlink ref="Q47" r:id="rId47" display="abrir"/>
    <hyperlink ref="Q48" r:id="rId48" display="abrir"/>
    <hyperlink ref="Q49" r:id="rId49" display="abrir"/>
    <hyperlink ref="Q50" r:id="rId50" display="abrir"/>
    <hyperlink ref="Q51" r:id="rId51" display="abrir"/>
    <hyperlink ref="Q52" r:id="rId52" display="abrir"/>
    <hyperlink ref="Q53" r:id="rId53" display="abrir"/>
    <hyperlink ref="Q54" r:id="rId54" display="abrir"/>
    <hyperlink ref="Q55" r:id="rId55" display="abrir"/>
    <hyperlink ref="Q56" r:id="rId56" display="abrir"/>
    <hyperlink ref="Q57" r:id="rId57" display="abrir"/>
    <hyperlink ref="Q58" r:id="rId58" display="abrir"/>
    <hyperlink ref="Q59" r:id="rId59" display="abrir"/>
    <hyperlink ref="Q60" r:id="rId60" display="abrir"/>
    <hyperlink ref="Q61" r:id="rId61" display="abrir"/>
    <hyperlink ref="Q62" r:id="rId62" display="abrir"/>
    <hyperlink ref="Q63" r:id="rId63" display="abrir"/>
    <hyperlink ref="Q64" r:id="rId64" display="abrir"/>
    <hyperlink ref="Q65" r:id="rId65" display="abrir"/>
    <hyperlink ref="Q66" r:id="rId66" display="abrir"/>
    <hyperlink ref="Q67" r:id="rId67" display="abrir"/>
    <hyperlink ref="Q68" r:id="rId68" display="abrir"/>
    <hyperlink ref="Q69" r:id="rId69" display="abrir"/>
    <hyperlink ref="Q70" r:id="rId70" display="abrir"/>
    <hyperlink ref="Q71" r:id="rId71" display="abrir"/>
    <hyperlink ref="Q72" r:id="rId72" display="abrir"/>
    <hyperlink ref="Q73" r:id="rId73" display="abrir"/>
    <hyperlink ref="Q74" r:id="rId74" display="abrir"/>
    <hyperlink ref="Q75" r:id="rId75" display="abrir"/>
    <hyperlink ref="Q76" r:id="rId76" display="abrir"/>
    <hyperlink ref="Q77" r:id="rId77" display="abrir"/>
    <hyperlink ref="Q78" r:id="rId78" display="abrir"/>
    <hyperlink ref="Q79" r:id="rId79" display="abrir"/>
    <hyperlink ref="Q80" r:id="rId80" display="abrir"/>
    <hyperlink ref="Q81" r:id="rId81" display="abrir"/>
    <hyperlink ref="Q82" r:id="rId82" display="abrir"/>
    <hyperlink ref="Q83" r:id="rId83" display="abrir"/>
    <hyperlink ref="Q84" r:id="rId84" display="abrir"/>
    <hyperlink ref="Q85" r:id="rId85" display="abrir"/>
    <hyperlink ref="Q86" r:id="rId86" display="abrir"/>
    <hyperlink ref="Q87" r:id="rId87" display="abrir"/>
    <hyperlink ref="Q88" r:id="rId88" display="abrir"/>
    <hyperlink ref="Q89" r:id="rId89" display="abrir"/>
    <hyperlink ref="Q90" r:id="rId90" display="abrir"/>
    <hyperlink ref="Q91" r:id="rId91" display="abrir"/>
    <hyperlink ref="Q92" r:id="rId92" display="abrir"/>
    <hyperlink ref="Q93" r:id="rId93" display="abrir"/>
    <hyperlink ref="Q94" r:id="rId94" display="abrir"/>
    <hyperlink ref="Q95" r:id="rId95" display="abrir"/>
    <hyperlink ref="Q96" r:id="rId96" display="abrir"/>
    <hyperlink ref="Q97" r:id="rId97" display="abrir"/>
    <hyperlink ref="Q98" r:id="rId98" display="abrir"/>
    <hyperlink ref="Q99" r:id="rId99" display="abrir"/>
    <hyperlink ref="Q100" r:id="rId100" display="abrir"/>
    <hyperlink ref="Q101" r:id="rId101" display="abrir"/>
    <hyperlink ref="Q102" r:id="rId102" display="abrir"/>
    <hyperlink ref="Q103" r:id="rId103" display="abrir"/>
    <hyperlink ref="Q104" r:id="rId104" display="abrir"/>
    <hyperlink ref="Q105" r:id="rId105" display="abrir"/>
    <hyperlink ref="Q106" r:id="rId106" display="abrir"/>
    <hyperlink ref="Q107" r:id="rId107" display="abrir"/>
    <hyperlink ref="Q108" r:id="rId108" display="abrir"/>
    <hyperlink ref="Q109" r:id="rId109" display="abrir"/>
    <hyperlink ref="Q110" r:id="rId110" display="abrir"/>
    <hyperlink ref="Q111" r:id="rId111" display="abrir"/>
    <hyperlink ref="Q112" r:id="rId112" display="abrir"/>
    <hyperlink ref="Q113" r:id="rId113" display="abrir"/>
    <hyperlink ref="Q114" r:id="rId114" display="abrir"/>
    <hyperlink ref="Q115" r:id="rId115" display="abrir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116"/>
  <tableParts>
    <tablePart r:id="rId11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2026-10-01T22:57:54Z</dcterms:created>
  <dc:creator>openpyxl</dc:creator>
  <dc:description/>
  <dc:language>en-US</dc:language>
  <cp:lastModifiedBy/>
  <dcterms:modified xsi:type="dcterms:W3CDTF">2026-10-01T22:57:55Z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