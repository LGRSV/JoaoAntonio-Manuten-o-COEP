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Árvore de blocos" sheetId="2" state="visible" r:id="rId4"/>
    <sheet name="Consulta" sheetId="3" state="visible" r:id="rId5"/>
    <sheet name="Blocos" sheetId="4" state="visible" r:id="rId6"/>
    <sheet name="Por bloco" sheetId="5" state="visible" r:id="rId7"/>
    <sheet name="Trechos" sheetId="6" state="visible" r:id="rId8"/>
    <sheet name="Ativ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Junta as colunas Posterior 1…N. Edite as colunas e o texto se atualiza.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Quanto andar a partir do ativo de referência, seguindo a rede, até o fim deste vão.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Vãos depois deste ativo, em qualquer bloco. Vazio para chaves 88, que não são ativo de referência.</t>
        </r>
      </text>
    </comment>
  </commentList>
</comments>
</file>

<file path=xl/sharedStrings.xml><?xml version="1.0" encoding="utf-8"?>
<sst xmlns="http://schemas.openxmlformats.org/spreadsheetml/2006/main" count="7124" uniqueCount="1249">
  <si>
    <t xml:space="preserve">Zonas, ramais e blocos — AL01048007</t>
  </si>
  <si>
    <t xml:space="preserve">Zona</t>
  </si>
  <si>
    <t xml:space="preserve">T1 do DJ ao 1º religador (79). Depois de qualquer religador é T2, inclusive religador em ramal: religador nunca cria T3. Depois de uma chave fusível (03) é no mínimo T3; se já estava em T3 ou mais, soma uma.</t>
  </si>
  <si>
    <t xml:space="preserve">Seccionamento</t>
  </si>
  <si>
    <t xml:space="preserve">Chave 03/33/02 com religador depois dela não conta como fusível: não muda a zona e aparece em "Outras chaves no bloco (88…)" como "Chave 03 de seccionamento".</t>
  </si>
  <si>
    <t xml:space="preserve">Tronco</t>
  </si>
  <si>
    <t xml:space="preserve">Caminho DJ → 1º religador → 2º religador e, depois do 2º, até os próximos ativos (religador ou fusível): o trecho entre dois ativos do tronco ainda é tronco. Pontas sem equipamento são ramal. Nunca tem T3. O resto é ramal, com o nome do poste onde sai do tronco.</t>
  </si>
  <si>
    <t xml:space="preserve">Ativo de referência</t>
  </si>
  <si>
    <t xml:space="preserve">Último DJ, 79 ou 03 antes do vão, vindo do DJ. Ele engloba o vão e tudo o que vem depois.</t>
  </si>
  <si>
    <t xml:space="preserve">Ativos posteriores englobados</t>
  </si>
  <si>
    <t xml:space="preserve">Os DJ/79/03 que ficam depois do vão ou do bloco. Se o ativo de referência abrir, todos ficam sem energia.</t>
  </si>
  <si>
    <t xml:space="preserve">Bloco</t>
  </si>
  <si>
    <t xml:space="preserve">Vãos com o mesmo ativo de referência e o mesmo ramal (de um ativo até o próximo). Chaves 88 e outras que não são DJ/79/fusível não dividem bloco: aparecem na coluna "Outras chaves no bloco (88…)". Chaves 02 e 33 contam como fusível.</t>
  </si>
  <si>
    <t xml:space="preserve">Nível 1…N</t>
  </si>
  <si>
    <t xml:space="preserve">Sequência de ativos desde o DJ até o ativo de referência. Filtrar um nível mostra tudo o que fica depois daquele ativo.</t>
  </si>
  <si>
    <t xml:space="preserve">Distâncias</t>
  </si>
  <si>
    <t xml:space="preserve">Calculadas a partir das coordenadas (haversine, raio 6.371 km), seguindo a rede.</t>
  </si>
  <si>
    <t xml:space="preserve">Abas</t>
  </si>
  <si>
    <t xml:space="preserve">Árvore de blocos: visão rápida da sequência, agrupada por tronco e ramal. Consulta: digite um poste e veja onde ele está. Blocos: um bloco por linha, com os ativos posteriores um por coluna e juntos numa coluna só. Por bloco: os vãos agrupados embaixo de cada bloco (botão + à esquerda). Trechos: um vão por linha. Ativos: resumo por ativo.</t>
  </si>
  <si>
    <t xml:space="preserve">Aviso</t>
  </si>
  <si>
    <t xml:space="preserve">Alimentador sem 2º religador: o tronco seguiu o lado com mais rede T1/T2 e parou antes de chave 03.</t>
  </si>
  <si>
    <t xml:space="preserve">Cores das zonas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</si>
  <si>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</si>
  <si>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</si>
  <si>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</si>
  <si>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</si>
  <si>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</si>
  <si>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Árvore de blocos — AL01048007</t>
  </si>
  <si>
    <t xml:space="preserve">Cada linha é um bloco. A célula colorida é o ativo de referência do bloco (cor da zona). As células em cinza à esquerda são os ativos antes dele, desde o DJ.</t>
  </si>
  <si>
    <t xml:space="preserve">Zonas:</t>
  </si>
  <si>
    <t xml:space="preserve">Nível 1</t>
  </si>
  <si>
    <t xml:space="preserve">Nível 2</t>
  </si>
  <si>
    <t xml:space="preserve">Nível 3</t>
  </si>
  <si>
    <t xml:space="preserve">Nível 4</t>
  </si>
  <si>
    <t xml:space="preserve">Nível 5</t>
  </si>
  <si>
    <t xml:space="preserve">De</t>
  </si>
  <si>
    <t xml:space="preserve">Até (próximos ativos)</t>
  </si>
  <si>
    <t xml:space="preserve">Vãos</t>
  </si>
  <si>
    <t xml:space="preserve">Extensão (m)</t>
  </si>
  <si>
    <t xml:space="preserve">Outras chaves no bloco (88…)</t>
  </si>
  <si>
    <t xml:space="preserve">Ativos englobados (depois do bloco)</t>
  </si>
  <si>
    <t xml:space="preserve">TRONCO — do DJ ao 2º religador e até os próximos ativos</t>
  </si>
  <si>
    <t xml:space="preserve">DJ AL01048007</t>
  </si>
  <si>
    <t xml:space="preserve">7925573007</t>
  </si>
  <si>
    <t xml:space="preserve">8800042007, 8808674007, 8800054007</t>
  </si>
  <si>
    <t xml:space="preserve">fim N228</t>
  </si>
  <si>
    <t xml:space="preserve">8800075007</t>
  </si>
  <si>
    <t xml:space="preserve">RAMAL 1478970 — sai do tronco no poste 1478970</t>
  </si>
  <si>
    <t xml:space="preserve">0300043007</t>
  </si>
  <si>
    <t xml:space="preserve">—</t>
  </si>
  <si>
    <t xml:space="preserve">0301038007 / fim 69120630 / 0301117007 / fim 299845 / 0301273007</t>
  </si>
  <si>
    <t xml:space="preserve">386243</t>
  </si>
  <si>
    <t xml:space="preserve">0301038007</t>
  </si>
  <si>
    <t xml:space="preserve">0301039007</t>
  </si>
  <si>
    <t xml:space="preserve">fim 289786</t>
  </si>
  <si>
    <t xml:space="preserve">0301117007</t>
  </si>
  <si>
    <t xml:space="preserve">0201291007 / 0302253007 / fim 1078155</t>
  </si>
  <si>
    <t xml:space="preserve">0201291007</t>
  </si>
  <si>
    <t xml:space="preserve">fim 315977</t>
  </si>
  <si>
    <t xml:space="preserve">0302253007</t>
  </si>
  <si>
    <t xml:space="preserve">fim 1088763 / fim 1088774 / fim 1089030 / fim 1088769 / fim N118 / fim 1088761 / fim N120 / fim 1089031</t>
  </si>
  <si>
    <t xml:space="preserve">0301273007</t>
  </si>
  <si>
    <t xml:space="preserve">fim 309513</t>
  </si>
  <si>
    <t xml:space="preserve">RAMAL DO 0200475007 — sai do tronco no poste 0200475007</t>
  </si>
  <si>
    <t xml:space="preserve">poste N8</t>
  </si>
  <si>
    <t xml:space="preserve">fim 144443 / fim 202873 / fim 202872 / 0200475007 / fim 145175 / fim 145089 / 0200047007 / fim 144450</t>
  </si>
  <si>
    <t xml:space="preserve">0200475007</t>
  </si>
  <si>
    <t xml:space="preserve">fim N150</t>
  </si>
  <si>
    <t xml:space="preserve">0200047007</t>
  </si>
  <si>
    <t xml:space="preserve">fim 144448</t>
  </si>
  <si>
    <t xml:space="preserve">RAMAL DO 0300050007 — sai do tronco no poste 0300050007</t>
  </si>
  <si>
    <t xml:space="preserve">poste N13</t>
  </si>
  <si>
    <t xml:space="preserve">fim 145198 / 0300050007</t>
  </si>
  <si>
    <t xml:space="preserve">0300050007</t>
  </si>
  <si>
    <t xml:space="preserve">fim 145186</t>
  </si>
  <si>
    <t xml:space="preserve">RAMAL N21 — sai do tronco no poste N21</t>
  </si>
  <si>
    <t xml:space="preserve">poste N21</t>
  </si>
  <si>
    <t xml:space="preserve">fim 145152 / fim 144498</t>
  </si>
  <si>
    <t xml:space="preserve">RAMAL 145158 — sai do tronco no poste 145158</t>
  </si>
  <si>
    <t xml:space="preserve">poste 145158</t>
  </si>
  <si>
    <t xml:space="preserve">0200055007</t>
  </si>
  <si>
    <t xml:space="preserve">fim N136</t>
  </si>
  <si>
    <t xml:space="preserve">RAMAL DO 0300057007 — sai do tronco no poste 0300057007</t>
  </si>
  <si>
    <t xml:space="preserve">poste N32</t>
  </si>
  <si>
    <t xml:space="preserve">0300057007 / 0300056007</t>
  </si>
  <si>
    <t xml:space="preserve">0300057007</t>
  </si>
  <si>
    <t xml:space="preserve">fim 40943446 / 0357094007</t>
  </si>
  <si>
    <t xml:space="preserve">0357094007</t>
  </si>
  <si>
    <t xml:space="preserve">fim N46</t>
  </si>
  <si>
    <t xml:space="preserve">0300056007</t>
  </si>
  <si>
    <t xml:space="preserve">fim 145054</t>
  </si>
  <si>
    <t xml:space="preserve">RAMAL 145048 — sai do tronco no poste 145048</t>
  </si>
  <si>
    <t xml:space="preserve">poste 145048</t>
  </si>
  <si>
    <t xml:space="preserve">0200061007</t>
  </si>
  <si>
    <t xml:space="preserve">fim N139</t>
  </si>
  <si>
    <t xml:space="preserve">RAMAL 145047 — sai do tronco no poste 145047</t>
  </si>
  <si>
    <t xml:space="preserve">poste 145047</t>
  </si>
  <si>
    <t xml:space="preserve">0300062007</t>
  </si>
  <si>
    <t xml:space="preserve">fim N50 / fim N48</t>
  </si>
  <si>
    <t xml:space="preserve">RAMAL DO 0300065007 — sai do tronco no poste 0300065007</t>
  </si>
  <si>
    <t xml:space="preserve">poste N53</t>
  </si>
  <si>
    <t xml:space="preserve">0300065007 / fim 145080</t>
  </si>
  <si>
    <t xml:space="preserve">0300065007</t>
  </si>
  <si>
    <t xml:space="preserve">fim 145113</t>
  </si>
  <si>
    <t xml:space="preserve">RAMAL N59 — sai do tronco no poste N59</t>
  </si>
  <si>
    <t xml:space="preserve">poste N59</t>
  </si>
  <si>
    <t xml:space="preserve">fim N61</t>
  </si>
  <si>
    <t xml:space="preserve">RAMAL N152 — sai do tronco no poste N152</t>
  </si>
  <si>
    <t xml:space="preserve">poste N152</t>
  </si>
  <si>
    <t xml:space="preserve">fim N153</t>
  </si>
  <si>
    <t xml:space="preserve">RAMAL 144482 — sai do tronco no poste 144482</t>
  </si>
  <si>
    <t xml:space="preserve">poste 144482</t>
  </si>
  <si>
    <t xml:space="preserve">0300068007</t>
  </si>
  <si>
    <t xml:space="preserve">fim N202 / 0300070007 / 0300073007 / fim 144475 / fim N176 / fim 145185 / fim 145183</t>
  </si>
  <si>
    <t xml:space="preserve">0300070007</t>
  </si>
  <si>
    <t xml:space="preserve">fim 145209</t>
  </si>
  <si>
    <t xml:space="preserve">0300073007</t>
  </si>
  <si>
    <t xml:space="preserve">0300074007</t>
  </si>
  <si>
    <t xml:space="preserve">fim 38877902</t>
  </si>
  <si>
    <t xml:space="preserve">RAMAL DO 0300111007 — sai do tronco no poste 0300111007</t>
  </si>
  <si>
    <t xml:space="preserve">poste N155</t>
  </si>
  <si>
    <t xml:space="preserve">fim 145475 / 0300111007 / fim 145034 / 0300109007</t>
  </si>
  <si>
    <t xml:space="preserve">0300111007</t>
  </si>
  <si>
    <t xml:space="preserve">fim 346374 / 0300115007 / fim 145540 / 0300145007 / fim 373501 / fim N233 / fim 346375 / fim 373500 / fim 346371 / 0200114007 / fim N205 / 0301201007</t>
  </si>
  <si>
    <t xml:space="preserve">0300115007</t>
  </si>
  <si>
    <t xml:space="preserve">fim 28903358 / fim 28903363 / fim 28903259 / fim 28903253</t>
  </si>
  <si>
    <t xml:space="preserve">8856371007</t>
  </si>
  <si>
    <t xml:space="preserve">0300145007</t>
  </si>
  <si>
    <t xml:space="preserve">fim 1444580 / fim 1444577 / fim 145110 / fim N244</t>
  </si>
  <si>
    <t xml:space="preserve">0200114007</t>
  </si>
  <si>
    <t xml:space="preserve">fim N270</t>
  </si>
  <si>
    <t xml:space="preserve">0301201007</t>
  </si>
  <si>
    <t xml:space="preserve">fim 145203</t>
  </si>
  <si>
    <t xml:space="preserve">0300109007</t>
  </si>
  <si>
    <t xml:space="preserve">fim 145036</t>
  </si>
  <si>
    <t xml:space="preserve">RAMAL 145510 — sai do tronco no poste 145510</t>
  </si>
  <si>
    <t xml:space="preserve">poste 145510</t>
  </si>
  <si>
    <t xml:space="preserve">0200038007</t>
  </si>
  <si>
    <t xml:space="preserve">fim 145532</t>
  </si>
  <si>
    <t xml:space="preserve">RAMAL N197 — sai do tronco no poste N197</t>
  </si>
  <si>
    <t xml:space="preserve">poste N197</t>
  </si>
  <si>
    <t xml:space="preserve">fim 321325 / fim 1068338</t>
  </si>
  <si>
    <t xml:space="preserve">RAMAL 145501 — sai do tronco no poste 145501</t>
  </si>
  <si>
    <t xml:space="preserve">poste 145501</t>
  </si>
  <si>
    <t xml:space="preserve">0300040007</t>
  </si>
  <si>
    <t xml:space="preserve">fim N221</t>
  </si>
  <si>
    <t xml:space="preserve">RAMAL N227 — sai do tronco no poste N227</t>
  </si>
  <si>
    <t xml:space="preserve">poste N227</t>
  </si>
  <si>
    <t xml:space="preserve">fim 145500</t>
  </si>
  <si>
    <t xml:space="preserve">Onde fica este poste?</t>
  </si>
  <si>
    <t xml:space="preserve">Digite o código do poste na célula amarela (o poste no fim do vão). A planilha mostra o vão e a sequência desde o DJ.</t>
  </si>
  <si>
    <t xml:space="preserve">Poste</t>
  </si>
  <si>
    <t xml:space="preserve">145500</t>
  </si>
  <si>
    <t xml:space="preserve">← exemplo</t>
  </si>
  <si>
    <t xml:space="preserve">Trecho (vão)</t>
  </si>
  <si>
    <t xml:space="preserve">Poste início</t>
  </si>
  <si>
    <t xml:space="preserve">Tronco/Ramal</t>
  </si>
  <si>
    <t xml:space="preserve">Ramal</t>
  </si>
  <si>
    <t xml:space="preserve">Distância do ativo de referência (m)</t>
  </si>
  <si>
    <t xml:space="preserve">Distância do DJ (m)</t>
  </si>
  <si>
    <t xml:space="preserve">Outra chave no fim do vão (88…)</t>
  </si>
  <si>
    <t xml:space="preserve">Caminho desde o DJ</t>
  </si>
  <si>
    <t xml:space="preserve">Latitude</t>
  </si>
  <si>
    <t xml:space="preserve">Longitude</t>
  </si>
  <si>
    <t xml:space="preserve">Próximo ativo 1</t>
  </si>
  <si>
    <t xml:space="preserve">Próximo ativo 2</t>
  </si>
  <si>
    <t xml:space="preserve">Próximo ativo 3</t>
  </si>
  <si>
    <t xml:space="preserve">Próximo ativo 4</t>
  </si>
  <si>
    <t xml:space="preserve">Próximo ativo 5</t>
  </si>
  <si>
    <t xml:space="preserve">Próximo ativo 6</t>
  </si>
  <si>
    <t xml:space="preserve">Próximo ativo 7</t>
  </si>
  <si>
    <t xml:space="preserve">Próximo ativo 8</t>
  </si>
  <si>
    <t xml:space="preserve">Próximo ativo 9</t>
  </si>
  <si>
    <t xml:space="preserve">Próximo ativo 10</t>
  </si>
  <si>
    <t xml:space="preserve">Próximo ativo 11</t>
  </si>
  <si>
    <t xml:space="preserve">Próximo ativo 12</t>
  </si>
  <si>
    <t xml:space="preserve">Qtd. vãos</t>
  </si>
  <si>
    <t xml:space="preserve">Extensão do bloco (m)</t>
  </si>
  <si>
    <t xml:space="preserve">Qtd. ativos posteriores</t>
  </si>
  <si>
    <t xml:space="preserve">Ativos posteriores (concatenado)</t>
  </si>
  <si>
    <t xml:space="preserve">Posterior 1</t>
  </si>
  <si>
    <t xml:space="preserve">Posterior 2</t>
  </si>
  <si>
    <t xml:space="preserve">Posterior 3</t>
  </si>
  <si>
    <t xml:space="preserve">Posterior 4</t>
  </si>
  <si>
    <t xml:space="preserve">Posterior 5</t>
  </si>
  <si>
    <t xml:space="preserve">Posterior 6</t>
  </si>
  <si>
    <t xml:space="preserve">Posterior 7</t>
  </si>
  <si>
    <t xml:space="preserve">Posterior 8</t>
  </si>
  <si>
    <t xml:space="preserve">Posterior 9</t>
  </si>
  <si>
    <t xml:space="preserve">Posterior 10</t>
  </si>
  <si>
    <t xml:space="preserve">Posterior 11</t>
  </si>
  <si>
    <t xml:space="preserve">Posterior 12</t>
  </si>
  <si>
    <t xml:space="preserve">Posterior 13</t>
  </si>
  <si>
    <t xml:space="preserve">Posterior 14</t>
  </si>
  <si>
    <t xml:space="preserve">Posterior 15</t>
  </si>
  <si>
    <t xml:space="preserve">Posterior 16</t>
  </si>
  <si>
    <t xml:space="preserve">Posterior 17</t>
  </si>
  <si>
    <t xml:space="preserve">Posterior 18</t>
  </si>
  <si>
    <t xml:space="preserve">Posterior 19</t>
  </si>
  <si>
    <t xml:space="preserve">Posterior 20</t>
  </si>
  <si>
    <t xml:space="preserve">Posterior 21</t>
  </si>
  <si>
    <t xml:space="preserve">Posterior 22</t>
  </si>
  <si>
    <t xml:space="preserve">Posterior 23</t>
  </si>
  <si>
    <t xml:space="preserve">Ramal 1478970</t>
  </si>
  <si>
    <t xml:space="preserve">fim 69120630</t>
  </si>
  <si>
    <t xml:space="preserve">fim 299845</t>
  </si>
  <si>
    <t xml:space="preserve">fim 1078155</t>
  </si>
  <si>
    <t xml:space="preserve">fim 1088763</t>
  </si>
  <si>
    <t xml:space="preserve">fim 1088774</t>
  </si>
  <si>
    <t xml:space="preserve">fim 1089030</t>
  </si>
  <si>
    <t xml:space="preserve">fim 1088769</t>
  </si>
  <si>
    <t xml:space="preserve">fim N118</t>
  </si>
  <si>
    <t xml:space="preserve">fim 1088761</t>
  </si>
  <si>
    <t xml:space="preserve">fim N120</t>
  </si>
  <si>
    <t xml:space="preserve">fim 1089031</t>
  </si>
  <si>
    <t xml:space="preserve">Ramal do 0200475007</t>
  </si>
  <si>
    <t xml:space="preserve">fim 144443</t>
  </si>
  <si>
    <t xml:space="preserve">fim 202873</t>
  </si>
  <si>
    <t xml:space="preserve">fim 202872</t>
  </si>
  <si>
    <t xml:space="preserve">fim 145175</t>
  </si>
  <si>
    <t xml:space="preserve">fim 145089</t>
  </si>
  <si>
    <t xml:space="preserve">fim 144450</t>
  </si>
  <si>
    <t xml:space="preserve">Ramal do 0300050007</t>
  </si>
  <si>
    <t xml:space="preserve">fim 145198</t>
  </si>
  <si>
    <t xml:space="preserve">Ramal N21</t>
  </si>
  <si>
    <t xml:space="preserve">fim 145152</t>
  </si>
  <si>
    <t xml:space="preserve">fim 144498</t>
  </si>
  <si>
    <t xml:space="preserve">Ramal 145158</t>
  </si>
  <si>
    <t xml:space="preserve">Ramal do 0300057007</t>
  </si>
  <si>
    <t xml:space="preserve">fim 40943446</t>
  </si>
  <si>
    <t xml:space="preserve">Ramal 145048</t>
  </si>
  <si>
    <t xml:space="preserve">Ramal 145047</t>
  </si>
  <si>
    <t xml:space="preserve">fim N50</t>
  </si>
  <si>
    <t xml:space="preserve">fim N48</t>
  </si>
  <si>
    <t xml:space="preserve">Ramal do 0300065007</t>
  </si>
  <si>
    <t xml:space="preserve">fim 145080</t>
  </si>
  <si>
    <t xml:space="preserve">Ramal N59</t>
  </si>
  <si>
    <t xml:space="preserve">Ramal N152</t>
  </si>
  <si>
    <t xml:space="preserve">Ramal 144482</t>
  </si>
  <si>
    <t xml:space="preserve">fim N202</t>
  </si>
  <si>
    <t xml:space="preserve">fim 144475</t>
  </si>
  <si>
    <t xml:space="preserve">fim N176</t>
  </si>
  <si>
    <t xml:space="preserve">fim 145185</t>
  </si>
  <si>
    <t xml:space="preserve">fim 145183</t>
  </si>
  <si>
    <t xml:space="preserve">Ramal do 0300111007</t>
  </si>
  <si>
    <t xml:space="preserve">fim 145475</t>
  </si>
  <si>
    <t xml:space="preserve">fim 145034</t>
  </si>
  <si>
    <t xml:space="preserve">fim 346374</t>
  </si>
  <si>
    <t xml:space="preserve">fim 145540</t>
  </si>
  <si>
    <t xml:space="preserve">fim 373501</t>
  </si>
  <si>
    <t xml:space="preserve">fim N233</t>
  </si>
  <si>
    <t xml:space="preserve">fim 346375</t>
  </si>
  <si>
    <t xml:space="preserve">fim 373500</t>
  </si>
  <si>
    <t xml:space="preserve">fim 346371</t>
  </si>
  <si>
    <t xml:space="preserve">fim N205</t>
  </si>
  <si>
    <t xml:space="preserve">fim 28903358</t>
  </si>
  <si>
    <t xml:space="preserve">fim 28903363</t>
  </si>
  <si>
    <t xml:space="preserve">fim 28903259</t>
  </si>
  <si>
    <t xml:space="preserve">fim 28903253</t>
  </si>
  <si>
    <t xml:space="preserve">fim 1444580</t>
  </si>
  <si>
    <t xml:space="preserve">fim 1444577</t>
  </si>
  <si>
    <t xml:space="preserve">fim 145110</t>
  </si>
  <si>
    <t xml:space="preserve">fim N244</t>
  </si>
  <si>
    <t xml:space="preserve">Ramal 145510</t>
  </si>
  <si>
    <t xml:space="preserve">Ramal N197</t>
  </si>
  <si>
    <t xml:space="preserve">fim 321325</t>
  </si>
  <si>
    <t xml:space="preserve">fim 1068338</t>
  </si>
  <si>
    <t xml:space="preserve">Ramal 145501</t>
  </si>
  <si>
    <t xml:space="preserve">Ramal N227</t>
  </si>
  <si>
    <t xml:space="preserve">TOTAL</t>
  </si>
  <si>
    <t xml:space="preserve">Trecho</t>
  </si>
  <si>
    <t xml:space="preserve">Poste fim</t>
  </si>
  <si>
    <t xml:space="preserve">Distância do ativo de referência até o fim (m)</t>
  </si>
  <si>
    <t xml:space="preserve">Próximos ativos</t>
  </si>
  <si>
    <t xml:space="preserve">Ativos posteriores</t>
  </si>
  <si>
    <t xml:space="preserve">TR-001</t>
  </si>
  <si>
    <t xml:space="preserve">1478970</t>
  </si>
  <si>
    <t xml:space="preserve">N3</t>
  </si>
  <si>
    <t xml:space="preserve">TR-002</t>
  </si>
  <si>
    <t xml:space="preserve">N4</t>
  </si>
  <si>
    <t xml:space="preserve">8800042007</t>
  </si>
  <si>
    <t xml:space="preserve">TR-003</t>
  </si>
  <si>
    <t xml:space="preserve">N6</t>
  </si>
  <si>
    <t xml:space="preserve">TR-004</t>
  </si>
  <si>
    <t xml:space="preserve">145119</t>
  </si>
  <si>
    <t xml:space="preserve">8808674007</t>
  </si>
  <si>
    <t xml:space="preserve">TR-005</t>
  </si>
  <si>
    <t xml:space="preserve">N8</t>
  </si>
  <si>
    <t xml:space="preserve">TR-006</t>
  </si>
  <si>
    <t xml:space="preserve">N13</t>
  </si>
  <si>
    <t xml:space="preserve">TR-007</t>
  </si>
  <si>
    <t xml:space="preserve">144496</t>
  </si>
  <si>
    <t xml:space="preserve">TR-008</t>
  </si>
  <si>
    <t xml:space="preserve">N21</t>
  </si>
  <si>
    <t xml:space="preserve">TR-009</t>
  </si>
  <si>
    <t xml:space="preserve">145155</t>
  </si>
  <si>
    <t xml:space="preserve">TR-010</t>
  </si>
  <si>
    <t xml:space="preserve">N28</t>
  </si>
  <si>
    <t xml:space="preserve">8800054007</t>
  </si>
  <si>
    <t xml:space="preserve">TR-011</t>
  </si>
  <si>
    <t xml:space="preserve">145158</t>
  </si>
  <si>
    <t xml:space="preserve">TR-012</t>
  </si>
  <si>
    <t xml:space="preserve">N32</t>
  </si>
  <si>
    <t xml:space="preserve">TR-013</t>
  </si>
  <si>
    <t xml:space="preserve">145048</t>
  </si>
  <si>
    <t xml:space="preserve">TR-014</t>
  </si>
  <si>
    <t xml:space="preserve">145047</t>
  </si>
  <si>
    <t xml:space="preserve">TR-015</t>
  </si>
  <si>
    <t xml:space="preserve">N53</t>
  </si>
  <si>
    <t xml:space="preserve">TR-016</t>
  </si>
  <si>
    <t xml:space="preserve">N59</t>
  </si>
  <si>
    <t xml:space="preserve">TR-017</t>
  </si>
  <si>
    <t xml:space="preserve">N140</t>
  </si>
  <si>
    <t xml:space="preserve">TR-018</t>
  </si>
  <si>
    <t xml:space="preserve">N141</t>
  </si>
  <si>
    <t xml:space="preserve">TR-019</t>
  </si>
  <si>
    <t xml:space="preserve">N142</t>
  </si>
  <si>
    <t xml:space="preserve">TR-020</t>
  </si>
  <si>
    <t xml:space="preserve">N143</t>
  </si>
  <si>
    <t xml:space="preserve">TR-021</t>
  </si>
  <si>
    <t xml:space="preserve">1251159</t>
  </si>
  <si>
    <t xml:space="preserve">TR-022</t>
  </si>
  <si>
    <t xml:space="preserve">N152</t>
  </si>
  <si>
    <t xml:space="preserve">TR-023</t>
  </si>
  <si>
    <t xml:space="preserve">144482</t>
  </si>
  <si>
    <t xml:space="preserve">TR-024</t>
  </si>
  <si>
    <t xml:space="preserve">N155</t>
  </si>
  <si>
    <t xml:space="preserve">TR-025</t>
  </si>
  <si>
    <t xml:space="preserve">145523</t>
  </si>
  <si>
    <t xml:space="preserve">TR-026</t>
  </si>
  <si>
    <t xml:space="preserve">47444546</t>
  </si>
  <si>
    <t xml:space="preserve">TR-027</t>
  </si>
  <si>
    <t xml:space="preserve">145527</t>
  </si>
  <si>
    <t xml:space="preserve">TR-028</t>
  </si>
  <si>
    <t xml:space="preserve">N172</t>
  </si>
  <si>
    <t xml:space="preserve">TR-029</t>
  </si>
  <si>
    <t xml:space="preserve">145531</t>
  </si>
  <si>
    <t xml:space="preserve">TR-030</t>
  </si>
  <si>
    <t xml:space="preserve">145510</t>
  </si>
  <si>
    <t xml:space="preserve">TR-031</t>
  </si>
  <si>
    <t xml:space="preserve">N197</t>
  </si>
  <si>
    <t xml:space="preserve">TR-032</t>
  </si>
  <si>
    <t xml:space="preserve">N213</t>
  </si>
  <si>
    <t xml:space="preserve">TR-033</t>
  </si>
  <si>
    <t xml:space="preserve">145502</t>
  </si>
  <si>
    <t xml:space="preserve">TR-034</t>
  </si>
  <si>
    <t xml:space="preserve">145501</t>
  </si>
  <si>
    <t xml:space="preserve">TR-035</t>
  </si>
  <si>
    <t xml:space="preserve">N227</t>
  </si>
  <si>
    <t xml:space="preserve">TR-036</t>
  </si>
  <si>
    <t xml:space="preserve">N228</t>
  </si>
  <si>
    <t xml:space="preserve">TR-037</t>
  </si>
  <si>
    <t xml:space="preserve">145116</t>
  </si>
  <si>
    <t xml:space="preserve">TR-038</t>
  </si>
  <si>
    <t xml:space="preserve">N2</t>
  </si>
  <si>
    <t xml:space="preserve">TR-039</t>
  </si>
  <si>
    <t xml:space="preserve">1363488</t>
  </si>
  <si>
    <t xml:space="preserve">TR-040</t>
  </si>
  <si>
    <t xml:space="preserve">309512</t>
  </si>
  <si>
    <t xml:space="preserve">TR-041</t>
  </si>
  <si>
    <t xml:space="preserve">272819</t>
  </si>
  <si>
    <t xml:space="preserve">TR-042</t>
  </si>
  <si>
    <t xml:space="preserve">N27</t>
  </si>
  <si>
    <t xml:space="preserve">TR-043</t>
  </si>
  <si>
    <t xml:space="preserve">289787</t>
  </si>
  <si>
    <t xml:space="preserve">TR-044</t>
  </si>
  <si>
    <t xml:space="preserve">N30</t>
  </si>
  <si>
    <t xml:space="preserve">TR-045</t>
  </si>
  <si>
    <t xml:space="preserve">N58</t>
  </si>
  <si>
    <t xml:space="preserve">TR-046</t>
  </si>
  <si>
    <t xml:space="preserve">N62</t>
  </si>
  <si>
    <t xml:space="preserve">TR-047</t>
  </si>
  <si>
    <t xml:space="preserve">299844</t>
  </si>
  <si>
    <t xml:space="preserve">TR-048</t>
  </si>
  <si>
    <t xml:space="preserve">N65</t>
  </si>
  <si>
    <t xml:space="preserve">TR-049</t>
  </si>
  <si>
    <t xml:space="preserve">69120630</t>
  </si>
  <si>
    <t xml:space="preserve">TR-050</t>
  </si>
  <si>
    <t xml:space="preserve">1453811</t>
  </si>
  <si>
    <t xml:space="preserve">TR-051</t>
  </si>
  <si>
    <t xml:space="preserve">N67</t>
  </si>
  <si>
    <t xml:space="preserve">TR-052</t>
  </si>
  <si>
    <t xml:space="preserve">299845</t>
  </si>
  <si>
    <t xml:space="preserve">TR-053</t>
  </si>
  <si>
    <t xml:space="preserve">N12</t>
  </si>
  <si>
    <t xml:space="preserve">TR-054</t>
  </si>
  <si>
    <t xml:space="preserve">289789</t>
  </si>
  <si>
    <t xml:space="preserve">TR-055</t>
  </si>
  <si>
    <t xml:space="preserve">N39</t>
  </si>
  <si>
    <t xml:space="preserve">TR-056</t>
  </si>
  <si>
    <t xml:space="preserve">289786</t>
  </si>
  <si>
    <t xml:space="preserve">TR-057</t>
  </si>
  <si>
    <t xml:space="preserve">N68</t>
  </si>
  <si>
    <t xml:space="preserve">TR-058</t>
  </si>
  <si>
    <t xml:space="preserve">299852</t>
  </si>
  <si>
    <t xml:space="preserve">TR-059</t>
  </si>
  <si>
    <t xml:space="preserve">299856</t>
  </si>
  <si>
    <t xml:space="preserve">TR-060</t>
  </si>
  <si>
    <t xml:space="preserve">N71</t>
  </si>
  <si>
    <t xml:space="preserve">TR-061</t>
  </si>
  <si>
    <t xml:space="preserve">299857</t>
  </si>
  <si>
    <t xml:space="preserve">TR-062</t>
  </si>
  <si>
    <t xml:space="preserve">N73</t>
  </si>
  <si>
    <t xml:space="preserve">TR-063</t>
  </si>
  <si>
    <t xml:space="preserve">315972</t>
  </si>
  <si>
    <t xml:space="preserve">TR-064</t>
  </si>
  <si>
    <t xml:space="preserve">1078142</t>
  </si>
  <si>
    <t xml:space="preserve">TR-065</t>
  </si>
  <si>
    <t xml:space="preserve">N79</t>
  </si>
  <si>
    <t xml:space="preserve">TR-066</t>
  </si>
  <si>
    <t xml:space="preserve">315971</t>
  </si>
  <si>
    <t xml:space="preserve">TR-067</t>
  </si>
  <si>
    <t xml:space="preserve">N81</t>
  </si>
  <si>
    <t xml:space="preserve">TR-068</t>
  </si>
  <si>
    <t xml:space="preserve">N82</t>
  </si>
  <si>
    <t xml:space="preserve">TR-069</t>
  </si>
  <si>
    <t xml:space="preserve">315968</t>
  </si>
  <si>
    <t xml:space="preserve">TR-070</t>
  </si>
  <si>
    <t xml:space="preserve">N84</t>
  </si>
  <si>
    <t xml:space="preserve">TR-071</t>
  </si>
  <si>
    <t xml:space="preserve">315966</t>
  </si>
  <si>
    <t xml:space="preserve">TR-072</t>
  </si>
  <si>
    <t xml:space="preserve">N86</t>
  </si>
  <si>
    <t xml:space="preserve">TR-073</t>
  </si>
  <si>
    <t xml:space="preserve">N91</t>
  </si>
  <si>
    <t xml:space="preserve">TR-074</t>
  </si>
  <si>
    <t xml:space="preserve">315965</t>
  </si>
  <si>
    <t xml:space="preserve">TR-075</t>
  </si>
  <si>
    <t xml:space="preserve">N94</t>
  </si>
  <si>
    <t xml:space="preserve">TR-076</t>
  </si>
  <si>
    <t xml:space="preserve">315964</t>
  </si>
  <si>
    <t xml:space="preserve">TR-077</t>
  </si>
  <si>
    <t xml:space="preserve">315974</t>
  </si>
  <si>
    <t xml:space="preserve">TR-078</t>
  </si>
  <si>
    <t xml:space="preserve">N99</t>
  </si>
  <si>
    <t xml:space="preserve">TR-079</t>
  </si>
  <si>
    <t xml:space="preserve">N100</t>
  </si>
  <si>
    <t xml:space="preserve">TR-080</t>
  </si>
  <si>
    <t xml:space="preserve">315975</t>
  </si>
  <si>
    <t xml:space="preserve">TR-081</t>
  </si>
  <si>
    <t xml:space="preserve">N104</t>
  </si>
  <si>
    <t xml:space="preserve">TR-082</t>
  </si>
  <si>
    <t xml:space="preserve">315976</t>
  </si>
  <si>
    <t xml:space="preserve">TR-083</t>
  </si>
  <si>
    <t xml:space="preserve">315978</t>
  </si>
  <si>
    <t xml:space="preserve">TR-084</t>
  </si>
  <si>
    <t xml:space="preserve">N103</t>
  </si>
  <si>
    <t xml:space="preserve">TR-085</t>
  </si>
  <si>
    <t xml:space="preserve">N76</t>
  </si>
  <si>
    <t xml:space="preserve">TR-086</t>
  </si>
  <si>
    <t xml:space="preserve">N77</t>
  </si>
  <si>
    <t xml:space="preserve">TR-087</t>
  </si>
  <si>
    <t xml:space="preserve">1078141</t>
  </si>
  <si>
    <t xml:space="preserve">TR-088</t>
  </si>
  <si>
    <t xml:space="preserve">1078146</t>
  </si>
  <si>
    <t xml:space="preserve">TR-089</t>
  </si>
  <si>
    <t xml:space="preserve">N88</t>
  </si>
  <si>
    <t xml:space="preserve">TR-090</t>
  </si>
  <si>
    <t xml:space="preserve">N89</t>
  </si>
  <si>
    <t xml:space="preserve">TR-091</t>
  </si>
  <si>
    <t xml:space="preserve">1078150</t>
  </si>
  <si>
    <t xml:space="preserve">TR-092</t>
  </si>
  <si>
    <t xml:space="preserve">1078154</t>
  </si>
  <si>
    <t xml:space="preserve">TR-093</t>
  </si>
  <si>
    <t xml:space="preserve">1078155</t>
  </si>
  <si>
    <t xml:space="preserve">TR-094</t>
  </si>
  <si>
    <t xml:space="preserve">315977</t>
  </si>
  <si>
    <t xml:space="preserve">TR-095</t>
  </si>
  <si>
    <t xml:space="preserve">N105</t>
  </si>
  <si>
    <t xml:space="preserve">TR-096</t>
  </si>
  <si>
    <t xml:space="preserve">1088763</t>
  </si>
  <si>
    <t xml:space="preserve">TR-097</t>
  </si>
  <si>
    <t xml:space="preserve">1088774</t>
  </si>
  <si>
    <t xml:space="preserve">TR-098</t>
  </si>
  <si>
    <t xml:space="preserve">N108</t>
  </si>
  <si>
    <t xml:space="preserve">TR-099</t>
  </si>
  <si>
    <t xml:space="preserve">1088764</t>
  </si>
  <si>
    <t xml:space="preserve">TR-100</t>
  </si>
  <si>
    <t xml:space="preserve">1089030</t>
  </si>
  <si>
    <t xml:space="preserve">TR-101</t>
  </si>
  <si>
    <t xml:space="preserve">1088769</t>
  </si>
  <si>
    <t xml:space="preserve">TR-102</t>
  </si>
  <si>
    <t xml:space="preserve">1088765</t>
  </si>
  <si>
    <t xml:space="preserve">TR-103</t>
  </si>
  <si>
    <t xml:space="preserve">N113</t>
  </si>
  <si>
    <t xml:space="preserve">TR-104</t>
  </si>
  <si>
    <t xml:space="preserve">1088782</t>
  </si>
  <si>
    <t xml:space="preserve">TR-105</t>
  </si>
  <si>
    <t xml:space="preserve">1088766</t>
  </si>
  <si>
    <t xml:space="preserve">TR-106</t>
  </si>
  <si>
    <t xml:space="preserve">N117</t>
  </si>
  <si>
    <t xml:space="preserve">TR-107</t>
  </si>
  <si>
    <t xml:space="preserve">N118</t>
  </si>
  <si>
    <t xml:space="preserve">TR-108</t>
  </si>
  <si>
    <t xml:space="preserve">1088778</t>
  </si>
  <si>
    <t xml:space="preserve">TR-109</t>
  </si>
  <si>
    <t xml:space="preserve">1088761</t>
  </si>
  <si>
    <t xml:space="preserve">TR-110</t>
  </si>
  <si>
    <t xml:space="preserve">1088785</t>
  </si>
  <si>
    <t xml:space="preserve">TR-111</t>
  </si>
  <si>
    <t xml:space="preserve">N120</t>
  </si>
  <si>
    <t xml:space="preserve">TR-112</t>
  </si>
  <si>
    <t xml:space="preserve">1089031</t>
  </si>
  <si>
    <t xml:space="preserve">TR-113</t>
  </si>
  <si>
    <t xml:space="preserve">309513</t>
  </si>
  <si>
    <t xml:space="preserve">TR-114</t>
  </si>
  <si>
    <t xml:space="preserve">144449</t>
  </si>
  <si>
    <t xml:space="preserve">TR-115</t>
  </si>
  <si>
    <t xml:space="preserve">N123</t>
  </si>
  <si>
    <t xml:space="preserve">TR-116</t>
  </si>
  <si>
    <t xml:space="preserve">144447</t>
  </si>
  <si>
    <t xml:space="preserve">TR-117</t>
  </si>
  <si>
    <t xml:space="preserve">N125</t>
  </si>
  <si>
    <t xml:space="preserve">TR-118</t>
  </si>
  <si>
    <t xml:space="preserve">144443</t>
  </si>
  <si>
    <t xml:space="preserve">TR-119</t>
  </si>
  <si>
    <t xml:space="preserve">145167</t>
  </si>
  <si>
    <t xml:space="preserve">TR-120</t>
  </si>
  <si>
    <t xml:space="preserve">N129</t>
  </si>
  <si>
    <t xml:space="preserve">TR-121</t>
  </si>
  <si>
    <t xml:space="preserve">202873</t>
  </si>
  <si>
    <t xml:space="preserve">TR-122</t>
  </si>
  <si>
    <t xml:space="preserve">202949</t>
  </si>
  <si>
    <t xml:space="preserve">TR-123</t>
  </si>
  <si>
    <t xml:space="preserve">202872</t>
  </si>
  <si>
    <t xml:space="preserve">TR-124</t>
  </si>
  <si>
    <t xml:space="preserve">N148</t>
  </si>
  <si>
    <t xml:space="preserve">TR-125</t>
  </si>
  <si>
    <t xml:space="preserve">145175</t>
  </si>
  <si>
    <t xml:space="preserve">TR-126</t>
  </si>
  <si>
    <t xml:space="preserve">145089</t>
  </si>
  <si>
    <t xml:space="preserve">TR-127</t>
  </si>
  <si>
    <t xml:space="preserve">N146</t>
  </si>
  <si>
    <t xml:space="preserve">TR-128</t>
  </si>
  <si>
    <t xml:space="preserve">144450</t>
  </si>
  <si>
    <t xml:space="preserve">TR-129</t>
  </si>
  <si>
    <t xml:space="preserve">202953</t>
  </si>
  <si>
    <t xml:space="preserve">TR-130</t>
  </si>
  <si>
    <t xml:space="preserve">N150</t>
  </si>
  <si>
    <t xml:space="preserve">TR-131</t>
  </si>
  <si>
    <t xml:space="preserve">144448</t>
  </si>
  <si>
    <t xml:space="preserve">TR-132</t>
  </si>
  <si>
    <t xml:space="preserve">145198</t>
  </si>
  <si>
    <t xml:space="preserve">TR-133</t>
  </si>
  <si>
    <t xml:space="preserve">145197</t>
  </si>
  <si>
    <t xml:space="preserve">TR-134</t>
  </si>
  <si>
    <t xml:space="preserve">N15</t>
  </si>
  <si>
    <t xml:space="preserve">TR-135</t>
  </si>
  <si>
    <t xml:space="preserve">145193</t>
  </si>
  <si>
    <t xml:space="preserve">TR-136</t>
  </si>
  <si>
    <t xml:space="preserve">145187</t>
  </si>
  <si>
    <t xml:space="preserve">TR-137</t>
  </si>
  <si>
    <t xml:space="preserve">145186</t>
  </si>
  <si>
    <t xml:space="preserve">TR-138</t>
  </si>
  <si>
    <t xml:space="preserve">145152</t>
  </si>
  <si>
    <t xml:space="preserve">TR-139</t>
  </si>
  <si>
    <t xml:space="preserve">144498</t>
  </si>
  <si>
    <t xml:space="preserve">TR-140</t>
  </si>
  <si>
    <t xml:space="preserve">N134</t>
  </si>
  <si>
    <t xml:space="preserve">TR-141</t>
  </si>
  <si>
    <t xml:space="preserve">145159</t>
  </si>
  <si>
    <t xml:space="preserve">TR-142</t>
  </si>
  <si>
    <t xml:space="preserve">N136</t>
  </si>
  <si>
    <t xml:space="preserve">TR-143</t>
  </si>
  <si>
    <t xml:space="preserve">145160</t>
  </si>
  <si>
    <t xml:space="preserve">TR-144</t>
  </si>
  <si>
    <t xml:space="preserve">N35</t>
  </si>
  <si>
    <t xml:space="preserve">TR-145</t>
  </si>
  <si>
    <t xml:space="preserve">145053</t>
  </si>
  <si>
    <t xml:space="preserve">TR-146</t>
  </si>
  <si>
    <t xml:space="preserve">N36</t>
  </si>
  <si>
    <t xml:space="preserve">TR-147</t>
  </si>
  <si>
    <t xml:space="preserve">145163</t>
  </si>
  <si>
    <t xml:space="preserve">TR-148</t>
  </si>
  <si>
    <t xml:space="preserve">40943441</t>
  </si>
  <si>
    <t xml:space="preserve">TR-149</t>
  </si>
  <si>
    <t xml:space="preserve">40943446</t>
  </si>
  <si>
    <t xml:space="preserve">TR-150</t>
  </si>
  <si>
    <t xml:space="preserve">N43</t>
  </si>
  <si>
    <t xml:space="preserve">TR-151</t>
  </si>
  <si>
    <t xml:space="preserve">N46</t>
  </si>
  <si>
    <t xml:space="preserve">TR-152</t>
  </si>
  <si>
    <t xml:space="preserve">145054</t>
  </si>
  <si>
    <t xml:space="preserve">TR-153</t>
  </si>
  <si>
    <t xml:space="preserve">N137</t>
  </si>
  <si>
    <t xml:space="preserve">TR-154</t>
  </si>
  <si>
    <t xml:space="preserve">145111</t>
  </si>
  <si>
    <t xml:space="preserve">TR-155</t>
  </si>
  <si>
    <t xml:space="preserve">N139</t>
  </si>
  <si>
    <t xml:space="preserve">TR-156</t>
  </si>
  <si>
    <t xml:space="preserve">N45</t>
  </si>
  <si>
    <t xml:space="preserve">TR-157</t>
  </si>
  <si>
    <t xml:space="preserve">N47</t>
  </si>
  <si>
    <t xml:space="preserve">TR-158</t>
  </si>
  <si>
    <t xml:space="preserve">N49</t>
  </si>
  <si>
    <t xml:space="preserve">TR-159</t>
  </si>
  <si>
    <t xml:space="preserve">N50</t>
  </si>
  <si>
    <t xml:space="preserve">TR-160</t>
  </si>
  <si>
    <t xml:space="preserve">N48</t>
  </si>
  <si>
    <t xml:space="preserve">TR-161</t>
  </si>
  <si>
    <t xml:space="preserve">145084</t>
  </si>
  <si>
    <t xml:space="preserve">TR-162</t>
  </si>
  <si>
    <t xml:space="preserve">N56</t>
  </si>
  <si>
    <t xml:space="preserve">TR-163</t>
  </si>
  <si>
    <t xml:space="preserve">316641</t>
  </si>
  <si>
    <t xml:space="preserve">TR-164</t>
  </si>
  <si>
    <t xml:space="preserve">145080</t>
  </si>
  <si>
    <t xml:space="preserve">TR-165</t>
  </si>
  <si>
    <t xml:space="preserve">145113</t>
  </si>
  <si>
    <t xml:space="preserve">TR-166</t>
  </si>
  <si>
    <t xml:space="preserve">N61</t>
  </si>
  <si>
    <t xml:space="preserve">TR-167</t>
  </si>
  <si>
    <t xml:space="preserve">N153</t>
  </si>
  <si>
    <t xml:space="preserve">TR-168</t>
  </si>
  <si>
    <t xml:space="preserve">144483</t>
  </si>
  <si>
    <t xml:space="preserve">TR-169</t>
  </si>
  <si>
    <t xml:space="preserve">N157</t>
  </si>
  <si>
    <t xml:space="preserve">TR-170</t>
  </si>
  <si>
    <t xml:space="preserve">N160</t>
  </si>
  <si>
    <t xml:space="preserve">TR-171</t>
  </si>
  <si>
    <t xml:space="preserve">N173</t>
  </si>
  <si>
    <t xml:space="preserve">TR-172</t>
  </si>
  <si>
    <t xml:space="preserve">145041</t>
  </si>
  <si>
    <t xml:space="preserve">TR-173</t>
  </si>
  <si>
    <t xml:space="preserve">N182</t>
  </si>
  <si>
    <t xml:space="preserve">TR-174</t>
  </si>
  <si>
    <t xml:space="preserve">N183</t>
  </si>
  <si>
    <t xml:space="preserve">TR-175</t>
  </si>
  <si>
    <t xml:space="preserve">N198</t>
  </si>
  <si>
    <t xml:space="preserve">TR-176</t>
  </si>
  <si>
    <t xml:space="preserve">N202</t>
  </si>
  <si>
    <t xml:space="preserve">TR-177</t>
  </si>
  <si>
    <t xml:space="preserve">35837732</t>
  </si>
  <si>
    <t xml:space="preserve">TR-178</t>
  </si>
  <si>
    <t xml:space="preserve">N181</t>
  </si>
  <si>
    <t xml:space="preserve">TR-179</t>
  </si>
  <si>
    <t xml:space="preserve">N175</t>
  </si>
  <si>
    <t xml:space="preserve">TR-180</t>
  </si>
  <si>
    <t xml:space="preserve">144476</t>
  </si>
  <si>
    <t xml:space="preserve">TR-181</t>
  </si>
  <si>
    <t xml:space="preserve">N179</t>
  </si>
  <si>
    <t xml:space="preserve">TR-182</t>
  </si>
  <si>
    <t xml:space="preserve">144475</t>
  </si>
  <si>
    <t xml:space="preserve">TR-183</t>
  </si>
  <si>
    <t xml:space="preserve">N176</t>
  </si>
  <si>
    <t xml:space="preserve">TR-184</t>
  </si>
  <si>
    <t xml:space="preserve">145185</t>
  </si>
  <si>
    <t xml:space="preserve">TR-185</t>
  </si>
  <si>
    <t xml:space="preserve">145183</t>
  </si>
  <si>
    <t xml:space="preserve">TR-186</t>
  </si>
  <si>
    <t xml:space="preserve">144439</t>
  </si>
  <si>
    <t xml:space="preserve">TR-187</t>
  </si>
  <si>
    <t xml:space="preserve">145209</t>
  </si>
  <si>
    <t xml:space="preserve">TR-188</t>
  </si>
  <si>
    <t xml:space="preserve">144477</t>
  </si>
  <si>
    <t xml:space="preserve">TR-189</t>
  </si>
  <si>
    <t xml:space="preserve">38877880</t>
  </si>
  <si>
    <t xml:space="preserve">TR-190</t>
  </si>
  <si>
    <t xml:space="preserve">38877891</t>
  </si>
  <si>
    <t xml:space="preserve">TR-191</t>
  </si>
  <si>
    <t xml:space="preserve">N209</t>
  </si>
  <si>
    <t xml:space="preserve">TR-192</t>
  </si>
  <si>
    <t xml:space="preserve">N210</t>
  </si>
  <si>
    <t xml:space="preserve">TR-193</t>
  </si>
  <si>
    <t xml:space="preserve">38877902</t>
  </si>
  <si>
    <t xml:space="preserve">TR-194</t>
  </si>
  <si>
    <t xml:space="preserve">145475</t>
  </si>
  <si>
    <t xml:space="preserve">TR-195</t>
  </si>
  <si>
    <t xml:space="preserve">N164</t>
  </si>
  <si>
    <t xml:space="preserve">TR-196</t>
  </si>
  <si>
    <t xml:space="preserve">N165</t>
  </si>
  <si>
    <t xml:space="preserve">TR-197</t>
  </si>
  <si>
    <t xml:space="preserve">N166</t>
  </si>
  <si>
    <t xml:space="preserve">TR-198</t>
  </si>
  <si>
    <t xml:space="preserve">145034</t>
  </si>
  <si>
    <t xml:space="preserve">TR-199</t>
  </si>
  <si>
    <t xml:space="preserve">145035</t>
  </si>
  <si>
    <t xml:space="preserve">TR-200</t>
  </si>
  <si>
    <t xml:space="preserve">N168</t>
  </si>
  <si>
    <t xml:space="preserve">TR-201</t>
  </si>
  <si>
    <t xml:space="preserve">1428526</t>
  </si>
  <si>
    <t xml:space="preserve">TR-202</t>
  </si>
  <si>
    <t xml:space="preserve">N187</t>
  </si>
  <si>
    <t xml:space="preserve">TR-203</t>
  </si>
  <si>
    <t xml:space="preserve">311409</t>
  </si>
  <si>
    <t xml:space="preserve">TR-204</t>
  </si>
  <si>
    <t xml:space="preserve">145518</t>
  </si>
  <si>
    <t xml:space="preserve">TR-205</t>
  </si>
  <si>
    <t xml:space="preserve">N214</t>
  </si>
  <si>
    <t xml:space="preserve">TR-206</t>
  </si>
  <si>
    <t xml:space="preserve">346374</t>
  </si>
  <si>
    <t xml:space="preserve">TR-207</t>
  </si>
  <si>
    <t xml:space="preserve">145514</t>
  </si>
  <si>
    <t xml:space="preserve">TR-208</t>
  </si>
  <si>
    <t xml:space="preserve">N234</t>
  </si>
  <si>
    <t xml:space="preserve">TR-209</t>
  </si>
  <si>
    <t xml:space="preserve">145539</t>
  </si>
  <si>
    <t xml:space="preserve">TR-210</t>
  </si>
  <si>
    <t xml:space="preserve">N237</t>
  </si>
  <si>
    <t xml:space="preserve">TR-211</t>
  </si>
  <si>
    <t xml:space="preserve">145540</t>
  </si>
  <si>
    <t xml:space="preserve">TR-212</t>
  </si>
  <si>
    <t xml:space="preserve">N238</t>
  </si>
  <si>
    <t xml:space="preserve">TR-213</t>
  </si>
  <si>
    <t xml:space="preserve">N239</t>
  </si>
  <si>
    <t xml:space="preserve">TR-214</t>
  </si>
  <si>
    <t xml:space="preserve">145495</t>
  </si>
  <si>
    <t xml:space="preserve">TR-215</t>
  </si>
  <si>
    <t xml:space="preserve">N223</t>
  </si>
  <si>
    <t xml:space="preserve">TR-216</t>
  </si>
  <si>
    <t xml:space="preserve">373501</t>
  </si>
  <si>
    <t xml:space="preserve">TR-217</t>
  </si>
  <si>
    <t xml:space="preserve">346377</t>
  </si>
  <si>
    <t xml:space="preserve">TR-218</t>
  </si>
  <si>
    <t xml:space="preserve">346376</t>
  </si>
  <si>
    <t xml:space="preserve">TR-219</t>
  </si>
  <si>
    <t xml:space="preserve">N230</t>
  </si>
  <si>
    <t xml:space="preserve">TR-220</t>
  </si>
  <si>
    <t xml:space="preserve">N232</t>
  </si>
  <si>
    <t xml:space="preserve">TR-221</t>
  </si>
  <si>
    <t xml:space="preserve">N233</t>
  </si>
  <si>
    <t xml:space="preserve">TR-222</t>
  </si>
  <si>
    <t xml:space="preserve">N273</t>
  </si>
  <si>
    <t xml:space="preserve">TR-223</t>
  </si>
  <si>
    <t xml:space="preserve">346375</t>
  </si>
  <si>
    <t xml:space="preserve">TR-224</t>
  </si>
  <si>
    <t xml:space="preserve">373500</t>
  </si>
  <si>
    <t xml:space="preserve">TR-225</t>
  </si>
  <si>
    <t xml:space="preserve">346371</t>
  </si>
  <si>
    <t xml:space="preserve">TR-226</t>
  </si>
  <si>
    <t xml:space="preserve">N268</t>
  </si>
  <si>
    <t xml:space="preserve">TR-227</t>
  </si>
  <si>
    <t xml:space="preserve">304333</t>
  </si>
  <si>
    <t xml:space="preserve">TR-228</t>
  </si>
  <si>
    <t xml:space="preserve">N189</t>
  </si>
  <si>
    <t xml:space="preserve">TR-229</t>
  </si>
  <si>
    <t xml:space="preserve">44619086</t>
  </si>
  <si>
    <t xml:space="preserve">TR-230</t>
  </si>
  <si>
    <t xml:space="preserve">N195</t>
  </si>
  <si>
    <t xml:space="preserve">TR-231</t>
  </si>
  <si>
    <t xml:space="preserve">44619102</t>
  </si>
  <si>
    <t xml:space="preserve">TR-232</t>
  </si>
  <si>
    <t xml:space="preserve">N205</t>
  </si>
  <si>
    <t xml:space="preserve">TR-233</t>
  </si>
  <si>
    <t xml:space="preserve">145460</t>
  </si>
  <si>
    <t xml:space="preserve">TR-234</t>
  </si>
  <si>
    <t xml:space="preserve">N193</t>
  </si>
  <si>
    <t xml:space="preserve">TR-235</t>
  </si>
  <si>
    <t xml:space="preserve">1444582</t>
  </si>
  <si>
    <t xml:space="preserve">TR-236</t>
  </si>
  <si>
    <t xml:space="preserve">N248</t>
  </si>
  <si>
    <t xml:space="preserve">TR-237</t>
  </si>
  <si>
    <t xml:space="preserve">N250</t>
  </si>
  <si>
    <t xml:space="preserve">TR-238</t>
  </si>
  <si>
    <t xml:space="preserve">28903263</t>
  </si>
  <si>
    <t xml:space="preserve">TR-239</t>
  </si>
  <si>
    <t xml:space="preserve">N254</t>
  </si>
  <si>
    <t xml:space="preserve">TR-240</t>
  </si>
  <si>
    <t xml:space="preserve">N255</t>
  </si>
  <si>
    <t xml:space="preserve">TR-241</t>
  </si>
  <si>
    <t xml:space="preserve">28903274</t>
  </si>
  <si>
    <t xml:space="preserve">TR-242</t>
  </si>
  <si>
    <t xml:space="preserve">N257</t>
  </si>
  <si>
    <t xml:space="preserve">TR-243</t>
  </si>
  <si>
    <t xml:space="preserve">28903348</t>
  </si>
  <si>
    <t xml:space="preserve">TR-244</t>
  </si>
  <si>
    <t xml:space="preserve">N261</t>
  </si>
  <si>
    <t xml:space="preserve">TR-245</t>
  </si>
  <si>
    <t xml:space="preserve">N262</t>
  </si>
  <si>
    <t xml:space="preserve">TR-246</t>
  </si>
  <si>
    <t xml:space="preserve">28903357</t>
  </si>
  <si>
    <t xml:space="preserve">TR-247</t>
  </si>
  <si>
    <t xml:space="preserve">28903358</t>
  </si>
  <si>
    <t xml:space="preserve">TR-248</t>
  </si>
  <si>
    <t xml:space="preserve">28903363</t>
  </si>
  <si>
    <t xml:space="preserve">TR-249</t>
  </si>
  <si>
    <t xml:space="preserve">28903259</t>
  </si>
  <si>
    <t xml:space="preserve">TR-250</t>
  </si>
  <si>
    <t xml:space="preserve">28903253</t>
  </si>
  <si>
    <t xml:space="preserve">TR-251</t>
  </si>
  <si>
    <t xml:space="preserve">N241</t>
  </si>
  <si>
    <t xml:space="preserve">TR-252</t>
  </si>
  <si>
    <t xml:space="preserve">145494</t>
  </si>
  <si>
    <t xml:space="preserve">TR-253</t>
  </si>
  <si>
    <t xml:space="preserve">1444581</t>
  </si>
  <si>
    <t xml:space="preserve">TR-254</t>
  </si>
  <si>
    <t xml:space="preserve">1444580</t>
  </si>
  <si>
    <t xml:space="preserve">TR-255</t>
  </si>
  <si>
    <t xml:space="preserve">1444577</t>
  </si>
  <si>
    <t xml:space="preserve">TR-256</t>
  </si>
  <si>
    <t xml:space="preserve">145109</t>
  </si>
  <si>
    <t xml:space="preserve">TR-257</t>
  </si>
  <si>
    <t xml:space="preserve">145110</t>
  </si>
  <si>
    <t xml:space="preserve">TR-258</t>
  </si>
  <si>
    <t xml:space="preserve">N243</t>
  </si>
  <si>
    <t xml:space="preserve">TR-259</t>
  </si>
  <si>
    <t xml:space="preserve">N244</t>
  </si>
  <si>
    <t xml:space="preserve">TR-260</t>
  </si>
  <si>
    <t xml:space="preserve">145534</t>
  </si>
  <si>
    <t xml:space="preserve">TR-261</t>
  </si>
  <si>
    <t xml:space="preserve">N270</t>
  </si>
  <si>
    <t xml:space="preserve">TR-262</t>
  </si>
  <si>
    <t xml:space="preserve">304335</t>
  </si>
  <si>
    <t xml:space="preserve">TR-263</t>
  </si>
  <si>
    <t xml:space="preserve">586919</t>
  </si>
  <si>
    <t xml:space="preserve">TR-264</t>
  </si>
  <si>
    <t xml:space="preserve">145203</t>
  </si>
  <si>
    <t xml:space="preserve">TR-265</t>
  </si>
  <si>
    <t xml:space="preserve">145036</t>
  </si>
  <si>
    <t xml:space="preserve">TR-266</t>
  </si>
  <si>
    <t xml:space="preserve">N266</t>
  </si>
  <si>
    <t xml:space="preserve">TR-267</t>
  </si>
  <si>
    <t xml:space="preserve">145532</t>
  </si>
  <si>
    <t xml:space="preserve">TR-268</t>
  </si>
  <si>
    <t xml:space="preserve">1068340</t>
  </si>
  <si>
    <t xml:space="preserve">TR-269</t>
  </si>
  <si>
    <t xml:space="preserve">321325</t>
  </si>
  <si>
    <t xml:space="preserve">TR-270</t>
  </si>
  <si>
    <t xml:space="preserve">1068338</t>
  </si>
  <si>
    <t xml:space="preserve">TR-271</t>
  </si>
  <si>
    <t xml:space="preserve">N220</t>
  </si>
  <si>
    <t xml:space="preserve">TR-272</t>
  </si>
  <si>
    <t xml:space="preserve">N221</t>
  </si>
  <si>
    <t xml:space="preserve">TR-273</t>
  </si>
  <si>
    <t xml:space="preserve">N271</t>
  </si>
  <si>
    <t xml:space="preserve">TR-274</t>
  </si>
  <si>
    <t xml:space="preserve">Seq</t>
  </si>
  <si>
    <t xml:space="preserve">Trecho no Daimon</t>
  </si>
  <si>
    <t xml:space="preserve">Distância do DJ até o fim (m)</t>
  </si>
  <si>
    <t xml:space="preserve">Tipo do ativo de referência</t>
  </si>
  <si>
    <t xml:space="preserve">Próximo(s) ativo(s)</t>
  </si>
  <si>
    <t xml:space="preserve">Latitude (meio do vão)</t>
  </si>
  <si>
    <t xml:space="preserve">Longitude (meio do vão)</t>
  </si>
  <si>
    <t xml:space="preserve">Mapa</t>
  </si>
  <si>
    <t xml:space="preserve">Chave do caminho (uso das fórmulas)</t>
  </si>
  <si>
    <t xml:space="preserve">3050603</t>
  </si>
  <si>
    <t xml:space="preserve">Disjuntor (DJ)</t>
  </si>
  <si>
    <t xml:space="preserve">7925573007, 0300040007, 0200038007, 0300111007, 0300115007, 0300145007, 0200114007, 0301201007, 0300109007, 0300068007, 0300070007, 0300073007, 0300074007, 0300065007, 0300062007, 0200061007, 0300057007, 0357094007, 0300056007, 0200055007, 0300050007, 0200475007, 0200047007</t>
  </si>
  <si>
    <t xml:space="preserve">abrir</t>
  </si>
  <si>
    <t xml:space="preserve">|DJ AL01048007|</t>
  </si>
  <si>
    <t xml:space="preserve">Suporte Chave 8800042007</t>
  </si>
  <si>
    <t xml:space="preserve">2540074</t>
  </si>
  <si>
    <t xml:space="preserve">Suporte Chave 8808674007</t>
  </si>
  <si>
    <t xml:space="preserve">3002072</t>
  </si>
  <si>
    <t xml:space="preserve">2540055</t>
  </si>
  <si>
    <t xml:space="preserve">7925573007, 0300040007, 0200038007, 0300111007, 0300115007, 0300145007, 0200114007, 0301201007, 0300109007, 0300068007, 0300070007, 0300073007, 0300074007, 0300065007, 0300062007, 0200061007, 0300057007, 0357094007, 0300056007, 0200055007, 0300050007</t>
  </si>
  <si>
    <t xml:space="preserve">2690372</t>
  </si>
  <si>
    <t xml:space="preserve">7925573007, 0300040007, 0200038007, 0300111007, 0300115007, 0300145007, 0200114007, 0301201007, 0300109007, 0300068007, 0300070007, 0300073007, 0300074007, 0300065007, 0300062007, 0200061007, 0300057007, 0357094007, 0300056007, 0200055007</t>
  </si>
  <si>
    <t xml:space="preserve">2540058</t>
  </si>
  <si>
    <t xml:space="preserve">2691019</t>
  </si>
  <si>
    <t xml:space="preserve">Suporte Chave 8800054007</t>
  </si>
  <si>
    <t xml:space="preserve">2691022</t>
  </si>
  <si>
    <t xml:space="preserve">2690546</t>
  </si>
  <si>
    <t xml:space="preserve">7925573007, 0300040007, 0200038007, 0300111007, 0300115007, 0300145007, 0200114007, 0301201007, 0300109007, 0300068007, 0300070007, 0300073007, 0300074007, 0300065007, 0300062007, 0200061007, 0300057007, 0357094007, 0300056007</t>
  </si>
  <si>
    <t xml:space="preserve">2690799</t>
  </si>
  <si>
    <t xml:space="preserve">7925573007, 0300040007, 0200038007, 0300111007, 0300115007, 0300145007, 0200114007, 0301201007, 0300109007, 0300068007, 0300070007, 0300073007, 0300074007, 0300065007, 0300062007, 0200061007</t>
  </si>
  <si>
    <t xml:space="preserve">2690632</t>
  </si>
  <si>
    <t xml:space="preserve">7925573007, 0300040007, 0200038007, 0300111007, 0300115007, 0300145007, 0200114007, 0301201007, 0300109007, 0300068007, 0300070007, 0300073007, 0300074007, 0300065007, 0300062007</t>
  </si>
  <si>
    <t xml:space="preserve">2913371</t>
  </si>
  <si>
    <t xml:space="preserve">7925573007, 0300040007, 0200038007, 0300111007, 0300115007, 0300145007, 0200114007, 0301201007, 0300109007, 0300068007, 0300070007, 0300073007, 0300074007, 0300065007</t>
  </si>
  <si>
    <t xml:space="preserve">2690521</t>
  </si>
  <si>
    <t xml:space="preserve">7925573007, 0300040007, 0200038007, 0300111007, 0300115007, 0300145007, 0200114007, 0301201007, 0300109007, 0300068007, 0300070007, 0300073007, 0300074007</t>
  </si>
  <si>
    <t xml:space="preserve">Suporte Chave 9025573007</t>
  </si>
  <si>
    <t xml:space="preserve">3654912</t>
  </si>
  <si>
    <t xml:space="preserve">Suporte Chave 7925573007</t>
  </si>
  <si>
    <t xml:space="preserve">3654914</t>
  </si>
  <si>
    <t xml:space="preserve">Religador (79)</t>
  </si>
  <si>
    <t xml:space="preserve">0300040007, 0200038007, 0300111007, 0300115007, 0300145007, 0200114007, 0301201007, 0300109007, 0300068007, 0300070007, 0300073007, 0300074007</t>
  </si>
  <si>
    <t xml:space="preserve">DJ AL01048007 › 7925573007</t>
  </si>
  <si>
    <t xml:space="preserve">|DJ AL01048007|7925573007|</t>
  </si>
  <si>
    <t xml:space="preserve">Suporte Chave 9000067007</t>
  </si>
  <si>
    <t xml:space="preserve">3654913</t>
  </si>
  <si>
    <t xml:space="preserve">2904780</t>
  </si>
  <si>
    <t xml:space="preserve">2690429</t>
  </si>
  <si>
    <t xml:space="preserve">0300040007, 0200038007, 0300111007, 0300115007, 0300145007, 0200114007, 0301201007, 0300109007</t>
  </si>
  <si>
    <t xml:space="preserve">2690630</t>
  </si>
  <si>
    <t xml:space="preserve">0300040007, 0200038007</t>
  </si>
  <si>
    <t xml:space="preserve">2690256</t>
  </si>
  <si>
    <t xml:space="preserve">2690258</t>
  </si>
  <si>
    <t xml:space="preserve">Suporte Chave 8800075007</t>
  </si>
  <si>
    <t xml:space="preserve">2690260</t>
  </si>
  <si>
    <t xml:space="preserve">2690435</t>
  </si>
  <si>
    <t xml:space="preserve">3252616</t>
  </si>
  <si>
    <t xml:space="preserve">2690189</t>
  </si>
  <si>
    <t xml:space="preserve">2690187</t>
  </si>
  <si>
    <t xml:space="preserve">2690186</t>
  </si>
  <si>
    <t xml:space="preserve">2690185</t>
  </si>
  <si>
    <t xml:space="preserve">3654905</t>
  </si>
  <si>
    <t xml:space="preserve">2676256</t>
  </si>
  <si>
    <t xml:space="preserve">0300043007, 0301038007, 0301039007, 0301117007, 0201291007, 0302253007, 0301273007</t>
  </si>
  <si>
    <t xml:space="preserve">Suporte Chave 0300043007</t>
  </si>
  <si>
    <t xml:space="preserve">2803096</t>
  </si>
  <si>
    <t xml:space="preserve">Chave fusível (03)</t>
  </si>
  <si>
    <t xml:space="preserve">0301038007, 0301039007, 0301117007, 0201291007, 0302253007, 0301273007</t>
  </si>
  <si>
    <t xml:space="preserve">DJ AL01048007 › 0300043007</t>
  </si>
  <si>
    <t xml:space="preserve">|DJ AL01048007|0300043007|</t>
  </si>
  <si>
    <t xml:space="preserve">2803098</t>
  </si>
  <si>
    <t xml:space="preserve">2951200</t>
  </si>
  <si>
    <t xml:space="preserve">0301038007, 0301039007, 0301117007, 0201291007, 0302253007</t>
  </si>
  <si>
    <t xml:space="preserve">12122206</t>
  </si>
  <si>
    <t xml:space="preserve">0301038007, 0301039007</t>
  </si>
  <si>
    <t xml:space="preserve">3525540</t>
  </si>
  <si>
    <t xml:space="preserve">Suporte Chave 0301038007</t>
  </si>
  <si>
    <t xml:space="preserve">3122563</t>
  </si>
  <si>
    <t xml:space="preserve">0301117007, 0201291007, 0302253007</t>
  </si>
  <si>
    <t xml:space="preserve">3497514</t>
  </si>
  <si>
    <t xml:space="preserve">3497517</t>
  </si>
  <si>
    <t xml:space="preserve">Suporte Chave 386243</t>
  </si>
  <si>
    <t xml:space="preserve">69120710</t>
  </si>
  <si>
    <t xml:space="preserve">3497518</t>
  </si>
  <si>
    <t xml:space="preserve">Suporte Chave 0301117007</t>
  </si>
  <si>
    <t xml:space="preserve">3497519</t>
  </si>
  <si>
    <t xml:space="preserve">Suporte Chave 0301273007</t>
  </si>
  <si>
    <t xml:space="preserve">3525542</t>
  </si>
  <si>
    <t xml:space="preserve">DJ AL01048007 › 0300043007 › 0301038007</t>
  </si>
  <si>
    <t xml:space="preserve">|DJ AL01048007|0300043007|0301038007|</t>
  </si>
  <si>
    <t xml:space="preserve">Suporte Chave 0301039007</t>
  </si>
  <si>
    <t xml:space="preserve">3525543</t>
  </si>
  <si>
    <t xml:space="preserve">DJ AL01048007 › 0300043007 › 0301038007 › 0301039007</t>
  </si>
  <si>
    <t xml:space="preserve">|DJ AL01048007|0300043007|0301038007|0301039007|</t>
  </si>
  <si>
    <t xml:space="preserve">3498043</t>
  </si>
  <si>
    <t xml:space="preserve">0201291007, 0302253007</t>
  </si>
  <si>
    <t xml:space="preserve">DJ AL01048007 › 0300043007 › 0301117007</t>
  </si>
  <si>
    <t xml:space="preserve">|DJ AL01048007|0300043007|0301117007|</t>
  </si>
  <si>
    <t xml:space="preserve">12078830</t>
  </si>
  <si>
    <t xml:space="preserve">3497790</t>
  </si>
  <si>
    <t xml:space="preserve">3497786</t>
  </si>
  <si>
    <t xml:space="preserve">12075553</t>
  </si>
  <si>
    <t xml:space="preserve">3050796</t>
  </si>
  <si>
    <t xml:space="preserve">12075554</t>
  </si>
  <si>
    <t xml:space="preserve">3513274</t>
  </si>
  <si>
    <t xml:space="preserve">3513275</t>
  </si>
  <si>
    <t xml:space="preserve">12075555</t>
  </si>
  <si>
    <t xml:space="preserve">3050794</t>
  </si>
  <si>
    <t xml:space="preserve">12075556</t>
  </si>
  <si>
    <t xml:space="preserve">3050793</t>
  </si>
  <si>
    <t xml:space="preserve">12075284</t>
  </si>
  <si>
    <t xml:space="preserve">2950426</t>
  </si>
  <si>
    <t xml:space="preserve">12075283</t>
  </si>
  <si>
    <t xml:space="preserve">2950425</t>
  </si>
  <si>
    <t xml:space="preserve">12075557</t>
  </si>
  <si>
    <t xml:space="preserve">2676259</t>
  </si>
  <si>
    <t xml:space="preserve">12075645</t>
  </si>
  <si>
    <t xml:space="preserve">3050790</t>
  </si>
  <si>
    <t xml:space="preserve">12075646</t>
  </si>
  <si>
    <t xml:space="preserve">3050797</t>
  </si>
  <si>
    <t xml:space="preserve">12075647</t>
  </si>
  <si>
    <t xml:space="preserve">3050798</t>
  </si>
  <si>
    <t xml:space="preserve">Suporte Chave 0201291007</t>
  </si>
  <si>
    <t xml:space="preserve">3050787</t>
  </si>
  <si>
    <t xml:space="preserve">Suporte Chave 0302253007</t>
  </si>
  <si>
    <t xml:space="preserve">12077913</t>
  </si>
  <si>
    <t xml:space="preserve">3513289</t>
  </si>
  <si>
    <t xml:space="preserve">12077916</t>
  </si>
  <si>
    <t xml:space="preserve">3513285</t>
  </si>
  <si>
    <t xml:space="preserve">12077915</t>
  </si>
  <si>
    <t xml:space="preserve">3513283</t>
  </si>
  <si>
    <t xml:space="preserve">12077914</t>
  </si>
  <si>
    <t xml:space="preserve">3513278</t>
  </si>
  <si>
    <t xml:space="preserve">3513276</t>
  </si>
  <si>
    <t xml:space="preserve">2676260</t>
  </si>
  <si>
    <t xml:space="preserve">Chave 02 (conta como fusível)</t>
  </si>
  <si>
    <t xml:space="preserve">DJ AL01048007 › 0300043007 › 0301117007 › 0201291007</t>
  </si>
  <si>
    <t xml:space="preserve">|DJ AL01048007|0300043007|0301117007|0201291007|</t>
  </si>
  <si>
    <t xml:space="preserve">2568029</t>
  </si>
  <si>
    <t xml:space="preserve">DJ AL01048007 › 0300043007 › 0301117007 › 0302253007</t>
  </si>
  <si>
    <t xml:space="preserve">|DJ AL01048007|0300043007|0301117007|0302253007|</t>
  </si>
  <si>
    <t xml:space="preserve">2568034</t>
  </si>
  <si>
    <t xml:space="preserve">2568033</t>
  </si>
  <si>
    <t xml:space="preserve">2568035</t>
  </si>
  <si>
    <t xml:space="preserve">2568039</t>
  </si>
  <si>
    <t xml:space="preserve">2568041</t>
  </si>
  <si>
    <t xml:space="preserve">2568038</t>
  </si>
  <si>
    <t xml:space="preserve">2568042</t>
  </si>
  <si>
    <t xml:space="preserve">12072638</t>
  </si>
  <si>
    <t xml:space="preserve">2535957</t>
  </si>
  <si>
    <t xml:space="preserve">2535951</t>
  </si>
  <si>
    <t xml:space="preserve">2535949</t>
  </si>
  <si>
    <t xml:space="preserve">2568048</t>
  </si>
  <si>
    <t xml:space="preserve">2535956</t>
  </si>
  <si>
    <t xml:space="preserve">2535950</t>
  </si>
  <si>
    <t xml:space="preserve">2535973</t>
  </si>
  <si>
    <t xml:space="preserve">2535954</t>
  </si>
  <si>
    <t xml:space="preserve">2568047</t>
  </si>
  <si>
    <t xml:space="preserve">2514395</t>
  </si>
  <si>
    <t xml:space="preserve">DJ AL01048007 › 0300043007 › 0301273007</t>
  </si>
  <si>
    <t xml:space="preserve">|DJ AL01048007|0300043007|0301273007|</t>
  </si>
  <si>
    <t xml:space="preserve">2690340</t>
  </si>
  <si>
    <t xml:space="preserve">0200475007, 0200047007</t>
  </si>
  <si>
    <t xml:space="preserve">Suporte Chave 6800046007</t>
  </si>
  <si>
    <t xml:space="preserve">2690339</t>
  </si>
  <si>
    <t xml:space="preserve">2690262</t>
  </si>
  <si>
    <t xml:space="preserve">2678933</t>
  </si>
  <si>
    <t xml:space="preserve">2690693</t>
  </si>
  <si>
    <t xml:space="preserve">2691340</t>
  </si>
  <si>
    <t xml:space="preserve">2769222</t>
  </si>
  <si>
    <t xml:space="preserve">2769227</t>
  </si>
  <si>
    <t xml:space="preserve">2769223</t>
  </si>
  <si>
    <t xml:space="preserve">Suporte Chave 0200475007</t>
  </si>
  <si>
    <t xml:space="preserve">2691341</t>
  </si>
  <si>
    <t xml:space="preserve">2690980</t>
  </si>
  <si>
    <t xml:space="preserve">Suporte Chave 0200047007</t>
  </si>
  <si>
    <t xml:space="preserve">3664802</t>
  </si>
  <si>
    <t xml:space="preserve">2769228</t>
  </si>
  <si>
    <t xml:space="preserve">DJ AL01048007 › 0200475007</t>
  </si>
  <si>
    <t xml:space="preserve">|DJ AL01048007|0200475007|</t>
  </si>
  <si>
    <t xml:space="preserve">24566759</t>
  </si>
  <si>
    <t xml:space="preserve">2678932</t>
  </si>
  <si>
    <t xml:space="preserve">DJ AL01048007 › 0200047007</t>
  </si>
  <si>
    <t xml:space="preserve">|DJ AL01048007|0200047007|</t>
  </si>
  <si>
    <t xml:space="preserve">2690971</t>
  </si>
  <si>
    <t xml:space="preserve">2690055</t>
  </si>
  <si>
    <t xml:space="preserve">Suporte Chave 0300050007</t>
  </si>
  <si>
    <t xml:space="preserve">2690054</t>
  </si>
  <si>
    <t xml:space="preserve">DJ AL01048007 › 0300050007</t>
  </si>
  <si>
    <t xml:space="preserve">|DJ AL01048007|0300050007|</t>
  </si>
  <si>
    <t xml:space="preserve">2689929</t>
  </si>
  <si>
    <t xml:space="preserve">2676255</t>
  </si>
  <si>
    <t xml:space="preserve">2678936</t>
  </si>
  <si>
    <t xml:space="preserve">2690375</t>
  </si>
  <si>
    <t xml:space="preserve">Suporte Chave 0200055007</t>
  </si>
  <si>
    <t xml:space="preserve">2691024</t>
  </si>
  <si>
    <t xml:space="preserve">DJ AL01048007 › 0200055007</t>
  </si>
  <si>
    <t xml:space="preserve">|DJ AL01048007|0200055007|</t>
  </si>
  <si>
    <t xml:space="preserve">24585155</t>
  </si>
  <si>
    <t xml:space="preserve">2691025</t>
  </si>
  <si>
    <t xml:space="preserve">0300057007, 0357094007</t>
  </si>
  <si>
    <t xml:space="preserve">Suporte Chave 0300057007</t>
  </si>
  <si>
    <t xml:space="preserve">2690801</t>
  </si>
  <si>
    <t xml:space="preserve">Suporte Chave 0300056007</t>
  </si>
  <si>
    <t xml:space="preserve">2691026</t>
  </si>
  <si>
    <t xml:space="preserve">DJ AL01048007 › 0300057007</t>
  </si>
  <si>
    <t xml:space="preserve">|DJ AL01048007|0300057007|</t>
  </si>
  <si>
    <t xml:space="preserve">40943464</t>
  </si>
  <si>
    <t xml:space="preserve">40943454</t>
  </si>
  <si>
    <t xml:space="preserve">Suporte Chave 0357094007</t>
  </si>
  <si>
    <t xml:space="preserve">40943472</t>
  </si>
  <si>
    <t xml:space="preserve">DJ AL01048007 › 0300057007 › 0357094007</t>
  </si>
  <si>
    <t xml:space="preserve">|DJ AL01048007|0300057007|0357094007|</t>
  </si>
  <si>
    <t xml:space="preserve">2690802</t>
  </si>
  <si>
    <t xml:space="preserve">DJ AL01048007 › 0300056007</t>
  </si>
  <si>
    <t xml:space="preserve">|DJ AL01048007|0300056007|</t>
  </si>
  <si>
    <t xml:space="preserve">Suporte Chave 0200061007</t>
  </si>
  <si>
    <t xml:space="preserve">2690640</t>
  </si>
  <si>
    <t xml:space="preserve">DJ AL01048007 › 0200061007</t>
  </si>
  <si>
    <t xml:space="preserve">|DJ AL01048007|0200061007|</t>
  </si>
  <si>
    <t xml:space="preserve">24585154</t>
  </si>
  <si>
    <t xml:space="preserve">Suporte Chave 0300062007</t>
  </si>
  <si>
    <t xml:space="preserve">66660056</t>
  </si>
  <si>
    <t xml:space="preserve">DJ AL01048007 › 0300062007</t>
  </si>
  <si>
    <t xml:space="preserve">|DJ AL01048007|0300062007|</t>
  </si>
  <si>
    <t xml:space="preserve">66660080</t>
  </si>
  <si>
    <t xml:space="preserve">66660071</t>
  </si>
  <si>
    <t xml:space="preserve">66660063</t>
  </si>
  <si>
    <t xml:space="preserve">2913369</t>
  </si>
  <si>
    <t xml:space="preserve">Suporte Chave 0300065007</t>
  </si>
  <si>
    <t xml:space="preserve">2913368</t>
  </si>
  <si>
    <t xml:space="preserve">2690636</t>
  </si>
  <si>
    <t xml:space="preserve">2690639</t>
  </si>
  <si>
    <t xml:space="preserve">DJ AL01048007 › 0300065007</t>
  </si>
  <si>
    <t xml:space="preserve">|DJ AL01048007|0300065007|</t>
  </si>
  <si>
    <t xml:space="preserve">3661360</t>
  </si>
  <si>
    <t xml:space="preserve">3661361</t>
  </si>
  <si>
    <t xml:space="preserve">2690430</t>
  </si>
  <si>
    <t xml:space="preserve">0300068007, 0300070007, 0300073007, 0300074007</t>
  </si>
  <si>
    <t xml:space="preserve">Suporte Chave 0300068007</t>
  </si>
  <si>
    <t xml:space="preserve">2690626</t>
  </si>
  <si>
    <t xml:space="preserve">0300070007, 0300073007, 0300074007</t>
  </si>
  <si>
    <t xml:space="preserve">DJ AL01048007 › 7925573007 › 0300068007</t>
  </si>
  <si>
    <t xml:space="preserve">|DJ AL01048007|7925573007|0300068007|</t>
  </si>
  <si>
    <t xml:space="preserve">2676252</t>
  </si>
  <si>
    <t xml:space="preserve">2690520</t>
  </si>
  <si>
    <t xml:space="preserve">44233338</t>
  </si>
  <si>
    <t xml:space="preserve">44233092</t>
  </si>
  <si>
    <t xml:space="preserve">44233366</t>
  </si>
  <si>
    <t xml:space="preserve">44233385</t>
  </si>
  <si>
    <t xml:space="preserve">2690182</t>
  </si>
  <si>
    <t xml:space="preserve">Suporte Chave 0300070007</t>
  </si>
  <si>
    <t xml:space="preserve">2690627</t>
  </si>
  <si>
    <t xml:space="preserve">0300073007, 0300074007</t>
  </si>
  <si>
    <t xml:space="preserve">2690335</t>
  </si>
  <si>
    <t xml:space="preserve">Suporte Chave 0300073007</t>
  </si>
  <si>
    <t xml:space="preserve">2690628</t>
  </si>
  <si>
    <t xml:space="preserve">2540493</t>
  </si>
  <si>
    <t xml:space="preserve">2676253</t>
  </si>
  <si>
    <t xml:space="preserve">2691646</t>
  </si>
  <si>
    <t xml:space="preserve">2690180</t>
  </si>
  <si>
    <t xml:space="preserve">DJ AL01048007 › 7925573007 › 0300068007 › 0300070007</t>
  </si>
  <si>
    <t xml:space="preserve">|DJ AL01048007|7925573007|0300068007|0300070007|</t>
  </si>
  <si>
    <t xml:space="preserve">2691117</t>
  </si>
  <si>
    <t xml:space="preserve">2690424</t>
  </si>
  <si>
    <t xml:space="preserve">DJ AL01048007 › 7925573007 › 0300068007 › 0300073007</t>
  </si>
  <si>
    <t xml:space="preserve">|DJ AL01048007|7925573007|0300068007|0300073007|</t>
  </si>
  <si>
    <t xml:space="preserve">2690426</t>
  </si>
  <si>
    <t xml:space="preserve">38877950</t>
  </si>
  <si>
    <t xml:space="preserve">38877953</t>
  </si>
  <si>
    <t xml:space="preserve">Suporte Chave 0300074007</t>
  </si>
  <si>
    <t xml:space="preserve">38877935</t>
  </si>
  <si>
    <t xml:space="preserve">DJ AL01048007 › 7925573007 › 0300068007 › 0300073007 › 0300074007</t>
  </si>
  <si>
    <t xml:space="preserve">|DJ AL01048007|7925573007|0300068007|0300073007|0300074007|</t>
  </si>
  <si>
    <t xml:space="preserve">2540454</t>
  </si>
  <si>
    <t xml:space="preserve">2691283</t>
  </si>
  <si>
    <t xml:space="preserve">0300111007, 0300115007, 0300145007, 0200114007, 0301201007, 0300109007</t>
  </si>
  <si>
    <t xml:space="preserve">2691608</t>
  </si>
  <si>
    <t xml:space="preserve">0300111007, 0300115007, 0300145007, 0200114007, 0301201007</t>
  </si>
  <si>
    <t xml:space="preserve">Suporte Chave 0300111007</t>
  </si>
  <si>
    <t xml:space="preserve">2691446</t>
  </si>
  <si>
    <t xml:space="preserve">2691609</t>
  </si>
  <si>
    <t xml:space="preserve">Suporte Chave 0300109007</t>
  </si>
  <si>
    <t xml:space="preserve">2691173</t>
  </si>
  <si>
    <t xml:space="preserve">0300115007, 0300145007, 0200114007, 0301201007</t>
  </si>
  <si>
    <t xml:space="preserve">DJ AL01048007 › 7925573007 › 0300111007</t>
  </si>
  <si>
    <t xml:space="preserve">|DJ AL01048007|7925573007|0300111007|</t>
  </si>
  <si>
    <t xml:space="preserve">2805715</t>
  </si>
  <si>
    <t xml:space="preserve">2691171</t>
  </si>
  <si>
    <t xml:space="preserve">0300115007, 0300145007, 0200114007</t>
  </si>
  <si>
    <t xml:space="preserve">2912048</t>
  </si>
  <si>
    <t xml:space="preserve">2691586</t>
  </si>
  <si>
    <t xml:space="preserve">0300115007, 0300145007</t>
  </si>
  <si>
    <t xml:space="preserve">2738048</t>
  </si>
  <si>
    <t xml:space="preserve">2738047</t>
  </si>
  <si>
    <t xml:space="preserve">2691584</t>
  </si>
  <si>
    <t xml:space="preserve">2540455</t>
  </si>
  <si>
    <t xml:space="preserve">Suporte Chave 0300115007</t>
  </si>
  <si>
    <t xml:space="preserve">2689978</t>
  </si>
  <si>
    <t xml:space="preserve">2689977</t>
  </si>
  <si>
    <t xml:space="preserve">T_0300145007</t>
  </si>
  <si>
    <t xml:space="preserve">Suporte Chave 0300145007</t>
  </si>
  <si>
    <t xml:space="preserve">2738049</t>
  </si>
  <si>
    <t xml:space="preserve">3556136</t>
  </si>
  <si>
    <t xml:space="preserve">2738051</t>
  </si>
  <si>
    <t xml:space="preserve">2738249</t>
  </si>
  <si>
    <t xml:space="preserve">12072134</t>
  </si>
  <si>
    <t xml:space="preserve">2738248</t>
  </si>
  <si>
    <t xml:space="preserve">3654907</t>
  </si>
  <si>
    <t xml:space="preserve">Suporte Chave 9038136007</t>
  </si>
  <si>
    <t xml:space="preserve">3654911</t>
  </si>
  <si>
    <t xml:space="preserve">2738247</t>
  </si>
  <si>
    <t xml:space="preserve">2738050</t>
  </si>
  <si>
    <t xml:space="preserve">Suporte Chave 0200114007</t>
  </si>
  <si>
    <t xml:space="preserve">2805716</t>
  </si>
  <si>
    <t xml:space="preserve">44619194</t>
  </si>
  <si>
    <t xml:space="preserve">44619238</t>
  </si>
  <si>
    <t xml:space="preserve">44619202</t>
  </si>
  <si>
    <t xml:space="preserve">44619265</t>
  </si>
  <si>
    <t xml:space="preserve">44619247</t>
  </si>
  <si>
    <t xml:space="preserve">2805717</t>
  </si>
  <si>
    <t xml:space="preserve">Suporte Chave 0301201007</t>
  </si>
  <si>
    <t xml:space="preserve">2689862</t>
  </si>
  <si>
    <t xml:space="preserve">DJ AL01048007 › 7925573007 › 0300111007 › 0300115007</t>
  </si>
  <si>
    <t xml:space="preserve">|DJ AL01048007|7925573007|0300111007|0300115007|</t>
  </si>
  <si>
    <t xml:space="preserve">28903453</t>
  </si>
  <si>
    <t xml:space="preserve">28903823</t>
  </si>
  <si>
    <t xml:space="preserve">28903475</t>
  </si>
  <si>
    <t xml:space="preserve">28903831</t>
  </si>
  <si>
    <t xml:space="preserve">28903505</t>
  </si>
  <si>
    <t xml:space="preserve">28903546</t>
  </si>
  <si>
    <t xml:space="preserve">Suporte Chave 8856371007</t>
  </si>
  <si>
    <t xml:space="preserve">28903529</t>
  </si>
  <si>
    <t xml:space="preserve">28903860</t>
  </si>
  <si>
    <t xml:space="preserve">28903626</t>
  </si>
  <si>
    <t xml:space="preserve">28903868</t>
  </si>
  <si>
    <t xml:space="preserve">28903637</t>
  </si>
  <si>
    <t xml:space="preserve">28903616</t>
  </si>
  <si>
    <t xml:space="preserve">28903692</t>
  </si>
  <si>
    <t xml:space="preserve">28903519</t>
  </si>
  <si>
    <t xml:space="preserve">3651317</t>
  </si>
  <si>
    <t xml:space="preserve">DJ AL01048007 › 7925573007 › 0300111007 › 0300145007</t>
  </si>
  <si>
    <t xml:space="preserve">|DJ AL01048007|7925573007|0300111007|0300145007|</t>
  </si>
  <si>
    <t xml:space="preserve">12084324</t>
  </si>
  <si>
    <t xml:space="preserve">3651600</t>
  </si>
  <si>
    <t xml:space="preserve">3651597</t>
  </si>
  <si>
    <t xml:space="preserve">3651314</t>
  </si>
  <si>
    <t xml:space="preserve">3651318</t>
  </si>
  <si>
    <t xml:space="preserve">3651316</t>
  </si>
  <si>
    <t xml:space="preserve">12084323</t>
  </si>
  <si>
    <t xml:space="preserve">3651315</t>
  </si>
  <si>
    <t xml:space="preserve">2689858</t>
  </si>
  <si>
    <t xml:space="preserve">DJ AL01048007 › 7925573007 › 0300111007 › 0200114007</t>
  </si>
  <si>
    <t xml:space="preserve">|DJ AL01048007|7925573007|0300111007|0200114007|</t>
  </si>
  <si>
    <t xml:space="preserve">24585153</t>
  </si>
  <si>
    <t xml:space="preserve">2803784</t>
  </si>
  <si>
    <t xml:space="preserve">DJ AL01048007 › 7925573007 › 0300111007 › 0301201007</t>
  </si>
  <si>
    <t xml:space="preserve">|DJ AL01048007|7925573007|0300111007|0301201007|</t>
  </si>
  <si>
    <t xml:space="preserve">3323690</t>
  </si>
  <si>
    <t xml:space="preserve">3323689</t>
  </si>
  <si>
    <t xml:space="preserve">2691447</t>
  </si>
  <si>
    <t xml:space="preserve">DJ AL01048007 › 7925573007 › 0300109007</t>
  </si>
  <si>
    <t xml:space="preserve">|DJ AL01048007|7925573007|0300109007|</t>
  </si>
  <si>
    <t xml:space="preserve">Suporte Chave 0200038007</t>
  </si>
  <si>
    <t xml:space="preserve">2690436</t>
  </si>
  <si>
    <t xml:space="preserve">DJ AL01048007 › 7925573007 › 0200038007</t>
  </si>
  <si>
    <t xml:space="preserve">|DJ AL01048007|7925573007|0200038007|</t>
  </si>
  <si>
    <t xml:space="preserve">3252622</t>
  </si>
  <si>
    <t xml:space="preserve">3252619</t>
  </si>
  <si>
    <t xml:space="preserve">3252618</t>
  </si>
  <si>
    <t xml:space="preserve">Suporte Chave 0300040007</t>
  </si>
  <si>
    <t xml:space="preserve">3661359</t>
  </si>
  <si>
    <t xml:space="preserve">DJ AL01048007 › 7925573007 › 0300040007</t>
  </si>
  <si>
    <t xml:space="preserve">|DJ AL01048007|7925573007|0300040007|</t>
  </si>
  <si>
    <t xml:space="preserve">Suporte Chave 9000078007</t>
  </si>
  <si>
    <t xml:space="preserve">3654652</t>
  </si>
  <si>
    <t xml:space="preserve">Ativo</t>
  </si>
  <si>
    <t xml:space="preserve">Tipo</t>
  </si>
  <si>
    <t xml:space="preserve">No tronco</t>
  </si>
  <si>
    <t xml:space="preserve">Zona antes</t>
  </si>
  <si>
    <t xml:space="preserve">Zona depois</t>
  </si>
  <si>
    <t xml:space="preserve">Bloco onde está</t>
  </si>
  <si>
    <t xml:space="preserve">Blocos em que é referência</t>
  </si>
  <si>
    <t xml:space="preserve">Vãos em que é a referência</t>
  </si>
  <si>
    <t xml:space="preserve">Extensão em que é a referência (m)</t>
  </si>
  <si>
    <t xml:space="preserve">Vãos englobados (tudo a jusante)</t>
  </si>
  <si>
    <t xml:space="preserve">Extensão englobada (m)</t>
  </si>
  <si>
    <t xml:space="preserve">sim</t>
  </si>
  <si>
    <t xml:space="preserve">1, 3, 11, 14, 16, 17, 19, 23, 25, 27, 29</t>
  </si>
  <si>
    <t xml:space="preserve">7925573007, 0300040007, 0200038007, 0300111007, 0300115007, 0300145007, 0200114007, 0301201007, 0300109007, 0300068007, 0300070007, 0300073007, 0300074007, 0300065007, 0300062007, 0200061007, 0300057007, 0357094007, 0300056007, 0200055007, 0300050007, 0200475007, 0200047007, 0300043007, 0301038007, 0301039007, 0301117007, 0201291007, 0302253007, 0301273007</t>
  </si>
  <si>
    <t xml:space="preserve">Chave 88</t>
  </si>
  <si>
    <t xml:space="preserve">2, 30, 31, 36, 43, 45, 46, 48</t>
  </si>
  <si>
    <t xml:space="preserve">não</t>
  </si>
  <si>
    <t xml:space="preserve">4</t>
  </si>
  <si>
    <t xml:space="preserve">5</t>
  </si>
  <si>
    <t xml:space="preserve">Chave (38)</t>
  </si>
  <si>
    <t xml:space="preserve">7</t>
  </si>
  <si>
    <t xml:space="preserve">10</t>
  </si>
  <si>
    <t xml:space="preserve">6</t>
  </si>
  <si>
    <t xml:space="preserve">8</t>
  </si>
  <si>
    <t xml:space="preserve">9</t>
  </si>
  <si>
    <t xml:space="preserve">12</t>
  </si>
  <si>
    <t xml:space="preserve">13</t>
  </si>
  <si>
    <t xml:space="preserve">15</t>
  </si>
  <si>
    <t xml:space="preserve">18</t>
  </si>
  <si>
    <t xml:space="preserve">20</t>
  </si>
  <si>
    <t xml:space="preserve">22</t>
  </si>
  <si>
    <t xml:space="preserve">21</t>
  </si>
  <si>
    <t xml:space="preserve">24</t>
  </si>
  <si>
    <t xml:space="preserve">26</t>
  </si>
  <si>
    <t xml:space="preserve">28</t>
  </si>
  <si>
    <t xml:space="preserve">32</t>
  </si>
  <si>
    <t xml:space="preserve">33</t>
  </si>
  <si>
    <t xml:space="preserve">34</t>
  </si>
  <si>
    <t xml:space="preserve">35</t>
  </si>
  <si>
    <t xml:space="preserve">37</t>
  </si>
  <si>
    <t xml:space="preserve">42</t>
  </si>
  <si>
    <t xml:space="preserve">38</t>
  </si>
  <si>
    <t xml:space="preserve">39</t>
  </si>
  <si>
    <t xml:space="preserve">40</t>
  </si>
  <si>
    <t xml:space="preserve">41</t>
  </si>
  <si>
    <t xml:space="preserve">44</t>
  </si>
  <si>
    <t xml:space="preserve">47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</si>
</sst>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A909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u val="single"/>
      <sz val="10"/>
      <color rgb="FF1F4E9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BEAFE"/>
        <bgColor rgb="FFF3E8FF"/>
      </patternFill>
    </fill>
    <fill>
      <patternFill patternType="solid">
        <fgColor rgb="FFDCFCE7"/>
        <bgColor rgb="FFDBEAFE"/>
      </patternFill>
    </fill>
    <fill>
      <patternFill patternType="solid">
        <fgColor rgb="FFFEF3C7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F3E8FF"/>
        <bgColor rgb="FFDBEAFE"/>
      </patternFill>
    </fill>
    <fill>
      <patternFill patternType="solid">
        <fgColor rgb="FF2B3136"/>
        <bgColor rgb="FF3A4248"/>
      </patternFill>
    </fill>
    <fill>
      <patternFill patternType="solid">
        <fgColor rgb="FF3A4248"/>
        <bgColor rgb="FF2B313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D6"/>
      </bottom>
      <diagonal/>
    </border>
    <border diagonalUp="false" diagonalDown="false">
      <left style="thin">
        <color rgb="FF2B3136"/>
      </left>
      <right style="thin">
        <color rgb="FF2B3136"/>
      </right>
      <top style="thin">
        <color rgb="FF2B3136"/>
      </top>
      <bottom style="thin">
        <color rgb="FF2B31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31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1F4E9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5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E8FF"/>
      <rgbColor rgb="FFFFED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A9096"/>
      <rgbColor rgb="FF003366"/>
      <rgbColor rgb="FF339966"/>
      <rgbColor rgb="FF003300"/>
      <rgbColor rgb="FF3A4248"/>
      <rgbColor rgb="FF993300"/>
      <rgbColor rgb="FF993366"/>
      <rgbColor rgb="FF1F4E9E"/>
      <rgbColor rgb="FF2B31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ivos" displayName="Ativos" ref="A1:Q38" headerRowCount="1" totalsRowCount="0" totalsRowShown="0">
  <autoFilter ref="A1:Q38"/>
  <tableColumns count="17">
    <tableColumn id="1" name="Ativo"/>
    <tableColumn id="2" name="Tipo"/>
    <tableColumn id="3" name="Poste"/>
    <tableColumn id="4" name="No tronco"/>
    <tableColumn id="5" name="Zona antes"/>
    <tableColumn id="6" name="Zona depois"/>
    <tableColumn id="7" name="Bloco onde está"/>
    <tableColumn id="8" name="Blocos em que é referência"/>
    <tableColumn id="9" name="Caminho desde o DJ"/>
    <tableColumn id="10" name="Vãos em que é a referência"/>
    <tableColumn id="11" name="Extensão em que é a referência (m)"/>
    <tableColumn id="12" name="Vãos englobados (tudo a jusante)"/>
    <tableColumn id="13" name="Extensão englobada (m)"/>
    <tableColumn id="14" name="Ativos posteriores englobados"/>
    <tableColumn id="15" name="Latitude"/>
    <tableColumn id="16" name="Longitude"/>
    <tableColumn id="17" name="Mapa"/>
  </tableColumns>
</table>
</file>

<file path=xl/tables/table2.xml><?xml version="1.0" encoding="utf-8"?>
<table xmlns="http://schemas.openxmlformats.org/spreadsheetml/2006/main" id="2" name="Blocos" displayName="Blocos" ref="A1:AY49" headerRowCount="1" totalsRowCount="0" totalsRowShown="0">
  <autoFilter ref="A1:AY49"/>
  <tableColumns count="51">
    <tableColumn id="1" name="Bloco"/>
    <tableColumn id="2" name="Zona"/>
    <tableColumn id="3" name="Tronco/Ramal"/>
    <tableColumn id="4" name="Ramal"/>
    <tableColumn id="5" name="Ativo de referência"/>
    <tableColumn id="6" name="De"/>
    <tableColumn id="7" name="Próximo ativo 1"/>
    <tableColumn id="8" name="Próximo ativo 2"/>
    <tableColumn id="9" name="Próximo ativo 3"/>
    <tableColumn id="10" name="Próximo ativo 4"/>
    <tableColumn id="11" name="Próximo ativo 5"/>
    <tableColumn id="12" name="Próximo ativo 6"/>
    <tableColumn id="13" name="Próximo ativo 7"/>
    <tableColumn id="14" name="Próximo ativo 8"/>
    <tableColumn id="15" name="Próximo ativo 9"/>
    <tableColumn id="16" name="Próximo ativo 10"/>
    <tableColumn id="17" name="Próximo ativo 11"/>
    <tableColumn id="18" name="Próximo ativo 12"/>
    <tableColumn id="19" name="Nível 1"/>
    <tableColumn id="20" name="Nível 2"/>
    <tableColumn id="21" name="Nível 3"/>
    <tableColumn id="22" name="Nível 4"/>
    <tableColumn id="23" name="Nível 5"/>
    <tableColumn id="24" name="Qtd. vãos"/>
    <tableColumn id="25" name="Extensão do bloco (m)"/>
    <tableColumn id="26" name="Qtd. ativos posteriores"/>
    <tableColumn id="27" name="Ativos posteriores (concatenado)"/>
    <tableColumn id="28" name="Outras chaves no bloco (88…)"/>
    <tableColumn id="29" name="Posterior 1"/>
    <tableColumn id="30" name="Posterior 2"/>
    <tableColumn id="31" name="Posterior 3"/>
    <tableColumn id="32" name="Posterior 4"/>
    <tableColumn id="33" name="Posterior 5"/>
    <tableColumn id="34" name="Posterior 6"/>
    <tableColumn id="35" name="Posterior 7"/>
    <tableColumn id="36" name="Posterior 8"/>
    <tableColumn id="37" name="Posterior 9"/>
    <tableColumn id="38" name="Posterior 10"/>
    <tableColumn id="39" name="Posterior 11"/>
    <tableColumn id="40" name="Posterior 12"/>
    <tableColumn id="41" name="Posterior 13"/>
    <tableColumn id="42" name="Posterior 14"/>
    <tableColumn id="43" name="Posterior 15"/>
    <tableColumn id="44" name="Posterior 16"/>
    <tableColumn id="45" name="Posterior 17"/>
    <tableColumn id="46" name="Posterior 18"/>
    <tableColumn id="47" name="Posterior 19"/>
    <tableColumn id="48" name="Posterior 20"/>
    <tableColumn id="49" name="Posterior 21"/>
    <tableColumn id="50" name="Posterior 22"/>
    <tableColumn id="51" name="Posterior 23"/>
  </tableColumns>
</table>
</file>

<file path=xl/tables/table3.xml><?xml version="1.0" encoding="utf-8"?>
<table xmlns="http://schemas.openxmlformats.org/spreadsheetml/2006/main" id="3" name="Trechos" displayName="Trechos" ref="A1:AB275" headerRowCount="1" totalsRowCount="0" totalsRowShown="0">
  <autoFilter ref="A1:AB275"/>
  <tableColumns count="28">
    <tableColumn id="1" name="Seq"/>
    <tableColumn id="2" name="Trecho"/>
    <tableColumn id="3" name="Trecho no Daimon"/>
    <tableColumn id="4" name="Poste início"/>
    <tableColumn id="5" name="Poste fim"/>
    <tableColumn id="6" name="Extensão (m)"/>
    <tableColumn id="7" name="Distância do DJ até o fim (m)"/>
    <tableColumn id="8" name="Distância do ativo de referência até o fim (m)"/>
    <tableColumn id="9" name="Zona"/>
    <tableColumn id="10" name="Tronco/Ramal"/>
    <tableColumn id="11" name="Ramal"/>
    <tableColumn id="12" name="Bloco"/>
    <tableColumn id="13" name="Ativo de referência"/>
    <tableColumn id="14" name="Tipo do ativo de referência"/>
    <tableColumn id="15" name="Próximo(s) ativo(s)"/>
    <tableColumn id="16" name="Ativos posteriores englobados"/>
    <tableColumn id="17" name="Qtd. ativos posteriores"/>
    <tableColumn id="18" name="Outra chave no fim do vão (88…)"/>
    <tableColumn id="19" name="Nível 1"/>
    <tableColumn id="20" name="Nível 2"/>
    <tableColumn id="21" name="Nível 3"/>
    <tableColumn id="22" name="Nível 4"/>
    <tableColumn id="23" name="Nível 5"/>
    <tableColumn id="24" name="Caminho desde o DJ"/>
    <tableColumn id="25" name="Latitude (meio do vão)"/>
    <tableColumn id="26" name="Longitude (meio do vão)"/>
    <tableColumn id="27" name="Mapa"/>
    <tableColumn id="28" name="Chave do caminho (uso das fórmula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oogle.com/maps?q=-9.5767105,-48.3956255" TargetMode="External"/><Relationship Id="rId3" Type="http://schemas.openxmlformats.org/officeDocument/2006/relationships/hyperlink" Target="https://www.google.com/maps?q=-9.5765665,-48.3957540" TargetMode="External"/><Relationship Id="rId4" Type="http://schemas.openxmlformats.org/officeDocument/2006/relationships/hyperlink" Target="https://www.google.com/maps?q=-9.5753390,-48.3954360" TargetMode="External"/><Relationship Id="rId5" Type="http://schemas.openxmlformats.org/officeDocument/2006/relationships/hyperlink" Target="https://www.google.com/maps?q=-9.5741120,-48.3951170" TargetMode="External"/><Relationship Id="rId6" Type="http://schemas.openxmlformats.org/officeDocument/2006/relationships/hyperlink" Target="https://www.google.com/maps?q=-9.5740440,-48.3950930" TargetMode="External"/><Relationship Id="rId7" Type="http://schemas.openxmlformats.org/officeDocument/2006/relationships/hyperlink" Target="https://www.google.com/maps?q=-9.5732420,-48.3948730" TargetMode="External"/><Relationship Id="rId8" Type="http://schemas.openxmlformats.org/officeDocument/2006/relationships/hyperlink" Target="https://www.google.com/maps?q=-9.5711775,-48.3943135" TargetMode="External"/><Relationship Id="rId9" Type="http://schemas.openxmlformats.org/officeDocument/2006/relationships/hyperlink" Target="https://www.google.com/maps?q=-9.5696450,-48.3938945" TargetMode="External"/><Relationship Id="rId10" Type="http://schemas.openxmlformats.org/officeDocument/2006/relationships/hyperlink" Target="https://www.google.com/maps?q=-9.5695420,-48.3934730" TargetMode="External"/><Relationship Id="rId11" Type="http://schemas.openxmlformats.org/officeDocument/2006/relationships/hyperlink" Target="https://www.google.com/maps?q=-9.5696535,-48.3930925" TargetMode="External"/><Relationship Id="rId12" Type="http://schemas.openxmlformats.org/officeDocument/2006/relationships/hyperlink" Target="https://www.google.com/maps?q=-9.5697890,-48.3926245" TargetMode="External"/><Relationship Id="rId13" Type="http://schemas.openxmlformats.org/officeDocument/2006/relationships/hyperlink" Target="https://www.google.com/maps?q=-9.5699525,-48.3920430" TargetMode="External"/><Relationship Id="rId14" Type="http://schemas.openxmlformats.org/officeDocument/2006/relationships/hyperlink" Target="https://www.google.com/maps?q=-9.5693200,-48.3917220" TargetMode="External"/><Relationship Id="rId15" Type="http://schemas.openxmlformats.org/officeDocument/2006/relationships/hyperlink" Target="https://www.google.com/maps?q=-9.5685060,-48.3914875" TargetMode="External"/><Relationship Id="rId16" Type="http://schemas.openxmlformats.org/officeDocument/2006/relationships/hyperlink" Target="https://www.google.com/maps?q=-9.5682715,-48.3914160" TargetMode="External"/><Relationship Id="rId17" Type="http://schemas.openxmlformats.org/officeDocument/2006/relationships/hyperlink" Target="https://www.google.com/maps?q=-9.5675165,-48.3911805" TargetMode="External"/><Relationship Id="rId18" Type="http://schemas.openxmlformats.org/officeDocument/2006/relationships/hyperlink" Target="https://www.google.com/maps?q=-9.5668470,-48.3909725" TargetMode="External"/><Relationship Id="rId19" Type="http://schemas.openxmlformats.org/officeDocument/2006/relationships/hyperlink" Target="https://www.google.com/maps?q=-9.5668380,-48.3909625" TargetMode="External"/><Relationship Id="rId20" Type="http://schemas.openxmlformats.org/officeDocument/2006/relationships/hyperlink" Target="https://www.google.com/maps?q=-9.5668295,-48.3909530" TargetMode="External"/><Relationship Id="rId21" Type="http://schemas.openxmlformats.org/officeDocument/2006/relationships/hyperlink" Target="https://www.google.com/maps?q=-9.5668210,-48.3909500" TargetMode="External"/><Relationship Id="rId22" Type="http://schemas.openxmlformats.org/officeDocument/2006/relationships/hyperlink" Target="https://www.google.com/maps?q=-9.5668120,-48.3909475" TargetMode="External"/><Relationship Id="rId23" Type="http://schemas.openxmlformats.org/officeDocument/2006/relationships/hyperlink" Target="https://www.google.com/maps?q=-9.5667990,-48.3909510" TargetMode="External"/><Relationship Id="rId24" Type="http://schemas.openxmlformats.org/officeDocument/2006/relationships/hyperlink" Target="https://www.google.com/maps?q=-9.5665305,-48.3910070" TargetMode="External"/><Relationship Id="rId25" Type="http://schemas.openxmlformats.org/officeDocument/2006/relationships/hyperlink" Target="https://www.google.com/maps?q=-9.5662465,-48.3911595" TargetMode="External"/><Relationship Id="rId26" Type="http://schemas.openxmlformats.org/officeDocument/2006/relationships/hyperlink" Target="https://www.google.com/maps?q=-9.5661645,-48.3914385" TargetMode="External"/><Relationship Id="rId27" Type="http://schemas.openxmlformats.org/officeDocument/2006/relationships/hyperlink" Target="https://www.google.com/maps?q=-9.5659870,-48.3920335" TargetMode="External"/><Relationship Id="rId28" Type="http://schemas.openxmlformats.org/officeDocument/2006/relationships/hyperlink" Target="https://www.google.com/maps?q=-9.5657490,-48.3927805" TargetMode="External"/><Relationship Id="rId29" Type="http://schemas.openxmlformats.org/officeDocument/2006/relationships/hyperlink" Target="https://www.google.com/maps?q=-9.5656295,-48.3931270" TargetMode="External"/><Relationship Id="rId30" Type="http://schemas.openxmlformats.org/officeDocument/2006/relationships/hyperlink" Target="https://www.google.com/maps?q=-9.5654060,-48.3937815" TargetMode="External"/><Relationship Id="rId31" Type="http://schemas.openxmlformats.org/officeDocument/2006/relationships/hyperlink" Target="https://www.google.com/maps?q=-9.5651360,-48.3945865" TargetMode="External"/><Relationship Id="rId32" Type="http://schemas.openxmlformats.org/officeDocument/2006/relationships/hyperlink" Target="https://www.google.com/maps?q=-9.5650760,-48.3947815" TargetMode="External"/><Relationship Id="rId33" Type="http://schemas.openxmlformats.org/officeDocument/2006/relationships/hyperlink" Target="https://www.google.com/maps?q=-9.5646795,-48.3960615" TargetMode="External"/><Relationship Id="rId34" Type="http://schemas.openxmlformats.org/officeDocument/2006/relationships/hyperlink" Target="https://www.google.com/maps?q=-9.5641830,-48.3976280" TargetMode="External"/><Relationship Id="rId35" Type="http://schemas.openxmlformats.org/officeDocument/2006/relationships/hyperlink" Target="https://www.google.com/maps?q=-9.5640120,-48.3980930" TargetMode="External"/><Relationship Id="rId36" Type="http://schemas.openxmlformats.org/officeDocument/2006/relationships/hyperlink" Target="https://www.google.com/maps?q=-9.5638105,-48.3984955" TargetMode="External"/><Relationship Id="rId37" Type="http://schemas.openxmlformats.org/officeDocument/2006/relationships/hyperlink" Target="https://www.google.com/maps?q=-9.5636745,-48.3987695" TargetMode="External"/><Relationship Id="rId38" Type="http://schemas.openxmlformats.org/officeDocument/2006/relationships/hyperlink" Target="https://www.google.com/maps?q=-9.5768285,-48.3956645" TargetMode="External"/><Relationship Id="rId39" Type="http://schemas.openxmlformats.org/officeDocument/2006/relationships/hyperlink" Target="https://www.google.com/maps?q=-9.5768170,-48.3958365" TargetMode="External"/><Relationship Id="rId40" Type="http://schemas.openxmlformats.org/officeDocument/2006/relationships/hyperlink" Target="https://www.google.com/maps?q=-9.5778730,-48.3961870" TargetMode="External"/><Relationship Id="rId41" Type="http://schemas.openxmlformats.org/officeDocument/2006/relationships/hyperlink" Target="https://www.google.com/maps?q=-9.5797160,-48.3968140" TargetMode="External"/><Relationship Id="rId42" Type="http://schemas.openxmlformats.org/officeDocument/2006/relationships/hyperlink" Target="https://www.google.com/maps?q=-9.5824835,-48.3978945" TargetMode="External"/><Relationship Id="rId43" Type="http://schemas.openxmlformats.org/officeDocument/2006/relationships/hyperlink" Target="https://www.google.com/maps?q=-9.5844615,-48.3986860" TargetMode="External"/><Relationship Id="rId44" Type="http://schemas.openxmlformats.org/officeDocument/2006/relationships/hyperlink" Target="https://www.google.com/maps?q=-9.5845105,-48.3986290" TargetMode="External"/><Relationship Id="rId45" Type="http://schemas.openxmlformats.org/officeDocument/2006/relationships/hyperlink" Target="https://www.google.com/maps?q=-9.5845860,-48.3985475" TargetMode="External"/><Relationship Id="rId46" Type="http://schemas.openxmlformats.org/officeDocument/2006/relationships/hyperlink" Target="https://www.google.com/maps?q=-9.5864085,-48.3995935" TargetMode="External"/><Relationship Id="rId47" Type="http://schemas.openxmlformats.org/officeDocument/2006/relationships/hyperlink" Target="https://www.google.com/maps?q=-9.5887560,-48.4006680" TargetMode="External"/><Relationship Id="rId48" Type="http://schemas.openxmlformats.org/officeDocument/2006/relationships/hyperlink" Target="https://www.google.com/maps?q=-9.5892370,-48.4008815" TargetMode="External"/><Relationship Id="rId49" Type="http://schemas.openxmlformats.org/officeDocument/2006/relationships/hyperlink" Target="https://www.google.com/maps?q=-9.5893390,-48.4009260" TargetMode="External"/><Relationship Id="rId50" Type="http://schemas.openxmlformats.org/officeDocument/2006/relationships/hyperlink" Target="https://www.google.com/maps?q=-9.5932625,-48.4016965" TargetMode="External"/><Relationship Id="rId51" Type="http://schemas.openxmlformats.org/officeDocument/2006/relationships/hyperlink" Target="https://www.google.com/maps?q=-9.5890790,-48.4009650" TargetMode="External"/><Relationship Id="rId52" Type="http://schemas.openxmlformats.org/officeDocument/2006/relationships/hyperlink" Target="https://www.google.com/maps?q=-9.5890025,-48.4011025" TargetMode="External"/><Relationship Id="rId53" Type="http://schemas.openxmlformats.org/officeDocument/2006/relationships/hyperlink" Target="https://www.google.com/maps?q=-9.5891615,-48.4008250" TargetMode="External"/><Relationship Id="rId54" Type="http://schemas.openxmlformats.org/officeDocument/2006/relationships/hyperlink" Target="https://www.google.com/maps?q=-9.5805055,-48.3971140" TargetMode="External"/><Relationship Id="rId55" Type="http://schemas.openxmlformats.org/officeDocument/2006/relationships/hyperlink" Target="https://www.google.com/maps?q=-9.5852695,-48.3978040" TargetMode="External"/><Relationship Id="rId56" Type="http://schemas.openxmlformats.org/officeDocument/2006/relationships/hyperlink" Target="https://www.google.com/maps?q=-9.5859540,-48.3970600" TargetMode="External"/><Relationship Id="rId57" Type="http://schemas.openxmlformats.org/officeDocument/2006/relationships/hyperlink" Target="https://www.google.com/maps?q=-9.5862695,-48.3967175" TargetMode="External"/><Relationship Id="rId58" Type="http://schemas.openxmlformats.org/officeDocument/2006/relationships/hyperlink" Target="https://www.google.com/maps?q=-9.5888230,-48.4023155" TargetMode="External"/><Relationship Id="rId59" Type="http://schemas.openxmlformats.org/officeDocument/2006/relationships/hyperlink" Target="https://www.google.com/maps?q=-9.5886450,-48.4035275" TargetMode="External"/><Relationship Id="rId60" Type="http://schemas.openxmlformats.org/officeDocument/2006/relationships/hyperlink" Target="https://www.google.com/maps?q=-9.5889900,-48.4041680" TargetMode="External"/><Relationship Id="rId61" Type="http://schemas.openxmlformats.org/officeDocument/2006/relationships/hyperlink" Target="https://www.google.com/maps?q=-9.5894035,-48.4049020" TargetMode="External"/><Relationship Id="rId62" Type="http://schemas.openxmlformats.org/officeDocument/2006/relationships/hyperlink" Target="https://www.google.com/maps?q=-9.5894770,-48.4050235" TargetMode="External"/><Relationship Id="rId63" Type="http://schemas.openxmlformats.org/officeDocument/2006/relationships/hyperlink" Target="https://www.google.com/maps?q=-9.5895885,-48.4052205" TargetMode="External"/><Relationship Id="rId64" Type="http://schemas.openxmlformats.org/officeDocument/2006/relationships/hyperlink" Target="https://www.google.com/maps?q=-9.5896990,-48.4054180" TargetMode="External"/><Relationship Id="rId65" Type="http://schemas.openxmlformats.org/officeDocument/2006/relationships/hyperlink" Target="https://www.google.com/maps?q=-9.5897435,-48.4054940" TargetMode="External"/><Relationship Id="rId66" Type="http://schemas.openxmlformats.org/officeDocument/2006/relationships/hyperlink" Target="https://www.google.com/maps?q=-9.5898405,-48.4056610" TargetMode="External"/><Relationship Id="rId67" Type="http://schemas.openxmlformats.org/officeDocument/2006/relationships/hyperlink" Target="https://www.google.com/maps?q=-9.5899060,-48.4057780" TargetMode="External"/><Relationship Id="rId68" Type="http://schemas.openxmlformats.org/officeDocument/2006/relationships/hyperlink" Target="https://www.google.com/maps?q=-9.5900585,-48.4060660" TargetMode="External"/><Relationship Id="rId69" Type="http://schemas.openxmlformats.org/officeDocument/2006/relationships/hyperlink" Target="https://www.google.com/maps?q=-9.5902105,-48.4063525" TargetMode="External"/><Relationship Id="rId70" Type="http://schemas.openxmlformats.org/officeDocument/2006/relationships/hyperlink" Target="https://www.google.com/maps?q=-9.5902795,-48.4064700" TargetMode="External"/><Relationship Id="rId71" Type="http://schemas.openxmlformats.org/officeDocument/2006/relationships/hyperlink" Target="https://www.google.com/maps?q=-9.5903355,-48.4065910" TargetMode="External"/><Relationship Id="rId72" Type="http://schemas.openxmlformats.org/officeDocument/2006/relationships/hyperlink" Target="https://www.google.com/maps?q=-9.5903335,-48.4067890" TargetMode="External"/><Relationship Id="rId73" Type="http://schemas.openxmlformats.org/officeDocument/2006/relationships/hyperlink" Target="https://www.google.com/maps?q=-9.5903285,-48.4069855" TargetMode="External"/><Relationship Id="rId74" Type="http://schemas.openxmlformats.org/officeDocument/2006/relationships/hyperlink" Target="https://www.google.com/maps?q=-9.5896970,-48.4071250" TargetMode="External"/><Relationship Id="rId75" Type="http://schemas.openxmlformats.org/officeDocument/2006/relationships/hyperlink" Target="https://www.google.com/maps?q=-9.5890625,-48.4072575" TargetMode="External"/><Relationship Id="rId76" Type="http://schemas.openxmlformats.org/officeDocument/2006/relationships/hyperlink" Target="https://www.google.com/maps?q=-9.5885470,-48.4074965" TargetMode="External"/><Relationship Id="rId77" Type="http://schemas.openxmlformats.org/officeDocument/2006/relationships/hyperlink" Target="https://www.google.com/maps?q=-9.5880315,-48.4077360" TargetMode="External"/><Relationship Id="rId78" Type="http://schemas.openxmlformats.org/officeDocument/2006/relationships/hyperlink" Target="https://www.google.com/maps?q=-9.5862795,-48.4087250" TargetMode="External"/><Relationship Id="rId79" Type="http://schemas.openxmlformats.org/officeDocument/2006/relationships/hyperlink" Target="https://www.google.com/maps?q=-9.5845425,-48.4097145" TargetMode="External"/><Relationship Id="rId80" Type="http://schemas.openxmlformats.org/officeDocument/2006/relationships/hyperlink" Target="https://www.google.com/maps?q=-9.5846185,-48.4099005" TargetMode="External"/><Relationship Id="rId81" Type="http://schemas.openxmlformats.org/officeDocument/2006/relationships/hyperlink" Target="https://www.google.com/maps?q=-9.5846895,-48.4100895" TargetMode="External"/><Relationship Id="rId82" Type="http://schemas.openxmlformats.org/officeDocument/2006/relationships/hyperlink" Target="https://www.google.com/maps?q=-9.5843065,-48.4101500" TargetMode="External"/><Relationship Id="rId83" Type="http://schemas.openxmlformats.org/officeDocument/2006/relationships/hyperlink" Target="https://www.google.com/maps?q=-9.5839210,-48.4102065" TargetMode="External"/><Relationship Id="rId84" Type="http://schemas.openxmlformats.org/officeDocument/2006/relationships/hyperlink" Target="https://www.google.com/maps?q=-9.5842240,-48.4096270" TargetMode="External"/><Relationship Id="rId85" Type="http://schemas.openxmlformats.org/officeDocument/2006/relationships/hyperlink" Target="https://www.google.com/maps?q=-9.5838845,-48.4095500" TargetMode="External"/><Relationship Id="rId86" Type="http://schemas.openxmlformats.org/officeDocument/2006/relationships/hyperlink" Target="https://www.google.com/maps?q=-9.5897960,-48.4055520" TargetMode="External"/><Relationship Id="rId87" Type="http://schemas.openxmlformats.org/officeDocument/2006/relationships/hyperlink" Target="https://www.google.com/maps?q=-9.5898265,-48.4055350" TargetMode="External"/><Relationship Id="rId88" Type="http://schemas.openxmlformats.org/officeDocument/2006/relationships/hyperlink" Target="https://www.google.com/maps?q=-9.5898615,-48.4055205" TargetMode="External"/><Relationship Id="rId89" Type="http://schemas.openxmlformats.org/officeDocument/2006/relationships/hyperlink" Target="https://www.google.com/maps?q=-9.5905570,-48.4059275" TargetMode="External"/><Relationship Id="rId90" Type="http://schemas.openxmlformats.org/officeDocument/2006/relationships/hyperlink" Target="https://www.google.com/maps?q=-9.5912465,-48.4063465" TargetMode="External"/><Relationship Id="rId91" Type="http://schemas.openxmlformats.org/officeDocument/2006/relationships/hyperlink" Target="https://www.google.com/maps?q=-9.5917760,-48.4064480" TargetMode="External"/><Relationship Id="rId92" Type="http://schemas.openxmlformats.org/officeDocument/2006/relationships/hyperlink" Target="https://www.google.com/maps?q=-9.5923075,-48.4065440" TargetMode="External"/><Relationship Id="rId93" Type="http://schemas.openxmlformats.org/officeDocument/2006/relationships/hyperlink" Target="https://www.google.com/maps?q=-9.5930280,-48.4066545" TargetMode="External"/><Relationship Id="rId94" Type="http://schemas.openxmlformats.org/officeDocument/2006/relationships/hyperlink" Target="https://www.google.com/maps?q=-9.5939255,-48.4068070" TargetMode="External"/><Relationship Id="rId95" Type="http://schemas.openxmlformats.org/officeDocument/2006/relationships/hyperlink" Target="https://www.google.com/maps?q=-9.5838665,-48.4102665" TargetMode="External"/><Relationship Id="rId96" Type="http://schemas.openxmlformats.org/officeDocument/2006/relationships/hyperlink" Target="https://www.google.com/maps?q=-9.5829030,-48.4095330" TargetMode="External"/><Relationship Id="rId97" Type="http://schemas.openxmlformats.org/officeDocument/2006/relationships/hyperlink" Target="https://www.google.com/maps?q=-9.5819335,-48.4095600" TargetMode="External"/><Relationship Id="rId98" Type="http://schemas.openxmlformats.org/officeDocument/2006/relationships/hyperlink" Target="https://www.google.com/maps?q=-9.5817900,-48.4095010" TargetMode="External"/><Relationship Id="rId99" Type="http://schemas.openxmlformats.org/officeDocument/2006/relationships/hyperlink" Target="https://www.google.com/maps?q=-9.5819655,-48.4092495" TargetMode="External"/><Relationship Id="rId100" Type="http://schemas.openxmlformats.org/officeDocument/2006/relationships/hyperlink" Target="https://www.google.com/maps?q=-9.5817640,-48.4089540" TargetMode="External"/><Relationship Id="rId101" Type="http://schemas.openxmlformats.org/officeDocument/2006/relationships/hyperlink" Target="https://www.google.com/maps?q=-9.5814145,-48.4089085" TargetMode="External"/><Relationship Id="rId102" Type="http://schemas.openxmlformats.org/officeDocument/2006/relationships/hyperlink" Target="https://www.google.com/maps?q=-9.5820600,-48.4089875" TargetMode="External"/><Relationship Id="rId103" Type="http://schemas.openxmlformats.org/officeDocument/2006/relationships/hyperlink" Target="https://www.google.com/maps?q=-9.5820960,-48.4079280" TargetMode="External"/><Relationship Id="rId104" Type="http://schemas.openxmlformats.org/officeDocument/2006/relationships/hyperlink" Target="https://www.google.com/maps?q=-9.5821900,-48.4068680" TargetMode="External"/><Relationship Id="rId105" Type="http://schemas.openxmlformats.org/officeDocument/2006/relationships/hyperlink" Target="https://www.google.com/maps?q=-9.5819625,-48.4068460" TargetMode="External"/><Relationship Id="rId106" Type="http://schemas.openxmlformats.org/officeDocument/2006/relationships/hyperlink" Target="https://www.google.com/maps?q=-9.5812090,-48.4067655" TargetMode="External"/><Relationship Id="rId107" Type="http://schemas.openxmlformats.org/officeDocument/2006/relationships/hyperlink" Target="https://www.google.com/maps?q=-9.5803335,-48.4066690" TargetMode="External"/><Relationship Id="rId108" Type="http://schemas.openxmlformats.org/officeDocument/2006/relationships/hyperlink" Target="https://www.google.com/maps?q=-9.5800020,-48.4065540" TargetMode="External"/><Relationship Id="rId109" Type="http://schemas.openxmlformats.org/officeDocument/2006/relationships/hyperlink" Target="https://www.google.com/maps?q=-9.5795660,-48.4065875" TargetMode="External"/><Relationship Id="rId110" Type="http://schemas.openxmlformats.org/officeDocument/2006/relationships/hyperlink" Target="https://www.google.com/maps?q=-9.5789910,-48.4065285" TargetMode="External"/><Relationship Id="rId111" Type="http://schemas.openxmlformats.org/officeDocument/2006/relationships/hyperlink" Target="https://www.google.com/maps?q=-9.5799645,-48.4069015" TargetMode="External"/><Relationship Id="rId112" Type="http://schemas.openxmlformats.org/officeDocument/2006/relationships/hyperlink" Target="https://www.google.com/maps?q=-9.5799120,-48.4073195" TargetMode="External"/><Relationship Id="rId113" Type="http://schemas.openxmlformats.org/officeDocument/2006/relationships/hyperlink" Target="https://www.google.com/maps?q=-9.5822205,-48.4067320" TargetMode="External"/><Relationship Id="rId114" Type="http://schemas.openxmlformats.org/officeDocument/2006/relationships/hyperlink" Target="https://www.google.com/maps?q=-9.5804070,-48.3975040" TargetMode="External"/><Relationship Id="rId115" Type="http://schemas.openxmlformats.org/officeDocument/2006/relationships/hyperlink" Target="https://www.google.com/maps?q=-9.5740410,-48.3948890" TargetMode="External"/><Relationship Id="rId116" Type="http://schemas.openxmlformats.org/officeDocument/2006/relationships/hyperlink" Target="https://www.google.com/maps?q=-9.5741045,-48.3946910" TargetMode="External"/><Relationship Id="rId117" Type="http://schemas.openxmlformats.org/officeDocument/2006/relationships/hyperlink" Target="https://www.google.com/maps?q=-9.5741550,-48.3945310" TargetMode="External"/><Relationship Id="rId118" Type="http://schemas.openxmlformats.org/officeDocument/2006/relationships/hyperlink" Target="https://www.google.com/maps?q=-9.5743795,-48.3938390" TargetMode="External"/><Relationship Id="rId119" Type="http://schemas.openxmlformats.org/officeDocument/2006/relationships/hyperlink" Target="https://www.google.com/maps?q=-9.5745750,-48.3932370" TargetMode="External"/><Relationship Id="rId120" Type="http://schemas.openxmlformats.org/officeDocument/2006/relationships/hyperlink" Target="https://www.google.com/maps?q=-9.5751120,-48.3934595" TargetMode="External"/><Relationship Id="rId121" Type="http://schemas.openxmlformats.org/officeDocument/2006/relationships/hyperlink" Target="https://www.google.com/maps?q=-9.5760000,-48.3937320" TargetMode="External"/><Relationship Id="rId122" Type="http://schemas.openxmlformats.org/officeDocument/2006/relationships/hyperlink" Target="https://www.google.com/maps?q=-9.5763200,-48.3938985" TargetMode="External"/><Relationship Id="rId123" Type="http://schemas.openxmlformats.org/officeDocument/2006/relationships/hyperlink" Target="https://www.google.com/maps?q=-9.5764700,-48.3933385" TargetMode="External"/><Relationship Id="rId124" Type="http://schemas.openxmlformats.org/officeDocument/2006/relationships/hyperlink" Target="https://www.google.com/maps?q=-9.5766585,-48.3926705" TargetMode="External"/><Relationship Id="rId125" Type="http://schemas.openxmlformats.org/officeDocument/2006/relationships/hyperlink" Target="https://www.google.com/maps?q=-9.5766235,-48.3928435" TargetMode="External"/><Relationship Id="rId126" Type="http://schemas.openxmlformats.org/officeDocument/2006/relationships/hyperlink" Target="https://www.google.com/maps?q=-9.5774695,-48.3941685" TargetMode="External"/><Relationship Id="rId127" Type="http://schemas.openxmlformats.org/officeDocument/2006/relationships/hyperlink" Target="https://www.google.com/maps?q=-9.5745120,-48.3932760" TargetMode="External"/><Relationship Id="rId128" Type="http://schemas.openxmlformats.org/officeDocument/2006/relationships/hyperlink" Target="https://www.google.com/maps?q=-9.5742060,-48.3943880" TargetMode="External"/><Relationship Id="rId129" Type="http://schemas.openxmlformats.org/officeDocument/2006/relationships/hyperlink" Target="https://www.google.com/maps?q=-9.5739810,-48.3950765" TargetMode="External"/><Relationship Id="rId130" Type="http://schemas.openxmlformats.org/officeDocument/2006/relationships/hyperlink" Target="https://www.google.com/maps?q=-9.5768080,-48.3928655" TargetMode="External"/><Relationship Id="rId131" Type="http://schemas.openxmlformats.org/officeDocument/2006/relationships/hyperlink" Target="https://www.google.com/maps?q=-9.5770050,-48.3928000" TargetMode="External"/><Relationship Id="rId132" Type="http://schemas.openxmlformats.org/officeDocument/2006/relationships/hyperlink" Target="https://www.google.com/maps?q=-9.5742610,-48.3943985" TargetMode="External"/><Relationship Id="rId133" Type="http://schemas.openxmlformats.org/officeDocument/2006/relationships/hyperlink" Target="https://www.google.com/maps?q=-9.5724660,-48.3947775" TargetMode="External"/><Relationship Id="rId134" Type="http://schemas.openxmlformats.org/officeDocument/2006/relationships/hyperlink" Target="https://www.google.com/maps?q=-9.5725155,-48.3946245" TargetMode="External"/><Relationship Id="rId135" Type="http://schemas.openxmlformats.org/officeDocument/2006/relationships/hyperlink" Target="https://www.google.com/maps?q=-9.5725350,-48.3945570" TargetMode="External"/><Relationship Id="rId136" Type="http://schemas.openxmlformats.org/officeDocument/2006/relationships/hyperlink" Target="https://www.google.com/maps?q=-9.5727110,-48.3939585" TargetMode="External"/><Relationship Id="rId137" Type="http://schemas.openxmlformats.org/officeDocument/2006/relationships/hyperlink" Target="https://www.google.com/maps?q=-9.5731465,-48.3924965" TargetMode="External"/><Relationship Id="rId138" Type="http://schemas.openxmlformats.org/officeDocument/2006/relationships/hyperlink" Target="https://www.google.com/maps?q=-9.5734730,-48.3914155" TargetMode="External"/><Relationship Id="rId139" Type="http://schemas.openxmlformats.org/officeDocument/2006/relationships/hyperlink" Target="https://www.google.com/maps?q=-9.5694120,-48.3939275" TargetMode="External"/><Relationship Id="rId140" Type="http://schemas.openxmlformats.org/officeDocument/2006/relationships/hyperlink" Target="https://www.google.com/maps?q=-9.5694075,-48.3938310" TargetMode="External"/><Relationship Id="rId141" Type="http://schemas.openxmlformats.org/officeDocument/2006/relationships/hyperlink" Target="https://www.google.com/maps?q=-9.5699305,-48.3921790" TargetMode="External"/><Relationship Id="rId142" Type="http://schemas.openxmlformats.org/officeDocument/2006/relationships/hyperlink" Target="https://www.google.com/maps?q=-9.5700410,-48.3922410" TargetMode="External"/><Relationship Id="rId143" Type="http://schemas.openxmlformats.org/officeDocument/2006/relationships/hyperlink" Target="https://www.google.com/maps?q=-9.5701450,-48.3922240" TargetMode="External"/><Relationship Id="rId144" Type="http://schemas.openxmlformats.org/officeDocument/2006/relationships/hyperlink" Target="https://www.google.com/maps?q=-9.5699975,-48.3918755" TargetMode="External"/><Relationship Id="rId145" Type="http://schemas.openxmlformats.org/officeDocument/2006/relationships/hyperlink" Target="https://www.google.com/maps?q=-9.5700130,-48.3918240" TargetMode="External"/><Relationship Id="rId146" Type="http://schemas.openxmlformats.org/officeDocument/2006/relationships/hyperlink" Target="https://www.google.com/maps?q=-9.5700295,-48.3919265" TargetMode="External"/><Relationship Id="rId147" Type="http://schemas.openxmlformats.org/officeDocument/2006/relationships/hyperlink" Target="https://www.google.com/maps?q=-9.5700855,-48.3919435" TargetMode="External"/><Relationship Id="rId148" Type="http://schemas.openxmlformats.org/officeDocument/2006/relationships/hyperlink" Target="https://www.google.com/maps?q=-9.5701955,-48.3911630" TargetMode="External"/><Relationship Id="rId149" Type="http://schemas.openxmlformats.org/officeDocument/2006/relationships/hyperlink" Target="https://www.google.com/maps?q=-9.5704105,-48.3903910" TargetMode="External"/><Relationship Id="rId150" Type="http://schemas.openxmlformats.org/officeDocument/2006/relationships/hyperlink" Target="https://www.google.com/maps?q=-9.5704630,-48.3902130" TargetMode="External"/><Relationship Id="rId151" Type="http://schemas.openxmlformats.org/officeDocument/2006/relationships/hyperlink" Target="https://www.google.com/maps?q=-9.5704460,-48.3902660" TargetMode="External"/><Relationship Id="rId152" Type="http://schemas.openxmlformats.org/officeDocument/2006/relationships/hyperlink" Target="https://www.google.com/maps?q=-9.5704350,-48.3902625" TargetMode="External"/><Relationship Id="rId153" Type="http://schemas.openxmlformats.org/officeDocument/2006/relationships/hyperlink" Target="https://www.google.com/maps?q=-9.5702095,-48.3919790" TargetMode="External"/><Relationship Id="rId154" Type="http://schemas.openxmlformats.org/officeDocument/2006/relationships/hyperlink" Target="https://www.google.com/maps?q=-9.5686520,-48.3915395" TargetMode="External"/><Relationship Id="rId155" Type="http://schemas.openxmlformats.org/officeDocument/2006/relationships/hyperlink" Target="https://www.google.com/maps?q=-9.5686285,-48.3916180" TargetMode="External"/><Relationship Id="rId156" Type="http://schemas.openxmlformats.org/officeDocument/2006/relationships/hyperlink" Target="https://www.google.com/maps?q=-9.5686040,-48.3916170" TargetMode="External"/><Relationship Id="rId157" Type="http://schemas.openxmlformats.org/officeDocument/2006/relationships/hyperlink" Target="https://www.google.com/maps?q=-9.5683580,-48.3914425" TargetMode="External"/><Relationship Id="rId158" Type="http://schemas.openxmlformats.org/officeDocument/2006/relationships/hyperlink" Target="https://www.google.com/maps?q=-9.5683560,-48.3914275" TargetMode="External"/><Relationship Id="rId159" Type="http://schemas.openxmlformats.org/officeDocument/2006/relationships/hyperlink" Target="https://www.google.com/maps?q=-9.5683700,-48.3914160" TargetMode="External"/><Relationship Id="rId160" Type="http://schemas.openxmlformats.org/officeDocument/2006/relationships/hyperlink" Target="https://www.google.com/maps?q=-9.5683795,-48.3914140" TargetMode="External"/><Relationship Id="rId161" Type="http://schemas.openxmlformats.org/officeDocument/2006/relationships/hyperlink" Target="https://www.google.com/maps?q=-9.5683625,-48.3914110" TargetMode="External"/><Relationship Id="rId162" Type="http://schemas.openxmlformats.org/officeDocument/2006/relationships/hyperlink" Target="https://www.google.com/maps?q=-9.5682015,-48.3913225" TargetMode="External"/><Relationship Id="rId163" Type="http://schemas.openxmlformats.org/officeDocument/2006/relationships/hyperlink" Target="https://www.google.com/maps?q=-9.5682220,-48.3912420" TargetMode="External"/><Relationship Id="rId164" Type="http://schemas.openxmlformats.org/officeDocument/2006/relationships/hyperlink" Target="https://www.google.com/maps?q=-9.5681695,-48.3914625" TargetMode="External"/><Relationship Id="rId165" Type="http://schemas.openxmlformats.org/officeDocument/2006/relationships/hyperlink" Target="https://www.google.com/maps?q=-9.5680030,-48.3921530" TargetMode="External"/><Relationship Id="rId166" Type="http://schemas.openxmlformats.org/officeDocument/2006/relationships/hyperlink" Target="https://www.google.com/maps?q=-9.5683365,-48.3907720" TargetMode="External"/><Relationship Id="rId167" Type="http://schemas.openxmlformats.org/officeDocument/2006/relationships/hyperlink" Target="https://www.google.com/maps?q=-9.5668265,-48.3909850" TargetMode="External"/><Relationship Id="rId168" Type="http://schemas.openxmlformats.org/officeDocument/2006/relationships/hyperlink" Target="https://www.google.com/maps?q=-9.5667955,-48.3909740" TargetMode="External"/><Relationship Id="rId169" Type="http://schemas.openxmlformats.org/officeDocument/2006/relationships/hyperlink" Target="https://www.google.com/maps?q=-9.5663270,-48.3908815" TargetMode="External"/><Relationship Id="rId170" Type="http://schemas.openxmlformats.org/officeDocument/2006/relationships/hyperlink" Target="https://www.google.com/maps?q=-9.5663850,-48.3906860" TargetMode="External"/><Relationship Id="rId171" Type="http://schemas.openxmlformats.org/officeDocument/2006/relationships/hyperlink" Target="https://www.google.com/maps?q=-9.5664525,-48.3904420" TargetMode="External"/><Relationship Id="rId172" Type="http://schemas.openxmlformats.org/officeDocument/2006/relationships/hyperlink" Target="https://www.google.com/maps?q=-9.5666990,-48.3895715" TargetMode="External"/><Relationship Id="rId173" Type="http://schemas.openxmlformats.org/officeDocument/2006/relationships/hyperlink" Target="https://www.google.com/maps?q=-9.5669060,-48.3888455" TargetMode="External"/><Relationship Id="rId174" Type="http://schemas.openxmlformats.org/officeDocument/2006/relationships/hyperlink" Target="https://www.google.com/maps?q=-9.5669585,-48.3886155" TargetMode="External"/><Relationship Id="rId175" Type="http://schemas.openxmlformats.org/officeDocument/2006/relationships/hyperlink" Target="https://www.google.com/maps?q=-9.5669905,-48.3884545" TargetMode="External"/><Relationship Id="rId176" Type="http://schemas.openxmlformats.org/officeDocument/2006/relationships/hyperlink" Target="https://www.google.com/maps?q=-9.5670800,-48.3878310" TargetMode="External"/><Relationship Id="rId177" Type="http://schemas.openxmlformats.org/officeDocument/2006/relationships/hyperlink" Target="https://www.google.com/maps?q=-9.5671900,-48.3870505" TargetMode="External"/><Relationship Id="rId178" Type="http://schemas.openxmlformats.org/officeDocument/2006/relationships/hyperlink" Target="https://www.google.com/maps?q=-9.5666945,-48.3888675" TargetMode="External"/><Relationship Id="rId179" Type="http://schemas.openxmlformats.org/officeDocument/2006/relationships/hyperlink" Target="https://www.google.com/maps?q=-9.5664875,-48.3888010" TargetMode="External"/><Relationship Id="rId180" Type="http://schemas.openxmlformats.org/officeDocument/2006/relationships/hyperlink" Target="https://www.google.com/maps?q=-9.5669785,-48.3889570" TargetMode="External"/><Relationship Id="rId181" Type="http://schemas.openxmlformats.org/officeDocument/2006/relationships/hyperlink" Target="https://www.google.com/maps?q=-9.5670930,-48.3889050" TargetMode="External"/><Relationship Id="rId182" Type="http://schemas.openxmlformats.org/officeDocument/2006/relationships/hyperlink" Target="https://www.google.com/maps?q=-9.5671170,-48.3888080" TargetMode="External"/><Relationship Id="rId183" Type="http://schemas.openxmlformats.org/officeDocument/2006/relationships/hyperlink" Target="https://www.google.com/maps?q=-9.5670475,-48.3890865" TargetMode="External"/><Relationship Id="rId184" Type="http://schemas.openxmlformats.org/officeDocument/2006/relationships/hyperlink" Target="https://www.google.com/maps?q=-9.5671065,-48.3889945" TargetMode="External"/><Relationship Id="rId185" Type="http://schemas.openxmlformats.org/officeDocument/2006/relationships/hyperlink" Target="https://www.google.com/maps?q=-9.5666100,-48.3902465" TargetMode="External"/><Relationship Id="rId186" Type="http://schemas.openxmlformats.org/officeDocument/2006/relationships/hyperlink" Target="https://www.google.com/maps?q=-9.5663120,-48.3901485" TargetMode="External"/><Relationship Id="rId187" Type="http://schemas.openxmlformats.org/officeDocument/2006/relationships/hyperlink" Target="https://www.google.com/maps?q=-9.5663035,-48.3887415" TargetMode="External"/><Relationship Id="rId188" Type="http://schemas.openxmlformats.org/officeDocument/2006/relationships/hyperlink" Target="https://www.google.com/maps?q=-9.5655650,-48.3884725" TargetMode="External"/><Relationship Id="rId189" Type="http://schemas.openxmlformats.org/officeDocument/2006/relationships/hyperlink" Target="https://www.google.com/maps?q=-9.5671620,-48.3886475" TargetMode="External"/><Relationship Id="rId190" Type="http://schemas.openxmlformats.org/officeDocument/2006/relationships/hyperlink" Target="https://www.google.com/maps?q=-9.5672790,-48.3882140" TargetMode="External"/><Relationship Id="rId191" Type="http://schemas.openxmlformats.org/officeDocument/2006/relationships/hyperlink" Target="https://www.google.com/maps?q=-9.5674460,-48.3876025" TargetMode="External"/><Relationship Id="rId192" Type="http://schemas.openxmlformats.org/officeDocument/2006/relationships/hyperlink" Target="https://www.google.com/maps?q=-9.5676585,-48.3868255" TargetMode="External"/><Relationship Id="rId193" Type="http://schemas.openxmlformats.org/officeDocument/2006/relationships/hyperlink" Target="https://www.google.com/maps?q=-9.5677825,-48.3863670" TargetMode="External"/><Relationship Id="rId194" Type="http://schemas.openxmlformats.org/officeDocument/2006/relationships/hyperlink" Target="https://www.google.com/maps?q=-9.5677945,-48.3863220" TargetMode="External"/><Relationship Id="rId195" Type="http://schemas.openxmlformats.org/officeDocument/2006/relationships/hyperlink" Target="https://www.google.com/maps?q=-9.5663365,-48.3912965" TargetMode="External"/><Relationship Id="rId196" Type="http://schemas.openxmlformats.org/officeDocument/2006/relationships/hyperlink" Target="https://www.google.com/maps?q=-9.5656040,-48.3910585" TargetMode="External"/><Relationship Id="rId197" Type="http://schemas.openxmlformats.org/officeDocument/2006/relationships/hyperlink" Target="https://www.google.com/maps?q=-9.5649085,-48.3908320" TargetMode="External"/><Relationship Id="rId198" Type="http://schemas.openxmlformats.org/officeDocument/2006/relationships/hyperlink" Target="https://www.google.com/maps?q=-9.5648120,-48.3908015" TargetMode="External"/><Relationship Id="rId199" Type="http://schemas.openxmlformats.org/officeDocument/2006/relationships/hyperlink" Target="https://www.google.com/maps?q=-9.5650290,-48.3907120" TargetMode="External"/><Relationship Id="rId200" Type="http://schemas.openxmlformats.org/officeDocument/2006/relationships/hyperlink" Target="https://www.google.com/maps?q=-9.5649580,-48.3909645" TargetMode="External"/><Relationship Id="rId201" Type="http://schemas.openxmlformats.org/officeDocument/2006/relationships/hyperlink" Target="https://www.google.com/maps?q=-9.5649210,-48.3910915" TargetMode="External"/><Relationship Id="rId202" Type="http://schemas.openxmlformats.org/officeDocument/2006/relationships/hyperlink" Target="https://www.google.com/maps?q=-9.5642490,-48.3906280" TargetMode="External"/><Relationship Id="rId203" Type="http://schemas.openxmlformats.org/officeDocument/2006/relationships/hyperlink" Target="https://www.google.com/maps?q=-9.5634900,-48.3903950" TargetMode="External"/><Relationship Id="rId204" Type="http://schemas.openxmlformats.org/officeDocument/2006/relationships/hyperlink" Target="https://www.google.com/maps?q=-9.5624390,-48.3900835" TargetMode="External"/><Relationship Id="rId205" Type="http://schemas.openxmlformats.org/officeDocument/2006/relationships/hyperlink" Target="https://www.google.com/maps?q=-9.5611205,-48.3897040" TargetMode="External"/><Relationship Id="rId206" Type="http://schemas.openxmlformats.org/officeDocument/2006/relationships/hyperlink" Target="https://www.google.com/maps?q=-9.5602635,-48.3894645" TargetMode="External"/><Relationship Id="rId207" Type="http://schemas.openxmlformats.org/officeDocument/2006/relationships/hyperlink" Target="https://www.google.com/maps?q=-9.5598955,-48.3893145" TargetMode="External"/><Relationship Id="rId208" Type="http://schemas.openxmlformats.org/officeDocument/2006/relationships/hyperlink" Target="https://www.google.com/maps?q=-9.5596190,-48.3892775" TargetMode="External"/><Relationship Id="rId209" Type="http://schemas.openxmlformats.org/officeDocument/2006/relationships/hyperlink" Target="https://www.google.com/maps?q=-9.5588120,-48.3890395" TargetMode="External"/><Relationship Id="rId210" Type="http://schemas.openxmlformats.org/officeDocument/2006/relationships/hyperlink" Target="https://www.google.com/maps?q=-9.5582950,-48.3888030" TargetMode="External"/><Relationship Id="rId211" Type="http://schemas.openxmlformats.org/officeDocument/2006/relationships/hyperlink" Target="https://www.google.com/maps?q=-9.5583160,-48.3887320" TargetMode="External"/><Relationship Id="rId212" Type="http://schemas.openxmlformats.org/officeDocument/2006/relationships/hyperlink" Target="https://www.google.com/maps?q=-9.5582475,-48.3889625" TargetMode="External"/><Relationship Id="rId213" Type="http://schemas.openxmlformats.org/officeDocument/2006/relationships/hyperlink" Target="https://www.google.com/maps?q=-9.5578220,-48.3887480" TargetMode="External"/><Relationship Id="rId214" Type="http://schemas.openxmlformats.org/officeDocument/2006/relationships/hyperlink" Target="https://www.google.com/maps?q=-9.5573545,-48.3886095" TargetMode="External"/><Relationship Id="rId215" Type="http://schemas.openxmlformats.org/officeDocument/2006/relationships/hyperlink" Target="https://www.google.com/maps?q=-9.5573320,-48.3886020" TargetMode="External"/><Relationship Id="rId216" Type="http://schemas.openxmlformats.org/officeDocument/2006/relationships/hyperlink" Target="https://www.google.com/maps?q=-9.5597815,-48.3897350" TargetMode="External"/><Relationship Id="rId217" Type="http://schemas.openxmlformats.org/officeDocument/2006/relationships/hyperlink" Target="https://www.google.com/maps?q=-9.5595110,-48.3900640" TargetMode="External"/><Relationship Id="rId218" Type="http://schemas.openxmlformats.org/officeDocument/2006/relationships/hyperlink" Target="https://www.google.com/maps?q=-9.5597535,-48.3901355" TargetMode="External"/><Relationship Id="rId219" Type="http://schemas.openxmlformats.org/officeDocument/2006/relationships/hyperlink" Target="https://www.google.com/maps?q=-9.5599885,-48.3902105" TargetMode="External"/><Relationship Id="rId220" Type="http://schemas.openxmlformats.org/officeDocument/2006/relationships/hyperlink" Target="https://www.google.com/maps?q=-9.5601410,-48.3902745" TargetMode="External"/><Relationship Id="rId221" Type="http://schemas.openxmlformats.org/officeDocument/2006/relationships/hyperlink" Target="https://www.google.com/maps?q=-9.5600905,-48.3904275" TargetMode="External"/><Relationship Id="rId222" Type="http://schemas.openxmlformats.org/officeDocument/2006/relationships/hyperlink" Target="https://www.google.com/maps?q=-9.5600545,-48.3905865" TargetMode="External"/><Relationship Id="rId223" Type="http://schemas.openxmlformats.org/officeDocument/2006/relationships/hyperlink" Target="https://www.google.com/maps?q=-9.5600455,-48.3905700" TargetMode="External"/><Relationship Id="rId224" Type="http://schemas.openxmlformats.org/officeDocument/2006/relationships/hyperlink" Target="https://www.google.com/maps?q=-9.5600330,-48.3905895" TargetMode="External"/><Relationship Id="rId225" Type="http://schemas.openxmlformats.org/officeDocument/2006/relationships/hyperlink" Target="https://www.google.com/maps?q=-9.5602755,-48.3902940" TargetMode="External"/><Relationship Id="rId226" Type="http://schemas.openxmlformats.org/officeDocument/2006/relationships/hyperlink" Target="https://www.google.com/maps?q=-9.5596620,-48.3901580" TargetMode="External"/><Relationship Id="rId227" Type="http://schemas.openxmlformats.org/officeDocument/2006/relationships/hyperlink" Target="https://www.google.com/maps?q=-9.5606430,-48.3895625" TargetMode="External"/><Relationship Id="rId228" Type="http://schemas.openxmlformats.org/officeDocument/2006/relationships/hyperlink" Target="https://www.google.com/maps?q=-9.5632550,-48.3903960" TargetMode="External"/><Relationship Id="rId229" Type="http://schemas.openxmlformats.org/officeDocument/2006/relationships/hyperlink" Target="https://www.google.com/maps?q=-9.5632270,-48.3904755" TargetMode="External"/><Relationship Id="rId230" Type="http://schemas.openxmlformats.org/officeDocument/2006/relationships/hyperlink" Target="https://www.google.com/maps?q=-9.5631780,-48.3906055" TargetMode="External"/><Relationship Id="rId231" Type="http://schemas.openxmlformats.org/officeDocument/2006/relationships/hyperlink" Target="https://www.google.com/maps?q=-9.5631305,-48.3907365" TargetMode="External"/><Relationship Id="rId232" Type="http://schemas.openxmlformats.org/officeDocument/2006/relationships/hyperlink" Target="https://www.google.com/maps?q=-9.5629755,-48.3912430" TargetMode="External"/><Relationship Id="rId233" Type="http://schemas.openxmlformats.org/officeDocument/2006/relationships/hyperlink" Target="https://www.google.com/maps?q=-9.5627895,-48.3918415" TargetMode="External"/><Relationship Id="rId234" Type="http://schemas.openxmlformats.org/officeDocument/2006/relationships/hyperlink" Target="https://www.google.com/maps?q=-9.5633085,-48.3902340" TargetMode="External"/><Relationship Id="rId235" Type="http://schemas.openxmlformats.org/officeDocument/2006/relationships/hyperlink" Target="https://www.google.com/maps?q=-9.5633445,-48.3901200" TargetMode="External"/><Relationship Id="rId236" Type="http://schemas.openxmlformats.org/officeDocument/2006/relationships/hyperlink" Target="https://www.google.com/maps?q=-9.5585550,-48.3879035" TargetMode="External"/><Relationship Id="rId237" Type="http://schemas.openxmlformats.org/officeDocument/2006/relationships/hyperlink" Target="https://www.google.com/maps?q=-9.5588435,-48.3869040" TargetMode="External"/><Relationship Id="rId238" Type="http://schemas.openxmlformats.org/officeDocument/2006/relationships/hyperlink" Target="https://www.google.com/maps?q=-9.5588950,-48.3867275" TargetMode="External"/><Relationship Id="rId239" Type="http://schemas.openxmlformats.org/officeDocument/2006/relationships/hyperlink" Target="https://www.google.com/maps?q=-9.5590525,-48.3861965" TargetMode="External"/><Relationship Id="rId240" Type="http://schemas.openxmlformats.org/officeDocument/2006/relationships/hyperlink" Target="https://www.google.com/maps?q=-9.5592120,-48.3856650" TargetMode="External"/><Relationship Id="rId241" Type="http://schemas.openxmlformats.org/officeDocument/2006/relationships/hyperlink" Target="https://www.google.com/maps?q=-9.5592245,-48.3856305" TargetMode="External"/><Relationship Id="rId242" Type="http://schemas.openxmlformats.org/officeDocument/2006/relationships/hyperlink" Target="https://www.google.com/maps?q=-9.5592955,-48.3856495" TargetMode="External"/><Relationship Id="rId243" Type="http://schemas.openxmlformats.org/officeDocument/2006/relationships/hyperlink" Target="https://www.google.com/maps?q=-9.5593770,-48.3856995" TargetMode="External"/><Relationship Id="rId244" Type="http://schemas.openxmlformats.org/officeDocument/2006/relationships/hyperlink" Target="https://www.google.com/maps?q=-9.5602640,-48.3862060" TargetMode="External"/><Relationship Id="rId245" Type="http://schemas.openxmlformats.org/officeDocument/2006/relationships/hyperlink" Target="https://www.google.com/maps?q=-9.5611400,-48.3866945" TargetMode="External"/><Relationship Id="rId246" Type="http://schemas.openxmlformats.org/officeDocument/2006/relationships/hyperlink" Target="https://www.google.com/maps?q=-9.5611635,-48.3866385" TargetMode="External"/><Relationship Id="rId247" Type="http://schemas.openxmlformats.org/officeDocument/2006/relationships/hyperlink" Target="https://www.google.com/maps?q=-9.5611820,-48.3865775" TargetMode="External"/><Relationship Id="rId248" Type="http://schemas.openxmlformats.org/officeDocument/2006/relationships/hyperlink" Target="https://www.google.com/maps?q=-9.5613070,-48.3857040" TargetMode="External"/><Relationship Id="rId249" Type="http://schemas.openxmlformats.org/officeDocument/2006/relationships/hyperlink" Target="https://www.google.com/maps?q=-9.5612900,-48.3867670" TargetMode="External"/><Relationship Id="rId250" Type="http://schemas.openxmlformats.org/officeDocument/2006/relationships/hyperlink" Target="https://www.google.com/maps?q=-9.5592730,-48.3854740" TargetMode="External"/><Relationship Id="rId251" Type="http://schemas.openxmlformats.org/officeDocument/2006/relationships/hyperlink" Target="https://www.google.com/maps?q=-9.5591280,-48.3855505" TargetMode="External"/><Relationship Id="rId252" Type="http://schemas.openxmlformats.org/officeDocument/2006/relationships/hyperlink" Target="https://www.google.com/maps?q=-9.5572780,-48.3885800" TargetMode="External"/><Relationship Id="rId253" Type="http://schemas.openxmlformats.org/officeDocument/2006/relationships/hyperlink" Target="https://www.google.com/maps?q=-9.5572190,-48.3885630" TargetMode="External"/><Relationship Id="rId254" Type="http://schemas.openxmlformats.org/officeDocument/2006/relationships/hyperlink" Target="https://www.google.com/maps?q=-9.5570915,-48.3889600" TargetMode="External"/><Relationship Id="rId255" Type="http://schemas.openxmlformats.org/officeDocument/2006/relationships/hyperlink" Target="https://www.google.com/maps?q=-9.5569320,-48.3895135" TargetMode="External"/><Relationship Id="rId256" Type="http://schemas.openxmlformats.org/officeDocument/2006/relationships/hyperlink" Target="https://www.google.com/maps?q=-9.5570260,-48.3893455" TargetMode="External"/><Relationship Id="rId257" Type="http://schemas.openxmlformats.org/officeDocument/2006/relationships/hyperlink" Target="https://www.google.com/maps?q=-9.5566450,-48.3893935" TargetMode="External"/><Relationship Id="rId258" Type="http://schemas.openxmlformats.org/officeDocument/2006/relationships/hyperlink" Target="https://www.google.com/maps?q=-9.5561350,-48.3894260" TargetMode="External"/><Relationship Id="rId259" Type="http://schemas.openxmlformats.org/officeDocument/2006/relationships/hyperlink" Target="https://www.google.com/maps?q=-9.5572150,-48.3885555" TargetMode="External"/><Relationship Id="rId260" Type="http://schemas.openxmlformats.org/officeDocument/2006/relationships/hyperlink" Target="https://www.google.com/maps?q=-9.5570635,-48.3883775" TargetMode="External"/><Relationship Id="rId261" Type="http://schemas.openxmlformats.org/officeDocument/2006/relationships/hyperlink" Target="https://www.google.com/maps?q=-9.5606645,-48.3894690" TargetMode="External"/><Relationship Id="rId262" Type="http://schemas.openxmlformats.org/officeDocument/2006/relationships/hyperlink" Target="https://www.google.com/maps?q=-9.5606865,-48.3892805" TargetMode="External"/><Relationship Id="rId263" Type="http://schemas.openxmlformats.org/officeDocument/2006/relationships/hyperlink" Target="https://www.google.com/maps?q=-9.5635885,-48.3893725" TargetMode="External"/><Relationship Id="rId264" Type="http://schemas.openxmlformats.org/officeDocument/2006/relationships/hyperlink" Target="https://www.google.com/maps?q=-9.5641515,-48.3875855" TargetMode="External"/><Relationship Id="rId265" Type="http://schemas.openxmlformats.org/officeDocument/2006/relationships/hyperlink" Target="https://www.google.com/maps?q=-9.5645155,-48.3863965" TargetMode="External"/><Relationship Id="rId266" Type="http://schemas.openxmlformats.org/officeDocument/2006/relationships/hyperlink" Target="https://www.google.com/maps?q=-9.5648620,-48.3912960" TargetMode="External"/><Relationship Id="rId267" Type="http://schemas.openxmlformats.org/officeDocument/2006/relationships/hyperlink" Target="https://www.google.com/maps?q=-9.5650745,-48.3947445" TargetMode="External"/><Relationship Id="rId268" Type="http://schemas.openxmlformats.org/officeDocument/2006/relationships/hyperlink" Target="https://www.google.com/maps?q=-9.5649700,-48.3946660" TargetMode="External"/><Relationship Id="rId269" Type="http://schemas.openxmlformats.org/officeDocument/2006/relationships/hyperlink" Target="https://www.google.com/maps?q=-9.5646670,-48.3946825" TargetMode="External"/><Relationship Id="rId270" Type="http://schemas.openxmlformats.org/officeDocument/2006/relationships/hyperlink" Target="https://www.google.com/maps?q=-9.5641535,-48.3945165" TargetMode="External"/><Relationship Id="rId271" Type="http://schemas.openxmlformats.org/officeDocument/2006/relationships/hyperlink" Target="https://www.google.com/maps?q=-9.5651565,-48.3948490" TargetMode="External"/><Relationship Id="rId272" Type="http://schemas.openxmlformats.org/officeDocument/2006/relationships/hyperlink" Target="https://www.google.com/maps?q=-9.5639485,-48.3982415" TargetMode="External"/><Relationship Id="rId273" Type="http://schemas.openxmlformats.org/officeDocument/2006/relationships/hyperlink" Target="https://www.google.com/maps?q=-9.5639340,-48.3982365" TargetMode="External"/><Relationship Id="rId274" Type="http://schemas.openxmlformats.org/officeDocument/2006/relationships/hyperlink" Target="https://www.google.com/maps?q=-9.5636700,-48.3987500" TargetMode="External"/><Relationship Id="rId275" Type="http://schemas.openxmlformats.org/officeDocument/2006/relationships/hyperlink" Target="https://www.google.com/maps?q=-9.5636585,-48.3987555" TargetMode="External"/><Relationship Id="rId276" Type="http://schemas.openxmlformats.org/officeDocument/2006/relationships/vmlDrawing" Target="../drawings/vmlDrawing2.vml"/><Relationship Id="rId277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google.com/maps?q=-9.5768470,-48.3954960" TargetMode="External"/><Relationship Id="rId3" Type="http://schemas.openxmlformats.org/officeDocument/2006/relationships/hyperlink" Target="https://www.google.com/maps?q=-9.5765590,-48.3957530" TargetMode="External"/><Relationship Id="rId4" Type="http://schemas.openxmlformats.org/officeDocument/2006/relationships/hyperlink" Target="https://www.google.com/maps?q=-9.5741050,-48.3951150" TargetMode="External"/><Relationship Id="rId5" Type="http://schemas.openxmlformats.org/officeDocument/2006/relationships/hyperlink" Target="https://www.google.com/maps?q=-9.5696590,-48.3930760" TargetMode="External"/><Relationship Id="rId6" Type="http://schemas.openxmlformats.org/officeDocument/2006/relationships/hyperlink" Target="https://www.google.com/maps?q=-9.5668290,-48.3909530" TargetMode="External"/><Relationship Id="rId7" Type="http://schemas.openxmlformats.org/officeDocument/2006/relationships/hyperlink" Target="https://www.google.com/maps?q=-9.5656250,-48.3931420" TargetMode="External"/><Relationship Id="rId8" Type="http://schemas.openxmlformats.org/officeDocument/2006/relationships/hyperlink" Target="https://www.google.com/maps?q=-9.5768240,-48.3958400" TargetMode="External"/><Relationship Id="rId9" Type="http://schemas.openxmlformats.org/officeDocument/2006/relationships/hyperlink" Target="https://www.google.com/maps?q=-9.5846170,-48.3985140" TargetMode="External"/><Relationship Id="rId10" Type="http://schemas.openxmlformats.org/officeDocument/2006/relationships/hyperlink" Target="https://www.google.com/maps?q=-9.5893560,-48.4009330" TargetMode="External"/><Relationship Id="rId11" Type="http://schemas.openxmlformats.org/officeDocument/2006/relationships/hyperlink" Target="https://www.google.com/maps?q=-9.5889990,-48.4011190" TargetMode="External"/><Relationship Id="rId12" Type="http://schemas.openxmlformats.org/officeDocument/2006/relationships/hyperlink" Target="https://www.google.com/maps?q=-9.5805010,-48.3971340" TargetMode="External"/><Relationship Id="rId13" Type="http://schemas.openxmlformats.org/officeDocument/2006/relationships/hyperlink" Target="https://www.google.com/maps?q=-9.5859860,-48.3970260" TargetMode="External"/><Relationship Id="rId14" Type="http://schemas.openxmlformats.org/officeDocument/2006/relationships/hyperlink" Target="https://www.google.com/maps?q=-9.5839160,-48.4102130" TargetMode="External"/><Relationship Id="rId15" Type="http://schemas.openxmlformats.org/officeDocument/2006/relationships/hyperlink" Target="https://www.google.com/maps?q=-9.5838610,-48.4095530" TargetMode="External"/><Relationship Id="rId16" Type="http://schemas.openxmlformats.org/officeDocument/2006/relationships/hyperlink" Target="https://www.google.com/maps?q=-9.5766420,-48.3928460" TargetMode="External"/><Relationship Id="rId17" Type="http://schemas.openxmlformats.org/officeDocument/2006/relationships/hyperlink" Target="https://www.google.com/maps?q=-9.5742120,-48.3943890" TargetMode="External"/><Relationship Id="rId18" Type="http://schemas.openxmlformats.org/officeDocument/2006/relationships/hyperlink" Target="https://www.google.com/maps?q=-9.5725400,-48.3945400" TargetMode="External"/><Relationship Id="rId19" Type="http://schemas.openxmlformats.org/officeDocument/2006/relationships/hyperlink" Target="https://www.google.com/maps?q=-9.5699420,-48.3921850" TargetMode="External"/><Relationship Id="rId20" Type="http://schemas.openxmlformats.org/officeDocument/2006/relationships/hyperlink" Target="https://www.google.com/maps?q=-9.5700170,-48.3918100" TargetMode="External"/><Relationship Id="rId21" Type="http://schemas.openxmlformats.org/officeDocument/2006/relationships/hyperlink" Target="https://www.google.com/maps?q=-9.5700980,-48.3919470" TargetMode="External"/><Relationship Id="rId22" Type="http://schemas.openxmlformats.org/officeDocument/2006/relationships/hyperlink" Target="https://www.google.com/maps?q=-9.5704450,-48.3902660" TargetMode="External"/><Relationship Id="rId23" Type="http://schemas.openxmlformats.org/officeDocument/2006/relationships/hyperlink" Target="https://www.google.com/maps?q=-9.5686500,-48.3915480" TargetMode="External"/><Relationship Id="rId24" Type="http://schemas.openxmlformats.org/officeDocument/2006/relationships/hyperlink" Target="https://www.google.com/maps?q=-9.5683580,-48.3914410" TargetMode="External"/><Relationship Id="rId25" Type="http://schemas.openxmlformats.org/officeDocument/2006/relationships/hyperlink" Target="https://www.google.com/maps?q=-9.5682260,-48.3912270" TargetMode="External"/><Relationship Id="rId26" Type="http://schemas.openxmlformats.org/officeDocument/2006/relationships/hyperlink" Target="https://www.google.com/maps?q=-9.5663900,-48.3906690" TargetMode="External"/><Relationship Id="rId27" Type="http://schemas.openxmlformats.org/officeDocument/2006/relationships/hyperlink" Target="https://www.google.com/maps?q=-9.5664690,-48.3887950" TargetMode="External"/><Relationship Id="rId28" Type="http://schemas.openxmlformats.org/officeDocument/2006/relationships/hyperlink" Target="https://www.google.com/maps?q=-9.5671220,-48.3887920" TargetMode="External"/><Relationship Id="rId29" Type="http://schemas.openxmlformats.org/officeDocument/2006/relationships/hyperlink" Target="https://www.google.com/maps?q=-9.5677840,-48.3863630" TargetMode="External"/><Relationship Id="rId30" Type="http://schemas.openxmlformats.org/officeDocument/2006/relationships/hyperlink" Target="https://www.google.com/maps?q=-9.5647960,-48.3907970" TargetMode="External"/><Relationship Id="rId31" Type="http://schemas.openxmlformats.org/officeDocument/2006/relationships/hyperlink" Target="https://www.google.com/maps?q=-9.5649150,-48.3911120" TargetMode="External"/><Relationship Id="rId32" Type="http://schemas.openxmlformats.org/officeDocument/2006/relationships/hyperlink" Target="https://www.google.com/maps?q=-9.5583140,-48.3887390" TargetMode="External"/><Relationship Id="rId33" Type="http://schemas.openxmlformats.org/officeDocument/2006/relationships/hyperlink" Target="https://www.google.com/maps?q=-9.5573270,-48.3886000" TargetMode="External"/><Relationship Id="rId34" Type="http://schemas.openxmlformats.org/officeDocument/2006/relationships/hyperlink" Target="https://www.google.com/maps?q=-9.5606450,-48.3895530" TargetMode="External"/><Relationship Id="rId35" Type="http://schemas.openxmlformats.org/officeDocument/2006/relationships/hyperlink" Target="https://www.google.com/maps?q=-9.5633500,-48.3901030" TargetMode="External"/><Relationship Id="rId36" Type="http://schemas.openxmlformats.org/officeDocument/2006/relationships/hyperlink" Target="https://www.google.com/maps?q=-9.5593940,-48.3857090" TargetMode="External"/><Relationship Id="rId37" Type="http://schemas.openxmlformats.org/officeDocument/2006/relationships/hyperlink" Target="https://www.google.com/maps?q=-9.5650640,-48.3947370" TargetMode="External"/><Relationship Id="rId38" Type="http://schemas.openxmlformats.org/officeDocument/2006/relationships/hyperlink" Target="https://www.google.com/maps?q=-9.5639470,-48.3982410" TargetMode="External"/><Relationship Id="rId39" Type="http://schemas.openxmlformats.org/officeDocument/2006/relationships/vmlDrawing" Target="../drawings/vmlDrawing3.vml"/><Relationship Id="rId40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35.0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4" customFormat="false" ht="15" hidden="false" customHeight="false" outlineLevel="0" collapsed="false">
      <c r="A14" s="4" t="s">
        <v>21</v>
      </c>
    </row>
    <row r="15" customFormat="false" ht="15" hidden="false" customHeight="false" outlineLevel="0" collapsed="false">
      <c r="A15" s="5" t="s">
        <v>22</v>
      </c>
    </row>
    <row r="16" customFormat="false" ht="15" hidden="false" customHeight="false" outlineLevel="0" collapsed="false">
      <c r="A16" s="6" t="s">
        <v>23</v>
      </c>
    </row>
    <row r="17" customFormat="false" ht="15" hidden="false" customHeight="false" outlineLevel="0" collapsed="false">
      <c r="A17" s="7" t="s">
        <v>24</v>
      </c>
    </row>
    <row r="18" customFormat="false" ht="15" hidden="false" customHeight="false" outlineLevel="0" collapsed="false">
      <c r="A18" s="8" t="s">
        <v>25</v>
      </c>
    </row>
    <row r="19" customFormat="false" ht="15" hidden="false" customHeight="false" outlineLevel="0" collapsed="false">
      <c r="A19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7" min="3" style="0" width="10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10" t="s">
        <v>28</v>
      </c>
    </row>
    <row r="3" customFormat="false" ht="15" hidden="false" customHeight="false" outlineLevel="0" collapsed="false">
      <c r="A3" s="4" t="s">
        <v>29</v>
      </c>
      <c r="B3" s="11" t="s">
        <v>22</v>
      </c>
      <c r="C3" s="12" t="s">
        <v>23</v>
      </c>
      <c r="D3" s="13" t="s">
        <v>24</v>
      </c>
      <c r="E3" s="14" t="s">
        <v>25</v>
      </c>
      <c r="F3" s="15" t="s">
        <v>26</v>
      </c>
    </row>
    <row r="5" customFormat="false" ht="31.5" hidden="false" customHeight="true" outlineLevel="0" collapsed="false">
      <c r="A5" s="16" t="s">
        <v>11</v>
      </c>
      <c r="B5" s="16" t="s">
        <v>1</v>
      </c>
      <c r="C5" s="16" t="s">
        <v>30</v>
      </c>
      <c r="D5" s="16" t="s">
        <v>31</v>
      </c>
      <c r="E5" s="16" t="s">
        <v>32</v>
      </c>
      <c r="F5" s="16" t="s">
        <v>33</v>
      </c>
      <c r="G5" s="16" t="s">
        <v>34</v>
      </c>
      <c r="H5" s="16" t="s">
        <v>35</v>
      </c>
      <c r="I5" s="16" t="s">
        <v>36</v>
      </c>
      <c r="J5" s="16" t="s">
        <v>37</v>
      </c>
      <c r="K5" s="16" t="s">
        <v>38</v>
      </c>
      <c r="L5" s="16" t="s">
        <v>39</v>
      </c>
      <c r="M5" s="16" t="s">
        <v>40</v>
      </c>
    </row>
    <row r="6" customFormat="false" ht="15" hidden="false" customHeight="false" outlineLevel="0" collapsed="false">
      <c r="A6" s="17" t="s">
        <v>41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5" hidden="false" customHeight="false" outlineLevel="0" collapsed="false">
      <c r="A7" s="18" t="n">
        <v>1</v>
      </c>
      <c r="B7" s="19" t="s">
        <v>22</v>
      </c>
      <c r="C7" s="20" t="s">
        <v>42</v>
      </c>
      <c r="D7" s="21"/>
      <c r="E7" s="21"/>
      <c r="F7" s="21"/>
      <c r="G7" s="21"/>
      <c r="H7" s="22" t="s">
        <v>42</v>
      </c>
      <c r="I7" s="22" t="s">
        <v>43</v>
      </c>
      <c r="J7" s="22" t="n">
        <f aca="false">COUNTIFS(Trechos!$L$2:$L$275,A7)</f>
        <v>19</v>
      </c>
      <c r="K7" s="23" t="n">
        <f aca="false">SUMIFS(Trechos!$F$2:$F$275,Trechos!$L$2:$L$275,A7)</f>
        <v>1449.36135752012</v>
      </c>
      <c r="L7" s="22" t="s">
        <v>44</v>
      </c>
      <c r="M7" s="22" t="str">
        <f aca="false">Blocos!AA2</f>
        <v>7925573007, 0300040007, 0200038007, 0300111007, 0300115007, 0300145007, 0200114007, 0301201007, 0300109007, 0300068007, 0300070007, 0300073007, 0300074007, 0300065007, 0300062007, 0200061007, 0300057007, 0357094007, 0300056007, 0200055007, 0300050007, 0200475007, 0200047007</v>
      </c>
    </row>
    <row r="8" customFormat="false" ht="15" hidden="false" customHeight="false" outlineLevel="0" collapsed="false">
      <c r="A8" s="18" t="n">
        <v>2</v>
      </c>
      <c r="B8" s="24" t="s">
        <v>23</v>
      </c>
      <c r="C8" s="25" t="s">
        <v>42</v>
      </c>
      <c r="D8" s="26" t="s">
        <v>43</v>
      </c>
      <c r="E8" s="21"/>
      <c r="F8" s="21"/>
      <c r="G8" s="21"/>
      <c r="H8" s="22" t="s">
        <v>43</v>
      </c>
      <c r="I8" s="22" t="s">
        <v>45</v>
      </c>
      <c r="J8" s="22" t="n">
        <f aca="false">COUNTIFS(Trechos!$L$2:$L$275,A8)</f>
        <v>17</v>
      </c>
      <c r="K8" s="23" t="n">
        <f aca="false">SUMIFS(Trechos!$F$2:$F$275,Trechos!$L$2:$L$275,A8)</f>
        <v>960.409640853983</v>
      </c>
      <c r="L8" s="22" t="s">
        <v>46</v>
      </c>
      <c r="M8" s="22" t="str">
        <f aca="false">Blocos!AA3</f>
        <v>0300040007, 0200038007, 0300111007, 0300115007, 0300145007, 0200114007, 0301201007, 0300109007, 0300068007, 0300070007, 0300073007, 0300074007</v>
      </c>
    </row>
    <row r="9" customFormat="false" ht="15" hidden="false" customHeight="false" outlineLevel="0" collapsed="false">
      <c r="A9" s="17" t="s">
        <v>47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false" outlineLevel="0" collapsed="false">
      <c r="A10" s="18" t="n">
        <v>3</v>
      </c>
      <c r="B10" s="19" t="s">
        <v>22</v>
      </c>
      <c r="C10" s="20" t="s">
        <v>42</v>
      </c>
      <c r="D10" s="21"/>
      <c r="E10" s="21"/>
      <c r="F10" s="21"/>
      <c r="G10" s="21"/>
      <c r="H10" s="22" t="s">
        <v>42</v>
      </c>
      <c r="I10" s="22" t="s">
        <v>48</v>
      </c>
      <c r="J10" s="22" t="n">
        <f aca="false">COUNTIFS(Trechos!$L$2:$L$275,A10)</f>
        <v>2</v>
      </c>
      <c r="K10" s="23" t="n">
        <f aca="false">SUMIFS(Trechos!$F$2:$F$275,Trechos!$L$2:$L$275,A10)</f>
        <v>38.9144411670738</v>
      </c>
      <c r="L10" s="22" t="s">
        <v>49</v>
      </c>
      <c r="M10" s="22" t="str">
        <f aca="false">Blocos!AA4</f>
        <v>0300043007, 0301038007, 0301039007, 0301117007, 0201291007, 0302253007, 0301273007</v>
      </c>
    </row>
    <row r="11" customFormat="false" ht="15" hidden="false" customHeight="false" outlineLevel="0" collapsed="false">
      <c r="A11" s="18" t="n">
        <v>4</v>
      </c>
      <c r="B11" s="27" t="s">
        <v>24</v>
      </c>
      <c r="C11" s="25" t="s">
        <v>42</v>
      </c>
      <c r="D11" s="28" t="s">
        <v>48</v>
      </c>
      <c r="E11" s="21"/>
      <c r="F11" s="21"/>
      <c r="G11" s="21"/>
      <c r="H11" s="22" t="s">
        <v>48</v>
      </c>
      <c r="I11" s="22" t="s">
        <v>50</v>
      </c>
      <c r="J11" s="22" t="n">
        <f aca="false">COUNTIFS(Trechos!$L$2:$L$275,A11)</f>
        <v>15</v>
      </c>
      <c r="K11" s="23" t="n">
        <f aca="false">SUMIFS(Trechos!$F$2:$F$275,Trechos!$L$2:$L$275,A11)</f>
        <v>2457.95327920558</v>
      </c>
      <c r="L11" s="22" t="s">
        <v>51</v>
      </c>
      <c r="M11" s="22" t="str">
        <f aca="false">Blocos!AA5</f>
        <v>0301038007, 0301039007, 0301117007, 0201291007, 0302253007, 0301273007</v>
      </c>
    </row>
    <row r="12" customFormat="false" ht="15" hidden="false" customHeight="false" outlineLevel="0" collapsed="false">
      <c r="A12" s="18" t="n">
        <v>5</v>
      </c>
      <c r="B12" s="29" t="s">
        <v>25</v>
      </c>
      <c r="C12" s="25" t="s">
        <v>42</v>
      </c>
      <c r="D12" s="25" t="s">
        <v>48</v>
      </c>
      <c r="E12" s="30" t="s">
        <v>52</v>
      </c>
      <c r="F12" s="21"/>
      <c r="G12" s="21"/>
      <c r="H12" s="22" t="s">
        <v>52</v>
      </c>
      <c r="I12" s="22" t="s">
        <v>53</v>
      </c>
      <c r="J12" s="22" t="n">
        <f aca="false">COUNTIFS(Trechos!$L$2:$L$275,A12)</f>
        <v>2</v>
      </c>
      <c r="K12" s="23" t="n">
        <f aca="false">SUMIFS(Trechos!$F$2:$F$275,Trechos!$L$2:$L$275,A12)</f>
        <v>223.137422642631</v>
      </c>
      <c r="L12" s="22" t="s">
        <v>49</v>
      </c>
      <c r="M12" s="22" t="str">
        <f aca="false">Blocos!AA6</f>
        <v>0301039007</v>
      </c>
    </row>
    <row r="13" customFormat="false" ht="15" hidden="false" customHeight="false" outlineLevel="0" collapsed="false">
      <c r="A13" s="18" t="n">
        <v>6</v>
      </c>
      <c r="B13" s="31" t="s">
        <v>26</v>
      </c>
      <c r="C13" s="25" t="s">
        <v>42</v>
      </c>
      <c r="D13" s="25" t="s">
        <v>48</v>
      </c>
      <c r="E13" s="25" t="s">
        <v>52</v>
      </c>
      <c r="F13" s="32" t="s">
        <v>53</v>
      </c>
      <c r="G13" s="21"/>
      <c r="H13" s="22" t="s">
        <v>53</v>
      </c>
      <c r="I13" s="22" t="s">
        <v>54</v>
      </c>
      <c r="J13" s="22" t="n">
        <f aca="false">COUNTIFS(Trechos!$L$2:$L$275,A13)</f>
        <v>1</v>
      </c>
      <c r="K13" s="23" t="n">
        <f aca="false">SUMIFS(Trechos!$F$2:$F$275,Trechos!$L$2:$L$275,A13)</f>
        <v>92.4738305751356</v>
      </c>
      <c r="L13" s="22" t="s">
        <v>49</v>
      </c>
      <c r="M13" s="22" t="str">
        <f aca="false">Blocos!AA7</f>
        <v>—</v>
      </c>
    </row>
    <row r="14" customFormat="false" ht="15" hidden="false" customHeight="false" outlineLevel="0" collapsed="false">
      <c r="A14" s="18" t="n">
        <v>7</v>
      </c>
      <c r="B14" s="29" t="s">
        <v>25</v>
      </c>
      <c r="C14" s="25" t="s">
        <v>42</v>
      </c>
      <c r="D14" s="25" t="s">
        <v>48</v>
      </c>
      <c r="E14" s="30" t="s">
        <v>55</v>
      </c>
      <c r="F14" s="21"/>
      <c r="G14" s="21"/>
      <c r="H14" s="22" t="s">
        <v>55</v>
      </c>
      <c r="I14" s="22" t="s">
        <v>56</v>
      </c>
      <c r="J14" s="22" t="n">
        <f aca="false">COUNTIFS(Trechos!$L$2:$L$275,A14)</f>
        <v>37</v>
      </c>
      <c r="K14" s="23" t="n">
        <f aca="false">SUMIFS(Trechos!$F$2:$F$275,Trechos!$L$2:$L$275,A14)</f>
        <v>2136.31044602165</v>
      </c>
      <c r="L14" s="22" t="s">
        <v>49</v>
      </c>
      <c r="M14" s="22" t="str">
        <f aca="false">Blocos!AA8</f>
        <v>0201291007, 0302253007</v>
      </c>
    </row>
    <row r="15" customFormat="false" ht="15" hidden="false" customHeight="false" outlineLevel="0" collapsed="false">
      <c r="A15" s="18" t="n">
        <v>8</v>
      </c>
      <c r="B15" s="31" t="s">
        <v>26</v>
      </c>
      <c r="C15" s="25" t="s">
        <v>42</v>
      </c>
      <c r="D15" s="25" t="s">
        <v>48</v>
      </c>
      <c r="E15" s="25" t="s">
        <v>55</v>
      </c>
      <c r="F15" s="32" t="s">
        <v>57</v>
      </c>
      <c r="G15" s="21"/>
      <c r="H15" s="22" t="s">
        <v>57</v>
      </c>
      <c r="I15" s="22" t="s">
        <v>58</v>
      </c>
      <c r="J15" s="22" t="n">
        <f aca="false">COUNTIFS(Trechos!$L$2:$L$275,A15)</f>
        <v>1</v>
      </c>
      <c r="K15" s="23" t="n">
        <f aca="false">SUMIFS(Trechos!$F$2:$F$275,Trechos!$L$2:$L$275,A15)</f>
        <v>16.0878124443238</v>
      </c>
      <c r="L15" s="22" t="s">
        <v>49</v>
      </c>
      <c r="M15" s="22" t="str">
        <f aca="false">Blocos!AA9</f>
        <v>—</v>
      </c>
    </row>
    <row r="16" customFormat="false" ht="15" hidden="false" customHeight="false" outlineLevel="0" collapsed="false">
      <c r="A16" s="18" t="n">
        <v>9</v>
      </c>
      <c r="B16" s="31" t="s">
        <v>26</v>
      </c>
      <c r="C16" s="25" t="s">
        <v>42</v>
      </c>
      <c r="D16" s="25" t="s">
        <v>48</v>
      </c>
      <c r="E16" s="25" t="s">
        <v>55</v>
      </c>
      <c r="F16" s="32" t="s">
        <v>59</v>
      </c>
      <c r="G16" s="21"/>
      <c r="H16" s="22" t="s">
        <v>59</v>
      </c>
      <c r="I16" s="22" t="s">
        <v>60</v>
      </c>
      <c r="J16" s="22" t="n">
        <f aca="false">COUNTIFS(Trechos!$L$2:$L$275,A16)</f>
        <v>18</v>
      </c>
      <c r="K16" s="23" t="n">
        <f aca="false">SUMIFS(Trechos!$F$2:$F$275,Trechos!$L$2:$L$275,A16)</f>
        <v>1159.74475142742</v>
      </c>
      <c r="L16" s="22" t="s">
        <v>49</v>
      </c>
      <c r="M16" s="22" t="str">
        <f aca="false">Blocos!AA10</f>
        <v>—</v>
      </c>
    </row>
    <row r="17" customFormat="false" ht="15" hidden="false" customHeight="false" outlineLevel="0" collapsed="false">
      <c r="A17" s="18" t="n">
        <v>10</v>
      </c>
      <c r="B17" s="29" t="s">
        <v>25</v>
      </c>
      <c r="C17" s="25" t="s">
        <v>42</v>
      </c>
      <c r="D17" s="25" t="s">
        <v>48</v>
      </c>
      <c r="E17" s="30" t="s">
        <v>61</v>
      </c>
      <c r="F17" s="21"/>
      <c r="G17" s="21"/>
      <c r="H17" s="22" t="s">
        <v>61</v>
      </c>
      <c r="I17" s="22" t="s">
        <v>62</v>
      </c>
      <c r="J17" s="22" t="n">
        <f aca="false">COUNTIFS(Trechos!$L$2:$L$275,A17)</f>
        <v>1</v>
      </c>
      <c r="K17" s="23" t="n">
        <f aca="false">SUMIFS(Trechos!$F$2:$F$275,Trechos!$L$2:$L$275,A17)</f>
        <v>83.7863750086203</v>
      </c>
      <c r="L17" s="22" t="s">
        <v>49</v>
      </c>
      <c r="M17" s="22" t="str">
        <f aca="false">Blocos!AA11</f>
        <v>—</v>
      </c>
    </row>
    <row r="18" customFormat="false" ht="15" hidden="false" customHeight="false" outlineLevel="0" collapsed="false">
      <c r="A18" s="17" t="s">
        <v>63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customFormat="false" ht="15" hidden="false" customHeight="false" outlineLevel="0" collapsed="false">
      <c r="A19" s="18" t="n">
        <v>11</v>
      </c>
      <c r="B19" s="19" t="s">
        <v>22</v>
      </c>
      <c r="C19" s="20" t="s">
        <v>42</v>
      </c>
      <c r="D19" s="21"/>
      <c r="E19" s="21"/>
      <c r="F19" s="21"/>
      <c r="G19" s="21"/>
      <c r="H19" s="22" t="s">
        <v>64</v>
      </c>
      <c r="I19" s="22" t="s">
        <v>65</v>
      </c>
      <c r="J19" s="22" t="n">
        <f aca="false">COUNTIFS(Trechos!$L$2:$L$275,A19)</f>
        <v>15</v>
      </c>
      <c r="K19" s="23" t="n">
        <f aca="false">SUMIFS(Trechos!$F$2:$F$275,Trechos!$L$2:$L$275,A19)</f>
        <v>870.971855973089</v>
      </c>
      <c r="L19" s="22" t="s">
        <v>49</v>
      </c>
      <c r="M19" s="22" t="str">
        <f aca="false">Blocos!AA12</f>
        <v>0200475007, 0200047007</v>
      </c>
    </row>
    <row r="20" customFormat="false" ht="15" hidden="false" customHeight="false" outlineLevel="0" collapsed="false">
      <c r="A20" s="18" t="n">
        <v>12</v>
      </c>
      <c r="B20" s="27" t="s">
        <v>24</v>
      </c>
      <c r="C20" s="25" t="s">
        <v>42</v>
      </c>
      <c r="D20" s="28" t="s">
        <v>66</v>
      </c>
      <c r="E20" s="21"/>
      <c r="F20" s="21"/>
      <c r="G20" s="21"/>
      <c r="H20" s="22" t="s">
        <v>66</v>
      </c>
      <c r="I20" s="22" t="s">
        <v>67</v>
      </c>
      <c r="J20" s="22" t="n">
        <f aca="false">COUNTIFS(Trechos!$L$2:$L$275,A20)</f>
        <v>2</v>
      </c>
      <c r="K20" s="23" t="n">
        <f aca="false">SUMIFS(Trechos!$F$2:$F$275,Trechos!$L$2:$L$275,A20)</f>
        <v>57.0373063357704</v>
      </c>
      <c r="L20" s="22" t="s">
        <v>49</v>
      </c>
      <c r="M20" s="22" t="str">
        <f aca="false">Blocos!AA13</f>
        <v>—</v>
      </c>
    </row>
    <row r="21" customFormat="false" ht="15" hidden="false" customHeight="false" outlineLevel="0" collapsed="false">
      <c r="A21" s="18" t="n">
        <v>13</v>
      </c>
      <c r="B21" s="27" t="s">
        <v>24</v>
      </c>
      <c r="C21" s="25" t="s">
        <v>42</v>
      </c>
      <c r="D21" s="28" t="s">
        <v>68</v>
      </c>
      <c r="E21" s="21"/>
      <c r="F21" s="21"/>
      <c r="G21" s="21"/>
      <c r="H21" s="22" t="s">
        <v>68</v>
      </c>
      <c r="I21" s="22" t="s">
        <v>69</v>
      </c>
      <c r="J21" s="22" t="n">
        <f aca="false">COUNTIFS(Trechos!$L$2:$L$275,A21)</f>
        <v>1</v>
      </c>
      <c r="K21" s="23" t="n">
        <f aca="false">SUMIFS(Trechos!$F$2:$F$275,Trechos!$L$2:$L$275,A21)</f>
        <v>11.0944529514517</v>
      </c>
      <c r="L21" s="22" t="s">
        <v>49</v>
      </c>
      <c r="M21" s="22" t="str">
        <f aca="false">Blocos!AA14</f>
        <v>—</v>
      </c>
    </row>
    <row r="22" customFormat="false" ht="15" hidden="false" customHeight="false" outlineLevel="0" collapsed="false">
      <c r="A22" s="17" t="s">
        <v>70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customFormat="false" ht="15" hidden="false" customHeight="false" outlineLevel="0" collapsed="false">
      <c r="A23" s="18" t="n">
        <v>14</v>
      </c>
      <c r="B23" s="19" t="s">
        <v>22</v>
      </c>
      <c r="C23" s="20" t="s">
        <v>42</v>
      </c>
      <c r="D23" s="21"/>
      <c r="E23" s="21"/>
      <c r="F23" s="21"/>
      <c r="G23" s="21"/>
      <c r="H23" s="22" t="s">
        <v>71</v>
      </c>
      <c r="I23" s="22" t="s">
        <v>72</v>
      </c>
      <c r="J23" s="22" t="n">
        <f aca="false">COUNTIFS(Trechos!$L$2:$L$275,A23)</f>
        <v>3</v>
      </c>
      <c r="K23" s="23" t="n">
        <f aca="false">SUMIFS(Trechos!$F$2:$F$275,Trechos!$L$2:$L$275,A23)</f>
        <v>39.2116238305168</v>
      </c>
      <c r="L23" s="22" t="s">
        <v>49</v>
      </c>
      <c r="M23" s="22" t="str">
        <f aca="false">Blocos!AA15</f>
        <v>0300050007</v>
      </c>
    </row>
    <row r="24" customFormat="false" ht="15" hidden="false" customHeight="false" outlineLevel="0" collapsed="false">
      <c r="A24" s="18" t="n">
        <v>15</v>
      </c>
      <c r="B24" s="27" t="s">
        <v>24</v>
      </c>
      <c r="C24" s="25" t="s">
        <v>42</v>
      </c>
      <c r="D24" s="28" t="s">
        <v>73</v>
      </c>
      <c r="E24" s="21"/>
      <c r="F24" s="21"/>
      <c r="G24" s="21"/>
      <c r="H24" s="22" t="s">
        <v>73</v>
      </c>
      <c r="I24" s="22" t="s">
        <v>74</v>
      </c>
      <c r="J24" s="22" t="n">
        <f aca="false">COUNTIFS(Trechos!$L$2:$L$275,A24)</f>
        <v>3</v>
      </c>
      <c r="K24" s="23" t="n">
        <f aca="false">SUMIFS(Trechos!$F$2:$F$275,Trechos!$L$2:$L$275,A24)</f>
        <v>380.996486827352</v>
      </c>
      <c r="L24" s="22" t="s">
        <v>49</v>
      </c>
      <c r="M24" s="22" t="str">
        <f aca="false">Blocos!AA16</f>
        <v>—</v>
      </c>
    </row>
    <row r="25" customFormat="false" ht="15" hidden="false" customHeight="false" outlineLevel="0" collapsed="false">
      <c r="A25" s="17" t="s">
        <v>75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customFormat="false" ht="15" hidden="false" customHeight="false" outlineLevel="0" collapsed="false">
      <c r="A26" s="18" t="n">
        <v>16</v>
      </c>
      <c r="B26" s="19" t="s">
        <v>22</v>
      </c>
      <c r="C26" s="20" t="s">
        <v>42</v>
      </c>
      <c r="D26" s="21"/>
      <c r="E26" s="21"/>
      <c r="F26" s="21"/>
      <c r="G26" s="21"/>
      <c r="H26" s="22" t="s">
        <v>76</v>
      </c>
      <c r="I26" s="22" t="s">
        <v>77</v>
      </c>
      <c r="J26" s="22" t="n">
        <f aca="false">COUNTIFS(Trechos!$L$2:$L$275,A26)</f>
        <v>2</v>
      </c>
      <c r="K26" s="23" t="n">
        <f aca="false">SUMIFS(Trechos!$F$2:$F$275,Trechos!$L$2:$L$275,A26)</f>
        <v>27.0246428584506</v>
      </c>
      <c r="L26" s="22" t="s">
        <v>49</v>
      </c>
      <c r="M26" s="22" t="str">
        <f aca="false">Blocos!AA17</f>
        <v>—</v>
      </c>
    </row>
    <row r="27" customFormat="false" ht="15" hidden="false" customHeight="false" outlineLevel="0" collapsed="false">
      <c r="A27" s="17" t="s">
        <v>78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15" hidden="false" customHeight="false" outlineLevel="0" collapsed="false">
      <c r="A28" s="18" t="n">
        <v>17</v>
      </c>
      <c r="B28" s="19" t="s">
        <v>22</v>
      </c>
      <c r="C28" s="20" t="s">
        <v>42</v>
      </c>
      <c r="D28" s="21"/>
      <c r="E28" s="21"/>
      <c r="F28" s="21"/>
      <c r="G28" s="21"/>
      <c r="H28" s="22" t="s">
        <v>79</v>
      </c>
      <c r="I28" s="22" t="s">
        <v>80</v>
      </c>
      <c r="J28" s="22" t="n">
        <f aca="false">COUNTIFS(Trechos!$L$2:$L$275,A28)</f>
        <v>1</v>
      </c>
      <c r="K28" s="23" t="n">
        <f aca="false">SUMIFS(Trechos!$F$2:$F$275,Trechos!$L$2:$L$275,A28)</f>
        <v>2.87610339940285</v>
      </c>
      <c r="L28" s="22" t="s">
        <v>49</v>
      </c>
      <c r="M28" s="22" t="str">
        <f aca="false">Blocos!AA18</f>
        <v>0200055007</v>
      </c>
    </row>
    <row r="29" customFormat="false" ht="15" hidden="false" customHeight="false" outlineLevel="0" collapsed="false">
      <c r="A29" s="18" t="n">
        <v>18</v>
      </c>
      <c r="B29" s="27" t="s">
        <v>24</v>
      </c>
      <c r="C29" s="25" t="s">
        <v>42</v>
      </c>
      <c r="D29" s="28" t="s">
        <v>80</v>
      </c>
      <c r="E29" s="21"/>
      <c r="F29" s="21"/>
      <c r="G29" s="21"/>
      <c r="H29" s="22" t="s">
        <v>80</v>
      </c>
      <c r="I29" s="22" t="s">
        <v>81</v>
      </c>
      <c r="J29" s="22" t="n">
        <f aca="false">COUNTIFS(Trechos!$L$2:$L$275,A29)</f>
        <v>2</v>
      </c>
      <c r="K29" s="23" t="n">
        <f aca="false">SUMIFS(Trechos!$F$2:$F$275,Trechos!$L$2:$L$275,A29)</f>
        <v>41.257040528592</v>
      </c>
      <c r="L29" s="22" t="s">
        <v>49</v>
      </c>
      <c r="M29" s="22" t="str">
        <f aca="false">Blocos!AA19</f>
        <v>—</v>
      </c>
    </row>
    <row r="30" customFormat="false" ht="15" hidden="false" customHeight="false" outlineLevel="0" collapsed="false">
      <c r="A30" s="17" t="s">
        <v>82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customFormat="false" ht="15" hidden="false" customHeight="false" outlineLevel="0" collapsed="false">
      <c r="A31" s="18" t="n">
        <v>19</v>
      </c>
      <c r="B31" s="19" t="s">
        <v>22</v>
      </c>
      <c r="C31" s="20" t="s">
        <v>42</v>
      </c>
      <c r="D31" s="21"/>
      <c r="E31" s="21"/>
      <c r="F31" s="21"/>
      <c r="G31" s="21"/>
      <c r="H31" s="22" t="s">
        <v>83</v>
      </c>
      <c r="I31" s="22" t="s">
        <v>84</v>
      </c>
      <c r="J31" s="22" t="n">
        <f aca="false">COUNTIFS(Trechos!$L$2:$L$275,A31)</f>
        <v>4</v>
      </c>
      <c r="K31" s="23" t="n">
        <f aca="false">SUMIFS(Trechos!$F$2:$F$275,Trechos!$L$2:$L$275,A31)</f>
        <v>24.8091689458992</v>
      </c>
      <c r="L31" s="22" t="s">
        <v>49</v>
      </c>
      <c r="M31" s="22" t="str">
        <f aca="false">Blocos!AA20</f>
        <v>0300057007, 0357094007, 0300056007</v>
      </c>
    </row>
    <row r="32" customFormat="false" ht="15" hidden="false" customHeight="false" outlineLevel="0" collapsed="false">
      <c r="A32" s="18" t="n">
        <v>20</v>
      </c>
      <c r="B32" s="27" t="s">
        <v>24</v>
      </c>
      <c r="C32" s="25" t="s">
        <v>42</v>
      </c>
      <c r="D32" s="28" t="s">
        <v>85</v>
      </c>
      <c r="E32" s="21"/>
      <c r="F32" s="21"/>
      <c r="G32" s="21"/>
      <c r="H32" s="22" t="s">
        <v>85</v>
      </c>
      <c r="I32" s="22" t="s">
        <v>86</v>
      </c>
      <c r="J32" s="22" t="n">
        <f aca="false">COUNTIFS(Trechos!$L$2:$L$275,A32)</f>
        <v>4</v>
      </c>
      <c r="K32" s="23" t="n">
        <f aca="false">SUMIFS(Trechos!$F$2:$F$275,Trechos!$L$2:$L$275,A32)</f>
        <v>188.298210279016</v>
      </c>
      <c r="L32" s="22" t="s">
        <v>49</v>
      </c>
      <c r="M32" s="22" t="str">
        <f aca="false">Blocos!AA21</f>
        <v>0357094007</v>
      </c>
    </row>
    <row r="33" customFormat="false" ht="15" hidden="false" customHeight="false" outlineLevel="0" collapsed="false">
      <c r="A33" s="18" t="n">
        <v>21</v>
      </c>
      <c r="B33" s="29" t="s">
        <v>25</v>
      </c>
      <c r="C33" s="25" t="s">
        <v>42</v>
      </c>
      <c r="D33" s="25" t="s">
        <v>85</v>
      </c>
      <c r="E33" s="30" t="s">
        <v>87</v>
      </c>
      <c r="F33" s="21"/>
      <c r="G33" s="21"/>
      <c r="H33" s="22" t="s">
        <v>87</v>
      </c>
      <c r="I33" s="22" t="s">
        <v>88</v>
      </c>
      <c r="J33" s="22" t="n">
        <f aca="false">COUNTIFS(Trechos!$L$2:$L$275,A33)</f>
        <v>1</v>
      </c>
      <c r="K33" s="23" t="n">
        <f aca="false">SUMIFS(Trechos!$F$2:$F$275,Trechos!$L$2:$L$275,A33)</f>
        <v>2.35262168509654</v>
      </c>
      <c r="L33" s="22" t="s">
        <v>49</v>
      </c>
      <c r="M33" s="22" t="str">
        <f aca="false">Blocos!AA22</f>
        <v>—</v>
      </c>
    </row>
    <row r="34" customFormat="false" ht="15" hidden="false" customHeight="false" outlineLevel="0" collapsed="false">
      <c r="A34" s="18" t="n">
        <v>22</v>
      </c>
      <c r="B34" s="27" t="s">
        <v>24</v>
      </c>
      <c r="C34" s="25" t="s">
        <v>42</v>
      </c>
      <c r="D34" s="28" t="s">
        <v>89</v>
      </c>
      <c r="E34" s="21"/>
      <c r="F34" s="21"/>
      <c r="G34" s="21"/>
      <c r="H34" s="22" t="s">
        <v>89</v>
      </c>
      <c r="I34" s="22" t="s">
        <v>90</v>
      </c>
      <c r="J34" s="22" t="n">
        <f aca="false">COUNTIFS(Trechos!$L$2:$L$275,A34)</f>
        <v>1</v>
      </c>
      <c r="K34" s="23" t="n">
        <f aca="false">SUMIFS(Trechos!$F$2:$F$275,Trechos!$L$2:$L$275,A34)</f>
        <v>25.7703165866184</v>
      </c>
      <c r="L34" s="22" t="s">
        <v>49</v>
      </c>
      <c r="M34" s="22" t="str">
        <f aca="false">Blocos!AA23</f>
        <v>—</v>
      </c>
    </row>
    <row r="35" customFormat="false" ht="15" hidden="false" customHeight="false" outlineLevel="0" collapsed="false">
      <c r="A35" s="17" t="s">
        <v>91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customFormat="false" ht="15" hidden="false" customHeight="false" outlineLevel="0" collapsed="false">
      <c r="A36" s="18" t="n">
        <v>23</v>
      </c>
      <c r="B36" s="19" t="s">
        <v>22</v>
      </c>
      <c r="C36" s="20" t="s">
        <v>42</v>
      </c>
      <c r="D36" s="21"/>
      <c r="E36" s="21"/>
      <c r="F36" s="21"/>
      <c r="G36" s="21"/>
      <c r="H36" s="22" t="s">
        <v>92</v>
      </c>
      <c r="I36" s="22" t="s">
        <v>93</v>
      </c>
      <c r="J36" s="22" t="n">
        <f aca="false">COUNTIFS(Trechos!$L$2:$L$275,A36)</f>
        <v>1</v>
      </c>
      <c r="K36" s="23" t="n">
        <f aca="false">SUMIFS(Trechos!$F$2:$F$275,Trechos!$L$2:$L$275,A36)</f>
        <v>1.91634481160728</v>
      </c>
      <c r="L36" s="22" t="s">
        <v>49</v>
      </c>
      <c r="M36" s="22" t="str">
        <f aca="false">Blocos!AA24</f>
        <v>0200061007</v>
      </c>
    </row>
    <row r="37" customFormat="false" ht="15" hidden="false" customHeight="false" outlineLevel="0" collapsed="false">
      <c r="A37" s="18" t="n">
        <v>24</v>
      </c>
      <c r="B37" s="27" t="s">
        <v>24</v>
      </c>
      <c r="C37" s="25" t="s">
        <v>42</v>
      </c>
      <c r="D37" s="28" t="s">
        <v>93</v>
      </c>
      <c r="E37" s="21"/>
      <c r="F37" s="21"/>
      <c r="G37" s="21"/>
      <c r="H37" s="22" t="s">
        <v>93</v>
      </c>
      <c r="I37" s="22" t="s">
        <v>94</v>
      </c>
      <c r="J37" s="22" t="n">
        <f aca="false">COUNTIFS(Trechos!$L$2:$L$275,A37)</f>
        <v>2</v>
      </c>
      <c r="K37" s="23" t="n">
        <f aca="false">SUMIFS(Trechos!$F$2:$F$275,Trechos!$L$2:$L$275,A37)</f>
        <v>31.66240387166</v>
      </c>
      <c r="L37" s="22" t="s">
        <v>49</v>
      </c>
      <c r="M37" s="22" t="str">
        <f aca="false">Blocos!AA25</f>
        <v>—</v>
      </c>
    </row>
    <row r="38" customFormat="false" ht="15" hidden="false" customHeight="false" outlineLevel="0" collapsed="false">
      <c r="A38" s="17" t="s">
        <v>95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customFormat="false" ht="15" hidden="false" customHeight="false" outlineLevel="0" collapsed="false">
      <c r="A39" s="18" t="n">
        <v>25</v>
      </c>
      <c r="B39" s="19" t="s">
        <v>22</v>
      </c>
      <c r="C39" s="20" t="s">
        <v>42</v>
      </c>
      <c r="D39" s="21"/>
      <c r="E39" s="21"/>
      <c r="F39" s="21"/>
      <c r="G39" s="21"/>
      <c r="H39" s="22" t="s">
        <v>96</v>
      </c>
      <c r="I39" s="22" t="s">
        <v>97</v>
      </c>
      <c r="J39" s="22" t="n">
        <f aca="false">COUNTIFS(Trechos!$L$2:$L$275,A39)</f>
        <v>1</v>
      </c>
      <c r="K39" s="23" t="n">
        <f aca="false">SUMIFS(Trechos!$F$2:$F$275,Trechos!$L$2:$L$275,A39)</f>
        <v>0.3289439437299</v>
      </c>
      <c r="L39" s="22" t="s">
        <v>49</v>
      </c>
      <c r="M39" s="22" t="str">
        <f aca="false">Blocos!AA26</f>
        <v>0300062007</v>
      </c>
    </row>
    <row r="40" customFormat="false" ht="15" hidden="false" customHeight="false" outlineLevel="0" collapsed="false">
      <c r="A40" s="18" t="n">
        <v>26</v>
      </c>
      <c r="B40" s="27" t="s">
        <v>24</v>
      </c>
      <c r="C40" s="25" t="s">
        <v>42</v>
      </c>
      <c r="D40" s="28" t="s">
        <v>97</v>
      </c>
      <c r="E40" s="21"/>
      <c r="F40" s="21"/>
      <c r="G40" s="21"/>
      <c r="H40" s="22" t="s">
        <v>97</v>
      </c>
      <c r="I40" s="22" t="s">
        <v>98</v>
      </c>
      <c r="J40" s="22" t="n">
        <f aca="false">COUNTIFS(Trechos!$L$2:$L$275,A40)</f>
        <v>4</v>
      </c>
      <c r="K40" s="23" t="n">
        <f aca="false">SUMIFS(Trechos!$F$2:$F$275,Trechos!$L$2:$L$275,A40)</f>
        <v>10.2712756964159</v>
      </c>
      <c r="L40" s="22" t="s">
        <v>49</v>
      </c>
      <c r="M40" s="22" t="str">
        <f aca="false">Blocos!AA27</f>
        <v>—</v>
      </c>
    </row>
    <row r="41" customFormat="false" ht="15" hidden="false" customHeight="false" outlineLevel="0" collapsed="false">
      <c r="A41" s="17" t="s">
        <v>99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customFormat="false" ht="15" hidden="false" customHeight="false" outlineLevel="0" collapsed="false">
      <c r="A42" s="18" t="n">
        <v>27</v>
      </c>
      <c r="B42" s="19" t="s">
        <v>22</v>
      </c>
      <c r="C42" s="20" t="s">
        <v>42</v>
      </c>
      <c r="D42" s="21"/>
      <c r="E42" s="21"/>
      <c r="F42" s="21"/>
      <c r="G42" s="21"/>
      <c r="H42" s="22" t="s">
        <v>100</v>
      </c>
      <c r="I42" s="22" t="s">
        <v>101</v>
      </c>
      <c r="J42" s="22" t="n">
        <f aca="false">COUNTIFS(Trechos!$L$2:$L$275,A42)</f>
        <v>4</v>
      </c>
      <c r="K42" s="23" t="n">
        <f aca="false">SUMIFS(Trechos!$F$2:$F$275,Trechos!$L$2:$L$275,A42)</f>
        <v>174.127818277171</v>
      </c>
      <c r="L42" s="22" t="s">
        <v>49</v>
      </c>
      <c r="M42" s="22" t="str">
        <f aca="false">Blocos!AA28</f>
        <v>0300065007</v>
      </c>
    </row>
    <row r="43" customFormat="false" ht="15" hidden="false" customHeight="false" outlineLevel="0" collapsed="false">
      <c r="A43" s="18" t="n">
        <v>28</v>
      </c>
      <c r="B43" s="27" t="s">
        <v>24</v>
      </c>
      <c r="C43" s="25" t="s">
        <v>42</v>
      </c>
      <c r="D43" s="28" t="s">
        <v>102</v>
      </c>
      <c r="E43" s="21"/>
      <c r="F43" s="21"/>
      <c r="G43" s="21"/>
      <c r="H43" s="22" t="s">
        <v>102</v>
      </c>
      <c r="I43" s="22" t="s">
        <v>103</v>
      </c>
      <c r="J43" s="22" t="n">
        <f aca="false">COUNTIFS(Trechos!$L$2:$L$275,A43)</f>
        <v>1</v>
      </c>
      <c r="K43" s="23" t="n">
        <f aca="false">SUMIFS(Trechos!$F$2:$F$275,Trechos!$L$2:$L$275,A43)</f>
        <v>102.761217127749</v>
      </c>
      <c r="L43" s="22" t="s">
        <v>49</v>
      </c>
      <c r="M43" s="22" t="str">
        <f aca="false">Blocos!AA29</f>
        <v>—</v>
      </c>
    </row>
    <row r="44" customFormat="false" ht="15" hidden="false" customHeight="false" outlineLevel="0" collapsed="false">
      <c r="A44" s="17" t="s">
        <v>104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customFormat="false" ht="15" hidden="false" customHeight="false" outlineLevel="0" collapsed="false">
      <c r="A45" s="18" t="n">
        <v>29</v>
      </c>
      <c r="B45" s="19" t="s">
        <v>22</v>
      </c>
      <c r="C45" s="20" t="s">
        <v>42</v>
      </c>
      <c r="D45" s="21"/>
      <c r="E45" s="21"/>
      <c r="F45" s="21"/>
      <c r="G45" s="21"/>
      <c r="H45" s="22" t="s">
        <v>105</v>
      </c>
      <c r="I45" s="22" t="s">
        <v>106</v>
      </c>
      <c r="J45" s="22" t="n">
        <f aca="false">COUNTIFS(Trechos!$L$2:$L$275,A45)</f>
        <v>1</v>
      </c>
      <c r="K45" s="23" t="n">
        <f aca="false">SUMIFS(Trechos!$F$2:$F$275,Trechos!$L$2:$L$275,A45)</f>
        <v>5.45772281405916</v>
      </c>
      <c r="L45" s="22" t="s">
        <v>49</v>
      </c>
      <c r="M45" s="22" t="str">
        <f aca="false">Blocos!AA30</f>
        <v>—</v>
      </c>
    </row>
    <row r="46" customFormat="false" ht="15" hidden="false" customHeight="false" outlineLevel="0" collapsed="false">
      <c r="A46" s="17" t="s">
        <v>107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customFormat="false" ht="15" hidden="false" customHeight="false" outlineLevel="0" collapsed="false">
      <c r="A47" s="18" t="n">
        <v>30</v>
      </c>
      <c r="B47" s="24" t="s">
        <v>23</v>
      </c>
      <c r="C47" s="25" t="s">
        <v>42</v>
      </c>
      <c r="D47" s="26" t="s">
        <v>43</v>
      </c>
      <c r="E47" s="21"/>
      <c r="F47" s="21"/>
      <c r="G47" s="21"/>
      <c r="H47" s="22" t="s">
        <v>108</v>
      </c>
      <c r="I47" s="22" t="s">
        <v>109</v>
      </c>
      <c r="J47" s="22" t="n">
        <f aca="false">COUNTIFS(Trechos!$L$2:$L$275,A47)</f>
        <v>1</v>
      </c>
      <c r="K47" s="23" t="n">
        <f aca="false">SUMIFS(Trechos!$F$2:$F$275,Trechos!$L$2:$L$275,A47)</f>
        <v>4.77595546451011</v>
      </c>
      <c r="L47" s="22" t="s">
        <v>49</v>
      </c>
      <c r="M47" s="22" t="str">
        <f aca="false">Blocos!AA31</f>
        <v>—</v>
      </c>
    </row>
    <row r="48" customFormat="false" ht="15" hidden="false" customHeight="false" outlineLevel="0" collapsed="false">
      <c r="A48" s="17" t="s">
        <v>110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customFormat="false" ht="15" hidden="false" customHeight="false" outlineLevel="0" collapsed="false">
      <c r="A49" s="18" t="n">
        <v>31</v>
      </c>
      <c r="B49" s="24" t="s">
        <v>23</v>
      </c>
      <c r="C49" s="25" t="s">
        <v>42</v>
      </c>
      <c r="D49" s="26" t="s">
        <v>43</v>
      </c>
      <c r="E49" s="21"/>
      <c r="F49" s="21"/>
      <c r="G49" s="21"/>
      <c r="H49" s="22" t="s">
        <v>111</v>
      </c>
      <c r="I49" s="22" t="s">
        <v>112</v>
      </c>
      <c r="J49" s="22" t="n">
        <f aca="false">COUNTIFS(Trechos!$L$2:$L$275,A49)</f>
        <v>2</v>
      </c>
      <c r="K49" s="23" t="n">
        <f aca="false">SUMIFS(Trechos!$F$2:$F$275,Trechos!$L$2:$L$275,A49)</f>
        <v>44.7709334024713</v>
      </c>
      <c r="L49" s="22" t="s">
        <v>49</v>
      </c>
      <c r="M49" s="22" t="str">
        <f aca="false">Blocos!AA32</f>
        <v>0300068007, 0300070007, 0300073007, 0300074007</v>
      </c>
    </row>
    <row r="50" customFormat="false" ht="15" hidden="false" customHeight="false" outlineLevel="0" collapsed="false">
      <c r="A50" s="18" t="n">
        <v>32</v>
      </c>
      <c r="B50" s="27" t="s">
        <v>24</v>
      </c>
      <c r="C50" s="25" t="s">
        <v>42</v>
      </c>
      <c r="D50" s="25" t="s">
        <v>43</v>
      </c>
      <c r="E50" s="28" t="s">
        <v>112</v>
      </c>
      <c r="F50" s="21"/>
      <c r="G50" s="21"/>
      <c r="H50" s="22" t="s">
        <v>112</v>
      </c>
      <c r="I50" s="22" t="s">
        <v>113</v>
      </c>
      <c r="J50" s="22" t="n">
        <f aca="false">COUNTIFS(Trechos!$L$2:$L$275,A50)</f>
        <v>16</v>
      </c>
      <c r="K50" s="23" t="n">
        <f aca="false">SUMIFS(Trechos!$F$2:$F$275,Trechos!$L$2:$L$275,A50)</f>
        <v>618.681172096717</v>
      </c>
      <c r="L50" s="22" t="s">
        <v>49</v>
      </c>
      <c r="M50" s="22" t="str">
        <f aca="false">Blocos!AA33</f>
        <v>0300070007, 0300073007, 0300074007</v>
      </c>
    </row>
    <row r="51" customFormat="false" ht="15" hidden="false" customHeight="false" outlineLevel="0" collapsed="false">
      <c r="A51" s="18" t="n">
        <v>33</v>
      </c>
      <c r="B51" s="29" t="s">
        <v>25</v>
      </c>
      <c r="C51" s="25" t="s">
        <v>42</v>
      </c>
      <c r="D51" s="25" t="s">
        <v>43</v>
      </c>
      <c r="E51" s="25" t="s">
        <v>112</v>
      </c>
      <c r="F51" s="30" t="s">
        <v>114</v>
      </c>
      <c r="G51" s="21"/>
      <c r="H51" s="22" t="s">
        <v>114</v>
      </c>
      <c r="I51" s="22" t="s">
        <v>115</v>
      </c>
      <c r="J51" s="22" t="n">
        <f aca="false">COUNTIFS(Trechos!$L$2:$L$275,A51)</f>
        <v>2</v>
      </c>
      <c r="K51" s="23" t="n">
        <f aca="false">SUMIFS(Trechos!$F$2:$F$275,Trechos!$L$2:$L$275,A51)</f>
        <v>174.540618398025</v>
      </c>
      <c r="L51" s="22" t="s">
        <v>49</v>
      </c>
      <c r="M51" s="22" t="str">
        <f aca="false">Blocos!AA34</f>
        <v>—</v>
      </c>
    </row>
    <row r="52" customFormat="false" ht="15" hidden="false" customHeight="false" outlineLevel="0" collapsed="false">
      <c r="A52" s="18" t="n">
        <v>34</v>
      </c>
      <c r="B52" s="29" t="s">
        <v>25</v>
      </c>
      <c r="C52" s="25" t="s">
        <v>42</v>
      </c>
      <c r="D52" s="25" t="s">
        <v>43</v>
      </c>
      <c r="E52" s="25" t="s">
        <v>112</v>
      </c>
      <c r="F52" s="30" t="s">
        <v>116</v>
      </c>
      <c r="G52" s="21"/>
      <c r="H52" s="22" t="s">
        <v>116</v>
      </c>
      <c r="I52" s="22" t="s">
        <v>117</v>
      </c>
      <c r="J52" s="22" t="n">
        <f aca="false">COUNTIFS(Trechos!$L$2:$L$275,A52)</f>
        <v>5</v>
      </c>
      <c r="K52" s="23" t="n">
        <f aca="false">SUMIFS(Trechos!$F$2:$F$275,Trechos!$L$2:$L$275,A52)</f>
        <v>276.328228466191</v>
      </c>
      <c r="L52" s="22" t="s">
        <v>49</v>
      </c>
      <c r="M52" s="22" t="str">
        <f aca="false">Blocos!AA35</f>
        <v>0300074007</v>
      </c>
    </row>
    <row r="53" customFormat="false" ht="15" hidden="false" customHeight="false" outlineLevel="0" collapsed="false">
      <c r="A53" s="18" t="n">
        <v>35</v>
      </c>
      <c r="B53" s="31" t="s">
        <v>26</v>
      </c>
      <c r="C53" s="25" t="s">
        <v>42</v>
      </c>
      <c r="D53" s="25" t="s">
        <v>43</v>
      </c>
      <c r="E53" s="25" t="s">
        <v>112</v>
      </c>
      <c r="F53" s="25" t="s">
        <v>116</v>
      </c>
      <c r="G53" s="32" t="s">
        <v>117</v>
      </c>
      <c r="H53" s="22" t="s">
        <v>117</v>
      </c>
      <c r="I53" s="22" t="s">
        <v>118</v>
      </c>
      <c r="J53" s="22" t="n">
        <f aca="false">COUNTIFS(Trechos!$L$2:$L$275,A53)</f>
        <v>1</v>
      </c>
      <c r="K53" s="23" t="n">
        <f aca="false">SUMIFS(Trechos!$F$2:$F$275,Trechos!$L$2:$L$275,A53)</f>
        <v>9.28942562558534</v>
      </c>
      <c r="L53" s="22" t="s">
        <v>49</v>
      </c>
      <c r="M53" s="22" t="str">
        <f aca="false">Blocos!AA36</f>
        <v>—</v>
      </c>
    </row>
    <row r="54" customFormat="false" ht="15" hidden="false" customHeight="false" outlineLevel="0" collapsed="false">
      <c r="A54" s="17" t="s">
        <v>119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customFormat="false" ht="15" hidden="false" customHeight="false" outlineLevel="0" collapsed="false">
      <c r="A55" s="18" t="n">
        <v>36</v>
      </c>
      <c r="B55" s="24" t="s">
        <v>23</v>
      </c>
      <c r="C55" s="25" t="s">
        <v>42</v>
      </c>
      <c r="D55" s="26" t="s">
        <v>43</v>
      </c>
      <c r="E55" s="21"/>
      <c r="F55" s="21"/>
      <c r="G55" s="21"/>
      <c r="H55" s="22" t="s">
        <v>120</v>
      </c>
      <c r="I55" s="22" t="s">
        <v>121</v>
      </c>
      <c r="J55" s="22" t="n">
        <f aca="false">COUNTIFS(Trechos!$L$2:$L$275,A55)</f>
        <v>7</v>
      </c>
      <c r="K55" s="23" t="n">
        <f aca="false">SUMIFS(Trechos!$F$2:$F$275,Trechos!$L$2:$L$275,A55)</f>
        <v>255.810255905576</v>
      </c>
      <c r="L55" s="22" t="s">
        <v>49</v>
      </c>
      <c r="M55" s="22" t="str">
        <f aca="false">Blocos!AA37</f>
        <v>0300111007, 0300115007, 0300145007, 0200114007, 0301201007, 0300109007</v>
      </c>
    </row>
    <row r="56" customFormat="false" ht="15" hidden="false" customHeight="false" outlineLevel="0" collapsed="false">
      <c r="A56" s="18" t="n">
        <v>37</v>
      </c>
      <c r="B56" s="27" t="s">
        <v>24</v>
      </c>
      <c r="C56" s="25" t="s">
        <v>42</v>
      </c>
      <c r="D56" s="25" t="s">
        <v>43</v>
      </c>
      <c r="E56" s="28" t="s">
        <v>122</v>
      </c>
      <c r="F56" s="21"/>
      <c r="G56" s="21"/>
      <c r="H56" s="22" t="s">
        <v>122</v>
      </c>
      <c r="I56" s="22" t="s">
        <v>123</v>
      </c>
      <c r="J56" s="22" t="n">
        <f aca="false">COUNTIFS(Trechos!$L$2:$L$275,A56)</f>
        <v>34</v>
      </c>
      <c r="K56" s="23" t="n">
        <f aca="false">SUMIFS(Trechos!$F$2:$F$275,Trechos!$L$2:$L$275,A56)</f>
        <v>1391.56345957173</v>
      </c>
      <c r="L56" s="22" t="s">
        <v>49</v>
      </c>
      <c r="M56" s="22" t="str">
        <f aca="false">Blocos!AA38</f>
        <v>0300115007, 0300145007, 0200114007, 0301201007</v>
      </c>
    </row>
    <row r="57" customFormat="false" ht="15" hidden="false" customHeight="false" outlineLevel="0" collapsed="false">
      <c r="A57" s="18" t="n">
        <v>38</v>
      </c>
      <c r="B57" s="29" t="s">
        <v>25</v>
      </c>
      <c r="C57" s="25" t="s">
        <v>42</v>
      </c>
      <c r="D57" s="25" t="s">
        <v>43</v>
      </c>
      <c r="E57" s="25" t="s">
        <v>122</v>
      </c>
      <c r="F57" s="30" t="s">
        <v>124</v>
      </c>
      <c r="G57" s="21"/>
      <c r="H57" s="22" t="s">
        <v>124</v>
      </c>
      <c r="I57" s="22" t="s">
        <v>125</v>
      </c>
      <c r="J57" s="22" t="n">
        <f aca="false">COUNTIFS(Trechos!$L$2:$L$275,A57)</f>
        <v>16</v>
      </c>
      <c r="K57" s="23" t="n">
        <f aca="false">SUMIFS(Trechos!$F$2:$F$275,Trechos!$L$2:$L$275,A57)</f>
        <v>903.0351698631</v>
      </c>
      <c r="L57" s="22" t="s">
        <v>126</v>
      </c>
      <c r="M57" s="22" t="str">
        <f aca="false">Blocos!AA39</f>
        <v>—</v>
      </c>
    </row>
    <row r="58" customFormat="false" ht="15" hidden="false" customHeight="false" outlineLevel="0" collapsed="false">
      <c r="A58" s="18" t="n">
        <v>39</v>
      </c>
      <c r="B58" s="29" t="s">
        <v>25</v>
      </c>
      <c r="C58" s="25" t="s">
        <v>42</v>
      </c>
      <c r="D58" s="25" t="s">
        <v>43</v>
      </c>
      <c r="E58" s="25" t="s">
        <v>122</v>
      </c>
      <c r="F58" s="30" t="s">
        <v>127</v>
      </c>
      <c r="G58" s="21"/>
      <c r="H58" s="22" t="s">
        <v>127</v>
      </c>
      <c r="I58" s="22" t="s">
        <v>128</v>
      </c>
      <c r="J58" s="22" t="n">
        <f aca="false">COUNTIFS(Trechos!$L$2:$L$275,A58)</f>
        <v>9</v>
      </c>
      <c r="K58" s="23" t="n">
        <f aca="false">SUMIFS(Trechos!$F$2:$F$275,Trechos!$L$2:$L$275,A58)</f>
        <v>318.293173892993</v>
      </c>
      <c r="L58" s="22" t="s">
        <v>49</v>
      </c>
      <c r="M58" s="22" t="str">
        <f aca="false">Blocos!AA40</f>
        <v>—</v>
      </c>
    </row>
    <row r="59" customFormat="false" ht="15" hidden="false" customHeight="false" outlineLevel="0" collapsed="false">
      <c r="A59" s="18" t="n">
        <v>40</v>
      </c>
      <c r="B59" s="29" t="s">
        <v>25</v>
      </c>
      <c r="C59" s="25" t="s">
        <v>42</v>
      </c>
      <c r="D59" s="25" t="s">
        <v>43</v>
      </c>
      <c r="E59" s="25" t="s">
        <v>122</v>
      </c>
      <c r="F59" s="30" t="s">
        <v>129</v>
      </c>
      <c r="G59" s="21"/>
      <c r="H59" s="22" t="s">
        <v>129</v>
      </c>
      <c r="I59" s="22" t="s">
        <v>130</v>
      </c>
      <c r="J59" s="22" t="n">
        <f aca="false">COUNTIFS(Trechos!$L$2:$L$275,A59)</f>
        <v>2</v>
      </c>
      <c r="K59" s="23" t="n">
        <f aca="false">SUMIFS(Trechos!$F$2:$F$275,Trechos!$L$2:$L$275,A59)</f>
        <v>41.8485287060858</v>
      </c>
      <c r="L59" s="22" t="s">
        <v>49</v>
      </c>
      <c r="M59" s="22" t="str">
        <f aca="false">Blocos!AA41</f>
        <v>—</v>
      </c>
    </row>
    <row r="60" customFormat="false" ht="15" hidden="false" customHeight="false" outlineLevel="0" collapsed="false">
      <c r="A60" s="18" t="n">
        <v>41</v>
      </c>
      <c r="B60" s="29" t="s">
        <v>25</v>
      </c>
      <c r="C60" s="25" t="s">
        <v>42</v>
      </c>
      <c r="D60" s="25" t="s">
        <v>43</v>
      </c>
      <c r="E60" s="25" t="s">
        <v>122</v>
      </c>
      <c r="F60" s="30" t="s">
        <v>131</v>
      </c>
      <c r="G60" s="21"/>
      <c r="H60" s="22" t="s">
        <v>131</v>
      </c>
      <c r="I60" s="22" t="s">
        <v>132</v>
      </c>
      <c r="J60" s="22" t="n">
        <f aca="false">COUNTIFS(Trechos!$L$2:$L$275,A60)</f>
        <v>3</v>
      </c>
      <c r="K60" s="23" t="n">
        <f aca="false">SUMIFS(Trechos!$F$2:$F$275,Trechos!$L$2:$L$275,A60)</f>
        <v>441.773855640389</v>
      </c>
      <c r="L60" s="22" t="s">
        <v>49</v>
      </c>
      <c r="M60" s="22" t="str">
        <f aca="false">Blocos!AA42</f>
        <v>—</v>
      </c>
    </row>
    <row r="61" customFormat="false" ht="15" hidden="false" customHeight="false" outlineLevel="0" collapsed="false">
      <c r="A61" s="18" t="n">
        <v>42</v>
      </c>
      <c r="B61" s="27" t="s">
        <v>24</v>
      </c>
      <c r="C61" s="25" t="s">
        <v>42</v>
      </c>
      <c r="D61" s="25" t="s">
        <v>43</v>
      </c>
      <c r="E61" s="28" t="s">
        <v>133</v>
      </c>
      <c r="F61" s="21"/>
      <c r="G61" s="21"/>
      <c r="H61" s="22" t="s">
        <v>133</v>
      </c>
      <c r="I61" s="22" t="s">
        <v>134</v>
      </c>
      <c r="J61" s="22" t="n">
        <f aca="false">COUNTIFS(Trechos!$L$2:$L$275,A61)</f>
        <v>1</v>
      </c>
      <c r="K61" s="23" t="n">
        <f aca="false">SUMIFS(Trechos!$F$2:$F$275,Trechos!$L$2:$L$275,A61)</f>
        <v>42.0371060138566</v>
      </c>
      <c r="L61" s="22" t="s">
        <v>49</v>
      </c>
      <c r="M61" s="22" t="str">
        <f aca="false">Blocos!AA43</f>
        <v>—</v>
      </c>
    </row>
    <row r="62" customFormat="false" ht="15" hidden="false" customHeight="false" outlineLevel="0" collapsed="false">
      <c r="A62" s="17" t="s">
        <v>135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customFormat="false" ht="15" hidden="false" customHeight="false" outlineLevel="0" collapsed="false">
      <c r="A63" s="18" t="n">
        <v>43</v>
      </c>
      <c r="B63" s="24" t="s">
        <v>23</v>
      </c>
      <c r="C63" s="25" t="s">
        <v>42</v>
      </c>
      <c r="D63" s="26" t="s">
        <v>43</v>
      </c>
      <c r="E63" s="21"/>
      <c r="F63" s="21"/>
      <c r="G63" s="21"/>
      <c r="H63" s="22" t="s">
        <v>136</v>
      </c>
      <c r="I63" s="22" t="s">
        <v>137</v>
      </c>
      <c r="J63" s="22" t="n">
        <f aca="false">COUNTIFS(Trechos!$L$2:$L$275,A63)</f>
        <v>1</v>
      </c>
      <c r="K63" s="23" t="n">
        <f aca="false">SUMIFS(Trechos!$F$2:$F$275,Trechos!$L$2:$L$275,A63)</f>
        <v>2.85618918731252</v>
      </c>
      <c r="L63" s="22" t="s">
        <v>49</v>
      </c>
      <c r="M63" s="22" t="str">
        <f aca="false">Blocos!AA44</f>
        <v>0200038007</v>
      </c>
    </row>
    <row r="64" customFormat="false" ht="15" hidden="false" customHeight="false" outlineLevel="0" collapsed="false">
      <c r="A64" s="18" t="n">
        <v>44</v>
      </c>
      <c r="B64" s="27" t="s">
        <v>24</v>
      </c>
      <c r="C64" s="25" t="s">
        <v>42</v>
      </c>
      <c r="D64" s="25" t="s">
        <v>43</v>
      </c>
      <c r="E64" s="28" t="s">
        <v>137</v>
      </c>
      <c r="F64" s="21"/>
      <c r="G64" s="21"/>
      <c r="H64" s="22" t="s">
        <v>137</v>
      </c>
      <c r="I64" s="22" t="s">
        <v>138</v>
      </c>
      <c r="J64" s="22" t="n">
        <f aca="false">COUNTIFS(Trechos!$L$2:$L$275,A64)</f>
        <v>1</v>
      </c>
      <c r="K64" s="23" t="n">
        <f aca="false">SUMIFS(Trechos!$F$2:$F$275,Trechos!$L$2:$L$275,A64)</f>
        <v>26.0659621071185</v>
      </c>
      <c r="L64" s="22" t="s">
        <v>49</v>
      </c>
      <c r="M64" s="22" t="str">
        <f aca="false">Blocos!AA45</f>
        <v>—</v>
      </c>
    </row>
    <row r="65" customFormat="false" ht="15" hidden="false" customHeight="false" outlineLevel="0" collapsed="false">
      <c r="A65" s="17" t="s">
        <v>139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customFormat="false" ht="15" hidden="false" customHeight="false" outlineLevel="0" collapsed="false">
      <c r="A66" s="18" t="n">
        <v>45</v>
      </c>
      <c r="B66" s="24" t="s">
        <v>23</v>
      </c>
      <c r="C66" s="25" t="s">
        <v>42</v>
      </c>
      <c r="D66" s="26" t="s">
        <v>43</v>
      </c>
      <c r="E66" s="21"/>
      <c r="F66" s="21"/>
      <c r="G66" s="21"/>
      <c r="H66" s="22" t="s">
        <v>140</v>
      </c>
      <c r="I66" s="22" t="s">
        <v>141</v>
      </c>
      <c r="J66" s="22" t="n">
        <f aca="false">COUNTIFS(Trechos!$L$2:$L$275,A66)</f>
        <v>3</v>
      </c>
      <c r="K66" s="23" t="n">
        <f aca="false">SUMIFS(Trechos!$F$2:$F$275,Trechos!$L$2:$L$275,A66)</f>
        <v>141.437819946529</v>
      </c>
      <c r="L66" s="22" t="s">
        <v>49</v>
      </c>
      <c r="M66" s="22" t="str">
        <f aca="false">Blocos!AA46</f>
        <v>—</v>
      </c>
    </row>
    <row r="67" customFormat="false" ht="15" hidden="false" customHeight="false" outlineLevel="0" collapsed="false">
      <c r="A67" s="17" t="s">
        <v>142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customFormat="false" ht="15" hidden="false" customHeight="false" outlineLevel="0" collapsed="false">
      <c r="A68" s="18" t="n">
        <v>46</v>
      </c>
      <c r="B68" s="24" t="s">
        <v>23</v>
      </c>
      <c r="C68" s="25" t="s">
        <v>42</v>
      </c>
      <c r="D68" s="26" t="s">
        <v>43</v>
      </c>
      <c r="E68" s="21"/>
      <c r="F68" s="21"/>
      <c r="G68" s="21"/>
      <c r="H68" s="22" t="s">
        <v>143</v>
      </c>
      <c r="I68" s="22" t="s">
        <v>144</v>
      </c>
      <c r="J68" s="22" t="n">
        <f aca="false">COUNTIFS(Trechos!$L$2:$L$275,A68)</f>
        <v>1</v>
      </c>
      <c r="K68" s="23" t="n">
        <f aca="false">SUMIFS(Trechos!$F$2:$F$275,Trechos!$L$2:$L$275,A68)</f>
        <v>0.351143556282875</v>
      </c>
      <c r="L68" s="22" t="s">
        <v>49</v>
      </c>
      <c r="M68" s="22" t="str">
        <f aca="false">Blocos!AA47</f>
        <v>0300040007</v>
      </c>
    </row>
    <row r="69" customFormat="false" ht="15" hidden="false" customHeight="false" outlineLevel="0" collapsed="false">
      <c r="A69" s="18" t="n">
        <v>47</v>
      </c>
      <c r="B69" s="27" t="s">
        <v>24</v>
      </c>
      <c r="C69" s="25" t="s">
        <v>42</v>
      </c>
      <c r="D69" s="25" t="s">
        <v>43</v>
      </c>
      <c r="E69" s="28" t="s">
        <v>144</v>
      </c>
      <c r="F69" s="21"/>
      <c r="G69" s="21"/>
      <c r="H69" s="22" t="s">
        <v>144</v>
      </c>
      <c r="I69" s="22" t="s">
        <v>145</v>
      </c>
      <c r="J69" s="22" t="n">
        <f aca="false">COUNTIFS(Trechos!$L$2:$L$275,A69)</f>
        <v>1</v>
      </c>
      <c r="K69" s="23" t="n">
        <f aca="false">SUMIFS(Trechos!$F$2:$F$275,Trechos!$L$2:$L$275,A69)</f>
        <v>3.05485468158191</v>
      </c>
      <c r="L69" s="22" t="s">
        <v>49</v>
      </c>
      <c r="M69" s="22" t="str">
        <f aca="false">Blocos!AA48</f>
        <v>—</v>
      </c>
    </row>
    <row r="70" customFormat="false" ht="15" hidden="false" customHeight="false" outlineLevel="0" collapsed="false">
      <c r="A70" s="17" t="s">
        <v>146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customFormat="false" ht="15" hidden="false" customHeight="false" outlineLevel="0" collapsed="false">
      <c r="A71" s="18" t="n">
        <v>48</v>
      </c>
      <c r="B71" s="24" t="s">
        <v>23</v>
      </c>
      <c r="C71" s="25" t="s">
        <v>42</v>
      </c>
      <c r="D71" s="26" t="s">
        <v>43</v>
      </c>
      <c r="E71" s="21"/>
      <c r="F71" s="21"/>
      <c r="G71" s="21"/>
      <c r="H71" s="22" t="s">
        <v>147</v>
      </c>
      <c r="I71" s="22" t="s">
        <v>148</v>
      </c>
      <c r="J71" s="22" t="n">
        <f aca="false">COUNTIFS(Trechos!$L$2:$L$275,A71)</f>
        <v>2</v>
      </c>
      <c r="K71" s="23" t="n">
        <f aca="false">SUMIFS(Trechos!$F$2:$F$275,Trechos!$L$2:$L$275,A71)</f>
        <v>2.84738808040478</v>
      </c>
      <c r="L71" s="22" t="s">
        <v>49</v>
      </c>
      <c r="M71" s="22" t="str">
        <f aca="false">Blocos!AA49</f>
        <v>—</v>
      </c>
    </row>
  </sheetData>
  <mergeCells count="18">
    <mergeCell ref="A6:M6"/>
    <mergeCell ref="A9:M9"/>
    <mergeCell ref="A18:M18"/>
    <mergeCell ref="A22:M22"/>
    <mergeCell ref="A25:M25"/>
    <mergeCell ref="A27:M27"/>
    <mergeCell ref="A30:M30"/>
    <mergeCell ref="A35:M35"/>
    <mergeCell ref="A38:M38"/>
    <mergeCell ref="A41:M41"/>
    <mergeCell ref="A44:M44"/>
    <mergeCell ref="A46:M46"/>
    <mergeCell ref="A48:M48"/>
    <mergeCell ref="A54:M54"/>
    <mergeCell ref="A62:M62"/>
    <mergeCell ref="A65:M65"/>
    <mergeCell ref="A67:M67"/>
    <mergeCell ref="A70:M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10" t="s">
        <v>150</v>
      </c>
    </row>
    <row r="4" customFormat="false" ht="15" hidden="false" customHeight="false" outlineLevel="0" collapsed="false">
      <c r="A4" s="0" t="s">
        <v>151</v>
      </c>
      <c r="B4" s="33" t="s">
        <v>152</v>
      </c>
      <c r="C4" s="34" t="s">
        <v>153</v>
      </c>
    </row>
    <row r="6" customFormat="false" ht="15" hidden="false" customHeight="false" outlineLevel="0" collapsed="false">
      <c r="A6" s="4" t="s">
        <v>154</v>
      </c>
      <c r="B6" s="35" t="str">
        <f aca="false">IFERROR(INDEX(Trechos!$B$2:$B$275,MATCH($B$4,Trechos!$E$2:$E$275,0)),"poste não encontrado")</f>
        <v>TR-274</v>
      </c>
    </row>
    <row r="7" customFormat="false" ht="15" hidden="false" customHeight="false" outlineLevel="0" collapsed="false">
      <c r="A7" s="4" t="s">
        <v>155</v>
      </c>
      <c r="B7" s="35" t="str">
        <f aca="false">IFERROR(INDEX(Trechos!$D$2:$D$275,MATCH($B$4,Trechos!$E$2:$E$275,0)),"poste não encontrado")</f>
        <v>N271</v>
      </c>
    </row>
    <row r="8" customFormat="false" ht="15" hidden="false" customHeight="false" outlineLevel="0" collapsed="false">
      <c r="A8" s="4" t="s">
        <v>1</v>
      </c>
      <c r="B8" s="35" t="str">
        <f aca="false">IFERROR(INDEX(Trechos!$I$2:$I$275,MATCH($B$4,Trechos!$E$2:$E$275,0)),"poste não encontrado")</f>
        <v>T2</v>
      </c>
    </row>
    <row r="9" customFormat="false" ht="15" hidden="false" customHeight="false" outlineLevel="0" collapsed="false">
      <c r="A9" s="4" t="s">
        <v>156</v>
      </c>
      <c r="B9" s="35" t="str">
        <f aca="false">IFERROR(INDEX(Trechos!$J$2:$J$275,MATCH($B$4,Trechos!$E$2:$E$275,0)),"poste não encontrado")</f>
        <v>Ramal</v>
      </c>
    </row>
    <row r="10" customFormat="false" ht="15" hidden="false" customHeight="false" outlineLevel="0" collapsed="false">
      <c r="A10" s="4" t="s">
        <v>157</v>
      </c>
      <c r="B10" s="35" t="str">
        <f aca="false">IFERROR(INDEX(Trechos!$K$2:$K$275,MATCH($B$4,Trechos!$E$2:$E$275,0)),"poste não encontrado")</f>
        <v>Ramal N227</v>
      </c>
    </row>
    <row r="11" customFormat="false" ht="15" hidden="false" customHeight="false" outlineLevel="0" collapsed="false">
      <c r="A11" s="4" t="s">
        <v>11</v>
      </c>
      <c r="B11" s="35" t="n">
        <f aca="false">IFERROR(INDEX(Trechos!$L$2:$L$275,MATCH($B$4,Trechos!$E$2:$E$275,0)),"poste não encontrado")</f>
        <v>48</v>
      </c>
    </row>
    <row r="12" customFormat="false" ht="15" hidden="false" customHeight="false" outlineLevel="0" collapsed="false">
      <c r="A12" s="4" t="s">
        <v>7</v>
      </c>
      <c r="B12" s="35" t="str">
        <f aca="false">IFERROR(INDEX(Trechos!$M$2:$M$275,MATCH($B$4,Trechos!$E$2:$E$275,0)),"poste não encontrado")</f>
        <v>7925573007</v>
      </c>
    </row>
    <row r="13" customFormat="false" ht="15" hidden="false" customHeight="false" outlineLevel="0" collapsed="false">
      <c r="A13" s="4" t="s">
        <v>158</v>
      </c>
      <c r="B13" s="36" t="n">
        <f aca="false">IFERROR(INDEX(Trechos!$H$2:$H$275,MATCH($B$4,Trechos!$E$2:$E$275,0)),"poste não encontrado")</f>
        <v>958.694515062059</v>
      </c>
    </row>
    <row r="14" customFormat="false" ht="15" hidden="false" customHeight="false" outlineLevel="0" collapsed="false">
      <c r="A14" s="4" t="s">
        <v>159</v>
      </c>
      <c r="B14" s="36" t="n">
        <f aca="false">IFERROR(INDEX(Trechos!$G$2:$G$275,MATCH($B$4,Trechos!$E$2:$E$275,0)),"poste não encontrado")</f>
        <v>2408.05587258218</v>
      </c>
    </row>
    <row r="15" customFormat="false" ht="15" hidden="false" customHeight="false" outlineLevel="0" collapsed="false">
      <c r="A15" s="4" t="s">
        <v>9</v>
      </c>
      <c r="B15" s="35" t="str">
        <f aca="false">IFERROR(INDEX(Trechos!$P$2:$P$275,MATCH($B$4,Trechos!$E$2:$E$275,0)),"poste não encontrado")</f>
        <v>—</v>
      </c>
    </row>
    <row r="16" customFormat="false" ht="15" hidden="false" customHeight="false" outlineLevel="0" collapsed="false">
      <c r="A16" s="4" t="s">
        <v>160</v>
      </c>
      <c r="B16" s="35" t="n">
        <f aca="false">IFERROR(INDEX(Trechos!$R$2:$R$275,MATCH($B$4,Trechos!$E$2:$E$275,0)),"poste não encontrado")</f>
        <v>0</v>
      </c>
    </row>
    <row r="17" customFormat="false" ht="15" hidden="false" customHeight="false" outlineLevel="0" collapsed="false">
      <c r="A17" s="4" t="s">
        <v>161</v>
      </c>
      <c r="B17" s="35" t="str">
        <f aca="false">IFERROR(INDEX(Trechos!$X$2:$X$275,MATCH($B$4,Trechos!$E$2:$E$275,0)),"poste não encontrado")</f>
        <v>DJ AL01048007 › 7925573007</v>
      </c>
    </row>
    <row r="18" customFormat="false" ht="15" hidden="false" customHeight="false" outlineLevel="0" collapsed="false">
      <c r="A18" s="4" t="s">
        <v>162</v>
      </c>
      <c r="B18" s="35" t="n">
        <f aca="false">IFERROR(INDEX(Trechos!$Y$2:$Y$275,MATCH($B$4,Trechos!$E$2:$E$275,0)),"poste não encontrado")</f>
        <v>-9.5636585</v>
      </c>
    </row>
    <row r="19" customFormat="false" ht="15" hidden="false" customHeight="false" outlineLevel="0" collapsed="false">
      <c r="A19" s="4" t="s">
        <v>163</v>
      </c>
      <c r="B19" s="35" t="n">
        <f aca="false">IFERROR(INDEX(Trechos!$Z$2:$Z$275,MATCH($B$4,Trechos!$E$2:$E$275,0)),"poste não encontrado")</f>
        <v>-48.3987555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8" min="7" style="0" width="12"/>
    <col collapsed="false" customWidth="true" hidden="false" outlineLevel="0" max="23" min="19" style="0" width="8"/>
    <col collapsed="false" customWidth="true" hidden="false" outlineLevel="0" max="24" min="24" style="0" width="9"/>
    <col collapsed="false" customWidth="true" hidden="false" outlineLevel="0" max="25" min="25" style="0" width="12"/>
    <col collapsed="false" customWidth="true" hidden="false" outlineLevel="0" max="26" min="26" style="0" width="11"/>
    <col collapsed="false" customWidth="true" hidden="false" outlineLevel="0" max="27" min="27" style="0" width="42"/>
    <col collapsed="false" customWidth="true" hidden="false" outlineLevel="0" max="28" min="28" style="0" width="18"/>
    <col collapsed="false" customWidth="true" hidden="false" outlineLevel="0" max="51" min="29" style="0" width="10"/>
  </cols>
  <sheetData>
    <row r="1" customFormat="false" ht="31.5" hidden="false" customHeight="true" outlineLevel="0" collapsed="false">
      <c r="A1" s="16" t="s">
        <v>11</v>
      </c>
      <c r="B1" s="16" t="s">
        <v>1</v>
      </c>
      <c r="C1" s="16" t="s">
        <v>156</v>
      </c>
      <c r="D1" s="16" t="s">
        <v>157</v>
      </c>
      <c r="E1" s="16" t="s">
        <v>7</v>
      </c>
      <c r="F1" s="16" t="s">
        <v>35</v>
      </c>
      <c r="G1" s="16" t="s">
        <v>164</v>
      </c>
      <c r="H1" s="16" t="s">
        <v>165</v>
      </c>
      <c r="I1" s="16" t="s">
        <v>166</v>
      </c>
      <c r="J1" s="16" t="s">
        <v>167</v>
      </c>
      <c r="K1" s="16" t="s">
        <v>168</v>
      </c>
      <c r="L1" s="16" t="s">
        <v>169</v>
      </c>
      <c r="M1" s="16" t="s">
        <v>170</v>
      </c>
      <c r="N1" s="16" t="s">
        <v>171</v>
      </c>
      <c r="O1" s="16" t="s">
        <v>172</v>
      </c>
      <c r="P1" s="16" t="s">
        <v>173</v>
      </c>
      <c r="Q1" s="16" t="s">
        <v>174</v>
      </c>
      <c r="R1" s="16" t="s">
        <v>175</v>
      </c>
      <c r="S1" s="16" t="s">
        <v>30</v>
      </c>
      <c r="T1" s="16" t="s">
        <v>31</v>
      </c>
      <c r="U1" s="16" t="s">
        <v>32</v>
      </c>
      <c r="V1" s="16" t="s">
        <v>33</v>
      </c>
      <c r="W1" s="16" t="s">
        <v>34</v>
      </c>
      <c r="X1" s="16" t="s">
        <v>176</v>
      </c>
      <c r="Y1" s="16" t="s">
        <v>177</v>
      </c>
      <c r="Z1" s="16" t="s">
        <v>178</v>
      </c>
      <c r="AA1" s="16" t="s">
        <v>179</v>
      </c>
      <c r="AB1" s="16" t="s">
        <v>39</v>
      </c>
      <c r="AC1" s="16" t="s">
        <v>180</v>
      </c>
      <c r="AD1" s="16" t="s">
        <v>181</v>
      </c>
      <c r="AE1" s="16" t="s">
        <v>182</v>
      </c>
      <c r="AF1" s="16" t="s">
        <v>183</v>
      </c>
      <c r="AG1" s="16" t="s">
        <v>184</v>
      </c>
      <c r="AH1" s="16" t="s">
        <v>185</v>
      </c>
      <c r="AI1" s="16" t="s">
        <v>186</v>
      </c>
      <c r="AJ1" s="16" t="s">
        <v>187</v>
      </c>
      <c r="AK1" s="16" t="s">
        <v>188</v>
      </c>
      <c r="AL1" s="16" t="s">
        <v>189</v>
      </c>
      <c r="AM1" s="16" t="s">
        <v>190</v>
      </c>
      <c r="AN1" s="16" t="s">
        <v>191</v>
      </c>
      <c r="AO1" s="16" t="s">
        <v>192</v>
      </c>
      <c r="AP1" s="16" t="s">
        <v>193</v>
      </c>
      <c r="AQ1" s="16" t="s">
        <v>194</v>
      </c>
      <c r="AR1" s="16" t="s">
        <v>195</v>
      </c>
      <c r="AS1" s="16" t="s">
        <v>196</v>
      </c>
      <c r="AT1" s="16" t="s">
        <v>197</v>
      </c>
      <c r="AU1" s="16" t="s">
        <v>198</v>
      </c>
      <c r="AV1" s="16" t="s">
        <v>199</v>
      </c>
      <c r="AW1" s="16" t="s">
        <v>200</v>
      </c>
      <c r="AX1" s="16" t="s">
        <v>201</v>
      </c>
      <c r="AY1" s="16" t="s">
        <v>202</v>
      </c>
    </row>
    <row r="2" customFormat="false" ht="15" hidden="false" customHeight="false" outlineLevel="0" collapsed="false">
      <c r="A2" s="35" t="n">
        <v>1</v>
      </c>
      <c r="B2" s="5" t="s">
        <v>22</v>
      </c>
      <c r="C2" s="35" t="s">
        <v>5</v>
      </c>
      <c r="D2" s="35" t="s">
        <v>5</v>
      </c>
      <c r="E2" s="35" t="s">
        <v>42</v>
      </c>
      <c r="F2" s="35" t="s">
        <v>42</v>
      </c>
      <c r="G2" s="35" t="s">
        <v>43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 t="s">
        <v>42</v>
      </c>
      <c r="T2" s="35"/>
      <c r="U2" s="35"/>
      <c r="V2" s="35"/>
      <c r="W2" s="35"/>
      <c r="X2" s="35" t="n">
        <f aca="false">COUNTIFS(Trechos!$L$2:$L$275,A2)</f>
        <v>19</v>
      </c>
      <c r="Y2" s="36" t="n">
        <f aca="false">SUMIFS(Trechos!$F$2:$F$275,Trechos!$L$2:$L$275,A2)</f>
        <v>1449.36135752012</v>
      </c>
      <c r="Z2" s="35" t="n">
        <f aca="false">COUNTA(AC2:AY2)</f>
        <v>23</v>
      </c>
      <c r="AA2" s="35" t="str">
        <f aca="false">IF(COUNTA(AC2:AY2)=0,"—",_xlfn.TEXTJOIN(", ",TRUE(),AC2:AY2))</f>
        <v>7925573007, 0300040007, 0200038007, 0300111007, 0300115007, 0300145007, 0200114007, 0301201007, 0300109007, 0300068007, 0300070007, 0300073007, 0300074007, 0300065007, 0300062007, 0200061007, 0300057007, 0357094007, 0300056007, 0200055007, 0300050007, 0200475007, 0200047007</v>
      </c>
      <c r="AB2" s="35" t="s">
        <v>44</v>
      </c>
      <c r="AC2" s="35" t="s">
        <v>43</v>
      </c>
      <c r="AD2" s="35" t="s">
        <v>144</v>
      </c>
      <c r="AE2" s="35" t="s">
        <v>137</v>
      </c>
      <c r="AF2" s="35" t="s">
        <v>122</v>
      </c>
      <c r="AG2" s="35" t="s">
        <v>124</v>
      </c>
      <c r="AH2" s="35" t="s">
        <v>127</v>
      </c>
      <c r="AI2" s="35" t="s">
        <v>129</v>
      </c>
      <c r="AJ2" s="35" t="s">
        <v>131</v>
      </c>
      <c r="AK2" s="35" t="s">
        <v>133</v>
      </c>
      <c r="AL2" s="35" t="s">
        <v>112</v>
      </c>
      <c r="AM2" s="35" t="s">
        <v>114</v>
      </c>
      <c r="AN2" s="35" t="s">
        <v>116</v>
      </c>
      <c r="AO2" s="35" t="s">
        <v>117</v>
      </c>
      <c r="AP2" s="35" t="s">
        <v>102</v>
      </c>
      <c r="AQ2" s="35" t="s">
        <v>97</v>
      </c>
      <c r="AR2" s="35" t="s">
        <v>93</v>
      </c>
      <c r="AS2" s="35" t="s">
        <v>85</v>
      </c>
      <c r="AT2" s="35" t="s">
        <v>87</v>
      </c>
      <c r="AU2" s="35" t="s">
        <v>89</v>
      </c>
      <c r="AV2" s="35" t="s">
        <v>80</v>
      </c>
      <c r="AW2" s="35" t="s">
        <v>73</v>
      </c>
      <c r="AX2" s="35" t="s">
        <v>66</v>
      </c>
      <c r="AY2" s="35" t="s">
        <v>68</v>
      </c>
    </row>
    <row r="3" customFormat="false" ht="15" hidden="false" customHeight="false" outlineLevel="0" collapsed="false">
      <c r="A3" s="35" t="n">
        <v>2</v>
      </c>
      <c r="B3" s="6" t="s">
        <v>23</v>
      </c>
      <c r="C3" s="35" t="s">
        <v>5</v>
      </c>
      <c r="D3" s="35" t="s">
        <v>5</v>
      </c>
      <c r="E3" s="35" t="s">
        <v>43</v>
      </c>
      <c r="F3" s="35" t="s">
        <v>43</v>
      </c>
      <c r="G3" s="35" t="s">
        <v>45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 t="s">
        <v>42</v>
      </c>
      <c r="T3" s="35" t="s">
        <v>43</v>
      </c>
      <c r="U3" s="35"/>
      <c r="V3" s="35"/>
      <c r="W3" s="35"/>
      <c r="X3" s="35" t="n">
        <f aca="false">COUNTIFS(Trechos!$L$2:$L$275,A3)</f>
        <v>17</v>
      </c>
      <c r="Y3" s="36" t="n">
        <f aca="false">SUMIFS(Trechos!$F$2:$F$275,Trechos!$L$2:$L$275,A3)</f>
        <v>960.409640853983</v>
      </c>
      <c r="Z3" s="35" t="n">
        <f aca="false">COUNTA(AC3:AY3)</f>
        <v>12</v>
      </c>
      <c r="AA3" s="35" t="str">
        <f aca="false">IF(COUNTA(AC3:AY3)=0,"—",_xlfn.TEXTJOIN(", ",TRUE(),AC3:AY3))</f>
        <v>0300040007, 0200038007, 0300111007, 0300115007, 0300145007, 0200114007, 0301201007, 0300109007, 0300068007, 0300070007, 0300073007, 0300074007</v>
      </c>
      <c r="AB3" s="35" t="s">
        <v>46</v>
      </c>
      <c r="AC3" s="35" t="s">
        <v>144</v>
      </c>
      <c r="AD3" s="35" t="s">
        <v>137</v>
      </c>
      <c r="AE3" s="35" t="s">
        <v>122</v>
      </c>
      <c r="AF3" s="35" t="s">
        <v>124</v>
      </c>
      <c r="AG3" s="35" t="s">
        <v>127</v>
      </c>
      <c r="AH3" s="35" t="s">
        <v>129</v>
      </c>
      <c r="AI3" s="35" t="s">
        <v>131</v>
      </c>
      <c r="AJ3" s="35" t="s">
        <v>133</v>
      </c>
      <c r="AK3" s="35" t="s">
        <v>112</v>
      </c>
      <c r="AL3" s="35" t="s">
        <v>114</v>
      </c>
      <c r="AM3" s="35" t="s">
        <v>116</v>
      </c>
      <c r="AN3" s="35" t="s">
        <v>117</v>
      </c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</row>
    <row r="4" customFormat="false" ht="15" hidden="false" customHeight="false" outlineLevel="0" collapsed="false">
      <c r="A4" s="35" t="n">
        <v>3</v>
      </c>
      <c r="B4" s="5" t="s">
        <v>22</v>
      </c>
      <c r="C4" s="35" t="s">
        <v>157</v>
      </c>
      <c r="D4" s="35" t="s">
        <v>203</v>
      </c>
      <c r="E4" s="35" t="s">
        <v>42</v>
      </c>
      <c r="F4" s="35" t="s">
        <v>42</v>
      </c>
      <c r="G4" s="35" t="s">
        <v>48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 t="s">
        <v>42</v>
      </c>
      <c r="T4" s="35"/>
      <c r="U4" s="35"/>
      <c r="V4" s="35"/>
      <c r="W4" s="35"/>
      <c r="X4" s="35" t="n">
        <f aca="false">COUNTIFS(Trechos!$L$2:$L$275,A4)</f>
        <v>2</v>
      </c>
      <c r="Y4" s="36" t="n">
        <f aca="false">SUMIFS(Trechos!$F$2:$F$275,Trechos!$L$2:$L$275,A4)</f>
        <v>38.9144411670738</v>
      </c>
      <c r="Z4" s="35" t="n">
        <f aca="false">COUNTA(AC4:AY4)</f>
        <v>7</v>
      </c>
      <c r="AA4" s="35" t="str">
        <f aca="false">IF(COUNTA(AC4:AY4)=0,"—",_xlfn.TEXTJOIN(", ",TRUE(),AC4:AY4))</f>
        <v>0300043007, 0301038007, 0301039007, 0301117007, 0201291007, 0302253007, 0301273007</v>
      </c>
      <c r="AB4" s="35" t="s">
        <v>49</v>
      </c>
      <c r="AC4" s="35" t="s">
        <v>48</v>
      </c>
      <c r="AD4" s="35" t="s">
        <v>52</v>
      </c>
      <c r="AE4" s="35" t="s">
        <v>53</v>
      </c>
      <c r="AF4" s="35" t="s">
        <v>55</v>
      </c>
      <c r="AG4" s="35" t="s">
        <v>57</v>
      </c>
      <c r="AH4" s="35" t="s">
        <v>59</v>
      </c>
      <c r="AI4" s="35" t="s">
        <v>61</v>
      </c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</row>
    <row r="5" customFormat="false" ht="15" hidden="false" customHeight="false" outlineLevel="0" collapsed="false">
      <c r="A5" s="35" t="n">
        <v>4</v>
      </c>
      <c r="B5" s="7" t="s">
        <v>24</v>
      </c>
      <c r="C5" s="35" t="s">
        <v>157</v>
      </c>
      <c r="D5" s="35" t="s">
        <v>203</v>
      </c>
      <c r="E5" s="35" t="s">
        <v>48</v>
      </c>
      <c r="F5" s="35" t="s">
        <v>48</v>
      </c>
      <c r="G5" s="35" t="s">
        <v>52</v>
      </c>
      <c r="H5" s="35" t="s">
        <v>204</v>
      </c>
      <c r="I5" s="35" t="s">
        <v>55</v>
      </c>
      <c r="J5" s="35" t="s">
        <v>205</v>
      </c>
      <c r="K5" s="35" t="s">
        <v>61</v>
      </c>
      <c r="L5" s="35"/>
      <c r="M5" s="35"/>
      <c r="N5" s="35"/>
      <c r="O5" s="35"/>
      <c r="P5" s="35"/>
      <c r="Q5" s="35"/>
      <c r="R5" s="35"/>
      <c r="S5" s="35" t="s">
        <v>42</v>
      </c>
      <c r="T5" s="35" t="s">
        <v>48</v>
      </c>
      <c r="U5" s="35"/>
      <c r="V5" s="35"/>
      <c r="W5" s="35"/>
      <c r="X5" s="35" t="n">
        <f aca="false">COUNTIFS(Trechos!$L$2:$L$275,A5)</f>
        <v>15</v>
      </c>
      <c r="Y5" s="36" t="n">
        <f aca="false">SUMIFS(Trechos!$F$2:$F$275,Trechos!$L$2:$L$275,A5)</f>
        <v>2457.95327920558</v>
      </c>
      <c r="Z5" s="35" t="n">
        <f aca="false">COUNTA(AC5:AY5)</f>
        <v>6</v>
      </c>
      <c r="AA5" s="35" t="str">
        <f aca="false">IF(COUNTA(AC5:AY5)=0,"—",_xlfn.TEXTJOIN(", ",TRUE(),AC5:AY5))</f>
        <v>0301038007, 0301039007, 0301117007, 0201291007, 0302253007, 0301273007</v>
      </c>
      <c r="AB5" s="35" t="s">
        <v>51</v>
      </c>
      <c r="AC5" s="35" t="s">
        <v>52</v>
      </c>
      <c r="AD5" s="35" t="s">
        <v>53</v>
      </c>
      <c r="AE5" s="35" t="s">
        <v>55</v>
      </c>
      <c r="AF5" s="35" t="s">
        <v>57</v>
      </c>
      <c r="AG5" s="35" t="s">
        <v>59</v>
      </c>
      <c r="AH5" s="35" t="s">
        <v>61</v>
      </c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</row>
    <row r="6" customFormat="false" ht="15" hidden="false" customHeight="false" outlineLevel="0" collapsed="false">
      <c r="A6" s="35" t="n">
        <v>5</v>
      </c>
      <c r="B6" s="8" t="s">
        <v>25</v>
      </c>
      <c r="C6" s="35" t="s">
        <v>157</v>
      </c>
      <c r="D6" s="35" t="s">
        <v>203</v>
      </c>
      <c r="E6" s="35" t="s">
        <v>52</v>
      </c>
      <c r="F6" s="35" t="s">
        <v>52</v>
      </c>
      <c r="G6" s="35" t="s">
        <v>53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 t="s">
        <v>42</v>
      </c>
      <c r="T6" s="35" t="s">
        <v>48</v>
      </c>
      <c r="U6" s="35" t="s">
        <v>52</v>
      </c>
      <c r="V6" s="35"/>
      <c r="W6" s="35"/>
      <c r="X6" s="35" t="n">
        <f aca="false">COUNTIFS(Trechos!$L$2:$L$275,A6)</f>
        <v>2</v>
      </c>
      <c r="Y6" s="36" t="n">
        <f aca="false">SUMIFS(Trechos!$F$2:$F$275,Trechos!$L$2:$L$275,A6)</f>
        <v>223.137422642631</v>
      </c>
      <c r="Z6" s="35" t="n">
        <f aca="false">COUNTA(AC6:AY6)</f>
        <v>1</v>
      </c>
      <c r="AA6" s="35" t="str">
        <f aca="false">IF(COUNTA(AC6:AY6)=0,"—",_xlfn.TEXTJOIN(", ",TRUE(),AC6:AY6))</f>
        <v>0301039007</v>
      </c>
      <c r="AB6" s="35" t="s">
        <v>49</v>
      </c>
      <c r="AC6" s="35" t="s">
        <v>53</v>
      </c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</row>
    <row r="7" customFormat="false" ht="15" hidden="false" customHeight="false" outlineLevel="0" collapsed="false">
      <c r="A7" s="35" t="n">
        <v>6</v>
      </c>
      <c r="B7" s="9" t="s">
        <v>26</v>
      </c>
      <c r="C7" s="35" t="s">
        <v>157</v>
      </c>
      <c r="D7" s="35" t="s">
        <v>203</v>
      </c>
      <c r="E7" s="35" t="s">
        <v>53</v>
      </c>
      <c r="F7" s="35" t="s">
        <v>53</v>
      </c>
      <c r="G7" s="35" t="s">
        <v>54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 t="s">
        <v>42</v>
      </c>
      <c r="T7" s="35" t="s">
        <v>48</v>
      </c>
      <c r="U7" s="35" t="s">
        <v>52</v>
      </c>
      <c r="V7" s="35" t="s">
        <v>53</v>
      </c>
      <c r="W7" s="35"/>
      <c r="X7" s="35" t="n">
        <f aca="false">COUNTIFS(Trechos!$L$2:$L$275,A7)</f>
        <v>1</v>
      </c>
      <c r="Y7" s="36" t="n">
        <f aca="false">SUMIFS(Trechos!$F$2:$F$275,Trechos!$L$2:$L$275,A7)</f>
        <v>92.4738305751356</v>
      </c>
      <c r="Z7" s="35" t="n">
        <f aca="false">COUNTA(AC7:AY7)</f>
        <v>0</v>
      </c>
      <c r="AA7" s="35" t="str">
        <f aca="false">IF(COUNTA(AC7:AY7)=0,"—",_xlfn.TEXTJOIN(", ",TRUE(),AC7:AY7))</f>
        <v>—</v>
      </c>
      <c r="AB7" s="35" t="s">
        <v>49</v>
      </c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</row>
    <row r="8" customFormat="false" ht="15" hidden="false" customHeight="false" outlineLevel="0" collapsed="false">
      <c r="A8" s="35" t="n">
        <v>7</v>
      </c>
      <c r="B8" s="8" t="s">
        <v>25</v>
      </c>
      <c r="C8" s="35" t="s">
        <v>157</v>
      </c>
      <c r="D8" s="35" t="s">
        <v>203</v>
      </c>
      <c r="E8" s="35" t="s">
        <v>55</v>
      </c>
      <c r="F8" s="35" t="s">
        <v>55</v>
      </c>
      <c r="G8" s="35" t="s">
        <v>57</v>
      </c>
      <c r="H8" s="35" t="s">
        <v>59</v>
      </c>
      <c r="I8" s="35" t="s">
        <v>206</v>
      </c>
      <c r="J8" s="35"/>
      <c r="K8" s="35"/>
      <c r="L8" s="35"/>
      <c r="M8" s="35"/>
      <c r="N8" s="35"/>
      <c r="O8" s="35"/>
      <c r="P8" s="35"/>
      <c r="Q8" s="35"/>
      <c r="R8" s="35"/>
      <c r="S8" s="35" t="s">
        <v>42</v>
      </c>
      <c r="T8" s="35" t="s">
        <v>48</v>
      </c>
      <c r="U8" s="35" t="s">
        <v>55</v>
      </c>
      <c r="V8" s="35"/>
      <c r="W8" s="35"/>
      <c r="X8" s="35" t="n">
        <f aca="false">COUNTIFS(Trechos!$L$2:$L$275,A8)</f>
        <v>37</v>
      </c>
      <c r="Y8" s="36" t="n">
        <f aca="false">SUMIFS(Trechos!$F$2:$F$275,Trechos!$L$2:$L$275,A8)</f>
        <v>2136.31044602165</v>
      </c>
      <c r="Z8" s="35" t="n">
        <f aca="false">COUNTA(AC8:AY8)</f>
        <v>2</v>
      </c>
      <c r="AA8" s="35" t="str">
        <f aca="false">IF(COUNTA(AC8:AY8)=0,"—",_xlfn.TEXTJOIN(", ",TRUE(),AC8:AY8))</f>
        <v>0201291007, 0302253007</v>
      </c>
      <c r="AB8" s="35" t="s">
        <v>49</v>
      </c>
      <c r="AC8" s="35" t="s">
        <v>57</v>
      </c>
      <c r="AD8" s="35" t="s">
        <v>59</v>
      </c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</row>
    <row r="9" customFormat="false" ht="15" hidden="false" customHeight="false" outlineLevel="0" collapsed="false">
      <c r="A9" s="35" t="n">
        <v>8</v>
      </c>
      <c r="B9" s="9" t="s">
        <v>26</v>
      </c>
      <c r="C9" s="35" t="s">
        <v>157</v>
      </c>
      <c r="D9" s="35" t="s">
        <v>203</v>
      </c>
      <c r="E9" s="35" t="s">
        <v>57</v>
      </c>
      <c r="F9" s="35" t="s">
        <v>57</v>
      </c>
      <c r="G9" s="35" t="s">
        <v>58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 t="s">
        <v>42</v>
      </c>
      <c r="T9" s="35" t="s">
        <v>48</v>
      </c>
      <c r="U9" s="35" t="s">
        <v>55</v>
      </c>
      <c r="V9" s="35" t="s">
        <v>57</v>
      </c>
      <c r="W9" s="35"/>
      <c r="X9" s="35" t="n">
        <f aca="false">COUNTIFS(Trechos!$L$2:$L$275,A9)</f>
        <v>1</v>
      </c>
      <c r="Y9" s="36" t="n">
        <f aca="false">SUMIFS(Trechos!$F$2:$F$275,Trechos!$L$2:$L$275,A9)</f>
        <v>16.0878124443238</v>
      </c>
      <c r="Z9" s="35" t="n">
        <f aca="false">COUNTA(AC9:AY9)</f>
        <v>0</v>
      </c>
      <c r="AA9" s="35" t="str">
        <f aca="false">IF(COUNTA(AC9:AY9)=0,"—",_xlfn.TEXTJOIN(", ",TRUE(),AC9:AY9))</f>
        <v>—</v>
      </c>
      <c r="AB9" s="35" t="s">
        <v>49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</row>
    <row r="10" customFormat="false" ht="15" hidden="false" customHeight="false" outlineLevel="0" collapsed="false">
      <c r="A10" s="35" t="n">
        <v>9</v>
      </c>
      <c r="B10" s="9" t="s">
        <v>26</v>
      </c>
      <c r="C10" s="35" t="s">
        <v>157</v>
      </c>
      <c r="D10" s="35" t="s">
        <v>203</v>
      </c>
      <c r="E10" s="35" t="s">
        <v>59</v>
      </c>
      <c r="F10" s="35" t="s">
        <v>59</v>
      </c>
      <c r="G10" s="35" t="s">
        <v>207</v>
      </c>
      <c r="H10" s="35" t="s">
        <v>208</v>
      </c>
      <c r="I10" s="35" t="s">
        <v>209</v>
      </c>
      <c r="J10" s="35" t="s">
        <v>210</v>
      </c>
      <c r="K10" s="35" t="s">
        <v>211</v>
      </c>
      <c r="L10" s="35" t="s">
        <v>212</v>
      </c>
      <c r="M10" s="35" t="s">
        <v>213</v>
      </c>
      <c r="N10" s="35" t="s">
        <v>214</v>
      </c>
      <c r="O10" s="35"/>
      <c r="P10" s="35"/>
      <c r="Q10" s="35"/>
      <c r="R10" s="35"/>
      <c r="S10" s="35" t="s">
        <v>42</v>
      </c>
      <c r="T10" s="35" t="s">
        <v>48</v>
      </c>
      <c r="U10" s="35" t="s">
        <v>55</v>
      </c>
      <c r="V10" s="35" t="s">
        <v>59</v>
      </c>
      <c r="W10" s="35"/>
      <c r="X10" s="35" t="n">
        <f aca="false">COUNTIFS(Trechos!$L$2:$L$275,A10)</f>
        <v>18</v>
      </c>
      <c r="Y10" s="36" t="n">
        <f aca="false">SUMIFS(Trechos!$F$2:$F$275,Trechos!$L$2:$L$275,A10)</f>
        <v>1159.74475142742</v>
      </c>
      <c r="Z10" s="35" t="n">
        <f aca="false">COUNTA(AC10:AY10)</f>
        <v>0</v>
      </c>
      <c r="AA10" s="35" t="str">
        <f aca="false">IF(COUNTA(AC10:AY10)=0,"—",_xlfn.TEXTJOIN(", ",TRUE(),AC10:AY10))</f>
        <v>—</v>
      </c>
      <c r="AB10" s="35" t="s">
        <v>49</v>
      </c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</row>
    <row r="11" customFormat="false" ht="15" hidden="false" customHeight="false" outlineLevel="0" collapsed="false">
      <c r="A11" s="35" t="n">
        <v>10</v>
      </c>
      <c r="B11" s="8" t="s">
        <v>25</v>
      </c>
      <c r="C11" s="35" t="s">
        <v>157</v>
      </c>
      <c r="D11" s="35" t="s">
        <v>203</v>
      </c>
      <c r="E11" s="35" t="s">
        <v>61</v>
      </c>
      <c r="F11" s="35" t="s">
        <v>61</v>
      </c>
      <c r="G11" s="35" t="s">
        <v>62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 t="s">
        <v>42</v>
      </c>
      <c r="T11" s="35" t="s">
        <v>48</v>
      </c>
      <c r="U11" s="35" t="s">
        <v>61</v>
      </c>
      <c r="V11" s="35"/>
      <c r="W11" s="35"/>
      <c r="X11" s="35" t="n">
        <f aca="false">COUNTIFS(Trechos!$L$2:$L$275,A11)</f>
        <v>1</v>
      </c>
      <c r="Y11" s="36" t="n">
        <f aca="false">SUMIFS(Trechos!$F$2:$F$275,Trechos!$L$2:$L$275,A11)</f>
        <v>83.7863750086203</v>
      </c>
      <c r="Z11" s="35" t="n">
        <f aca="false">COUNTA(AC11:AY11)</f>
        <v>0</v>
      </c>
      <c r="AA11" s="35" t="str">
        <f aca="false">IF(COUNTA(AC11:AY11)=0,"—",_xlfn.TEXTJOIN(", ",TRUE(),AC11:AY11))</f>
        <v>—</v>
      </c>
      <c r="AB11" s="35" t="s">
        <v>49</v>
      </c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</row>
    <row r="12" customFormat="false" ht="15" hidden="false" customHeight="false" outlineLevel="0" collapsed="false">
      <c r="A12" s="35" t="n">
        <v>11</v>
      </c>
      <c r="B12" s="5" t="s">
        <v>22</v>
      </c>
      <c r="C12" s="35" t="s">
        <v>157</v>
      </c>
      <c r="D12" s="35" t="s">
        <v>215</v>
      </c>
      <c r="E12" s="35" t="s">
        <v>42</v>
      </c>
      <c r="F12" s="35" t="s">
        <v>64</v>
      </c>
      <c r="G12" s="35" t="s">
        <v>216</v>
      </c>
      <c r="H12" s="35" t="s">
        <v>217</v>
      </c>
      <c r="I12" s="35" t="s">
        <v>218</v>
      </c>
      <c r="J12" s="35" t="s">
        <v>66</v>
      </c>
      <c r="K12" s="35" t="s">
        <v>219</v>
      </c>
      <c r="L12" s="35" t="s">
        <v>220</v>
      </c>
      <c r="M12" s="35" t="s">
        <v>68</v>
      </c>
      <c r="N12" s="35" t="s">
        <v>221</v>
      </c>
      <c r="O12" s="35"/>
      <c r="P12" s="35"/>
      <c r="Q12" s="35"/>
      <c r="R12" s="35"/>
      <c r="S12" s="35" t="s">
        <v>42</v>
      </c>
      <c r="T12" s="35"/>
      <c r="U12" s="35"/>
      <c r="V12" s="35"/>
      <c r="W12" s="35"/>
      <c r="X12" s="35" t="n">
        <f aca="false">COUNTIFS(Trechos!$L$2:$L$275,A12)</f>
        <v>15</v>
      </c>
      <c r="Y12" s="36" t="n">
        <f aca="false">SUMIFS(Trechos!$F$2:$F$275,Trechos!$L$2:$L$275,A12)</f>
        <v>870.971855973089</v>
      </c>
      <c r="Z12" s="35" t="n">
        <f aca="false">COUNTA(AC12:AY12)</f>
        <v>2</v>
      </c>
      <c r="AA12" s="35" t="str">
        <f aca="false">IF(COUNTA(AC12:AY12)=0,"—",_xlfn.TEXTJOIN(", ",TRUE(),AC12:AY12))</f>
        <v>0200475007, 0200047007</v>
      </c>
      <c r="AB12" s="35" t="s">
        <v>49</v>
      </c>
      <c r="AC12" s="35" t="s">
        <v>66</v>
      </c>
      <c r="AD12" s="35" t="s">
        <v>68</v>
      </c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</row>
    <row r="13" customFormat="false" ht="15" hidden="false" customHeight="false" outlineLevel="0" collapsed="false">
      <c r="A13" s="35" t="n">
        <v>12</v>
      </c>
      <c r="B13" s="7" t="s">
        <v>24</v>
      </c>
      <c r="C13" s="35" t="s">
        <v>157</v>
      </c>
      <c r="D13" s="35" t="s">
        <v>215</v>
      </c>
      <c r="E13" s="35" t="s">
        <v>66</v>
      </c>
      <c r="F13" s="35" t="s">
        <v>66</v>
      </c>
      <c r="G13" s="35" t="s">
        <v>67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 t="s">
        <v>42</v>
      </c>
      <c r="T13" s="35" t="s">
        <v>66</v>
      </c>
      <c r="U13" s="35"/>
      <c r="V13" s="35"/>
      <c r="W13" s="35"/>
      <c r="X13" s="35" t="n">
        <f aca="false">COUNTIFS(Trechos!$L$2:$L$275,A13)</f>
        <v>2</v>
      </c>
      <c r="Y13" s="36" t="n">
        <f aca="false">SUMIFS(Trechos!$F$2:$F$275,Trechos!$L$2:$L$275,A13)</f>
        <v>57.0373063357704</v>
      </c>
      <c r="Z13" s="35" t="n">
        <f aca="false">COUNTA(AC13:AY13)</f>
        <v>0</v>
      </c>
      <c r="AA13" s="35" t="str">
        <f aca="false">IF(COUNTA(AC13:AY13)=0,"—",_xlfn.TEXTJOIN(", ",TRUE(),AC13:AY13))</f>
        <v>—</v>
      </c>
      <c r="AB13" s="35" t="s">
        <v>49</v>
      </c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</row>
    <row r="14" customFormat="false" ht="15" hidden="false" customHeight="false" outlineLevel="0" collapsed="false">
      <c r="A14" s="35" t="n">
        <v>13</v>
      </c>
      <c r="B14" s="7" t="s">
        <v>24</v>
      </c>
      <c r="C14" s="35" t="s">
        <v>157</v>
      </c>
      <c r="D14" s="35" t="s">
        <v>215</v>
      </c>
      <c r="E14" s="35" t="s">
        <v>68</v>
      </c>
      <c r="F14" s="35" t="s">
        <v>68</v>
      </c>
      <c r="G14" s="35" t="s">
        <v>69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 t="s">
        <v>42</v>
      </c>
      <c r="T14" s="35" t="s">
        <v>68</v>
      </c>
      <c r="U14" s="35"/>
      <c r="V14" s="35"/>
      <c r="W14" s="35"/>
      <c r="X14" s="35" t="n">
        <f aca="false">COUNTIFS(Trechos!$L$2:$L$275,A14)</f>
        <v>1</v>
      </c>
      <c r="Y14" s="36" t="n">
        <f aca="false">SUMIFS(Trechos!$F$2:$F$275,Trechos!$L$2:$L$275,A14)</f>
        <v>11.0944529514517</v>
      </c>
      <c r="Z14" s="35" t="n">
        <f aca="false">COUNTA(AC14:AY14)</f>
        <v>0</v>
      </c>
      <c r="AA14" s="35" t="str">
        <f aca="false">IF(COUNTA(AC14:AY14)=0,"—",_xlfn.TEXTJOIN(", ",TRUE(),AC14:AY14))</f>
        <v>—</v>
      </c>
      <c r="AB14" s="35" t="s">
        <v>49</v>
      </c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</row>
    <row r="15" customFormat="false" ht="15" hidden="false" customHeight="false" outlineLevel="0" collapsed="false">
      <c r="A15" s="35" t="n">
        <v>14</v>
      </c>
      <c r="B15" s="5" t="s">
        <v>22</v>
      </c>
      <c r="C15" s="35" t="s">
        <v>157</v>
      </c>
      <c r="D15" s="35" t="s">
        <v>222</v>
      </c>
      <c r="E15" s="35" t="s">
        <v>42</v>
      </c>
      <c r="F15" s="35" t="s">
        <v>71</v>
      </c>
      <c r="G15" s="35" t="s">
        <v>223</v>
      </c>
      <c r="H15" s="35" t="s">
        <v>73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 t="s">
        <v>42</v>
      </c>
      <c r="T15" s="35"/>
      <c r="U15" s="35"/>
      <c r="V15" s="35"/>
      <c r="W15" s="35"/>
      <c r="X15" s="35" t="n">
        <f aca="false">COUNTIFS(Trechos!$L$2:$L$275,A15)</f>
        <v>3</v>
      </c>
      <c r="Y15" s="36" t="n">
        <f aca="false">SUMIFS(Trechos!$F$2:$F$275,Trechos!$L$2:$L$275,A15)</f>
        <v>39.2116238305168</v>
      </c>
      <c r="Z15" s="35" t="n">
        <f aca="false">COUNTA(AC15:AY15)</f>
        <v>1</v>
      </c>
      <c r="AA15" s="35" t="str">
        <f aca="false">IF(COUNTA(AC15:AY15)=0,"—",_xlfn.TEXTJOIN(", ",TRUE(),AC15:AY15))</f>
        <v>0300050007</v>
      </c>
      <c r="AB15" s="35" t="s">
        <v>49</v>
      </c>
      <c r="AC15" s="35" t="s">
        <v>73</v>
      </c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</row>
    <row r="16" customFormat="false" ht="15" hidden="false" customHeight="false" outlineLevel="0" collapsed="false">
      <c r="A16" s="35" t="n">
        <v>15</v>
      </c>
      <c r="B16" s="7" t="s">
        <v>24</v>
      </c>
      <c r="C16" s="35" t="s">
        <v>157</v>
      </c>
      <c r="D16" s="35" t="s">
        <v>222</v>
      </c>
      <c r="E16" s="35" t="s">
        <v>73</v>
      </c>
      <c r="F16" s="35" t="s">
        <v>73</v>
      </c>
      <c r="G16" s="35" t="s">
        <v>74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 t="s">
        <v>42</v>
      </c>
      <c r="T16" s="35" t="s">
        <v>73</v>
      </c>
      <c r="U16" s="35"/>
      <c r="V16" s="35"/>
      <c r="W16" s="35"/>
      <c r="X16" s="35" t="n">
        <f aca="false">COUNTIFS(Trechos!$L$2:$L$275,A16)</f>
        <v>3</v>
      </c>
      <c r="Y16" s="36" t="n">
        <f aca="false">SUMIFS(Trechos!$F$2:$F$275,Trechos!$L$2:$L$275,A16)</f>
        <v>380.996486827352</v>
      </c>
      <c r="Z16" s="35" t="n">
        <f aca="false">COUNTA(AC16:AY16)</f>
        <v>0</v>
      </c>
      <c r="AA16" s="35" t="str">
        <f aca="false">IF(COUNTA(AC16:AY16)=0,"—",_xlfn.TEXTJOIN(", ",TRUE(),AC16:AY16))</f>
        <v>—</v>
      </c>
      <c r="AB16" s="35" t="s">
        <v>49</v>
      </c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</row>
    <row r="17" customFormat="false" ht="15" hidden="false" customHeight="false" outlineLevel="0" collapsed="false">
      <c r="A17" s="35" t="n">
        <v>16</v>
      </c>
      <c r="B17" s="5" t="s">
        <v>22</v>
      </c>
      <c r="C17" s="35" t="s">
        <v>157</v>
      </c>
      <c r="D17" s="35" t="s">
        <v>224</v>
      </c>
      <c r="E17" s="35" t="s">
        <v>42</v>
      </c>
      <c r="F17" s="35" t="s">
        <v>76</v>
      </c>
      <c r="G17" s="35" t="s">
        <v>225</v>
      </c>
      <c r="H17" s="35" t="s">
        <v>226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 t="s">
        <v>42</v>
      </c>
      <c r="T17" s="35"/>
      <c r="U17" s="35"/>
      <c r="V17" s="35"/>
      <c r="W17" s="35"/>
      <c r="X17" s="35" t="n">
        <f aca="false">COUNTIFS(Trechos!$L$2:$L$275,A17)</f>
        <v>2</v>
      </c>
      <c r="Y17" s="36" t="n">
        <f aca="false">SUMIFS(Trechos!$F$2:$F$275,Trechos!$L$2:$L$275,A17)</f>
        <v>27.0246428584506</v>
      </c>
      <c r="Z17" s="35" t="n">
        <f aca="false">COUNTA(AC17:AY17)</f>
        <v>0</v>
      </c>
      <c r="AA17" s="35" t="str">
        <f aca="false">IF(COUNTA(AC17:AY17)=0,"—",_xlfn.TEXTJOIN(", ",TRUE(),AC17:AY17))</f>
        <v>—</v>
      </c>
      <c r="AB17" s="35" t="s">
        <v>49</v>
      </c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</row>
    <row r="18" customFormat="false" ht="15" hidden="false" customHeight="false" outlineLevel="0" collapsed="false">
      <c r="A18" s="35" t="n">
        <v>17</v>
      </c>
      <c r="B18" s="5" t="s">
        <v>22</v>
      </c>
      <c r="C18" s="35" t="s">
        <v>157</v>
      </c>
      <c r="D18" s="35" t="s">
        <v>227</v>
      </c>
      <c r="E18" s="35" t="s">
        <v>42</v>
      </c>
      <c r="F18" s="35" t="s">
        <v>79</v>
      </c>
      <c r="G18" s="35" t="s">
        <v>80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 t="s">
        <v>42</v>
      </c>
      <c r="T18" s="35"/>
      <c r="U18" s="35"/>
      <c r="V18" s="35"/>
      <c r="W18" s="35"/>
      <c r="X18" s="35" t="n">
        <f aca="false">COUNTIFS(Trechos!$L$2:$L$275,A18)</f>
        <v>1</v>
      </c>
      <c r="Y18" s="36" t="n">
        <f aca="false">SUMIFS(Trechos!$F$2:$F$275,Trechos!$L$2:$L$275,A18)</f>
        <v>2.87610339940285</v>
      </c>
      <c r="Z18" s="35" t="n">
        <f aca="false">COUNTA(AC18:AY18)</f>
        <v>1</v>
      </c>
      <c r="AA18" s="35" t="str">
        <f aca="false">IF(COUNTA(AC18:AY18)=0,"—",_xlfn.TEXTJOIN(", ",TRUE(),AC18:AY18))</f>
        <v>0200055007</v>
      </c>
      <c r="AB18" s="35" t="s">
        <v>49</v>
      </c>
      <c r="AC18" s="35" t="s">
        <v>80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</row>
    <row r="19" customFormat="false" ht="15" hidden="false" customHeight="false" outlineLevel="0" collapsed="false">
      <c r="A19" s="35" t="n">
        <v>18</v>
      </c>
      <c r="B19" s="7" t="s">
        <v>24</v>
      </c>
      <c r="C19" s="35" t="s">
        <v>157</v>
      </c>
      <c r="D19" s="35" t="s">
        <v>227</v>
      </c>
      <c r="E19" s="35" t="s">
        <v>80</v>
      </c>
      <c r="F19" s="35" t="s">
        <v>80</v>
      </c>
      <c r="G19" s="35" t="s">
        <v>81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 t="s">
        <v>42</v>
      </c>
      <c r="T19" s="35" t="s">
        <v>80</v>
      </c>
      <c r="U19" s="35"/>
      <c r="V19" s="35"/>
      <c r="W19" s="35"/>
      <c r="X19" s="35" t="n">
        <f aca="false">COUNTIFS(Trechos!$L$2:$L$275,A19)</f>
        <v>2</v>
      </c>
      <c r="Y19" s="36" t="n">
        <f aca="false">SUMIFS(Trechos!$F$2:$F$275,Trechos!$L$2:$L$275,A19)</f>
        <v>41.257040528592</v>
      </c>
      <c r="Z19" s="35" t="n">
        <f aca="false">COUNTA(AC19:AY19)</f>
        <v>0</v>
      </c>
      <c r="AA19" s="35" t="str">
        <f aca="false">IF(COUNTA(AC19:AY19)=0,"—",_xlfn.TEXTJOIN(", ",TRUE(),AC19:AY19))</f>
        <v>—</v>
      </c>
      <c r="AB19" s="35" t="s">
        <v>49</v>
      </c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</row>
    <row r="20" customFormat="false" ht="15" hidden="false" customHeight="false" outlineLevel="0" collapsed="false">
      <c r="A20" s="35" t="n">
        <v>19</v>
      </c>
      <c r="B20" s="5" t="s">
        <v>22</v>
      </c>
      <c r="C20" s="35" t="s">
        <v>157</v>
      </c>
      <c r="D20" s="35" t="s">
        <v>228</v>
      </c>
      <c r="E20" s="35" t="s">
        <v>42</v>
      </c>
      <c r="F20" s="35" t="s">
        <v>83</v>
      </c>
      <c r="G20" s="35" t="s">
        <v>85</v>
      </c>
      <c r="H20" s="35" t="s">
        <v>89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 t="s">
        <v>42</v>
      </c>
      <c r="T20" s="35"/>
      <c r="U20" s="35"/>
      <c r="V20" s="35"/>
      <c r="W20" s="35"/>
      <c r="X20" s="35" t="n">
        <f aca="false">COUNTIFS(Trechos!$L$2:$L$275,A20)</f>
        <v>4</v>
      </c>
      <c r="Y20" s="36" t="n">
        <f aca="false">SUMIFS(Trechos!$F$2:$F$275,Trechos!$L$2:$L$275,A20)</f>
        <v>24.8091689458992</v>
      </c>
      <c r="Z20" s="35" t="n">
        <f aca="false">COUNTA(AC20:AY20)</f>
        <v>3</v>
      </c>
      <c r="AA20" s="35" t="str">
        <f aca="false">IF(COUNTA(AC20:AY20)=0,"—",_xlfn.TEXTJOIN(", ",TRUE(),AC20:AY20))</f>
        <v>0300057007, 0357094007, 0300056007</v>
      </c>
      <c r="AB20" s="35" t="s">
        <v>49</v>
      </c>
      <c r="AC20" s="35" t="s">
        <v>85</v>
      </c>
      <c r="AD20" s="35" t="s">
        <v>87</v>
      </c>
      <c r="AE20" s="35" t="s">
        <v>89</v>
      </c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</row>
    <row r="21" customFormat="false" ht="15" hidden="false" customHeight="false" outlineLevel="0" collapsed="false">
      <c r="A21" s="35" t="n">
        <v>20</v>
      </c>
      <c r="B21" s="7" t="s">
        <v>24</v>
      </c>
      <c r="C21" s="35" t="s">
        <v>157</v>
      </c>
      <c r="D21" s="35" t="s">
        <v>228</v>
      </c>
      <c r="E21" s="35" t="s">
        <v>85</v>
      </c>
      <c r="F21" s="35" t="s">
        <v>85</v>
      </c>
      <c r="G21" s="35" t="s">
        <v>229</v>
      </c>
      <c r="H21" s="35" t="s">
        <v>87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 t="s">
        <v>42</v>
      </c>
      <c r="T21" s="35" t="s">
        <v>85</v>
      </c>
      <c r="U21" s="35"/>
      <c r="V21" s="35"/>
      <c r="W21" s="35"/>
      <c r="X21" s="35" t="n">
        <f aca="false">COUNTIFS(Trechos!$L$2:$L$275,A21)</f>
        <v>4</v>
      </c>
      <c r="Y21" s="36" t="n">
        <f aca="false">SUMIFS(Trechos!$F$2:$F$275,Trechos!$L$2:$L$275,A21)</f>
        <v>188.298210279016</v>
      </c>
      <c r="Z21" s="35" t="n">
        <f aca="false">COUNTA(AC21:AY21)</f>
        <v>1</v>
      </c>
      <c r="AA21" s="35" t="str">
        <f aca="false">IF(COUNTA(AC21:AY21)=0,"—",_xlfn.TEXTJOIN(", ",TRUE(),AC21:AY21))</f>
        <v>0357094007</v>
      </c>
      <c r="AB21" s="35" t="s">
        <v>49</v>
      </c>
      <c r="AC21" s="35" t="s">
        <v>87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</row>
    <row r="22" customFormat="false" ht="15" hidden="false" customHeight="false" outlineLevel="0" collapsed="false">
      <c r="A22" s="35" t="n">
        <v>21</v>
      </c>
      <c r="B22" s="8" t="s">
        <v>25</v>
      </c>
      <c r="C22" s="35" t="s">
        <v>157</v>
      </c>
      <c r="D22" s="35" t="s">
        <v>228</v>
      </c>
      <c r="E22" s="35" t="s">
        <v>87</v>
      </c>
      <c r="F22" s="35" t="s">
        <v>87</v>
      </c>
      <c r="G22" s="35" t="s">
        <v>88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 t="s">
        <v>42</v>
      </c>
      <c r="T22" s="35" t="s">
        <v>85</v>
      </c>
      <c r="U22" s="35" t="s">
        <v>87</v>
      </c>
      <c r="V22" s="35"/>
      <c r="W22" s="35"/>
      <c r="X22" s="35" t="n">
        <f aca="false">COUNTIFS(Trechos!$L$2:$L$275,A22)</f>
        <v>1</v>
      </c>
      <c r="Y22" s="36" t="n">
        <f aca="false">SUMIFS(Trechos!$F$2:$F$275,Trechos!$L$2:$L$275,A22)</f>
        <v>2.35262168509654</v>
      </c>
      <c r="Z22" s="35" t="n">
        <f aca="false">COUNTA(AC22:AY22)</f>
        <v>0</v>
      </c>
      <c r="AA22" s="35" t="str">
        <f aca="false">IF(COUNTA(AC22:AY22)=0,"—",_xlfn.TEXTJOIN(", ",TRUE(),AC22:AY22))</f>
        <v>—</v>
      </c>
      <c r="AB22" s="35" t="s">
        <v>49</v>
      </c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</row>
    <row r="23" customFormat="false" ht="15" hidden="false" customHeight="false" outlineLevel="0" collapsed="false">
      <c r="A23" s="35" t="n">
        <v>22</v>
      </c>
      <c r="B23" s="7" t="s">
        <v>24</v>
      </c>
      <c r="C23" s="35" t="s">
        <v>157</v>
      </c>
      <c r="D23" s="35" t="s">
        <v>228</v>
      </c>
      <c r="E23" s="35" t="s">
        <v>89</v>
      </c>
      <c r="F23" s="35" t="s">
        <v>89</v>
      </c>
      <c r="G23" s="35" t="s">
        <v>90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 t="s">
        <v>42</v>
      </c>
      <c r="T23" s="35" t="s">
        <v>89</v>
      </c>
      <c r="U23" s="35"/>
      <c r="V23" s="35"/>
      <c r="W23" s="35"/>
      <c r="X23" s="35" t="n">
        <f aca="false">COUNTIFS(Trechos!$L$2:$L$275,A23)</f>
        <v>1</v>
      </c>
      <c r="Y23" s="36" t="n">
        <f aca="false">SUMIFS(Trechos!$F$2:$F$275,Trechos!$L$2:$L$275,A23)</f>
        <v>25.7703165866184</v>
      </c>
      <c r="Z23" s="35" t="n">
        <f aca="false">COUNTA(AC23:AY23)</f>
        <v>0</v>
      </c>
      <c r="AA23" s="35" t="str">
        <f aca="false">IF(COUNTA(AC23:AY23)=0,"—",_xlfn.TEXTJOIN(", ",TRUE(),AC23:AY23))</f>
        <v>—</v>
      </c>
      <c r="AB23" s="35" t="s">
        <v>49</v>
      </c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</row>
    <row r="24" customFormat="false" ht="15" hidden="false" customHeight="false" outlineLevel="0" collapsed="false">
      <c r="A24" s="35" t="n">
        <v>23</v>
      </c>
      <c r="B24" s="5" t="s">
        <v>22</v>
      </c>
      <c r="C24" s="35" t="s">
        <v>157</v>
      </c>
      <c r="D24" s="35" t="s">
        <v>230</v>
      </c>
      <c r="E24" s="35" t="s">
        <v>42</v>
      </c>
      <c r="F24" s="35" t="s">
        <v>92</v>
      </c>
      <c r="G24" s="35" t="s">
        <v>93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 t="s">
        <v>42</v>
      </c>
      <c r="T24" s="35"/>
      <c r="U24" s="35"/>
      <c r="V24" s="35"/>
      <c r="W24" s="35"/>
      <c r="X24" s="35" t="n">
        <f aca="false">COUNTIFS(Trechos!$L$2:$L$275,A24)</f>
        <v>1</v>
      </c>
      <c r="Y24" s="36" t="n">
        <f aca="false">SUMIFS(Trechos!$F$2:$F$275,Trechos!$L$2:$L$275,A24)</f>
        <v>1.91634481160728</v>
      </c>
      <c r="Z24" s="35" t="n">
        <f aca="false">COUNTA(AC24:AY24)</f>
        <v>1</v>
      </c>
      <c r="AA24" s="35" t="str">
        <f aca="false">IF(COUNTA(AC24:AY24)=0,"—",_xlfn.TEXTJOIN(", ",TRUE(),AC24:AY24))</f>
        <v>0200061007</v>
      </c>
      <c r="AB24" s="35" t="s">
        <v>49</v>
      </c>
      <c r="AC24" s="35" t="s">
        <v>93</v>
      </c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</row>
    <row r="25" customFormat="false" ht="15" hidden="false" customHeight="false" outlineLevel="0" collapsed="false">
      <c r="A25" s="35" t="n">
        <v>24</v>
      </c>
      <c r="B25" s="7" t="s">
        <v>24</v>
      </c>
      <c r="C25" s="35" t="s">
        <v>157</v>
      </c>
      <c r="D25" s="35" t="s">
        <v>230</v>
      </c>
      <c r="E25" s="35" t="s">
        <v>93</v>
      </c>
      <c r="F25" s="35" t="s">
        <v>93</v>
      </c>
      <c r="G25" s="35" t="s">
        <v>94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 t="s">
        <v>42</v>
      </c>
      <c r="T25" s="35" t="s">
        <v>93</v>
      </c>
      <c r="U25" s="35"/>
      <c r="V25" s="35"/>
      <c r="W25" s="35"/>
      <c r="X25" s="35" t="n">
        <f aca="false">COUNTIFS(Trechos!$L$2:$L$275,A25)</f>
        <v>2</v>
      </c>
      <c r="Y25" s="36" t="n">
        <f aca="false">SUMIFS(Trechos!$F$2:$F$275,Trechos!$L$2:$L$275,A25)</f>
        <v>31.66240387166</v>
      </c>
      <c r="Z25" s="35" t="n">
        <f aca="false">COUNTA(AC25:AY25)</f>
        <v>0</v>
      </c>
      <c r="AA25" s="35" t="str">
        <f aca="false">IF(COUNTA(AC25:AY25)=0,"—",_xlfn.TEXTJOIN(", ",TRUE(),AC25:AY25))</f>
        <v>—</v>
      </c>
      <c r="AB25" s="35" t="s">
        <v>49</v>
      </c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</row>
    <row r="26" customFormat="false" ht="15" hidden="false" customHeight="false" outlineLevel="0" collapsed="false">
      <c r="A26" s="35" t="n">
        <v>25</v>
      </c>
      <c r="B26" s="5" t="s">
        <v>22</v>
      </c>
      <c r="C26" s="35" t="s">
        <v>157</v>
      </c>
      <c r="D26" s="35" t="s">
        <v>231</v>
      </c>
      <c r="E26" s="35" t="s">
        <v>42</v>
      </c>
      <c r="F26" s="35" t="s">
        <v>96</v>
      </c>
      <c r="G26" s="35" t="s">
        <v>97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 t="s">
        <v>42</v>
      </c>
      <c r="T26" s="35"/>
      <c r="U26" s="35"/>
      <c r="V26" s="35"/>
      <c r="W26" s="35"/>
      <c r="X26" s="35" t="n">
        <f aca="false">COUNTIFS(Trechos!$L$2:$L$275,A26)</f>
        <v>1</v>
      </c>
      <c r="Y26" s="36" t="n">
        <f aca="false">SUMIFS(Trechos!$F$2:$F$275,Trechos!$L$2:$L$275,A26)</f>
        <v>0.3289439437299</v>
      </c>
      <c r="Z26" s="35" t="n">
        <f aca="false">COUNTA(AC26:AY26)</f>
        <v>1</v>
      </c>
      <c r="AA26" s="35" t="str">
        <f aca="false">IF(COUNTA(AC26:AY26)=0,"—",_xlfn.TEXTJOIN(", ",TRUE(),AC26:AY26))</f>
        <v>0300062007</v>
      </c>
      <c r="AB26" s="35" t="s">
        <v>49</v>
      </c>
      <c r="AC26" s="35" t="s">
        <v>97</v>
      </c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</row>
    <row r="27" customFormat="false" ht="15" hidden="false" customHeight="false" outlineLevel="0" collapsed="false">
      <c r="A27" s="35" t="n">
        <v>26</v>
      </c>
      <c r="B27" s="7" t="s">
        <v>24</v>
      </c>
      <c r="C27" s="35" t="s">
        <v>157</v>
      </c>
      <c r="D27" s="35" t="s">
        <v>231</v>
      </c>
      <c r="E27" s="35" t="s">
        <v>97</v>
      </c>
      <c r="F27" s="35" t="s">
        <v>97</v>
      </c>
      <c r="G27" s="35" t="s">
        <v>232</v>
      </c>
      <c r="H27" s="35" t="s">
        <v>233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 t="s">
        <v>42</v>
      </c>
      <c r="T27" s="35" t="s">
        <v>97</v>
      </c>
      <c r="U27" s="35"/>
      <c r="V27" s="35"/>
      <c r="W27" s="35"/>
      <c r="X27" s="35" t="n">
        <f aca="false">COUNTIFS(Trechos!$L$2:$L$275,A27)</f>
        <v>4</v>
      </c>
      <c r="Y27" s="36" t="n">
        <f aca="false">SUMIFS(Trechos!$F$2:$F$275,Trechos!$L$2:$L$275,A27)</f>
        <v>10.2712756964159</v>
      </c>
      <c r="Z27" s="35" t="n">
        <f aca="false">COUNTA(AC27:AY27)</f>
        <v>0</v>
      </c>
      <c r="AA27" s="35" t="str">
        <f aca="false">IF(COUNTA(AC27:AY27)=0,"—",_xlfn.TEXTJOIN(", ",TRUE(),AC27:AY27))</f>
        <v>—</v>
      </c>
      <c r="AB27" s="35" t="s">
        <v>49</v>
      </c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</row>
    <row r="28" customFormat="false" ht="15" hidden="false" customHeight="false" outlineLevel="0" collapsed="false">
      <c r="A28" s="35" t="n">
        <v>27</v>
      </c>
      <c r="B28" s="5" t="s">
        <v>22</v>
      </c>
      <c r="C28" s="35" t="s">
        <v>157</v>
      </c>
      <c r="D28" s="35" t="s">
        <v>234</v>
      </c>
      <c r="E28" s="35" t="s">
        <v>42</v>
      </c>
      <c r="F28" s="35" t="s">
        <v>100</v>
      </c>
      <c r="G28" s="35" t="s">
        <v>102</v>
      </c>
      <c r="H28" s="35" t="s">
        <v>235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 t="s">
        <v>42</v>
      </c>
      <c r="T28" s="35"/>
      <c r="U28" s="35"/>
      <c r="V28" s="35"/>
      <c r="W28" s="35"/>
      <c r="X28" s="35" t="n">
        <f aca="false">COUNTIFS(Trechos!$L$2:$L$275,A28)</f>
        <v>4</v>
      </c>
      <c r="Y28" s="36" t="n">
        <f aca="false">SUMIFS(Trechos!$F$2:$F$275,Trechos!$L$2:$L$275,A28)</f>
        <v>174.127818277171</v>
      </c>
      <c r="Z28" s="35" t="n">
        <f aca="false">COUNTA(AC28:AY28)</f>
        <v>1</v>
      </c>
      <c r="AA28" s="35" t="str">
        <f aca="false">IF(COUNTA(AC28:AY28)=0,"—",_xlfn.TEXTJOIN(", ",TRUE(),AC28:AY28))</f>
        <v>0300065007</v>
      </c>
      <c r="AB28" s="35" t="s">
        <v>49</v>
      </c>
      <c r="AC28" s="35" t="s">
        <v>102</v>
      </c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</row>
    <row r="29" customFormat="false" ht="15" hidden="false" customHeight="false" outlineLevel="0" collapsed="false">
      <c r="A29" s="35" t="n">
        <v>28</v>
      </c>
      <c r="B29" s="7" t="s">
        <v>24</v>
      </c>
      <c r="C29" s="35" t="s">
        <v>157</v>
      </c>
      <c r="D29" s="35" t="s">
        <v>234</v>
      </c>
      <c r="E29" s="35" t="s">
        <v>102</v>
      </c>
      <c r="F29" s="35" t="s">
        <v>102</v>
      </c>
      <c r="G29" s="35" t="s">
        <v>103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 t="s">
        <v>42</v>
      </c>
      <c r="T29" s="35" t="s">
        <v>102</v>
      </c>
      <c r="U29" s="35"/>
      <c r="V29" s="35"/>
      <c r="W29" s="35"/>
      <c r="X29" s="35" t="n">
        <f aca="false">COUNTIFS(Trechos!$L$2:$L$275,A29)</f>
        <v>1</v>
      </c>
      <c r="Y29" s="36" t="n">
        <f aca="false">SUMIFS(Trechos!$F$2:$F$275,Trechos!$L$2:$L$275,A29)</f>
        <v>102.761217127749</v>
      </c>
      <c r="Z29" s="35" t="n">
        <f aca="false">COUNTA(AC29:AY29)</f>
        <v>0</v>
      </c>
      <c r="AA29" s="35" t="str">
        <f aca="false">IF(COUNTA(AC29:AY29)=0,"—",_xlfn.TEXTJOIN(", ",TRUE(),AC29:AY29))</f>
        <v>—</v>
      </c>
      <c r="AB29" s="35" t="s">
        <v>49</v>
      </c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</row>
    <row r="30" customFormat="false" ht="15" hidden="false" customHeight="false" outlineLevel="0" collapsed="false">
      <c r="A30" s="35" t="n">
        <v>29</v>
      </c>
      <c r="B30" s="5" t="s">
        <v>22</v>
      </c>
      <c r="C30" s="35" t="s">
        <v>157</v>
      </c>
      <c r="D30" s="35" t="s">
        <v>236</v>
      </c>
      <c r="E30" s="35" t="s">
        <v>42</v>
      </c>
      <c r="F30" s="35" t="s">
        <v>105</v>
      </c>
      <c r="G30" s="35" t="s">
        <v>106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 t="s">
        <v>42</v>
      </c>
      <c r="T30" s="35"/>
      <c r="U30" s="35"/>
      <c r="V30" s="35"/>
      <c r="W30" s="35"/>
      <c r="X30" s="35" t="n">
        <f aca="false">COUNTIFS(Trechos!$L$2:$L$275,A30)</f>
        <v>1</v>
      </c>
      <c r="Y30" s="36" t="n">
        <f aca="false">SUMIFS(Trechos!$F$2:$F$275,Trechos!$L$2:$L$275,A30)</f>
        <v>5.45772281405916</v>
      </c>
      <c r="Z30" s="35" t="n">
        <f aca="false">COUNTA(AC30:AY30)</f>
        <v>0</v>
      </c>
      <c r="AA30" s="35" t="str">
        <f aca="false">IF(COUNTA(AC30:AY30)=0,"—",_xlfn.TEXTJOIN(", ",TRUE(),AC30:AY30))</f>
        <v>—</v>
      </c>
      <c r="AB30" s="35" t="s">
        <v>49</v>
      </c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</row>
    <row r="31" customFormat="false" ht="15" hidden="false" customHeight="false" outlineLevel="0" collapsed="false">
      <c r="A31" s="35" t="n">
        <v>30</v>
      </c>
      <c r="B31" s="6" t="s">
        <v>23</v>
      </c>
      <c r="C31" s="35" t="s">
        <v>157</v>
      </c>
      <c r="D31" s="35" t="s">
        <v>237</v>
      </c>
      <c r="E31" s="35" t="s">
        <v>43</v>
      </c>
      <c r="F31" s="35" t="s">
        <v>108</v>
      </c>
      <c r="G31" s="35" t="s">
        <v>109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 t="s">
        <v>42</v>
      </c>
      <c r="T31" s="35" t="s">
        <v>43</v>
      </c>
      <c r="U31" s="35"/>
      <c r="V31" s="35"/>
      <c r="W31" s="35"/>
      <c r="X31" s="35" t="n">
        <f aca="false">COUNTIFS(Trechos!$L$2:$L$275,A31)</f>
        <v>1</v>
      </c>
      <c r="Y31" s="36" t="n">
        <f aca="false">SUMIFS(Trechos!$F$2:$F$275,Trechos!$L$2:$L$275,A31)</f>
        <v>4.77595546451011</v>
      </c>
      <c r="Z31" s="35" t="n">
        <f aca="false">COUNTA(AC31:AY31)</f>
        <v>0</v>
      </c>
      <c r="AA31" s="35" t="str">
        <f aca="false">IF(COUNTA(AC31:AY31)=0,"—",_xlfn.TEXTJOIN(", ",TRUE(),AC31:AY31))</f>
        <v>—</v>
      </c>
      <c r="AB31" s="35" t="s">
        <v>49</v>
      </c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</row>
    <row r="32" customFormat="false" ht="15" hidden="false" customHeight="false" outlineLevel="0" collapsed="false">
      <c r="A32" s="35" t="n">
        <v>31</v>
      </c>
      <c r="B32" s="6" t="s">
        <v>23</v>
      </c>
      <c r="C32" s="35" t="s">
        <v>157</v>
      </c>
      <c r="D32" s="35" t="s">
        <v>238</v>
      </c>
      <c r="E32" s="35" t="s">
        <v>43</v>
      </c>
      <c r="F32" s="35" t="s">
        <v>111</v>
      </c>
      <c r="G32" s="35" t="s">
        <v>112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 t="s">
        <v>42</v>
      </c>
      <c r="T32" s="35" t="s">
        <v>43</v>
      </c>
      <c r="U32" s="35"/>
      <c r="V32" s="35"/>
      <c r="W32" s="35"/>
      <c r="X32" s="35" t="n">
        <f aca="false">COUNTIFS(Trechos!$L$2:$L$275,A32)</f>
        <v>2</v>
      </c>
      <c r="Y32" s="36" t="n">
        <f aca="false">SUMIFS(Trechos!$F$2:$F$275,Trechos!$L$2:$L$275,A32)</f>
        <v>44.7709334024713</v>
      </c>
      <c r="Z32" s="35" t="n">
        <f aca="false">COUNTA(AC32:AY32)</f>
        <v>4</v>
      </c>
      <c r="AA32" s="35" t="str">
        <f aca="false">IF(COUNTA(AC32:AY32)=0,"—",_xlfn.TEXTJOIN(", ",TRUE(),AC32:AY32))</f>
        <v>0300068007, 0300070007, 0300073007, 0300074007</v>
      </c>
      <c r="AB32" s="35" t="s">
        <v>49</v>
      </c>
      <c r="AC32" s="35" t="s">
        <v>112</v>
      </c>
      <c r="AD32" s="35" t="s">
        <v>114</v>
      </c>
      <c r="AE32" s="35" t="s">
        <v>116</v>
      </c>
      <c r="AF32" s="35" t="s">
        <v>117</v>
      </c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</row>
    <row r="33" customFormat="false" ht="15" hidden="false" customHeight="false" outlineLevel="0" collapsed="false">
      <c r="A33" s="35" t="n">
        <v>32</v>
      </c>
      <c r="B33" s="7" t="s">
        <v>24</v>
      </c>
      <c r="C33" s="35" t="s">
        <v>157</v>
      </c>
      <c r="D33" s="35" t="s">
        <v>238</v>
      </c>
      <c r="E33" s="35" t="s">
        <v>112</v>
      </c>
      <c r="F33" s="35" t="s">
        <v>112</v>
      </c>
      <c r="G33" s="35" t="s">
        <v>239</v>
      </c>
      <c r="H33" s="35" t="s">
        <v>114</v>
      </c>
      <c r="I33" s="35" t="s">
        <v>116</v>
      </c>
      <c r="J33" s="35" t="s">
        <v>240</v>
      </c>
      <c r="K33" s="35" t="s">
        <v>241</v>
      </c>
      <c r="L33" s="35" t="s">
        <v>242</v>
      </c>
      <c r="M33" s="35" t="s">
        <v>243</v>
      </c>
      <c r="N33" s="35"/>
      <c r="O33" s="35"/>
      <c r="P33" s="35"/>
      <c r="Q33" s="35"/>
      <c r="R33" s="35"/>
      <c r="S33" s="35" t="s">
        <v>42</v>
      </c>
      <c r="T33" s="35" t="s">
        <v>43</v>
      </c>
      <c r="U33" s="35" t="s">
        <v>112</v>
      </c>
      <c r="V33" s="35"/>
      <c r="W33" s="35"/>
      <c r="X33" s="35" t="n">
        <f aca="false">COUNTIFS(Trechos!$L$2:$L$275,A33)</f>
        <v>16</v>
      </c>
      <c r="Y33" s="36" t="n">
        <f aca="false">SUMIFS(Trechos!$F$2:$F$275,Trechos!$L$2:$L$275,A33)</f>
        <v>618.681172096717</v>
      </c>
      <c r="Z33" s="35" t="n">
        <f aca="false">COUNTA(AC33:AY33)</f>
        <v>3</v>
      </c>
      <c r="AA33" s="35" t="str">
        <f aca="false">IF(COUNTA(AC33:AY33)=0,"—",_xlfn.TEXTJOIN(", ",TRUE(),AC33:AY33))</f>
        <v>0300070007, 0300073007, 0300074007</v>
      </c>
      <c r="AB33" s="35" t="s">
        <v>49</v>
      </c>
      <c r="AC33" s="35" t="s">
        <v>114</v>
      </c>
      <c r="AD33" s="35" t="s">
        <v>116</v>
      </c>
      <c r="AE33" s="35" t="s">
        <v>117</v>
      </c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</row>
    <row r="34" customFormat="false" ht="15" hidden="false" customHeight="false" outlineLevel="0" collapsed="false">
      <c r="A34" s="35" t="n">
        <v>33</v>
      </c>
      <c r="B34" s="8" t="s">
        <v>25</v>
      </c>
      <c r="C34" s="35" t="s">
        <v>157</v>
      </c>
      <c r="D34" s="35" t="s">
        <v>238</v>
      </c>
      <c r="E34" s="35" t="s">
        <v>114</v>
      </c>
      <c r="F34" s="35" t="s">
        <v>114</v>
      </c>
      <c r="G34" s="35" t="s">
        <v>115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 t="s">
        <v>42</v>
      </c>
      <c r="T34" s="35" t="s">
        <v>43</v>
      </c>
      <c r="U34" s="35" t="s">
        <v>112</v>
      </c>
      <c r="V34" s="35" t="s">
        <v>114</v>
      </c>
      <c r="W34" s="35"/>
      <c r="X34" s="35" t="n">
        <f aca="false">COUNTIFS(Trechos!$L$2:$L$275,A34)</f>
        <v>2</v>
      </c>
      <c r="Y34" s="36" t="n">
        <f aca="false">SUMIFS(Trechos!$F$2:$F$275,Trechos!$L$2:$L$275,A34)</f>
        <v>174.540618398025</v>
      </c>
      <c r="Z34" s="35" t="n">
        <f aca="false">COUNTA(AC34:AY34)</f>
        <v>0</v>
      </c>
      <c r="AA34" s="35" t="str">
        <f aca="false">IF(COUNTA(AC34:AY34)=0,"—",_xlfn.TEXTJOIN(", ",TRUE(),AC34:AY34))</f>
        <v>—</v>
      </c>
      <c r="AB34" s="35" t="s">
        <v>49</v>
      </c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</row>
    <row r="35" customFormat="false" ht="15" hidden="false" customHeight="false" outlineLevel="0" collapsed="false">
      <c r="A35" s="35" t="n">
        <v>34</v>
      </c>
      <c r="B35" s="8" t="s">
        <v>25</v>
      </c>
      <c r="C35" s="35" t="s">
        <v>157</v>
      </c>
      <c r="D35" s="35" t="s">
        <v>238</v>
      </c>
      <c r="E35" s="35" t="s">
        <v>116</v>
      </c>
      <c r="F35" s="35" t="s">
        <v>116</v>
      </c>
      <c r="G35" s="35" t="s">
        <v>117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 t="s">
        <v>42</v>
      </c>
      <c r="T35" s="35" t="s">
        <v>43</v>
      </c>
      <c r="U35" s="35" t="s">
        <v>112</v>
      </c>
      <c r="V35" s="35" t="s">
        <v>116</v>
      </c>
      <c r="W35" s="35"/>
      <c r="X35" s="35" t="n">
        <f aca="false">COUNTIFS(Trechos!$L$2:$L$275,A35)</f>
        <v>5</v>
      </c>
      <c r="Y35" s="36" t="n">
        <f aca="false">SUMIFS(Trechos!$F$2:$F$275,Trechos!$L$2:$L$275,A35)</f>
        <v>276.328228466191</v>
      </c>
      <c r="Z35" s="35" t="n">
        <f aca="false">COUNTA(AC35:AY35)</f>
        <v>1</v>
      </c>
      <c r="AA35" s="35" t="str">
        <f aca="false">IF(COUNTA(AC35:AY35)=0,"—",_xlfn.TEXTJOIN(", ",TRUE(),AC35:AY35))</f>
        <v>0300074007</v>
      </c>
      <c r="AB35" s="35" t="s">
        <v>49</v>
      </c>
      <c r="AC35" s="35" t="s">
        <v>117</v>
      </c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</row>
    <row r="36" customFormat="false" ht="15" hidden="false" customHeight="false" outlineLevel="0" collapsed="false">
      <c r="A36" s="35" t="n">
        <v>35</v>
      </c>
      <c r="B36" s="9" t="s">
        <v>26</v>
      </c>
      <c r="C36" s="35" t="s">
        <v>157</v>
      </c>
      <c r="D36" s="35" t="s">
        <v>238</v>
      </c>
      <c r="E36" s="35" t="s">
        <v>117</v>
      </c>
      <c r="F36" s="35" t="s">
        <v>117</v>
      </c>
      <c r="G36" s="35" t="s">
        <v>118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 t="s">
        <v>42</v>
      </c>
      <c r="T36" s="35" t="s">
        <v>43</v>
      </c>
      <c r="U36" s="35" t="s">
        <v>112</v>
      </c>
      <c r="V36" s="35" t="s">
        <v>116</v>
      </c>
      <c r="W36" s="35" t="s">
        <v>117</v>
      </c>
      <c r="X36" s="35" t="n">
        <f aca="false">COUNTIFS(Trechos!$L$2:$L$275,A36)</f>
        <v>1</v>
      </c>
      <c r="Y36" s="36" t="n">
        <f aca="false">SUMIFS(Trechos!$F$2:$F$275,Trechos!$L$2:$L$275,A36)</f>
        <v>9.28942562558534</v>
      </c>
      <c r="Z36" s="35" t="n">
        <f aca="false">COUNTA(AC36:AY36)</f>
        <v>0</v>
      </c>
      <c r="AA36" s="35" t="str">
        <f aca="false">IF(COUNTA(AC36:AY36)=0,"—",_xlfn.TEXTJOIN(", ",TRUE(),AC36:AY36))</f>
        <v>—</v>
      </c>
      <c r="AB36" s="35" t="s">
        <v>49</v>
      </c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</row>
    <row r="37" customFormat="false" ht="15" hidden="false" customHeight="false" outlineLevel="0" collapsed="false">
      <c r="A37" s="35" t="n">
        <v>36</v>
      </c>
      <c r="B37" s="6" t="s">
        <v>23</v>
      </c>
      <c r="C37" s="35" t="s">
        <v>157</v>
      </c>
      <c r="D37" s="35" t="s">
        <v>244</v>
      </c>
      <c r="E37" s="35" t="s">
        <v>43</v>
      </c>
      <c r="F37" s="35" t="s">
        <v>120</v>
      </c>
      <c r="G37" s="35" t="s">
        <v>245</v>
      </c>
      <c r="H37" s="35" t="s">
        <v>122</v>
      </c>
      <c r="I37" s="35" t="s">
        <v>246</v>
      </c>
      <c r="J37" s="35" t="s">
        <v>133</v>
      </c>
      <c r="K37" s="35"/>
      <c r="L37" s="35"/>
      <c r="M37" s="35"/>
      <c r="N37" s="35"/>
      <c r="O37" s="35"/>
      <c r="P37" s="35"/>
      <c r="Q37" s="35"/>
      <c r="R37" s="35"/>
      <c r="S37" s="35" t="s">
        <v>42</v>
      </c>
      <c r="T37" s="35" t="s">
        <v>43</v>
      </c>
      <c r="U37" s="35"/>
      <c r="V37" s="35"/>
      <c r="W37" s="35"/>
      <c r="X37" s="35" t="n">
        <f aca="false">COUNTIFS(Trechos!$L$2:$L$275,A37)</f>
        <v>7</v>
      </c>
      <c r="Y37" s="36" t="n">
        <f aca="false">SUMIFS(Trechos!$F$2:$F$275,Trechos!$L$2:$L$275,A37)</f>
        <v>255.810255905576</v>
      </c>
      <c r="Z37" s="35" t="n">
        <f aca="false">COUNTA(AC37:AY37)</f>
        <v>6</v>
      </c>
      <c r="AA37" s="35" t="str">
        <f aca="false">IF(COUNTA(AC37:AY37)=0,"—",_xlfn.TEXTJOIN(", ",TRUE(),AC37:AY37))</f>
        <v>0300111007, 0300115007, 0300145007, 0200114007, 0301201007, 0300109007</v>
      </c>
      <c r="AB37" s="35" t="s">
        <v>49</v>
      </c>
      <c r="AC37" s="35" t="s">
        <v>122</v>
      </c>
      <c r="AD37" s="35" t="s">
        <v>124</v>
      </c>
      <c r="AE37" s="35" t="s">
        <v>127</v>
      </c>
      <c r="AF37" s="35" t="s">
        <v>129</v>
      </c>
      <c r="AG37" s="35" t="s">
        <v>131</v>
      </c>
      <c r="AH37" s="35" t="s">
        <v>133</v>
      </c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</row>
    <row r="38" customFormat="false" ht="15" hidden="false" customHeight="false" outlineLevel="0" collapsed="false">
      <c r="A38" s="35" t="n">
        <v>37</v>
      </c>
      <c r="B38" s="7" t="s">
        <v>24</v>
      </c>
      <c r="C38" s="35" t="s">
        <v>157</v>
      </c>
      <c r="D38" s="35" t="s">
        <v>244</v>
      </c>
      <c r="E38" s="35" t="s">
        <v>122</v>
      </c>
      <c r="F38" s="35" t="s">
        <v>122</v>
      </c>
      <c r="G38" s="35" t="s">
        <v>247</v>
      </c>
      <c r="H38" s="35" t="s">
        <v>124</v>
      </c>
      <c r="I38" s="35" t="s">
        <v>248</v>
      </c>
      <c r="J38" s="35" t="s">
        <v>127</v>
      </c>
      <c r="K38" s="35" t="s">
        <v>249</v>
      </c>
      <c r="L38" s="35" t="s">
        <v>250</v>
      </c>
      <c r="M38" s="35" t="s">
        <v>251</v>
      </c>
      <c r="N38" s="35" t="s">
        <v>252</v>
      </c>
      <c r="O38" s="35" t="s">
        <v>253</v>
      </c>
      <c r="P38" s="35" t="s">
        <v>129</v>
      </c>
      <c r="Q38" s="35" t="s">
        <v>254</v>
      </c>
      <c r="R38" s="35" t="s">
        <v>131</v>
      </c>
      <c r="S38" s="35" t="s">
        <v>42</v>
      </c>
      <c r="T38" s="35" t="s">
        <v>43</v>
      </c>
      <c r="U38" s="35" t="s">
        <v>122</v>
      </c>
      <c r="V38" s="35"/>
      <c r="W38" s="35"/>
      <c r="X38" s="35" t="n">
        <f aca="false">COUNTIFS(Trechos!$L$2:$L$275,A38)</f>
        <v>34</v>
      </c>
      <c r="Y38" s="36" t="n">
        <f aca="false">SUMIFS(Trechos!$F$2:$F$275,Trechos!$L$2:$L$275,A38)</f>
        <v>1391.56345957173</v>
      </c>
      <c r="Z38" s="35" t="n">
        <f aca="false">COUNTA(AC38:AY38)</f>
        <v>4</v>
      </c>
      <c r="AA38" s="35" t="str">
        <f aca="false">IF(COUNTA(AC38:AY38)=0,"—",_xlfn.TEXTJOIN(", ",TRUE(),AC38:AY38))</f>
        <v>0300115007, 0300145007, 0200114007, 0301201007</v>
      </c>
      <c r="AB38" s="35" t="s">
        <v>49</v>
      </c>
      <c r="AC38" s="35" t="s">
        <v>124</v>
      </c>
      <c r="AD38" s="35" t="s">
        <v>127</v>
      </c>
      <c r="AE38" s="35" t="s">
        <v>129</v>
      </c>
      <c r="AF38" s="35" t="s">
        <v>131</v>
      </c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</row>
    <row r="39" customFormat="false" ht="15" hidden="false" customHeight="false" outlineLevel="0" collapsed="false">
      <c r="A39" s="35" t="n">
        <v>38</v>
      </c>
      <c r="B39" s="8" t="s">
        <v>25</v>
      </c>
      <c r="C39" s="35" t="s">
        <v>157</v>
      </c>
      <c r="D39" s="35" t="s">
        <v>244</v>
      </c>
      <c r="E39" s="35" t="s">
        <v>124</v>
      </c>
      <c r="F39" s="35" t="s">
        <v>124</v>
      </c>
      <c r="G39" s="35" t="s">
        <v>255</v>
      </c>
      <c r="H39" s="35" t="s">
        <v>256</v>
      </c>
      <c r="I39" s="35" t="s">
        <v>257</v>
      </c>
      <c r="J39" s="35" t="s">
        <v>258</v>
      </c>
      <c r="K39" s="35"/>
      <c r="L39" s="35"/>
      <c r="M39" s="35"/>
      <c r="N39" s="35"/>
      <c r="O39" s="35"/>
      <c r="P39" s="35"/>
      <c r="Q39" s="35"/>
      <c r="R39" s="35"/>
      <c r="S39" s="35" t="s">
        <v>42</v>
      </c>
      <c r="T39" s="35" t="s">
        <v>43</v>
      </c>
      <c r="U39" s="35" t="s">
        <v>122</v>
      </c>
      <c r="V39" s="35" t="s">
        <v>124</v>
      </c>
      <c r="W39" s="35"/>
      <c r="X39" s="35" t="n">
        <f aca="false">COUNTIFS(Trechos!$L$2:$L$275,A39)</f>
        <v>16</v>
      </c>
      <c r="Y39" s="36" t="n">
        <f aca="false">SUMIFS(Trechos!$F$2:$F$275,Trechos!$L$2:$L$275,A39)</f>
        <v>903.0351698631</v>
      </c>
      <c r="Z39" s="35" t="n">
        <f aca="false">COUNTA(AC39:AY39)</f>
        <v>0</v>
      </c>
      <c r="AA39" s="35" t="str">
        <f aca="false">IF(COUNTA(AC39:AY39)=0,"—",_xlfn.TEXTJOIN(", ",TRUE(),AC39:AY39))</f>
        <v>—</v>
      </c>
      <c r="AB39" s="35" t="s">
        <v>126</v>
      </c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</row>
    <row r="40" customFormat="false" ht="15" hidden="false" customHeight="false" outlineLevel="0" collapsed="false">
      <c r="A40" s="35" t="n">
        <v>39</v>
      </c>
      <c r="B40" s="8" t="s">
        <v>25</v>
      </c>
      <c r="C40" s="35" t="s">
        <v>157</v>
      </c>
      <c r="D40" s="35" t="s">
        <v>244</v>
      </c>
      <c r="E40" s="35" t="s">
        <v>127</v>
      </c>
      <c r="F40" s="35" t="s">
        <v>127</v>
      </c>
      <c r="G40" s="35" t="s">
        <v>259</v>
      </c>
      <c r="H40" s="35" t="s">
        <v>260</v>
      </c>
      <c r="I40" s="35" t="s">
        <v>261</v>
      </c>
      <c r="J40" s="35" t="s">
        <v>262</v>
      </c>
      <c r="K40" s="35"/>
      <c r="L40" s="35"/>
      <c r="M40" s="35"/>
      <c r="N40" s="35"/>
      <c r="O40" s="35"/>
      <c r="P40" s="35"/>
      <c r="Q40" s="35"/>
      <c r="R40" s="35"/>
      <c r="S40" s="35" t="s">
        <v>42</v>
      </c>
      <c r="T40" s="35" t="s">
        <v>43</v>
      </c>
      <c r="U40" s="35" t="s">
        <v>122</v>
      </c>
      <c r="V40" s="35" t="s">
        <v>127</v>
      </c>
      <c r="W40" s="35"/>
      <c r="X40" s="35" t="n">
        <f aca="false">COUNTIFS(Trechos!$L$2:$L$275,A40)</f>
        <v>9</v>
      </c>
      <c r="Y40" s="36" t="n">
        <f aca="false">SUMIFS(Trechos!$F$2:$F$275,Trechos!$L$2:$L$275,A40)</f>
        <v>318.293173892993</v>
      </c>
      <c r="Z40" s="35" t="n">
        <f aca="false">COUNTA(AC40:AY40)</f>
        <v>0</v>
      </c>
      <c r="AA40" s="35" t="str">
        <f aca="false">IF(COUNTA(AC40:AY40)=0,"—",_xlfn.TEXTJOIN(", ",TRUE(),AC40:AY40))</f>
        <v>—</v>
      </c>
      <c r="AB40" s="35" t="s">
        <v>49</v>
      </c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 customFormat="false" ht="15" hidden="false" customHeight="false" outlineLevel="0" collapsed="false">
      <c r="A41" s="35" t="n">
        <v>40</v>
      </c>
      <c r="B41" s="8" t="s">
        <v>25</v>
      </c>
      <c r="C41" s="35" t="s">
        <v>157</v>
      </c>
      <c r="D41" s="35" t="s">
        <v>244</v>
      </c>
      <c r="E41" s="35" t="s">
        <v>129</v>
      </c>
      <c r="F41" s="35" t="s">
        <v>129</v>
      </c>
      <c r="G41" s="35" t="s">
        <v>130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 t="s">
        <v>42</v>
      </c>
      <c r="T41" s="35" t="s">
        <v>43</v>
      </c>
      <c r="U41" s="35" t="s">
        <v>122</v>
      </c>
      <c r="V41" s="35" t="s">
        <v>129</v>
      </c>
      <c r="W41" s="35"/>
      <c r="X41" s="35" t="n">
        <f aca="false">COUNTIFS(Trechos!$L$2:$L$275,A41)</f>
        <v>2</v>
      </c>
      <c r="Y41" s="36" t="n">
        <f aca="false">SUMIFS(Trechos!$F$2:$F$275,Trechos!$L$2:$L$275,A41)</f>
        <v>41.8485287060858</v>
      </c>
      <c r="Z41" s="35" t="n">
        <f aca="false">COUNTA(AC41:AY41)</f>
        <v>0</v>
      </c>
      <c r="AA41" s="35" t="str">
        <f aca="false">IF(COUNTA(AC41:AY41)=0,"—",_xlfn.TEXTJOIN(", ",TRUE(),AC41:AY41))</f>
        <v>—</v>
      </c>
      <c r="AB41" s="35" t="s">
        <v>49</v>
      </c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 customFormat="false" ht="15" hidden="false" customHeight="false" outlineLevel="0" collapsed="false">
      <c r="A42" s="35" t="n">
        <v>41</v>
      </c>
      <c r="B42" s="8" t="s">
        <v>25</v>
      </c>
      <c r="C42" s="35" t="s">
        <v>157</v>
      </c>
      <c r="D42" s="35" t="s">
        <v>244</v>
      </c>
      <c r="E42" s="35" t="s">
        <v>131</v>
      </c>
      <c r="F42" s="35" t="s">
        <v>131</v>
      </c>
      <c r="G42" s="35" t="s">
        <v>132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 t="s">
        <v>42</v>
      </c>
      <c r="T42" s="35" t="s">
        <v>43</v>
      </c>
      <c r="U42" s="35" t="s">
        <v>122</v>
      </c>
      <c r="V42" s="35" t="s">
        <v>131</v>
      </c>
      <c r="W42" s="35"/>
      <c r="X42" s="35" t="n">
        <f aca="false">COUNTIFS(Trechos!$L$2:$L$275,A42)</f>
        <v>3</v>
      </c>
      <c r="Y42" s="36" t="n">
        <f aca="false">SUMIFS(Trechos!$F$2:$F$275,Trechos!$L$2:$L$275,A42)</f>
        <v>441.773855640389</v>
      </c>
      <c r="Z42" s="35" t="n">
        <f aca="false">COUNTA(AC42:AY42)</f>
        <v>0</v>
      </c>
      <c r="AA42" s="35" t="str">
        <f aca="false">IF(COUNTA(AC42:AY42)=0,"—",_xlfn.TEXTJOIN(", ",TRUE(),AC42:AY42))</f>
        <v>—</v>
      </c>
      <c r="AB42" s="35" t="s">
        <v>49</v>
      </c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 customFormat="false" ht="15" hidden="false" customHeight="false" outlineLevel="0" collapsed="false">
      <c r="A43" s="35" t="n">
        <v>42</v>
      </c>
      <c r="B43" s="7" t="s">
        <v>24</v>
      </c>
      <c r="C43" s="35" t="s">
        <v>157</v>
      </c>
      <c r="D43" s="35" t="s">
        <v>244</v>
      </c>
      <c r="E43" s="35" t="s">
        <v>133</v>
      </c>
      <c r="F43" s="35" t="s">
        <v>133</v>
      </c>
      <c r="G43" s="35" t="s">
        <v>134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 t="s">
        <v>42</v>
      </c>
      <c r="T43" s="35" t="s">
        <v>43</v>
      </c>
      <c r="U43" s="35" t="s">
        <v>133</v>
      </c>
      <c r="V43" s="35"/>
      <c r="W43" s="35"/>
      <c r="X43" s="35" t="n">
        <f aca="false">COUNTIFS(Trechos!$L$2:$L$275,A43)</f>
        <v>1</v>
      </c>
      <c r="Y43" s="36" t="n">
        <f aca="false">SUMIFS(Trechos!$F$2:$F$275,Trechos!$L$2:$L$275,A43)</f>
        <v>42.0371060138566</v>
      </c>
      <c r="Z43" s="35" t="n">
        <f aca="false">COUNTA(AC43:AY43)</f>
        <v>0</v>
      </c>
      <c r="AA43" s="35" t="str">
        <f aca="false">IF(COUNTA(AC43:AY43)=0,"—",_xlfn.TEXTJOIN(", ",TRUE(),AC43:AY43))</f>
        <v>—</v>
      </c>
      <c r="AB43" s="35" t="s">
        <v>49</v>
      </c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 customFormat="false" ht="15" hidden="false" customHeight="false" outlineLevel="0" collapsed="false">
      <c r="A44" s="35" t="n">
        <v>43</v>
      </c>
      <c r="B44" s="6" t="s">
        <v>23</v>
      </c>
      <c r="C44" s="35" t="s">
        <v>157</v>
      </c>
      <c r="D44" s="35" t="s">
        <v>263</v>
      </c>
      <c r="E44" s="35" t="s">
        <v>43</v>
      </c>
      <c r="F44" s="35" t="s">
        <v>136</v>
      </c>
      <c r="G44" s="35" t="s">
        <v>137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 t="s">
        <v>42</v>
      </c>
      <c r="T44" s="35" t="s">
        <v>43</v>
      </c>
      <c r="U44" s="35"/>
      <c r="V44" s="35"/>
      <c r="W44" s="35"/>
      <c r="X44" s="35" t="n">
        <f aca="false">COUNTIFS(Trechos!$L$2:$L$275,A44)</f>
        <v>1</v>
      </c>
      <c r="Y44" s="36" t="n">
        <f aca="false">SUMIFS(Trechos!$F$2:$F$275,Trechos!$L$2:$L$275,A44)</f>
        <v>2.85618918731252</v>
      </c>
      <c r="Z44" s="35" t="n">
        <f aca="false">COUNTA(AC44:AY44)</f>
        <v>1</v>
      </c>
      <c r="AA44" s="35" t="str">
        <f aca="false">IF(COUNTA(AC44:AY44)=0,"—",_xlfn.TEXTJOIN(", ",TRUE(),AC44:AY44))</f>
        <v>0200038007</v>
      </c>
      <c r="AB44" s="35" t="s">
        <v>49</v>
      </c>
      <c r="AC44" s="35" t="s">
        <v>137</v>
      </c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 customFormat="false" ht="15" hidden="false" customHeight="false" outlineLevel="0" collapsed="false">
      <c r="A45" s="35" t="n">
        <v>44</v>
      </c>
      <c r="B45" s="7" t="s">
        <v>24</v>
      </c>
      <c r="C45" s="35" t="s">
        <v>157</v>
      </c>
      <c r="D45" s="35" t="s">
        <v>263</v>
      </c>
      <c r="E45" s="35" t="s">
        <v>137</v>
      </c>
      <c r="F45" s="35" t="s">
        <v>137</v>
      </c>
      <c r="G45" s="35" t="s">
        <v>138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 t="s">
        <v>42</v>
      </c>
      <c r="T45" s="35" t="s">
        <v>43</v>
      </c>
      <c r="U45" s="35" t="s">
        <v>137</v>
      </c>
      <c r="V45" s="35"/>
      <c r="W45" s="35"/>
      <c r="X45" s="35" t="n">
        <f aca="false">COUNTIFS(Trechos!$L$2:$L$275,A45)</f>
        <v>1</v>
      </c>
      <c r="Y45" s="36" t="n">
        <f aca="false">SUMIFS(Trechos!$F$2:$F$275,Trechos!$L$2:$L$275,A45)</f>
        <v>26.0659621071185</v>
      </c>
      <c r="Z45" s="35" t="n">
        <f aca="false">COUNTA(AC45:AY45)</f>
        <v>0</v>
      </c>
      <c r="AA45" s="35" t="str">
        <f aca="false">IF(COUNTA(AC45:AY45)=0,"—",_xlfn.TEXTJOIN(", ",TRUE(),AC45:AY45))</f>
        <v>—</v>
      </c>
      <c r="AB45" s="35" t="s">
        <v>49</v>
      </c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 customFormat="false" ht="15" hidden="false" customHeight="false" outlineLevel="0" collapsed="false">
      <c r="A46" s="35" t="n">
        <v>45</v>
      </c>
      <c r="B46" s="6" t="s">
        <v>23</v>
      </c>
      <c r="C46" s="35" t="s">
        <v>157</v>
      </c>
      <c r="D46" s="35" t="s">
        <v>264</v>
      </c>
      <c r="E46" s="35" t="s">
        <v>43</v>
      </c>
      <c r="F46" s="35" t="s">
        <v>140</v>
      </c>
      <c r="G46" s="35" t="s">
        <v>265</v>
      </c>
      <c r="H46" s="35" t="s">
        <v>266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 t="s">
        <v>42</v>
      </c>
      <c r="T46" s="35" t="s">
        <v>43</v>
      </c>
      <c r="U46" s="35"/>
      <c r="V46" s="35"/>
      <c r="W46" s="35"/>
      <c r="X46" s="35" t="n">
        <f aca="false">COUNTIFS(Trechos!$L$2:$L$275,A46)</f>
        <v>3</v>
      </c>
      <c r="Y46" s="36" t="n">
        <f aca="false">SUMIFS(Trechos!$F$2:$F$275,Trechos!$L$2:$L$275,A46)</f>
        <v>141.437819946529</v>
      </c>
      <c r="Z46" s="35" t="n">
        <f aca="false">COUNTA(AC46:AY46)</f>
        <v>0</v>
      </c>
      <c r="AA46" s="35" t="str">
        <f aca="false">IF(COUNTA(AC46:AY46)=0,"—",_xlfn.TEXTJOIN(", ",TRUE(),AC46:AY46))</f>
        <v>—</v>
      </c>
      <c r="AB46" s="35" t="s">
        <v>49</v>
      </c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 customFormat="false" ht="15" hidden="false" customHeight="false" outlineLevel="0" collapsed="false">
      <c r="A47" s="35" t="n">
        <v>46</v>
      </c>
      <c r="B47" s="6" t="s">
        <v>23</v>
      </c>
      <c r="C47" s="35" t="s">
        <v>157</v>
      </c>
      <c r="D47" s="35" t="s">
        <v>267</v>
      </c>
      <c r="E47" s="35" t="s">
        <v>43</v>
      </c>
      <c r="F47" s="35" t="s">
        <v>143</v>
      </c>
      <c r="G47" s="35" t="s">
        <v>144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 t="s">
        <v>42</v>
      </c>
      <c r="T47" s="35" t="s">
        <v>43</v>
      </c>
      <c r="U47" s="35"/>
      <c r="V47" s="35"/>
      <c r="W47" s="35"/>
      <c r="X47" s="35" t="n">
        <f aca="false">COUNTIFS(Trechos!$L$2:$L$275,A47)</f>
        <v>1</v>
      </c>
      <c r="Y47" s="36" t="n">
        <f aca="false">SUMIFS(Trechos!$F$2:$F$275,Trechos!$L$2:$L$275,A47)</f>
        <v>0.351143556282875</v>
      </c>
      <c r="Z47" s="35" t="n">
        <f aca="false">COUNTA(AC47:AY47)</f>
        <v>1</v>
      </c>
      <c r="AA47" s="35" t="str">
        <f aca="false">IF(COUNTA(AC47:AY47)=0,"—",_xlfn.TEXTJOIN(", ",TRUE(),AC47:AY47))</f>
        <v>0300040007</v>
      </c>
      <c r="AB47" s="35" t="s">
        <v>49</v>
      </c>
      <c r="AC47" s="35" t="s">
        <v>144</v>
      </c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 customFormat="false" ht="15" hidden="false" customHeight="false" outlineLevel="0" collapsed="false">
      <c r="A48" s="35" t="n">
        <v>47</v>
      </c>
      <c r="B48" s="7" t="s">
        <v>24</v>
      </c>
      <c r="C48" s="35" t="s">
        <v>157</v>
      </c>
      <c r="D48" s="35" t="s">
        <v>267</v>
      </c>
      <c r="E48" s="35" t="s">
        <v>144</v>
      </c>
      <c r="F48" s="35" t="s">
        <v>144</v>
      </c>
      <c r="G48" s="35" t="s">
        <v>145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 t="s">
        <v>42</v>
      </c>
      <c r="T48" s="35" t="s">
        <v>43</v>
      </c>
      <c r="U48" s="35" t="s">
        <v>144</v>
      </c>
      <c r="V48" s="35"/>
      <c r="W48" s="35"/>
      <c r="X48" s="35" t="n">
        <f aca="false">COUNTIFS(Trechos!$L$2:$L$275,A48)</f>
        <v>1</v>
      </c>
      <c r="Y48" s="36" t="n">
        <f aca="false">SUMIFS(Trechos!$F$2:$F$275,Trechos!$L$2:$L$275,A48)</f>
        <v>3.05485468158191</v>
      </c>
      <c r="Z48" s="35" t="n">
        <f aca="false">COUNTA(AC48:AY48)</f>
        <v>0</v>
      </c>
      <c r="AA48" s="35" t="str">
        <f aca="false">IF(COUNTA(AC48:AY48)=0,"—",_xlfn.TEXTJOIN(", ",TRUE(),AC48:AY48))</f>
        <v>—</v>
      </c>
      <c r="AB48" s="35" t="s">
        <v>49</v>
      </c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 customFormat="false" ht="15" hidden="false" customHeight="false" outlineLevel="0" collapsed="false">
      <c r="A49" s="35" t="n">
        <v>48</v>
      </c>
      <c r="B49" s="6" t="s">
        <v>23</v>
      </c>
      <c r="C49" s="35" t="s">
        <v>157</v>
      </c>
      <c r="D49" s="35" t="s">
        <v>268</v>
      </c>
      <c r="E49" s="35" t="s">
        <v>43</v>
      </c>
      <c r="F49" s="35" t="s">
        <v>147</v>
      </c>
      <c r="G49" s="35" t="s">
        <v>148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 t="s">
        <v>42</v>
      </c>
      <c r="T49" s="35" t="s">
        <v>43</v>
      </c>
      <c r="U49" s="35"/>
      <c r="V49" s="35"/>
      <c r="W49" s="35"/>
      <c r="X49" s="35" t="n">
        <f aca="false">COUNTIFS(Trechos!$L$2:$L$275,A49)</f>
        <v>2</v>
      </c>
      <c r="Y49" s="36" t="n">
        <f aca="false">SUMIFS(Trechos!$F$2:$F$275,Trechos!$L$2:$L$275,A49)</f>
        <v>2.84738808040478</v>
      </c>
      <c r="Z49" s="35" t="n">
        <f aca="false">COUNTA(AC49:AY49)</f>
        <v>0</v>
      </c>
      <c r="AA49" s="35" t="str">
        <f aca="false">IF(COUNTA(AC49:AY49)=0,"—",_xlfn.TEXTJOIN(", ",TRUE(),AC49:AY49))</f>
        <v>—</v>
      </c>
      <c r="AB49" s="35" t="s">
        <v>49</v>
      </c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 customFormat="false" ht="15" hidden="false" customHeight="false" outlineLevel="0" collapsed="false">
      <c r="A50" s="4" t="s">
        <v>269</v>
      </c>
      <c r="X50" s="37" t="n">
        <f aca="false">SUM(X2:X49)</f>
        <v>274</v>
      </c>
      <c r="Y50" s="37" t="n">
        <f aca="false">SUM(Y2:Y49)</f>
        <v>15315.7661542166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false" summaryRight="true"/>
    <pageSetUpPr fitToPage="false"/>
  </sheetPr>
  <dimension ref="A1:N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42"/>
  </cols>
  <sheetData>
    <row r="1" customFormat="false" ht="31.5" hidden="false" customHeight="true" outlineLevel="0" collapsed="false">
      <c r="A1" s="16" t="s">
        <v>11</v>
      </c>
      <c r="B1" s="16" t="s">
        <v>1</v>
      </c>
      <c r="C1" s="16" t="s">
        <v>156</v>
      </c>
      <c r="D1" s="16" t="s">
        <v>157</v>
      </c>
      <c r="E1" s="16" t="s">
        <v>7</v>
      </c>
      <c r="F1" s="16" t="s">
        <v>270</v>
      </c>
      <c r="G1" s="16" t="s">
        <v>155</v>
      </c>
      <c r="H1" s="16" t="s">
        <v>271</v>
      </c>
      <c r="I1" s="16" t="s">
        <v>38</v>
      </c>
      <c r="J1" s="16" t="s">
        <v>272</v>
      </c>
      <c r="K1" s="16" t="s">
        <v>160</v>
      </c>
      <c r="L1" s="16" t="s">
        <v>273</v>
      </c>
      <c r="M1" s="16" t="s">
        <v>39</v>
      </c>
      <c r="N1" s="16" t="s">
        <v>274</v>
      </c>
    </row>
    <row r="2" customFormat="false" ht="15" hidden="false" customHeight="false" outlineLevel="0" collapsed="true">
      <c r="A2" s="38" t="n">
        <v>1</v>
      </c>
      <c r="B2" s="38" t="s">
        <v>22</v>
      </c>
      <c r="C2" s="38" t="s">
        <v>5</v>
      </c>
      <c r="D2" s="38" t="s">
        <v>5</v>
      </c>
      <c r="E2" s="38" t="s">
        <v>42</v>
      </c>
      <c r="F2" s="38" t="str">
        <f aca="false">COUNTIFS(Trechos!$L$2:$L$275,A2)&amp;" vãos"</f>
        <v>19 vãos</v>
      </c>
      <c r="G2" s="38"/>
      <c r="H2" s="38"/>
      <c r="I2" s="39" t="n">
        <f aca="false">SUMIFS(Trechos!$F$2:$F$275,Trechos!$L$2:$L$275,A2)</f>
        <v>1449.36135752012</v>
      </c>
      <c r="J2" s="38"/>
      <c r="K2" s="38"/>
      <c r="L2" s="38" t="s">
        <v>43</v>
      </c>
      <c r="M2" s="38" t="s">
        <v>44</v>
      </c>
      <c r="N2" s="38" t="str">
        <f aca="false">Blocos!AA2</f>
        <v>7925573007, 0300040007, 0200038007, 0300111007, 0300115007, 0300145007, 0200114007, 0301201007, 0300109007, 0300068007, 0300070007, 0300073007, 0300074007, 0300065007, 0300062007, 0200061007, 0300057007, 0357094007, 0300056007, 0200055007, 0300050007, 0200475007, 0200047007</v>
      </c>
    </row>
    <row r="3" customFormat="false" ht="15" hidden="true" customHeight="false" outlineLevel="1" collapsed="false">
      <c r="F3" s="35" t="s">
        <v>275</v>
      </c>
      <c r="G3" s="35" t="s">
        <v>276</v>
      </c>
      <c r="H3" s="35" t="s">
        <v>277</v>
      </c>
      <c r="I3" s="40" t="n">
        <v>41.5686602737969</v>
      </c>
      <c r="J3" s="36" t="n">
        <v>41.5686602737969</v>
      </c>
      <c r="K3" s="35"/>
    </row>
    <row r="4" customFormat="false" ht="15" hidden="true" customHeight="false" outlineLevel="1" collapsed="false">
      <c r="F4" s="35" t="s">
        <v>278</v>
      </c>
      <c r="G4" s="35" t="s">
        <v>277</v>
      </c>
      <c r="H4" s="35" t="s">
        <v>279</v>
      </c>
      <c r="I4" s="40" t="n">
        <v>1.68227778068048</v>
      </c>
      <c r="J4" s="36" t="n">
        <v>43.2509380544774</v>
      </c>
      <c r="K4" s="35" t="s">
        <v>280</v>
      </c>
    </row>
    <row r="5" customFormat="false" ht="15" hidden="true" customHeight="false" outlineLevel="1" collapsed="false">
      <c r="F5" s="35" t="s">
        <v>281</v>
      </c>
      <c r="G5" s="35" t="s">
        <v>279</v>
      </c>
      <c r="H5" s="35" t="s">
        <v>282</v>
      </c>
      <c r="I5" s="40" t="n">
        <v>280.079552813108</v>
      </c>
      <c r="J5" s="36" t="n">
        <v>323.330490867585</v>
      </c>
      <c r="K5" s="35"/>
    </row>
    <row r="6" customFormat="false" ht="15" hidden="true" customHeight="false" outlineLevel="1" collapsed="false">
      <c r="F6" s="35" t="s">
        <v>283</v>
      </c>
      <c r="G6" s="35" t="s">
        <v>282</v>
      </c>
      <c r="H6" s="35" t="s">
        <v>284</v>
      </c>
      <c r="I6" s="40" t="n">
        <v>1.61733158555359</v>
      </c>
      <c r="J6" s="36" t="n">
        <v>324.947822453139</v>
      </c>
      <c r="K6" s="35" t="s">
        <v>285</v>
      </c>
    </row>
    <row r="7" customFormat="false" ht="15" hidden="true" customHeight="false" outlineLevel="1" collapsed="false">
      <c r="F7" s="35" t="s">
        <v>286</v>
      </c>
      <c r="G7" s="35" t="s">
        <v>284</v>
      </c>
      <c r="H7" s="35" t="s">
        <v>287</v>
      </c>
      <c r="I7" s="40" t="n">
        <v>14.3981090639567</v>
      </c>
      <c r="J7" s="36" t="n">
        <v>339.345931517095</v>
      </c>
      <c r="K7" s="35"/>
    </row>
    <row r="8" customFormat="false" ht="15" hidden="true" customHeight="false" outlineLevel="1" collapsed="false">
      <c r="F8" s="35" t="s">
        <v>288</v>
      </c>
      <c r="G8" s="35" t="s">
        <v>287</v>
      </c>
      <c r="H8" s="35" t="s">
        <v>289</v>
      </c>
      <c r="I8" s="40" t="n">
        <v>170.415166328657</v>
      </c>
      <c r="J8" s="36" t="n">
        <v>509.761097845752</v>
      </c>
      <c r="K8" s="35"/>
    </row>
    <row r="9" customFormat="false" ht="15" hidden="true" customHeight="false" outlineLevel="1" collapsed="false">
      <c r="F9" s="35" t="s">
        <v>290</v>
      </c>
      <c r="G9" s="35" t="s">
        <v>289</v>
      </c>
      <c r="H9" s="35" t="s">
        <v>291</v>
      </c>
      <c r="I9" s="40" t="n">
        <v>304.821910010754</v>
      </c>
      <c r="J9" s="36" t="n">
        <v>814.583007856506</v>
      </c>
      <c r="K9" s="35"/>
    </row>
    <row r="10" customFormat="false" ht="15" hidden="true" customHeight="false" outlineLevel="1" collapsed="false">
      <c r="F10" s="35" t="s">
        <v>292</v>
      </c>
      <c r="G10" s="35" t="s">
        <v>291</v>
      </c>
      <c r="H10" s="35" t="s">
        <v>293</v>
      </c>
      <c r="I10" s="40" t="n">
        <v>48.1595342127834</v>
      </c>
      <c r="J10" s="36" t="n">
        <v>862.742542069289</v>
      </c>
      <c r="K10" s="35"/>
    </row>
    <row r="11" customFormat="false" ht="15" hidden="true" customHeight="false" outlineLevel="1" collapsed="false">
      <c r="F11" s="35" t="s">
        <v>294</v>
      </c>
      <c r="G11" s="35" t="s">
        <v>293</v>
      </c>
      <c r="H11" s="35" t="s">
        <v>295</v>
      </c>
      <c r="I11" s="40" t="n">
        <v>83.2315154214077</v>
      </c>
      <c r="J11" s="36" t="n">
        <v>945.974057490697</v>
      </c>
      <c r="K11" s="35"/>
    </row>
    <row r="12" customFormat="false" ht="15" hidden="true" customHeight="false" outlineLevel="1" collapsed="false">
      <c r="F12" s="35" t="s">
        <v>296</v>
      </c>
      <c r="G12" s="35" t="s">
        <v>295</v>
      </c>
      <c r="H12" s="35" t="s">
        <v>297</v>
      </c>
      <c r="I12" s="40" t="n">
        <v>3.81951308454351</v>
      </c>
      <c r="J12" s="36" t="n">
        <v>949.79357057524</v>
      </c>
      <c r="K12" s="35" t="s">
        <v>298</v>
      </c>
    </row>
    <row r="13" customFormat="false" ht="15" hidden="true" customHeight="false" outlineLevel="1" collapsed="false">
      <c r="F13" s="35" t="s">
        <v>299</v>
      </c>
      <c r="G13" s="35" t="s">
        <v>297</v>
      </c>
      <c r="H13" s="35" t="s">
        <v>300</v>
      </c>
      <c r="I13" s="40" t="n">
        <v>103.146237096173</v>
      </c>
      <c r="J13" s="36" t="n">
        <v>1052.93980767141</v>
      </c>
      <c r="K13" s="35"/>
    </row>
    <row r="14" customFormat="false" ht="15" hidden="true" customHeight="false" outlineLevel="1" collapsed="false">
      <c r="F14" s="35" t="s">
        <v>301</v>
      </c>
      <c r="G14" s="35" t="s">
        <v>300</v>
      </c>
      <c r="H14" s="35" t="s">
        <v>302</v>
      </c>
      <c r="I14" s="40" t="n">
        <v>29.4657245528422</v>
      </c>
      <c r="J14" s="36" t="n">
        <v>1082.40553222426</v>
      </c>
      <c r="K14" s="35"/>
    </row>
    <row r="15" customFormat="false" ht="15" hidden="true" customHeight="false" outlineLevel="1" collapsed="false">
      <c r="F15" s="35" t="s">
        <v>303</v>
      </c>
      <c r="G15" s="35" t="s">
        <v>302</v>
      </c>
      <c r="H15" s="35" t="s">
        <v>304</v>
      </c>
      <c r="I15" s="40" t="n">
        <v>153.920259150211</v>
      </c>
      <c r="J15" s="36" t="n">
        <v>1236.32579137447</v>
      </c>
      <c r="K15" s="35"/>
    </row>
    <row r="16" customFormat="false" ht="15" hidden="true" customHeight="false" outlineLevel="1" collapsed="false">
      <c r="F16" s="35" t="s">
        <v>305</v>
      </c>
      <c r="G16" s="35" t="s">
        <v>304</v>
      </c>
      <c r="H16" s="35" t="s">
        <v>306</v>
      </c>
      <c r="I16" s="40" t="n">
        <v>34.2682231671047</v>
      </c>
      <c r="J16" s="36" t="n">
        <v>1270.59401454157</v>
      </c>
      <c r="K16" s="35"/>
    </row>
    <row r="17" customFormat="false" ht="15" hidden="true" customHeight="false" outlineLevel="1" collapsed="false">
      <c r="F17" s="35" t="s">
        <v>307</v>
      </c>
      <c r="G17" s="35" t="s">
        <v>306</v>
      </c>
      <c r="H17" s="35" t="s">
        <v>308</v>
      </c>
      <c r="I17" s="40" t="n">
        <v>20.1929351071278</v>
      </c>
      <c r="J17" s="36" t="n">
        <v>1290.7869496487</v>
      </c>
      <c r="K17" s="35"/>
    </row>
    <row r="18" customFormat="false" ht="15" hidden="true" customHeight="false" outlineLevel="1" collapsed="false">
      <c r="F18" s="35" t="s">
        <v>309</v>
      </c>
      <c r="G18" s="35" t="s">
        <v>308</v>
      </c>
      <c r="H18" s="35" t="s">
        <v>310</v>
      </c>
      <c r="I18" s="40" t="n">
        <v>155.475646329179</v>
      </c>
      <c r="J18" s="36" t="n">
        <v>1446.26259597788</v>
      </c>
      <c r="K18" s="35"/>
    </row>
    <row r="19" customFormat="false" ht="15" hidden="true" customHeight="false" outlineLevel="1" collapsed="false">
      <c r="F19" s="35" t="s">
        <v>311</v>
      </c>
      <c r="G19" s="35" t="s">
        <v>310</v>
      </c>
      <c r="H19" s="35" t="s">
        <v>312</v>
      </c>
      <c r="I19" s="40" t="n">
        <v>0.247951676164058</v>
      </c>
      <c r="J19" s="36" t="n">
        <v>1446.51054765404</v>
      </c>
      <c r="K19" s="35"/>
    </row>
    <row r="20" customFormat="false" ht="15" hidden="true" customHeight="false" outlineLevel="1" collapsed="false">
      <c r="F20" s="35" t="s">
        <v>313</v>
      </c>
      <c r="G20" s="35" t="s">
        <v>312</v>
      </c>
      <c r="H20" s="35" t="s">
        <v>314</v>
      </c>
      <c r="I20" s="40" t="n">
        <v>2.73961493952014</v>
      </c>
      <c r="J20" s="36" t="n">
        <v>1449.25016259356</v>
      </c>
      <c r="K20" s="35"/>
    </row>
    <row r="21" customFormat="false" ht="15" hidden="true" customHeight="false" outlineLevel="1" collapsed="false">
      <c r="F21" s="35" t="s">
        <v>315</v>
      </c>
      <c r="G21" s="35" t="s">
        <v>314</v>
      </c>
      <c r="H21" s="35" t="s">
        <v>316</v>
      </c>
      <c r="I21" s="40" t="n">
        <v>0.111194926553732</v>
      </c>
      <c r="J21" s="36" t="n">
        <v>1449.36135752012</v>
      </c>
      <c r="K21" s="35"/>
    </row>
    <row r="22" customFormat="false" ht="15" hidden="false" customHeight="false" outlineLevel="0" collapsed="true">
      <c r="A22" s="41" t="n">
        <v>2</v>
      </c>
      <c r="B22" s="41" t="s">
        <v>23</v>
      </c>
      <c r="C22" s="41" t="s">
        <v>5</v>
      </c>
      <c r="D22" s="41" t="s">
        <v>5</v>
      </c>
      <c r="E22" s="41" t="s">
        <v>43</v>
      </c>
      <c r="F22" s="41" t="str">
        <f aca="false">COUNTIFS(Trechos!$L$2:$L$275,A22)&amp;" vãos"</f>
        <v>17 vãos</v>
      </c>
      <c r="G22" s="41"/>
      <c r="H22" s="41"/>
      <c r="I22" s="42" t="n">
        <f aca="false">SUMIFS(Trechos!$F$2:$F$275,Trechos!$L$2:$L$275,A22)</f>
        <v>960.409640853983</v>
      </c>
      <c r="J22" s="41"/>
      <c r="K22" s="41"/>
      <c r="L22" s="41" t="s">
        <v>45</v>
      </c>
      <c r="M22" s="41" t="s">
        <v>46</v>
      </c>
      <c r="N22" s="41" t="str">
        <f aca="false">Blocos!AA3</f>
        <v>0300040007, 0200038007, 0300111007, 0300115007, 0300145007, 0200114007, 0301201007, 0300109007, 0300068007, 0300070007, 0300073007, 0300074007</v>
      </c>
    </row>
    <row r="23" customFormat="false" ht="15" hidden="true" customHeight="false" outlineLevel="1" collapsed="false">
      <c r="F23" s="35" t="s">
        <v>317</v>
      </c>
      <c r="G23" s="35" t="s">
        <v>316</v>
      </c>
      <c r="H23" s="35" t="s">
        <v>318</v>
      </c>
      <c r="I23" s="40" t="n">
        <v>1.89686166765195</v>
      </c>
      <c r="J23" s="36" t="n">
        <v>1.89686166765205</v>
      </c>
      <c r="K23" s="35"/>
    </row>
    <row r="24" customFormat="false" ht="15" hidden="true" customHeight="false" outlineLevel="1" collapsed="false">
      <c r="F24" s="35" t="s">
        <v>319</v>
      </c>
      <c r="G24" s="35" t="s">
        <v>318</v>
      </c>
      <c r="H24" s="35" t="s">
        <v>320</v>
      </c>
      <c r="I24" s="40" t="n">
        <v>0.247951680997651</v>
      </c>
      <c r="J24" s="36" t="n">
        <v>2.14481334864968</v>
      </c>
      <c r="K24" s="35"/>
    </row>
    <row r="25" customFormat="false" ht="15" hidden="true" customHeight="false" outlineLevel="1" collapsed="false">
      <c r="F25" s="35" t="s">
        <v>321</v>
      </c>
      <c r="G25" s="35" t="s">
        <v>320</v>
      </c>
      <c r="H25" s="35" t="s">
        <v>322</v>
      </c>
      <c r="I25" s="40" t="n">
        <v>2.74857490130394</v>
      </c>
      <c r="J25" s="36" t="n">
        <v>4.89338824995366</v>
      </c>
      <c r="K25" s="35"/>
    </row>
    <row r="26" customFormat="false" ht="15" hidden="true" customHeight="false" outlineLevel="1" collapsed="false">
      <c r="F26" s="35" t="s">
        <v>323</v>
      </c>
      <c r="G26" s="35" t="s">
        <v>322</v>
      </c>
      <c r="H26" s="35" t="s">
        <v>324</v>
      </c>
      <c r="I26" s="40" t="n">
        <v>58.2150481530992</v>
      </c>
      <c r="J26" s="36" t="n">
        <v>63.1084364030528</v>
      </c>
      <c r="K26" s="35"/>
    </row>
    <row r="27" customFormat="false" ht="15" hidden="true" customHeight="false" outlineLevel="1" collapsed="false">
      <c r="F27" s="35" t="s">
        <v>325</v>
      </c>
      <c r="G27" s="35" t="s">
        <v>324</v>
      </c>
      <c r="H27" s="35" t="s">
        <v>326</v>
      </c>
      <c r="I27" s="40" t="n">
        <v>22.6609377612778</v>
      </c>
      <c r="J27" s="36" t="n">
        <v>85.7693741643307</v>
      </c>
      <c r="K27" s="35"/>
    </row>
    <row r="28" customFormat="false" ht="15" hidden="true" customHeight="false" outlineLevel="1" collapsed="false">
      <c r="F28" s="35" t="s">
        <v>327</v>
      </c>
      <c r="G28" s="35" t="s">
        <v>326</v>
      </c>
      <c r="H28" s="35" t="s">
        <v>328</v>
      </c>
      <c r="I28" s="40" t="n">
        <v>41.1875634034595</v>
      </c>
      <c r="J28" s="36" t="n">
        <v>126.95693756779</v>
      </c>
      <c r="K28" s="35"/>
    </row>
    <row r="29" customFormat="false" ht="15" hidden="true" customHeight="false" outlineLevel="1" collapsed="false">
      <c r="F29" s="35" t="s">
        <v>329</v>
      </c>
      <c r="G29" s="35" t="s">
        <v>328</v>
      </c>
      <c r="H29" s="35" t="s">
        <v>330</v>
      </c>
      <c r="I29" s="40" t="n">
        <v>95.1354207703853</v>
      </c>
      <c r="J29" s="36" t="n">
        <v>222.092358338176</v>
      </c>
      <c r="K29" s="35"/>
    </row>
    <row r="30" customFormat="false" ht="15" hidden="true" customHeight="false" outlineLevel="1" collapsed="false">
      <c r="F30" s="35" t="s">
        <v>331</v>
      </c>
      <c r="G30" s="35" t="s">
        <v>330</v>
      </c>
      <c r="H30" s="35" t="s">
        <v>332</v>
      </c>
      <c r="I30" s="40" t="n">
        <v>77.064586839911</v>
      </c>
      <c r="J30" s="36" t="n">
        <v>299.156945178087</v>
      </c>
      <c r="K30" s="35"/>
    </row>
    <row r="31" customFormat="false" ht="15" hidden="true" customHeight="false" outlineLevel="1" collapsed="false">
      <c r="F31" s="35" t="s">
        <v>333</v>
      </c>
      <c r="G31" s="35" t="s">
        <v>332</v>
      </c>
      <c r="H31" s="35" t="s">
        <v>334</v>
      </c>
      <c r="I31" s="40" t="n">
        <v>3.43832731970365</v>
      </c>
      <c r="J31" s="36" t="n">
        <v>302.59527249779</v>
      </c>
      <c r="K31" s="35" t="s">
        <v>46</v>
      </c>
    </row>
    <row r="32" customFormat="false" ht="15" hidden="true" customHeight="false" outlineLevel="1" collapsed="false">
      <c r="F32" s="35" t="s">
        <v>335</v>
      </c>
      <c r="G32" s="35" t="s">
        <v>334</v>
      </c>
      <c r="H32" s="35" t="s">
        <v>336</v>
      </c>
      <c r="I32" s="40" t="n">
        <v>148.457243420595</v>
      </c>
      <c r="J32" s="36" t="n">
        <v>451.052515918385</v>
      </c>
      <c r="K32" s="35"/>
    </row>
    <row r="33" customFormat="false" ht="15" hidden="true" customHeight="false" outlineLevel="1" collapsed="false">
      <c r="F33" s="35" t="s">
        <v>337</v>
      </c>
      <c r="G33" s="35" t="s">
        <v>336</v>
      </c>
      <c r="H33" s="35" t="s">
        <v>338</v>
      </c>
      <c r="I33" s="40" t="n">
        <v>38.0247299637103</v>
      </c>
      <c r="J33" s="36" t="n">
        <v>489.077245882096</v>
      </c>
      <c r="K33" s="35"/>
    </row>
    <row r="34" customFormat="false" ht="15" hidden="true" customHeight="false" outlineLevel="1" collapsed="false">
      <c r="F34" s="35" t="s">
        <v>339</v>
      </c>
      <c r="G34" s="35" t="s">
        <v>338</v>
      </c>
      <c r="H34" s="35" t="s">
        <v>340</v>
      </c>
      <c r="I34" s="40" t="n">
        <v>6.77183826197357</v>
      </c>
      <c r="J34" s="36" t="n">
        <v>495.849084144069</v>
      </c>
      <c r="K34" s="35"/>
    </row>
    <row r="35" customFormat="false" ht="15" hidden="true" customHeight="false" outlineLevel="1" collapsed="false">
      <c r="F35" s="35" t="s">
        <v>341</v>
      </c>
      <c r="G35" s="35" t="s">
        <v>340</v>
      </c>
      <c r="H35" s="35" t="s">
        <v>342</v>
      </c>
      <c r="I35" s="40" t="n">
        <v>287.454024667514</v>
      </c>
      <c r="J35" s="36" t="n">
        <v>783.303108811583</v>
      </c>
      <c r="K35" s="35"/>
    </row>
    <row r="36" customFormat="false" ht="15" hidden="true" customHeight="false" outlineLevel="1" collapsed="false">
      <c r="F36" s="35" t="s">
        <v>343</v>
      </c>
      <c r="G36" s="35" t="s">
        <v>342</v>
      </c>
      <c r="H36" s="35" t="s">
        <v>344</v>
      </c>
      <c r="I36" s="40" t="n">
        <v>73.4157091567646</v>
      </c>
      <c r="J36" s="36" t="n">
        <v>856.718817968347</v>
      </c>
      <c r="K36" s="35"/>
    </row>
    <row r="37" customFormat="false" ht="15" hidden="true" customHeight="false" outlineLevel="1" collapsed="false">
      <c r="F37" s="35" t="s">
        <v>345</v>
      </c>
      <c r="G37" s="35" t="s">
        <v>344</v>
      </c>
      <c r="H37" s="35" t="s">
        <v>346</v>
      </c>
      <c r="I37" s="40" t="n">
        <v>35.4655186106553</v>
      </c>
      <c r="J37" s="36" t="n">
        <v>892.184336579003</v>
      </c>
      <c r="K37" s="35"/>
    </row>
    <row r="38" customFormat="false" ht="15" hidden="true" customHeight="false" outlineLevel="1" collapsed="false">
      <c r="F38" s="35" t="s">
        <v>347</v>
      </c>
      <c r="G38" s="35" t="s">
        <v>346</v>
      </c>
      <c r="H38" s="35" t="s">
        <v>348</v>
      </c>
      <c r="I38" s="40" t="n">
        <v>63.6627904026522</v>
      </c>
      <c r="J38" s="36" t="n">
        <v>955.847126981655</v>
      </c>
      <c r="K38" s="35"/>
    </row>
    <row r="39" customFormat="false" ht="15" hidden="true" customHeight="false" outlineLevel="1" collapsed="false">
      <c r="F39" s="35" t="s">
        <v>349</v>
      </c>
      <c r="G39" s="35" t="s">
        <v>348</v>
      </c>
      <c r="H39" s="35" t="s">
        <v>350</v>
      </c>
      <c r="I39" s="40" t="n">
        <v>4.56251387232822</v>
      </c>
      <c r="J39" s="36" t="n">
        <v>960.409640853983</v>
      </c>
      <c r="K39" s="35"/>
    </row>
    <row r="40" customFormat="false" ht="15" hidden="false" customHeight="false" outlineLevel="0" collapsed="true">
      <c r="A40" s="38" t="n">
        <v>3</v>
      </c>
      <c r="B40" s="38" t="s">
        <v>22</v>
      </c>
      <c r="C40" s="38" t="s">
        <v>157</v>
      </c>
      <c r="D40" s="38" t="s">
        <v>203</v>
      </c>
      <c r="E40" s="38" t="s">
        <v>42</v>
      </c>
      <c r="F40" s="38" t="str">
        <f aca="false">COUNTIFS(Trechos!$L$2:$L$275,A40)&amp;" vãos"</f>
        <v>2 vãos</v>
      </c>
      <c r="G40" s="38"/>
      <c r="H40" s="38"/>
      <c r="I40" s="39" t="n">
        <f aca="false">SUMIFS(Trechos!$F$2:$F$275,Trechos!$L$2:$L$275,A40)</f>
        <v>38.9144411670738</v>
      </c>
      <c r="J40" s="38"/>
      <c r="K40" s="38"/>
      <c r="L40" s="38" t="s">
        <v>48</v>
      </c>
      <c r="M40" s="38" t="s">
        <v>49</v>
      </c>
      <c r="N40" s="38" t="str">
        <f aca="false">Blocos!AA4</f>
        <v>0300043007, 0301038007, 0301039007, 0301117007, 0201291007, 0302253007, 0301273007</v>
      </c>
    </row>
    <row r="41" customFormat="false" ht="15" hidden="true" customHeight="false" outlineLevel="1" collapsed="false">
      <c r="F41" s="35" t="s">
        <v>351</v>
      </c>
      <c r="G41" s="35" t="s">
        <v>276</v>
      </c>
      <c r="H41" s="35" t="s">
        <v>352</v>
      </c>
      <c r="I41" s="40" t="n">
        <v>37.1787893960728</v>
      </c>
      <c r="J41" s="36" t="n">
        <v>37.1787893960728</v>
      </c>
      <c r="K41" s="35"/>
    </row>
    <row r="42" customFormat="false" ht="15" hidden="true" customHeight="false" outlineLevel="1" collapsed="false">
      <c r="F42" s="35" t="s">
        <v>353</v>
      </c>
      <c r="G42" s="35" t="s">
        <v>352</v>
      </c>
      <c r="H42" s="35" t="s">
        <v>354</v>
      </c>
      <c r="I42" s="40" t="n">
        <v>1.73565177100103</v>
      </c>
      <c r="J42" s="36" t="n">
        <v>38.9144411670738</v>
      </c>
      <c r="K42" s="35"/>
    </row>
    <row r="43" customFormat="false" ht="15" hidden="false" customHeight="false" outlineLevel="0" collapsed="true">
      <c r="A43" s="43" t="n">
        <v>4</v>
      </c>
      <c r="B43" s="43" t="s">
        <v>24</v>
      </c>
      <c r="C43" s="43" t="s">
        <v>157</v>
      </c>
      <c r="D43" s="43" t="s">
        <v>203</v>
      </c>
      <c r="E43" s="43" t="s">
        <v>48</v>
      </c>
      <c r="F43" s="43" t="str">
        <f aca="false">COUNTIFS(Trechos!$L$2:$L$275,A43)&amp;" vãos"</f>
        <v>15 vãos</v>
      </c>
      <c r="G43" s="43"/>
      <c r="H43" s="43"/>
      <c r="I43" s="44" t="n">
        <f aca="false">SUMIFS(Trechos!$F$2:$F$275,Trechos!$L$2:$L$275,A43)</f>
        <v>2457.95327920558</v>
      </c>
      <c r="J43" s="43"/>
      <c r="K43" s="43"/>
      <c r="L43" s="43" t="s">
        <v>50</v>
      </c>
      <c r="M43" s="43" t="s">
        <v>51</v>
      </c>
      <c r="N43" s="43" t="str">
        <f aca="false">Blocos!AA5</f>
        <v>0301038007, 0301039007, 0301117007, 0201291007, 0302253007, 0301273007</v>
      </c>
    </row>
    <row r="44" customFormat="false" ht="15" hidden="true" customHeight="false" outlineLevel="1" collapsed="false">
      <c r="F44" s="35" t="s">
        <v>355</v>
      </c>
      <c r="G44" s="35" t="s">
        <v>354</v>
      </c>
      <c r="H44" s="35" t="s">
        <v>356</v>
      </c>
      <c r="I44" s="40" t="n">
        <v>245.383444703842</v>
      </c>
      <c r="J44" s="36" t="n">
        <v>245.383444703842</v>
      </c>
      <c r="K44" s="35"/>
    </row>
    <row r="45" customFormat="false" ht="15" hidden="true" customHeight="false" outlineLevel="1" collapsed="false">
      <c r="F45" s="35" t="s">
        <v>357</v>
      </c>
      <c r="G45" s="35" t="s">
        <v>356</v>
      </c>
      <c r="H45" s="35" t="s">
        <v>358</v>
      </c>
      <c r="I45" s="40" t="n">
        <v>186.94835953408</v>
      </c>
      <c r="J45" s="36" t="n">
        <v>432.331804237921</v>
      </c>
      <c r="K45" s="35"/>
    </row>
    <row r="46" customFormat="false" ht="15" hidden="true" customHeight="false" outlineLevel="1" collapsed="false">
      <c r="F46" s="35" t="s">
        <v>359</v>
      </c>
      <c r="G46" s="35" t="s">
        <v>358</v>
      </c>
      <c r="H46" s="35" t="s">
        <v>360</v>
      </c>
      <c r="I46" s="40" t="n">
        <v>472.689361240694</v>
      </c>
      <c r="J46" s="36" t="n">
        <v>905.021165478615</v>
      </c>
      <c r="K46" s="35"/>
    </row>
    <row r="47" customFormat="false" ht="15" hidden="true" customHeight="false" outlineLevel="1" collapsed="false">
      <c r="F47" s="35" t="s">
        <v>361</v>
      </c>
      <c r="G47" s="35" t="s">
        <v>360</v>
      </c>
      <c r="H47" s="35" t="s">
        <v>362</v>
      </c>
      <c r="I47" s="40" t="n">
        <v>2.21280096141065</v>
      </c>
      <c r="J47" s="36" t="n">
        <v>907.233966440025</v>
      </c>
      <c r="K47" s="35"/>
    </row>
    <row r="48" customFormat="false" ht="15" hidden="true" customHeight="false" outlineLevel="1" collapsed="false">
      <c r="F48" s="35" t="s">
        <v>363</v>
      </c>
      <c r="G48" s="35" t="s">
        <v>362</v>
      </c>
      <c r="H48" s="35" t="s">
        <v>364</v>
      </c>
      <c r="I48" s="40" t="n">
        <v>14.4474285081253</v>
      </c>
      <c r="J48" s="36" t="n">
        <v>921.681394948151</v>
      </c>
      <c r="K48" s="35"/>
    </row>
    <row r="49" customFormat="false" ht="15" hidden="true" customHeight="false" outlineLevel="1" collapsed="false">
      <c r="F49" s="35" t="s">
        <v>365</v>
      </c>
      <c r="G49" s="35" t="s">
        <v>364</v>
      </c>
      <c r="H49" s="35" t="s">
        <v>366</v>
      </c>
      <c r="I49" s="40" t="n">
        <v>10.0743767111522</v>
      </c>
      <c r="J49" s="36" t="n">
        <v>931.755771659303</v>
      </c>
      <c r="K49" s="35"/>
    </row>
    <row r="50" customFormat="false" ht="15" hidden="true" customHeight="false" outlineLevel="1" collapsed="false">
      <c r="F50" s="35" t="s">
        <v>367</v>
      </c>
      <c r="G50" s="35" t="s">
        <v>360</v>
      </c>
      <c r="H50" s="35" t="s">
        <v>368</v>
      </c>
      <c r="I50" s="40" t="n">
        <v>476.623788515186</v>
      </c>
      <c r="J50" s="36" t="n">
        <v>1381.6449539938</v>
      </c>
      <c r="K50" s="35"/>
    </row>
    <row r="51" customFormat="false" ht="15" hidden="true" customHeight="false" outlineLevel="1" collapsed="false">
      <c r="F51" s="35" t="s">
        <v>369</v>
      </c>
      <c r="G51" s="35" t="s">
        <v>368</v>
      </c>
      <c r="H51" s="35" t="s">
        <v>370</v>
      </c>
      <c r="I51" s="40" t="n">
        <v>96.1517901977836</v>
      </c>
      <c r="J51" s="36" t="n">
        <v>1477.79674419158</v>
      </c>
      <c r="K51" s="35"/>
    </row>
    <row r="52" customFormat="false" ht="15" hidden="true" customHeight="false" outlineLevel="1" collapsed="false">
      <c r="F52" s="35" t="s">
        <v>371</v>
      </c>
      <c r="G52" s="35" t="s">
        <v>370</v>
      </c>
      <c r="H52" s="35" t="s">
        <v>372</v>
      </c>
      <c r="I52" s="40" t="n">
        <v>20.6142636331733</v>
      </c>
      <c r="J52" s="36" t="n">
        <v>1498.41100782476</v>
      </c>
      <c r="K52" s="35"/>
    </row>
    <row r="53" customFormat="false" ht="15" hidden="true" customHeight="false" outlineLevel="1" collapsed="false">
      <c r="F53" s="35" t="s">
        <v>373</v>
      </c>
      <c r="G53" s="35" t="s">
        <v>372</v>
      </c>
      <c r="H53" s="35" t="s">
        <v>374</v>
      </c>
      <c r="I53" s="40" t="n">
        <v>4.08035517523712</v>
      </c>
      <c r="J53" s="36" t="n">
        <v>1502.491363</v>
      </c>
      <c r="K53" s="35" t="s">
        <v>51</v>
      </c>
    </row>
    <row r="54" customFormat="false" ht="15" hidden="true" customHeight="false" outlineLevel="1" collapsed="false">
      <c r="F54" s="35" t="s">
        <v>375</v>
      </c>
      <c r="G54" s="35" t="s">
        <v>374</v>
      </c>
      <c r="H54" s="35" t="s">
        <v>376</v>
      </c>
      <c r="I54" s="40" t="n">
        <v>884.750707449324</v>
      </c>
      <c r="J54" s="36" t="n">
        <v>2387.24207044932</v>
      </c>
      <c r="K54" s="35"/>
    </row>
    <row r="55" customFormat="false" ht="15" hidden="true" customHeight="false" outlineLevel="1" collapsed="false">
      <c r="F55" s="35" t="s">
        <v>377</v>
      </c>
      <c r="G55" s="35" t="s">
        <v>370</v>
      </c>
      <c r="H55" s="35" t="s">
        <v>378</v>
      </c>
      <c r="I55" s="40" t="n">
        <v>31.10575430314</v>
      </c>
      <c r="J55" s="36" t="n">
        <v>1508.90249849472</v>
      </c>
      <c r="K55" s="35"/>
    </row>
    <row r="56" customFormat="false" ht="15" hidden="true" customHeight="false" outlineLevel="1" collapsed="false">
      <c r="F56" s="35" t="s">
        <v>379</v>
      </c>
      <c r="G56" s="35" t="s">
        <v>378</v>
      </c>
      <c r="H56" s="35" t="s">
        <v>380</v>
      </c>
      <c r="I56" s="40" t="n">
        <v>3.70094007950859</v>
      </c>
      <c r="J56" s="36" t="n">
        <v>1512.60343857423</v>
      </c>
      <c r="K56" s="35"/>
    </row>
    <row r="57" customFormat="false" ht="15" hidden="true" customHeight="false" outlineLevel="1" collapsed="false">
      <c r="F57" s="35" t="s">
        <v>381</v>
      </c>
      <c r="G57" s="35" t="s">
        <v>370</v>
      </c>
      <c r="H57" s="35" t="s">
        <v>382</v>
      </c>
      <c r="I57" s="40" t="n">
        <v>4.67141721198786</v>
      </c>
      <c r="J57" s="36" t="n">
        <v>1482.46816140357</v>
      </c>
      <c r="K57" s="35"/>
    </row>
    <row r="58" customFormat="false" ht="15" hidden="true" customHeight="false" outlineLevel="1" collapsed="false">
      <c r="F58" s="35" t="s">
        <v>383</v>
      </c>
      <c r="G58" s="35" t="s">
        <v>358</v>
      </c>
      <c r="H58" s="35" t="s">
        <v>384</v>
      </c>
      <c r="I58" s="40" t="n">
        <v>4.49849098094168</v>
      </c>
      <c r="J58" s="36" t="n">
        <v>436.830295218863</v>
      </c>
      <c r="K58" s="35"/>
    </row>
    <row r="59" customFormat="false" ht="15" hidden="false" customHeight="false" outlineLevel="0" collapsed="true">
      <c r="A59" s="45" t="n">
        <v>5</v>
      </c>
      <c r="B59" s="45" t="s">
        <v>25</v>
      </c>
      <c r="C59" s="45" t="s">
        <v>157</v>
      </c>
      <c r="D59" s="45" t="s">
        <v>203</v>
      </c>
      <c r="E59" s="45" t="s">
        <v>52</v>
      </c>
      <c r="F59" s="45" t="str">
        <f aca="false">COUNTIFS(Trechos!$L$2:$L$275,A59)&amp;" vãos"</f>
        <v>2 vãos</v>
      </c>
      <c r="G59" s="45"/>
      <c r="H59" s="45"/>
      <c r="I59" s="46" t="n">
        <f aca="false">SUMIFS(Trechos!$F$2:$F$275,Trechos!$L$2:$L$275,A59)</f>
        <v>223.137422642631</v>
      </c>
      <c r="J59" s="45"/>
      <c r="K59" s="45"/>
      <c r="L59" s="45" t="s">
        <v>53</v>
      </c>
      <c r="M59" s="45" t="s">
        <v>49</v>
      </c>
      <c r="N59" s="45" t="str">
        <f aca="false">Blocos!AA6</f>
        <v>0301039007</v>
      </c>
    </row>
    <row r="60" customFormat="false" ht="15" hidden="true" customHeight="false" outlineLevel="1" collapsed="false">
      <c r="F60" s="35" t="s">
        <v>385</v>
      </c>
      <c r="G60" s="35" t="s">
        <v>366</v>
      </c>
      <c r="H60" s="35" t="s">
        <v>386</v>
      </c>
      <c r="I60" s="40" t="n">
        <v>212.830564194018</v>
      </c>
      <c r="J60" s="36" t="n">
        <v>212.830564194018</v>
      </c>
      <c r="K60" s="35"/>
    </row>
    <row r="61" customFormat="false" ht="15" hidden="true" customHeight="false" outlineLevel="1" collapsed="false">
      <c r="F61" s="35" t="s">
        <v>387</v>
      </c>
      <c r="G61" s="35" t="s">
        <v>386</v>
      </c>
      <c r="H61" s="35" t="s">
        <v>388</v>
      </c>
      <c r="I61" s="40" t="n">
        <v>10.3068584486134</v>
      </c>
      <c r="J61" s="36" t="n">
        <v>223.137422642631</v>
      </c>
      <c r="K61" s="35"/>
    </row>
    <row r="62" customFormat="false" ht="15" hidden="false" customHeight="false" outlineLevel="0" collapsed="true">
      <c r="A62" s="47" t="n">
        <v>6</v>
      </c>
      <c r="B62" s="47" t="s">
        <v>26</v>
      </c>
      <c r="C62" s="47" t="s">
        <v>157</v>
      </c>
      <c r="D62" s="47" t="s">
        <v>203</v>
      </c>
      <c r="E62" s="47" t="s">
        <v>53</v>
      </c>
      <c r="F62" s="47" t="str">
        <f aca="false">COUNTIFS(Trechos!$L$2:$L$275,A62)&amp;" vãos"</f>
        <v>1 vãos</v>
      </c>
      <c r="G62" s="47"/>
      <c r="H62" s="47"/>
      <c r="I62" s="48" t="n">
        <f aca="false">SUMIFS(Trechos!$F$2:$F$275,Trechos!$L$2:$L$275,A62)</f>
        <v>92.4738305751356</v>
      </c>
      <c r="J62" s="47"/>
      <c r="K62" s="47"/>
      <c r="L62" s="47" t="s">
        <v>54</v>
      </c>
      <c r="M62" s="47" t="s">
        <v>49</v>
      </c>
      <c r="N62" s="47" t="str">
        <f aca="false">Blocos!AA7</f>
        <v>—</v>
      </c>
    </row>
    <row r="63" customFormat="false" ht="15" hidden="true" customHeight="false" outlineLevel="1" collapsed="false">
      <c r="F63" s="35" t="s">
        <v>389</v>
      </c>
      <c r="G63" s="35" t="s">
        <v>388</v>
      </c>
      <c r="H63" s="35" t="s">
        <v>390</v>
      </c>
      <c r="I63" s="40" t="n">
        <v>92.4738305751356</v>
      </c>
      <c r="J63" s="36" t="n">
        <v>92.4738305751355</v>
      </c>
      <c r="K63" s="35"/>
    </row>
    <row r="64" customFormat="false" ht="15" hidden="false" customHeight="false" outlineLevel="0" collapsed="true">
      <c r="A64" s="45" t="n">
        <v>7</v>
      </c>
      <c r="B64" s="45" t="s">
        <v>25</v>
      </c>
      <c r="C64" s="45" t="s">
        <v>157</v>
      </c>
      <c r="D64" s="45" t="s">
        <v>203</v>
      </c>
      <c r="E64" s="45" t="s">
        <v>55</v>
      </c>
      <c r="F64" s="45" t="str">
        <f aca="false">COUNTIFS(Trechos!$L$2:$L$275,A64)&amp;" vãos"</f>
        <v>37 vãos</v>
      </c>
      <c r="G64" s="45"/>
      <c r="H64" s="45"/>
      <c r="I64" s="46" t="n">
        <f aca="false">SUMIFS(Trechos!$F$2:$F$275,Trechos!$L$2:$L$275,A64)</f>
        <v>2136.31044602165</v>
      </c>
      <c r="J64" s="45"/>
      <c r="K64" s="45"/>
      <c r="L64" s="45" t="s">
        <v>56</v>
      </c>
      <c r="M64" s="45" t="s">
        <v>49</v>
      </c>
      <c r="N64" s="45" t="str">
        <f aca="false">Blocos!AA8</f>
        <v>0201291007, 0302253007</v>
      </c>
    </row>
    <row r="65" customFormat="false" ht="15" hidden="true" customHeight="false" outlineLevel="1" collapsed="false">
      <c r="F65" s="35" t="s">
        <v>391</v>
      </c>
      <c r="G65" s="35" t="s">
        <v>380</v>
      </c>
      <c r="H65" s="35" t="s">
        <v>392</v>
      </c>
      <c r="I65" s="40" t="n">
        <v>265.275236803972</v>
      </c>
      <c r="J65" s="36" t="n">
        <v>265.275236803972</v>
      </c>
      <c r="K65" s="35"/>
    </row>
    <row r="66" customFormat="false" ht="15" hidden="true" customHeight="false" outlineLevel="1" collapsed="false">
      <c r="F66" s="35" t="s">
        <v>393</v>
      </c>
      <c r="G66" s="35" t="s">
        <v>392</v>
      </c>
      <c r="H66" s="35" t="s">
        <v>394</v>
      </c>
      <c r="I66" s="40" t="n">
        <v>3.42786284130556</v>
      </c>
      <c r="J66" s="36" t="n">
        <v>268.703099645278</v>
      </c>
      <c r="K66" s="35"/>
    </row>
    <row r="67" customFormat="false" ht="15" hidden="true" customHeight="false" outlineLevel="1" collapsed="false">
      <c r="F67" s="35" t="s">
        <v>395</v>
      </c>
      <c r="G67" s="35" t="s">
        <v>394</v>
      </c>
      <c r="H67" s="35" t="s">
        <v>396</v>
      </c>
      <c r="I67" s="40" t="n">
        <v>157.283984723306</v>
      </c>
      <c r="J67" s="36" t="n">
        <v>425.987084368584</v>
      </c>
      <c r="K67" s="35"/>
    </row>
    <row r="68" customFormat="false" ht="15" hidden="true" customHeight="false" outlineLevel="1" collapsed="false">
      <c r="F68" s="35" t="s">
        <v>397</v>
      </c>
      <c r="G68" s="35" t="s">
        <v>396</v>
      </c>
      <c r="H68" s="35" t="s">
        <v>398</v>
      </c>
      <c r="I68" s="40" t="n">
        <v>28.1070687579883</v>
      </c>
      <c r="J68" s="36" t="n">
        <v>454.094153126572</v>
      </c>
      <c r="K68" s="35"/>
    </row>
    <row r="69" customFormat="false" ht="15" hidden="true" customHeight="false" outlineLevel="1" collapsed="false">
      <c r="F69" s="35" t="s">
        <v>399</v>
      </c>
      <c r="G69" s="35" t="s">
        <v>398</v>
      </c>
      <c r="H69" s="35" t="s">
        <v>400</v>
      </c>
      <c r="I69" s="40" t="n">
        <v>3.15224447096026</v>
      </c>
      <c r="J69" s="36" t="n">
        <v>457.246397597532</v>
      </c>
      <c r="K69" s="35"/>
    </row>
    <row r="70" customFormat="false" ht="15" hidden="true" customHeight="false" outlineLevel="1" collapsed="false">
      <c r="F70" s="35" t="s">
        <v>401</v>
      </c>
      <c r="G70" s="35" t="s">
        <v>400</v>
      </c>
      <c r="H70" s="35" t="s">
        <v>402</v>
      </c>
      <c r="I70" s="40" t="n">
        <v>46.6572704062552</v>
      </c>
      <c r="J70" s="36" t="n">
        <v>503.903668003787</v>
      </c>
      <c r="K70" s="35"/>
    </row>
    <row r="71" customFormat="false" ht="15" hidden="true" customHeight="false" outlineLevel="1" collapsed="false">
      <c r="F71" s="35" t="s">
        <v>403</v>
      </c>
      <c r="G71" s="35" t="s">
        <v>402</v>
      </c>
      <c r="H71" s="35" t="s">
        <v>404</v>
      </c>
      <c r="I71" s="40" t="n">
        <v>3.14750230296232</v>
      </c>
      <c r="J71" s="36" t="n">
        <v>507.05117030675</v>
      </c>
      <c r="K71" s="35"/>
    </row>
    <row r="72" customFormat="false" ht="15" hidden="true" customHeight="false" outlineLevel="1" collapsed="false">
      <c r="F72" s="35" t="s">
        <v>405</v>
      </c>
      <c r="G72" s="35" t="s">
        <v>404</v>
      </c>
      <c r="H72" s="35" t="s">
        <v>406</v>
      </c>
      <c r="I72" s="40" t="n">
        <v>16.2528774105678</v>
      </c>
      <c r="J72" s="36" t="n">
        <v>523.304047717317</v>
      </c>
      <c r="K72" s="35"/>
    </row>
    <row r="73" customFormat="false" ht="15" hidden="true" customHeight="false" outlineLevel="1" collapsed="false">
      <c r="F73" s="35" t="s">
        <v>407</v>
      </c>
      <c r="G73" s="35" t="s">
        <v>406</v>
      </c>
      <c r="H73" s="35" t="s">
        <v>408</v>
      </c>
      <c r="I73" s="40" t="n">
        <v>26.2552558579867</v>
      </c>
      <c r="J73" s="36" t="n">
        <v>549.559303575304</v>
      </c>
      <c r="K73" s="35"/>
    </row>
    <row r="74" customFormat="false" ht="15" hidden="true" customHeight="false" outlineLevel="1" collapsed="false">
      <c r="F74" s="35" t="s">
        <v>409</v>
      </c>
      <c r="G74" s="35" t="s">
        <v>408</v>
      </c>
      <c r="H74" s="35" t="s">
        <v>410</v>
      </c>
      <c r="I74" s="40" t="n">
        <v>3.24803094734717</v>
      </c>
      <c r="J74" s="36" t="n">
        <v>552.807334522651</v>
      </c>
      <c r="K74" s="35"/>
    </row>
    <row r="75" customFormat="false" ht="15" hidden="true" customHeight="false" outlineLevel="1" collapsed="false">
      <c r="F75" s="35" t="s">
        <v>411</v>
      </c>
      <c r="G75" s="35" t="s">
        <v>410</v>
      </c>
      <c r="H75" s="35" t="s">
        <v>412</v>
      </c>
      <c r="I75" s="40" t="n">
        <v>68.4355026397248</v>
      </c>
      <c r="J75" s="36" t="n">
        <v>621.242837162376</v>
      </c>
      <c r="K75" s="35"/>
    </row>
    <row r="76" customFormat="false" ht="15" hidden="true" customHeight="false" outlineLevel="1" collapsed="false">
      <c r="F76" s="35" t="s">
        <v>413</v>
      </c>
      <c r="G76" s="35" t="s">
        <v>412</v>
      </c>
      <c r="H76" s="35" t="s">
        <v>414</v>
      </c>
      <c r="I76" s="40" t="n">
        <v>2.90667294358374</v>
      </c>
      <c r="J76" s="36" t="n">
        <v>624.14951010596</v>
      </c>
      <c r="K76" s="35"/>
    </row>
    <row r="77" customFormat="false" ht="15" hidden="true" customHeight="false" outlineLevel="1" collapsed="false">
      <c r="F77" s="35" t="s">
        <v>415</v>
      </c>
      <c r="G77" s="35" t="s">
        <v>414</v>
      </c>
      <c r="H77" s="35" t="s">
        <v>416</v>
      </c>
      <c r="I77" s="40" t="n">
        <v>27.082649702172</v>
      </c>
      <c r="J77" s="36" t="n">
        <v>651.232159808132</v>
      </c>
      <c r="K77" s="35"/>
    </row>
    <row r="78" customFormat="false" ht="15" hidden="true" customHeight="false" outlineLevel="1" collapsed="false">
      <c r="F78" s="35" t="s">
        <v>417</v>
      </c>
      <c r="G78" s="35" t="s">
        <v>416</v>
      </c>
      <c r="H78" s="35" t="s">
        <v>418</v>
      </c>
      <c r="I78" s="40" t="n">
        <v>3.59285118714245</v>
      </c>
      <c r="J78" s="36" t="n">
        <v>654.825010995274</v>
      </c>
      <c r="K78" s="35"/>
    </row>
    <row r="79" customFormat="false" ht="15" hidden="true" customHeight="false" outlineLevel="1" collapsed="false">
      <c r="F79" s="35" t="s">
        <v>419</v>
      </c>
      <c r="G79" s="35" t="s">
        <v>418</v>
      </c>
      <c r="H79" s="35" t="s">
        <v>420</v>
      </c>
      <c r="I79" s="40" t="n">
        <v>40.1410403724668</v>
      </c>
      <c r="J79" s="36" t="n">
        <v>694.966051367741</v>
      </c>
      <c r="K79" s="35"/>
    </row>
    <row r="80" customFormat="false" ht="15" hidden="true" customHeight="false" outlineLevel="1" collapsed="false">
      <c r="F80" s="35" t="s">
        <v>421</v>
      </c>
      <c r="G80" s="35" t="s">
        <v>420</v>
      </c>
      <c r="H80" s="35" t="s">
        <v>422</v>
      </c>
      <c r="I80" s="40" t="n">
        <v>3.63688270061982</v>
      </c>
      <c r="J80" s="36" t="n">
        <v>698.602934068361</v>
      </c>
      <c r="K80" s="35"/>
    </row>
    <row r="81" customFormat="false" ht="15" hidden="true" customHeight="false" outlineLevel="1" collapsed="false">
      <c r="F81" s="35" t="s">
        <v>423</v>
      </c>
      <c r="G81" s="35" t="s">
        <v>422</v>
      </c>
      <c r="H81" s="35" t="s">
        <v>424</v>
      </c>
      <c r="I81" s="40" t="n">
        <v>141.058887625058</v>
      </c>
      <c r="J81" s="36" t="n">
        <v>839.661821693419</v>
      </c>
      <c r="K81" s="35"/>
    </row>
    <row r="82" customFormat="false" ht="15" hidden="true" customHeight="false" outlineLevel="1" collapsed="false">
      <c r="F82" s="35" t="s">
        <v>425</v>
      </c>
      <c r="G82" s="35" t="s">
        <v>424</v>
      </c>
      <c r="H82" s="35" t="s">
        <v>426</v>
      </c>
      <c r="I82" s="40" t="n">
        <v>3.12398462060805</v>
      </c>
      <c r="J82" s="36" t="n">
        <v>842.785806314027</v>
      </c>
      <c r="K82" s="35"/>
    </row>
    <row r="83" customFormat="false" ht="15" hidden="true" customHeight="false" outlineLevel="1" collapsed="false">
      <c r="F83" s="35" t="s">
        <v>427</v>
      </c>
      <c r="G83" s="35" t="s">
        <v>426</v>
      </c>
      <c r="H83" s="35" t="s">
        <v>428</v>
      </c>
      <c r="I83" s="40" t="n">
        <v>122.932596858644</v>
      </c>
      <c r="J83" s="36" t="n">
        <v>965.71840317267</v>
      </c>
      <c r="K83" s="35"/>
    </row>
    <row r="84" customFormat="false" ht="15" hidden="true" customHeight="false" outlineLevel="1" collapsed="false">
      <c r="F84" s="35" t="s">
        <v>429</v>
      </c>
      <c r="G84" s="35" t="s">
        <v>428</v>
      </c>
      <c r="H84" s="35" t="s">
        <v>430</v>
      </c>
      <c r="I84" s="40" t="n">
        <v>3.17551051059534</v>
      </c>
      <c r="J84" s="36" t="n">
        <v>968.893913683266</v>
      </c>
      <c r="K84" s="35"/>
    </row>
    <row r="85" customFormat="false" ht="15" hidden="true" customHeight="false" outlineLevel="1" collapsed="false">
      <c r="F85" s="35" t="s">
        <v>431</v>
      </c>
      <c r="G85" s="35" t="s">
        <v>430</v>
      </c>
      <c r="H85" s="35" t="s">
        <v>432</v>
      </c>
      <c r="I85" s="40" t="n">
        <v>442.74242755848</v>
      </c>
      <c r="J85" s="36" t="n">
        <v>1411.63634124175</v>
      </c>
      <c r="K85" s="35"/>
    </row>
    <row r="86" customFormat="false" ht="15" hidden="true" customHeight="false" outlineLevel="1" collapsed="false">
      <c r="F86" s="35" t="s">
        <v>433</v>
      </c>
      <c r="G86" s="35" t="s">
        <v>432</v>
      </c>
      <c r="H86" s="35" t="s">
        <v>434</v>
      </c>
      <c r="I86" s="40" t="n">
        <v>1.73607399753317</v>
      </c>
      <c r="J86" s="36" t="n">
        <v>1413.37241523928</v>
      </c>
      <c r="K86" s="35"/>
    </row>
    <row r="87" customFormat="false" ht="15" hidden="true" customHeight="false" outlineLevel="1" collapsed="false">
      <c r="F87" s="35" t="s">
        <v>435</v>
      </c>
      <c r="G87" s="35" t="s">
        <v>434</v>
      </c>
      <c r="H87" s="35" t="s">
        <v>436</v>
      </c>
      <c r="I87" s="40" t="n">
        <v>42.4183003083392</v>
      </c>
      <c r="J87" s="36" t="n">
        <v>1455.79071554762</v>
      </c>
      <c r="K87" s="35"/>
    </row>
    <row r="88" customFormat="false" ht="15" hidden="true" customHeight="false" outlineLevel="1" collapsed="false">
      <c r="F88" s="35" t="s">
        <v>437</v>
      </c>
      <c r="G88" s="35" t="s">
        <v>436</v>
      </c>
      <c r="H88" s="35" t="s">
        <v>438</v>
      </c>
      <c r="I88" s="40" t="n">
        <v>2.36867043989934</v>
      </c>
      <c r="J88" s="36" t="n">
        <v>1458.15938598752</v>
      </c>
      <c r="K88" s="35"/>
    </row>
    <row r="89" customFormat="false" ht="15" hidden="true" customHeight="false" outlineLevel="1" collapsed="false">
      <c r="F89" s="35" t="s">
        <v>439</v>
      </c>
      <c r="G89" s="35" t="s">
        <v>438</v>
      </c>
      <c r="H89" s="35" t="s">
        <v>440</v>
      </c>
      <c r="I89" s="40" t="n">
        <v>85.3267136895523</v>
      </c>
      <c r="J89" s="36" t="n">
        <v>1543.48609967707</v>
      </c>
      <c r="K89" s="35"/>
    </row>
    <row r="90" customFormat="false" ht="15" hidden="true" customHeight="false" outlineLevel="1" collapsed="false">
      <c r="F90" s="35" t="s">
        <v>441</v>
      </c>
      <c r="G90" s="35" t="s">
        <v>440</v>
      </c>
      <c r="H90" s="35" t="s">
        <v>442</v>
      </c>
      <c r="I90" s="40" t="n">
        <v>1.8077825763217</v>
      </c>
      <c r="J90" s="36" t="n">
        <v>1545.29388225339</v>
      </c>
      <c r="K90" s="35"/>
    </row>
    <row r="91" customFormat="false" ht="15" hidden="true" customHeight="false" outlineLevel="1" collapsed="false">
      <c r="F91" s="35" t="s">
        <v>443</v>
      </c>
      <c r="G91" s="35" t="s">
        <v>432</v>
      </c>
      <c r="H91" s="35" t="s">
        <v>444</v>
      </c>
      <c r="I91" s="40" t="n">
        <v>72.4317243128891</v>
      </c>
      <c r="J91" s="36" t="n">
        <v>1484.06806555464</v>
      </c>
      <c r="K91" s="35"/>
    </row>
    <row r="92" customFormat="false" ht="15" hidden="true" customHeight="false" outlineLevel="1" collapsed="false">
      <c r="F92" s="35" t="s">
        <v>445</v>
      </c>
      <c r="G92" s="35" t="s">
        <v>444</v>
      </c>
      <c r="H92" s="35" t="s">
        <v>446</v>
      </c>
      <c r="I92" s="40" t="n">
        <v>5.26740367444735</v>
      </c>
      <c r="J92" s="36" t="n">
        <v>1489.33546922908</v>
      </c>
      <c r="K92" s="35"/>
    </row>
    <row r="93" customFormat="false" ht="15" hidden="true" customHeight="false" outlineLevel="1" collapsed="false">
      <c r="F93" s="35" t="s">
        <v>447</v>
      </c>
      <c r="G93" s="35" t="s">
        <v>406</v>
      </c>
      <c r="H93" s="35" t="s">
        <v>448</v>
      </c>
      <c r="I93" s="40" t="n">
        <v>3.30086905814641</v>
      </c>
      <c r="J93" s="36" t="n">
        <v>526.604916775464</v>
      </c>
      <c r="K93" s="35"/>
    </row>
    <row r="94" customFormat="false" ht="15" hidden="true" customHeight="false" outlineLevel="1" collapsed="false">
      <c r="F94" s="35" t="s">
        <v>449</v>
      </c>
      <c r="G94" s="35" t="s">
        <v>448</v>
      </c>
      <c r="H94" s="35" t="s">
        <v>450</v>
      </c>
      <c r="I94" s="40" t="n">
        <v>4.5154095344148</v>
      </c>
      <c r="J94" s="36" t="n">
        <v>531.120326309879</v>
      </c>
      <c r="K94" s="35"/>
    </row>
    <row r="95" customFormat="false" ht="15" hidden="true" customHeight="false" outlineLevel="1" collapsed="false">
      <c r="F95" s="35" t="s">
        <v>451</v>
      </c>
      <c r="G95" s="35" t="s">
        <v>450</v>
      </c>
      <c r="H95" s="35" t="s">
        <v>452</v>
      </c>
      <c r="I95" s="40" t="n">
        <v>4.15057485850619</v>
      </c>
      <c r="J95" s="36" t="n">
        <v>535.270901168385</v>
      </c>
      <c r="K95" s="35"/>
    </row>
    <row r="96" customFormat="false" ht="15" hidden="true" customHeight="false" outlineLevel="1" collapsed="false">
      <c r="F96" s="35" t="s">
        <v>453</v>
      </c>
      <c r="G96" s="35" t="s">
        <v>452</v>
      </c>
      <c r="H96" s="35" t="s">
        <v>454</v>
      </c>
      <c r="I96" s="40" t="n">
        <v>175.302540331321</v>
      </c>
      <c r="J96" s="36" t="n">
        <v>710.573441499706</v>
      </c>
      <c r="K96" s="35"/>
    </row>
    <row r="97" customFormat="false" ht="15" hidden="true" customHeight="false" outlineLevel="1" collapsed="false">
      <c r="F97" s="35" t="s">
        <v>455</v>
      </c>
      <c r="G97" s="35" t="s">
        <v>454</v>
      </c>
      <c r="H97" s="35" t="s">
        <v>456</v>
      </c>
      <c r="I97" s="40" t="n">
        <v>3.47380152238294</v>
      </c>
      <c r="J97" s="36" t="n">
        <v>714.047243022089</v>
      </c>
      <c r="K97" s="35"/>
    </row>
    <row r="98" customFormat="false" ht="15" hidden="true" customHeight="false" outlineLevel="1" collapsed="false">
      <c r="F98" s="35" t="s">
        <v>457</v>
      </c>
      <c r="G98" s="35" t="s">
        <v>456</v>
      </c>
      <c r="H98" s="35" t="s">
        <v>458</v>
      </c>
      <c r="I98" s="40" t="n">
        <v>116.732008227791</v>
      </c>
      <c r="J98" s="36" t="n">
        <v>830.77925124988</v>
      </c>
      <c r="K98" s="35"/>
    </row>
    <row r="99" customFormat="false" ht="15" hidden="true" customHeight="false" outlineLevel="1" collapsed="false">
      <c r="F99" s="35" t="s">
        <v>459</v>
      </c>
      <c r="G99" s="35" t="s">
        <v>458</v>
      </c>
      <c r="H99" s="35" t="s">
        <v>460</v>
      </c>
      <c r="I99" s="40" t="n">
        <v>3.3418152389462</v>
      </c>
      <c r="J99" s="36" t="n">
        <v>834.121066488826</v>
      </c>
      <c r="K99" s="35"/>
    </row>
    <row r="100" customFormat="false" ht="15" hidden="true" customHeight="false" outlineLevel="1" collapsed="false">
      <c r="F100" s="35" t="s">
        <v>461</v>
      </c>
      <c r="G100" s="35" t="s">
        <v>460</v>
      </c>
      <c r="H100" s="35" t="s">
        <v>462</v>
      </c>
      <c r="I100" s="40" t="n">
        <v>158.734526711343</v>
      </c>
      <c r="J100" s="36" t="n">
        <v>992.855593200169</v>
      </c>
      <c r="K100" s="35"/>
    </row>
    <row r="101" customFormat="false" ht="15" hidden="true" customHeight="false" outlineLevel="1" collapsed="false">
      <c r="F101" s="35" t="s">
        <v>463</v>
      </c>
      <c r="G101" s="35" t="s">
        <v>462</v>
      </c>
      <c r="H101" s="35" t="s">
        <v>464</v>
      </c>
      <c r="I101" s="40" t="n">
        <v>43.7658902980668</v>
      </c>
      <c r="J101" s="36" t="n">
        <v>1036.62148349824</v>
      </c>
      <c r="K101" s="35"/>
    </row>
    <row r="102" customFormat="false" ht="15" hidden="false" customHeight="false" outlineLevel="0" collapsed="true">
      <c r="A102" s="47" t="n">
        <v>8</v>
      </c>
      <c r="B102" s="47" t="s">
        <v>26</v>
      </c>
      <c r="C102" s="47" t="s">
        <v>157</v>
      </c>
      <c r="D102" s="47" t="s">
        <v>203</v>
      </c>
      <c r="E102" s="47" t="s">
        <v>57</v>
      </c>
      <c r="F102" s="47" t="str">
        <f aca="false">COUNTIFS(Trechos!$L$2:$L$275,A102)&amp;" vãos"</f>
        <v>1 vãos</v>
      </c>
      <c r="G102" s="47"/>
      <c r="H102" s="47"/>
      <c r="I102" s="48" t="n">
        <f aca="false">SUMIFS(Trechos!$F$2:$F$275,Trechos!$L$2:$L$275,A102)</f>
        <v>16.0878124443238</v>
      </c>
      <c r="J102" s="47"/>
      <c r="K102" s="47"/>
      <c r="L102" s="47" t="s">
        <v>58</v>
      </c>
      <c r="M102" s="47" t="s">
        <v>49</v>
      </c>
      <c r="N102" s="47" t="str">
        <f aca="false">Blocos!AA9</f>
        <v>—</v>
      </c>
    </row>
    <row r="103" customFormat="false" ht="15" hidden="true" customHeight="false" outlineLevel="1" collapsed="false">
      <c r="F103" s="35" t="s">
        <v>465</v>
      </c>
      <c r="G103" s="35" t="s">
        <v>442</v>
      </c>
      <c r="H103" s="35" t="s">
        <v>466</v>
      </c>
      <c r="I103" s="40" t="n">
        <v>16.0878124443238</v>
      </c>
      <c r="J103" s="36" t="n">
        <v>16.0878124443238</v>
      </c>
      <c r="K103" s="35"/>
    </row>
    <row r="104" customFormat="false" ht="15" hidden="false" customHeight="false" outlineLevel="0" collapsed="true">
      <c r="A104" s="47" t="n">
        <v>9</v>
      </c>
      <c r="B104" s="47" t="s">
        <v>26</v>
      </c>
      <c r="C104" s="47" t="s">
        <v>157</v>
      </c>
      <c r="D104" s="47" t="s">
        <v>203</v>
      </c>
      <c r="E104" s="47" t="s">
        <v>59</v>
      </c>
      <c r="F104" s="47" t="str">
        <f aca="false">COUNTIFS(Trechos!$L$2:$L$275,A104)&amp;" vãos"</f>
        <v>18 vãos</v>
      </c>
      <c r="G104" s="47"/>
      <c r="H104" s="47"/>
      <c r="I104" s="48" t="n">
        <f aca="false">SUMIFS(Trechos!$F$2:$F$275,Trechos!$L$2:$L$275,A104)</f>
        <v>1159.74475142742</v>
      </c>
      <c r="J104" s="47"/>
      <c r="K104" s="47"/>
      <c r="L104" s="47" t="s">
        <v>60</v>
      </c>
      <c r="M104" s="47" t="s">
        <v>49</v>
      </c>
      <c r="N104" s="47" t="str">
        <f aca="false">Blocos!AA10</f>
        <v>—</v>
      </c>
    </row>
    <row r="105" customFormat="false" ht="15" hidden="true" customHeight="false" outlineLevel="1" collapsed="false">
      <c r="F105" s="35" t="s">
        <v>467</v>
      </c>
      <c r="G105" s="35" t="s">
        <v>446</v>
      </c>
      <c r="H105" s="35" t="s">
        <v>468</v>
      </c>
      <c r="I105" s="40" t="n">
        <v>213.094615921007</v>
      </c>
      <c r="J105" s="36" t="n">
        <v>213.094615921007</v>
      </c>
      <c r="K105" s="35"/>
    </row>
    <row r="106" customFormat="false" ht="15" hidden="true" customHeight="false" outlineLevel="1" collapsed="false">
      <c r="F106" s="35" t="s">
        <v>469</v>
      </c>
      <c r="G106" s="35" t="s">
        <v>468</v>
      </c>
      <c r="H106" s="35" t="s">
        <v>470</v>
      </c>
      <c r="I106" s="40" t="n">
        <v>10.6190690673738</v>
      </c>
      <c r="J106" s="36" t="n">
        <v>223.713684988381</v>
      </c>
      <c r="K106" s="35"/>
    </row>
    <row r="107" customFormat="false" ht="15" hidden="true" customHeight="false" outlineLevel="1" collapsed="false">
      <c r="F107" s="35" t="s">
        <v>471</v>
      </c>
      <c r="G107" s="35" t="s">
        <v>468</v>
      </c>
      <c r="H107" s="35" t="s">
        <v>472</v>
      </c>
      <c r="I107" s="40" t="n">
        <v>34.570722747975</v>
      </c>
      <c r="J107" s="36" t="n">
        <v>247.665338668982</v>
      </c>
      <c r="K107" s="35"/>
    </row>
    <row r="108" customFormat="false" ht="15" hidden="true" customHeight="false" outlineLevel="1" collapsed="false">
      <c r="F108" s="35" t="s">
        <v>473</v>
      </c>
      <c r="G108" s="35" t="s">
        <v>468</v>
      </c>
      <c r="H108" s="35" t="s">
        <v>474</v>
      </c>
      <c r="I108" s="40" t="n">
        <v>57.9617434828013</v>
      </c>
      <c r="J108" s="36" t="n">
        <v>271.056359403809</v>
      </c>
      <c r="K108" s="35"/>
    </row>
    <row r="109" customFormat="false" ht="15" hidden="true" customHeight="false" outlineLevel="1" collapsed="false">
      <c r="F109" s="35" t="s">
        <v>475</v>
      </c>
      <c r="G109" s="35" t="s">
        <v>474</v>
      </c>
      <c r="H109" s="35" t="s">
        <v>476</v>
      </c>
      <c r="I109" s="40" t="n">
        <v>49.8667420509496</v>
      </c>
      <c r="J109" s="36" t="n">
        <v>320.923101454758</v>
      </c>
      <c r="K109" s="35"/>
    </row>
    <row r="110" customFormat="false" ht="15" hidden="true" customHeight="false" outlineLevel="1" collapsed="false">
      <c r="F110" s="35" t="s">
        <v>477</v>
      </c>
      <c r="G110" s="35" t="s">
        <v>476</v>
      </c>
      <c r="H110" s="35" t="s">
        <v>478</v>
      </c>
      <c r="I110" s="40" t="n">
        <v>28.5088272086736</v>
      </c>
      <c r="J110" s="36" t="n">
        <v>349.431928663432</v>
      </c>
      <c r="K110" s="35"/>
    </row>
    <row r="111" customFormat="false" ht="15" hidden="true" customHeight="false" outlineLevel="1" collapsed="false">
      <c r="F111" s="35" t="s">
        <v>479</v>
      </c>
      <c r="G111" s="35" t="s">
        <v>474</v>
      </c>
      <c r="H111" s="35" t="s">
        <v>480</v>
      </c>
      <c r="I111" s="40" t="n">
        <v>16.4601360600843</v>
      </c>
      <c r="J111" s="36" t="n">
        <v>287.516495463893</v>
      </c>
      <c r="K111" s="35"/>
    </row>
    <row r="112" customFormat="false" ht="15" hidden="true" customHeight="false" outlineLevel="1" collapsed="false">
      <c r="F112" s="35" t="s">
        <v>481</v>
      </c>
      <c r="G112" s="35" t="s">
        <v>474</v>
      </c>
      <c r="H112" s="35" t="s">
        <v>482</v>
      </c>
      <c r="I112" s="40" t="n">
        <v>233.291872835394</v>
      </c>
      <c r="J112" s="36" t="n">
        <v>504.348232239202</v>
      </c>
      <c r="K112" s="35"/>
    </row>
    <row r="113" customFormat="false" ht="15" hidden="true" customHeight="false" outlineLevel="1" collapsed="false">
      <c r="F113" s="35" t="s">
        <v>483</v>
      </c>
      <c r="G113" s="35" t="s">
        <v>482</v>
      </c>
      <c r="H113" s="35" t="s">
        <v>484</v>
      </c>
      <c r="I113" s="40" t="n">
        <v>3.58516420821682</v>
      </c>
      <c r="J113" s="36" t="n">
        <v>507.933396447419</v>
      </c>
      <c r="K113" s="35"/>
    </row>
    <row r="114" customFormat="false" ht="15" hidden="true" customHeight="false" outlineLevel="1" collapsed="false">
      <c r="F114" s="35" t="s">
        <v>485</v>
      </c>
      <c r="G114" s="35" t="s">
        <v>484</v>
      </c>
      <c r="H114" s="35" t="s">
        <v>486</v>
      </c>
      <c r="I114" s="40" t="n">
        <v>47.2394821832982</v>
      </c>
      <c r="J114" s="36" t="n">
        <v>555.172878630717</v>
      </c>
      <c r="K114" s="35"/>
    </row>
    <row r="115" customFormat="false" ht="15" hidden="true" customHeight="false" outlineLevel="1" collapsed="false">
      <c r="F115" s="35" t="s">
        <v>487</v>
      </c>
      <c r="G115" s="35" t="s">
        <v>486</v>
      </c>
      <c r="H115" s="35" t="s">
        <v>488</v>
      </c>
      <c r="I115" s="40" t="n">
        <v>121.263223601608</v>
      </c>
      <c r="J115" s="36" t="n">
        <v>676.436102232325</v>
      </c>
      <c r="K115" s="35"/>
    </row>
    <row r="116" customFormat="false" ht="15" hidden="true" customHeight="false" outlineLevel="1" collapsed="false">
      <c r="F116" s="35" t="s">
        <v>489</v>
      </c>
      <c r="G116" s="35" t="s">
        <v>488</v>
      </c>
      <c r="H116" s="35" t="s">
        <v>490</v>
      </c>
      <c r="I116" s="40" t="n">
        <v>74.5859735511783</v>
      </c>
      <c r="J116" s="36" t="n">
        <v>751.022075783503</v>
      </c>
      <c r="K116" s="35"/>
    </row>
    <row r="117" customFormat="false" ht="15" hidden="true" customHeight="false" outlineLevel="1" collapsed="false">
      <c r="F117" s="35" t="s">
        <v>491</v>
      </c>
      <c r="G117" s="35" t="s">
        <v>490</v>
      </c>
      <c r="H117" s="35" t="s">
        <v>492</v>
      </c>
      <c r="I117" s="40" t="n">
        <v>17.3294959972776</v>
      </c>
      <c r="J117" s="36" t="n">
        <v>768.351571780781</v>
      </c>
      <c r="K117" s="35"/>
    </row>
    <row r="118" customFormat="false" ht="15" hidden="true" customHeight="false" outlineLevel="1" collapsed="false">
      <c r="F118" s="35" t="s">
        <v>493</v>
      </c>
      <c r="G118" s="35" t="s">
        <v>490</v>
      </c>
      <c r="H118" s="35" t="s">
        <v>494</v>
      </c>
      <c r="I118" s="40" t="n">
        <v>97.0315537783116</v>
      </c>
      <c r="J118" s="36" t="n">
        <v>848.053629561815</v>
      </c>
      <c r="K118" s="35"/>
    </row>
    <row r="119" customFormat="false" ht="15" hidden="true" customHeight="false" outlineLevel="1" collapsed="false">
      <c r="F119" s="35" t="s">
        <v>495</v>
      </c>
      <c r="G119" s="35" t="s">
        <v>494</v>
      </c>
      <c r="H119" s="35" t="s">
        <v>496</v>
      </c>
      <c r="I119" s="40" t="n">
        <v>31.4964047068687</v>
      </c>
      <c r="J119" s="36" t="n">
        <v>879.550034268684</v>
      </c>
      <c r="K119" s="35"/>
    </row>
    <row r="120" customFormat="false" ht="15" hidden="true" customHeight="false" outlineLevel="1" collapsed="false">
      <c r="F120" s="35" t="s">
        <v>497</v>
      </c>
      <c r="G120" s="35" t="s">
        <v>490</v>
      </c>
      <c r="H120" s="35" t="s">
        <v>498</v>
      </c>
      <c r="I120" s="40" t="n">
        <v>59.4058897006506</v>
      </c>
      <c r="J120" s="36" t="n">
        <v>810.427965484154</v>
      </c>
      <c r="K120" s="35"/>
    </row>
    <row r="121" customFormat="false" ht="15" hidden="true" customHeight="false" outlineLevel="1" collapsed="false">
      <c r="F121" s="35" t="s">
        <v>499</v>
      </c>
      <c r="G121" s="35" t="s">
        <v>498</v>
      </c>
      <c r="H121" s="35" t="s">
        <v>500</v>
      </c>
      <c r="I121" s="40" t="n">
        <v>33.0009033864644</v>
      </c>
      <c r="J121" s="36" t="n">
        <v>843.428868870618</v>
      </c>
      <c r="K121" s="35"/>
    </row>
    <row r="122" customFormat="false" ht="15" hidden="true" customHeight="false" outlineLevel="1" collapsed="false">
      <c r="F122" s="35" t="s">
        <v>501</v>
      </c>
      <c r="G122" s="35" t="s">
        <v>482</v>
      </c>
      <c r="H122" s="35" t="s">
        <v>502</v>
      </c>
      <c r="I122" s="40" t="n">
        <v>30.4329309392923</v>
      </c>
      <c r="J122" s="36" t="n">
        <v>534.781163178495</v>
      </c>
      <c r="K122" s="35"/>
    </row>
    <row r="123" customFormat="false" ht="15" hidden="false" customHeight="false" outlineLevel="0" collapsed="true">
      <c r="A123" s="45" t="n">
        <v>10</v>
      </c>
      <c r="B123" s="45" t="s">
        <v>25</v>
      </c>
      <c r="C123" s="45" t="s">
        <v>157</v>
      </c>
      <c r="D123" s="45" t="s">
        <v>203</v>
      </c>
      <c r="E123" s="45" t="s">
        <v>61</v>
      </c>
      <c r="F123" s="45" t="str">
        <f aca="false">COUNTIFS(Trechos!$L$2:$L$275,A123)&amp;" vãos"</f>
        <v>1 vãos</v>
      </c>
      <c r="G123" s="45"/>
      <c r="H123" s="45"/>
      <c r="I123" s="46" t="n">
        <f aca="false">SUMIFS(Trechos!$F$2:$F$275,Trechos!$L$2:$L$275,A123)</f>
        <v>83.7863750086203</v>
      </c>
      <c r="J123" s="45"/>
      <c r="K123" s="45"/>
      <c r="L123" s="45" t="s">
        <v>62</v>
      </c>
      <c r="M123" s="45" t="s">
        <v>49</v>
      </c>
      <c r="N123" s="45" t="str">
        <f aca="false">Blocos!AA11</f>
        <v>—</v>
      </c>
    </row>
    <row r="124" customFormat="false" ht="15" hidden="true" customHeight="false" outlineLevel="1" collapsed="false">
      <c r="F124" s="35" t="s">
        <v>503</v>
      </c>
      <c r="G124" s="35" t="s">
        <v>384</v>
      </c>
      <c r="H124" s="35" t="s">
        <v>504</v>
      </c>
      <c r="I124" s="40" t="n">
        <v>83.7863750086203</v>
      </c>
      <c r="J124" s="36" t="n">
        <v>83.7863750086203</v>
      </c>
      <c r="K124" s="35"/>
    </row>
    <row r="125" customFormat="false" ht="15" hidden="false" customHeight="false" outlineLevel="0" collapsed="true">
      <c r="A125" s="38" t="n">
        <v>11</v>
      </c>
      <c r="B125" s="38" t="s">
        <v>22</v>
      </c>
      <c r="C125" s="38" t="s">
        <v>157</v>
      </c>
      <c r="D125" s="38" t="s">
        <v>215</v>
      </c>
      <c r="E125" s="38" t="s">
        <v>42</v>
      </c>
      <c r="F125" s="38" t="str">
        <f aca="false">COUNTIFS(Trechos!$L$2:$L$275,A125)&amp;" vãos"</f>
        <v>15 vãos</v>
      </c>
      <c r="G125" s="38"/>
      <c r="H125" s="38"/>
      <c r="I125" s="39" t="n">
        <f aca="false">SUMIFS(Trechos!$F$2:$F$275,Trechos!$L$2:$L$275,A125)</f>
        <v>870.971855973089</v>
      </c>
      <c r="J125" s="38"/>
      <c r="K125" s="38"/>
      <c r="L125" s="38" t="s">
        <v>65</v>
      </c>
      <c r="M125" s="38" t="s">
        <v>49</v>
      </c>
      <c r="N125" s="38" t="str">
        <f aca="false">Blocos!AA12</f>
        <v>0200475007, 0200047007</v>
      </c>
    </row>
    <row r="126" customFormat="false" ht="15" hidden="true" customHeight="false" outlineLevel="1" collapsed="false">
      <c r="F126" s="35" t="s">
        <v>505</v>
      </c>
      <c r="G126" s="35" t="s">
        <v>287</v>
      </c>
      <c r="H126" s="35" t="s">
        <v>506</v>
      </c>
      <c r="I126" s="40" t="n">
        <v>41.9437465792314</v>
      </c>
      <c r="J126" s="36" t="n">
        <v>381.289678096327</v>
      </c>
      <c r="K126" s="35"/>
    </row>
    <row r="127" customFormat="false" ht="15" hidden="true" customHeight="false" outlineLevel="1" collapsed="false">
      <c r="F127" s="35" t="s">
        <v>507</v>
      </c>
      <c r="G127" s="35" t="s">
        <v>506</v>
      </c>
      <c r="H127" s="35" t="s">
        <v>508</v>
      </c>
      <c r="I127" s="40" t="n">
        <v>3.71576229314877</v>
      </c>
      <c r="J127" s="36" t="n">
        <v>385.005440389476</v>
      </c>
      <c r="K127" s="35"/>
    </row>
    <row r="128" customFormat="false" ht="15" hidden="true" customHeight="false" outlineLevel="1" collapsed="false">
      <c r="F128" s="35" t="s">
        <v>509</v>
      </c>
      <c r="G128" s="35" t="s">
        <v>508</v>
      </c>
      <c r="H128" s="35" t="s">
        <v>510</v>
      </c>
      <c r="I128" s="40" t="n">
        <v>33.1259120992664</v>
      </c>
      <c r="J128" s="36" t="n">
        <v>418.131352488742</v>
      </c>
      <c r="K128" s="35"/>
    </row>
    <row r="129" customFormat="false" ht="15" hidden="true" customHeight="false" outlineLevel="1" collapsed="false">
      <c r="F129" s="35" t="s">
        <v>511</v>
      </c>
      <c r="G129" s="35" t="s">
        <v>510</v>
      </c>
      <c r="H129" s="35" t="s">
        <v>512</v>
      </c>
      <c r="I129" s="40" t="n">
        <v>126.628781632055</v>
      </c>
      <c r="J129" s="36" t="n">
        <v>544.760134120797</v>
      </c>
      <c r="K129" s="35"/>
    </row>
    <row r="130" customFormat="false" ht="15" hidden="true" customHeight="false" outlineLevel="1" collapsed="false">
      <c r="F130" s="35" t="s">
        <v>513</v>
      </c>
      <c r="G130" s="35" t="s">
        <v>512</v>
      </c>
      <c r="H130" s="35" t="s">
        <v>514</v>
      </c>
      <c r="I130" s="40" t="n">
        <v>12.3648073467997</v>
      </c>
      <c r="J130" s="36" t="n">
        <v>557.124941467596</v>
      </c>
      <c r="K130" s="35"/>
    </row>
    <row r="131" customFormat="false" ht="15" hidden="true" customHeight="false" outlineLevel="1" collapsed="false">
      <c r="F131" s="35" t="s">
        <v>515</v>
      </c>
      <c r="G131" s="35" t="s">
        <v>512</v>
      </c>
      <c r="H131" s="35" t="s">
        <v>516</v>
      </c>
      <c r="I131" s="40" t="n">
        <v>128.41269656966</v>
      </c>
      <c r="J131" s="36" t="n">
        <v>673.172830690457</v>
      </c>
      <c r="K131" s="35"/>
    </row>
    <row r="132" customFormat="false" ht="15" hidden="true" customHeight="false" outlineLevel="1" collapsed="false">
      <c r="F132" s="35" t="s">
        <v>517</v>
      </c>
      <c r="G132" s="35" t="s">
        <v>516</v>
      </c>
      <c r="H132" s="35" t="s">
        <v>518</v>
      </c>
      <c r="I132" s="40" t="n">
        <v>77.9131911000537</v>
      </c>
      <c r="J132" s="36" t="n">
        <v>751.086021790511</v>
      </c>
      <c r="K132" s="35"/>
    </row>
    <row r="133" customFormat="false" ht="15" hidden="true" customHeight="false" outlineLevel="1" collapsed="false">
      <c r="F133" s="35" t="s">
        <v>519</v>
      </c>
      <c r="G133" s="35" t="s">
        <v>518</v>
      </c>
      <c r="H133" s="35" t="s">
        <v>520</v>
      </c>
      <c r="I133" s="40" t="n">
        <v>14.1057948321998</v>
      </c>
      <c r="J133" s="36" t="n">
        <v>765.191816622711</v>
      </c>
      <c r="K133" s="35"/>
    </row>
    <row r="134" customFormat="false" ht="15" hidden="true" customHeight="false" outlineLevel="1" collapsed="false">
      <c r="F134" s="35" t="s">
        <v>521</v>
      </c>
      <c r="G134" s="35" t="s">
        <v>518</v>
      </c>
      <c r="H134" s="35" t="s">
        <v>522</v>
      </c>
      <c r="I134" s="40" t="n">
        <v>113.152744145922</v>
      </c>
      <c r="J134" s="36" t="n">
        <v>864.238765936433</v>
      </c>
      <c r="K134" s="35"/>
    </row>
    <row r="135" customFormat="false" ht="15" hidden="true" customHeight="false" outlineLevel="1" collapsed="false">
      <c r="F135" s="35" t="s">
        <v>523</v>
      </c>
      <c r="G135" s="35" t="s">
        <v>522</v>
      </c>
      <c r="H135" s="35" t="s">
        <v>524</v>
      </c>
      <c r="I135" s="40" t="n">
        <v>39.2364616701694</v>
      </c>
      <c r="J135" s="36" t="n">
        <v>903.475227606602</v>
      </c>
      <c r="K135" s="35"/>
    </row>
    <row r="136" customFormat="false" ht="15" hidden="true" customHeight="false" outlineLevel="1" collapsed="false">
      <c r="F136" s="35" t="s">
        <v>525</v>
      </c>
      <c r="G136" s="35" t="s">
        <v>522</v>
      </c>
      <c r="H136" s="35" t="s">
        <v>526</v>
      </c>
      <c r="I136" s="40" t="n">
        <v>4.15057768313212</v>
      </c>
      <c r="J136" s="36" t="n">
        <v>868.389343619565</v>
      </c>
      <c r="K136" s="35"/>
    </row>
    <row r="137" customFormat="false" ht="15" hidden="true" customHeight="false" outlineLevel="1" collapsed="false">
      <c r="F137" s="35" t="s">
        <v>527</v>
      </c>
      <c r="G137" s="35" t="s">
        <v>518</v>
      </c>
      <c r="H137" s="35" t="s">
        <v>528</v>
      </c>
      <c r="I137" s="40" t="n">
        <v>262.625940452288</v>
      </c>
      <c r="J137" s="36" t="n">
        <v>1013.7119622428</v>
      </c>
      <c r="K137" s="35"/>
    </row>
    <row r="138" customFormat="false" ht="15" hidden="true" customHeight="false" outlineLevel="1" collapsed="false">
      <c r="F138" s="35" t="s">
        <v>529</v>
      </c>
      <c r="G138" s="35" t="s">
        <v>512</v>
      </c>
      <c r="H138" s="35" t="s">
        <v>530</v>
      </c>
      <c r="I138" s="40" t="n">
        <v>10.9576949289156</v>
      </c>
      <c r="J138" s="36" t="n">
        <v>555.717829049712</v>
      </c>
      <c r="K138" s="35"/>
    </row>
    <row r="139" customFormat="false" ht="15" hidden="true" customHeight="false" outlineLevel="1" collapsed="false">
      <c r="F139" s="35" t="s">
        <v>531</v>
      </c>
      <c r="G139" s="35" t="s">
        <v>510</v>
      </c>
      <c r="H139" s="35" t="s">
        <v>532</v>
      </c>
      <c r="I139" s="40" t="n">
        <v>1.35223886573009</v>
      </c>
      <c r="J139" s="36" t="n">
        <v>419.483591354472</v>
      </c>
      <c r="K139" s="35"/>
    </row>
    <row r="140" customFormat="false" ht="15" hidden="true" customHeight="false" outlineLevel="1" collapsed="false">
      <c r="F140" s="35" t="s">
        <v>533</v>
      </c>
      <c r="G140" s="35" t="s">
        <v>287</v>
      </c>
      <c r="H140" s="35" t="s">
        <v>534</v>
      </c>
      <c r="I140" s="40" t="n">
        <v>1.28550577451726</v>
      </c>
      <c r="J140" s="36" t="n">
        <v>340.631437291613</v>
      </c>
      <c r="K140" s="35"/>
    </row>
    <row r="141" customFormat="false" ht="15" hidden="false" customHeight="false" outlineLevel="0" collapsed="true">
      <c r="A141" s="43" t="n">
        <v>12</v>
      </c>
      <c r="B141" s="43" t="s">
        <v>24</v>
      </c>
      <c r="C141" s="43" t="s">
        <v>157</v>
      </c>
      <c r="D141" s="43" t="s">
        <v>215</v>
      </c>
      <c r="E141" s="43" t="s">
        <v>66</v>
      </c>
      <c r="F141" s="43" t="str">
        <f aca="false">COUNTIFS(Trechos!$L$2:$L$275,A141)&amp;" vãos"</f>
        <v>2 vãos</v>
      </c>
      <c r="G141" s="43"/>
      <c r="H141" s="43"/>
      <c r="I141" s="44" t="n">
        <f aca="false">SUMIFS(Trechos!$F$2:$F$275,Trechos!$L$2:$L$275,A141)</f>
        <v>57.0373063357704</v>
      </c>
      <c r="J141" s="43"/>
      <c r="K141" s="43"/>
      <c r="L141" s="43" t="s">
        <v>67</v>
      </c>
      <c r="M141" s="43" t="s">
        <v>49</v>
      </c>
      <c r="N141" s="43" t="str">
        <f aca="false">Blocos!AA13</f>
        <v>—</v>
      </c>
    </row>
    <row r="142" customFormat="false" ht="15" hidden="true" customHeight="false" outlineLevel="1" collapsed="false">
      <c r="F142" s="35" t="s">
        <v>535</v>
      </c>
      <c r="G142" s="35" t="s">
        <v>526</v>
      </c>
      <c r="H142" s="35" t="s">
        <v>536</v>
      </c>
      <c r="I142" s="40" t="n">
        <v>37.1635504282544</v>
      </c>
      <c r="J142" s="36" t="n">
        <v>37.1635504282544</v>
      </c>
      <c r="K142" s="35"/>
    </row>
    <row r="143" customFormat="false" ht="15" hidden="true" customHeight="false" outlineLevel="1" collapsed="false">
      <c r="F143" s="35" t="s">
        <v>537</v>
      </c>
      <c r="G143" s="35" t="s">
        <v>536</v>
      </c>
      <c r="H143" s="35" t="s">
        <v>538</v>
      </c>
      <c r="I143" s="40" t="n">
        <v>19.8737559075159</v>
      </c>
      <c r="J143" s="36" t="n">
        <v>57.0373063357704</v>
      </c>
      <c r="K143" s="35"/>
    </row>
    <row r="144" customFormat="false" ht="15" hidden="false" customHeight="false" outlineLevel="0" collapsed="true">
      <c r="A144" s="43" t="n">
        <v>13</v>
      </c>
      <c r="B144" s="43" t="s">
        <v>24</v>
      </c>
      <c r="C144" s="43" t="s">
        <v>157</v>
      </c>
      <c r="D144" s="43" t="s">
        <v>215</v>
      </c>
      <c r="E144" s="43" t="s">
        <v>68</v>
      </c>
      <c r="F144" s="43" t="str">
        <f aca="false">COUNTIFS(Trechos!$L$2:$L$275,A144)&amp;" vãos"</f>
        <v>1 vãos</v>
      </c>
      <c r="G144" s="43"/>
      <c r="H144" s="43"/>
      <c r="I144" s="44" t="n">
        <f aca="false">SUMIFS(Trechos!$F$2:$F$275,Trechos!$L$2:$L$275,A144)</f>
        <v>11.0944529514517</v>
      </c>
      <c r="J144" s="43"/>
      <c r="K144" s="43"/>
      <c r="L144" s="43" t="s">
        <v>69</v>
      </c>
      <c r="M144" s="43" t="s">
        <v>49</v>
      </c>
      <c r="N144" s="43" t="str">
        <f aca="false">Blocos!AA14</f>
        <v>—</v>
      </c>
    </row>
    <row r="145" customFormat="false" ht="15" hidden="true" customHeight="false" outlineLevel="1" collapsed="false">
      <c r="F145" s="35" t="s">
        <v>539</v>
      </c>
      <c r="G145" s="35" t="s">
        <v>532</v>
      </c>
      <c r="H145" s="35" t="s">
        <v>540</v>
      </c>
      <c r="I145" s="40" t="n">
        <v>11.0944529514517</v>
      </c>
      <c r="J145" s="36" t="n">
        <v>11.0944529514517</v>
      </c>
      <c r="K145" s="35"/>
    </row>
    <row r="146" customFormat="false" ht="15" hidden="false" customHeight="false" outlineLevel="0" collapsed="true">
      <c r="A146" s="38" t="n">
        <v>14</v>
      </c>
      <c r="B146" s="38" t="s">
        <v>22</v>
      </c>
      <c r="C146" s="38" t="s">
        <v>157</v>
      </c>
      <c r="D146" s="38" t="s">
        <v>222</v>
      </c>
      <c r="E146" s="38" t="s">
        <v>42</v>
      </c>
      <c r="F146" s="38" t="str">
        <f aca="false">COUNTIFS(Trechos!$L$2:$L$275,A146)&amp;" vãos"</f>
        <v>3 vãos</v>
      </c>
      <c r="G146" s="38"/>
      <c r="H146" s="38"/>
      <c r="I146" s="39" t="n">
        <f aca="false">SUMIFS(Trechos!$F$2:$F$275,Trechos!$L$2:$L$275,A146)</f>
        <v>39.2116238305168</v>
      </c>
      <c r="J146" s="38"/>
      <c r="K146" s="38"/>
      <c r="L146" s="38" t="s">
        <v>72</v>
      </c>
      <c r="M146" s="38" t="s">
        <v>49</v>
      </c>
      <c r="N146" s="38" t="str">
        <f aca="false">Blocos!AA15</f>
        <v>0300050007</v>
      </c>
    </row>
    <row r="147" customFormat="false" ht="15" hidden="true" customHeight="false" outlineLevel="1" collapsed="false">
      <c r="F147" s="35" t="s">
        <v>541</v>
      </c>
      <c r="G147" s="35" t="s">
        <v>289</v>
      </c>
      <c r="H147" s="35" t="s">
        <v>542</v>
      </c>
      <c r="I147" s="40" t="n">
        <v>23.7870979766248</v>
      </c>
      <c r="J147" s="36" t="n">
        <v>533.548195822377</v>
      </c>
      <c r="K147" s="35"/>
    </row>
    <row r="148" customFormat="false" ht="15" hidden="true" customHeight="false" outlineLevel="1" collapsed="false">
      <c r="F148" s="35" t="s">
        <v>543</v>
      </c>
      <c r="G148" s="35" t="s">
        <v>289</v>
      </c>
      <c r="H148" s="35" t="s">
        <v>544</v>
      </c>
      <c r="I148" s="40" t="n">
        <v>11.534242143436</v>
      </c>
      <c r="J148" s="36" t="n">
        <v>521.295339989188</v>
      </c>
      <c r="K148" s="35"/>
    </row>
    <row r="149" customFormat="false" ht="15" hidden="true" customHeight="false" outlineLevel="1" collapsed="false">
      <c r="F149" s="35" t="s">
        <v>545</v>
      </c>
      <c r="G149" s="35" t="s">
        <v>544</v>
      </c>
      <c r="H149" s="35" t="s">
        <v>546</v>
      </c>
      <c r="I149" s="40" t="n">
        <v>3.89028371045604</v>
      </c>
      <c r="J149" s="36" t="n">
        <v>525.185623699644</v>
      </c>
      <c r="K149" s="35"/>
    </row>
    <row r="150" customFormat="false" ht="15" hidden="false" customHeight="false" outlineLevel="0" collapsed="true">
      <c r="A150" s="43" t="n">
        <v>15</v>
      </c>
      <c r="B150" s="43" t="s">
        <v>24</v>
      </c>
      <c r="C150" s="43" t="s">
        <v>157</v>
      </c>
      <c r="D150" s="43" t="s">
        <v>222</v>
      </c>
      <c r="E150" s="43" t="s">
        <v>73</v>
      </c>
      <c r="F150" s="43" t="str">
        <f aca="false">COUNTIFS(Trechos!$L$2:$L$275,A150)&amp;" vãos"</f>
        <v>3 vãos</v>
      </c>
      <c r="G150" s="43"/>
      <c r="H150" s="43"/>
      <c r="I150" s="44" t="n">
        <f aca="false">SUMIFS(Trechos!$F$2:$F$275,Trechos!$L$2:$L$275,A150)</f>
        <v>380.996486827352</v>
      </c>
      <c r="J150" s="43"/>
      <c r="K150" s="43"/>
      <c r="L150" s="43" t="s">
        <v>74</v>
      </c>
      <c r="M150" s="43" t="s">
        <v>49</v>
      </c>
      <c r="N150" s="43" t="str">
        <f aca="false">Blocos!AA16</f>
        <v>—</v>
      </c>
    </row>
    <row r="151" customFormat="false" ht="15" hidden="true" customHeight="false" outlineLevel="1" collapsed="false">
      <c r="F151" s="35" t="s">
        <v>547</v>
      </c>
      <c r="G151" s="35" t="s">
        <v>546</v>
      </c>
      <c r="H151" s="35" t="s">
        <v>548</v>
      </c>
      <c r="I151" s="40" t="n">
        <v>133.068654202209</v>
      </c>
      <c r="J151" s="36" t="n">
        <v>133.068654202209</v>
      </c>
      <c r="K151" s="35"/>
    </row>
    <row r="152" customFormat="false" ht="15" hidden="true" customHeight="false" outlineLevel="1" collapsed="false">
      <c r="F152" s="35" t="s">
        <v>549</v>
      </c>
      <c r="G152" s="35" t="s">
        <v>548</v>
      </c>
      <c r="H152" s="35" t="s">
        <v>550</v>
      </c>
      <c r="I152" s="40" t="n">
        <v>201.84839698313</v>
      </c>
      <c r="J152" s="36" t="n">
        <v>334.917051185339</v>
      </c>
      <c r="K152" s="35"/>
    </row>
    <row r="153" customFormat="false" ht="15" hidden="true" customHeight="false" outlineLevel="1" collapsed="false">
      <c r="F153" s="35" t="s">
        <v>551</v>
      </c>
      <c r="G153" s="35" t="s">
        <v>550</v>
      </c>
      <c r="H153" s="35" t="s">
        <v>552</v>
      </c>
      <c r="I153" s="40" t="n">
        <v>46.0794356420134</v>
      </c>
      <c r="J153" s="36" t="n">
        <v>380.996486827352</v>
      </c>
      <c r="K153" s="35"/>
    </row>
    <row r="154" customFormat="false" ht="15" hidden="false" customHeight="false" outlineLevel="0" collapsed="true">
      <c r="A154" s="38" t="n">
        <v>16</v>
      </c>
      <c r="B154" s="38" t="s">
        <v>22</v>
      </c>
      <c r="C154" s="38" t="s">
        <v>157</v>
      </c>
      <c r="D154" s="38" t="s">
        <v>224</v>
      </c>
      <c r="E154" s="38" t="s">
        <v>42</v>
      </c>
      <c r="F154" s="38" t="str">
        <f aca="false">COUNTIFS(Trechos!$L$2:$L$275,A154)&amp;" vãos"</f>
        <v>2 vãos</v>
      </c>
      <c r="G154" s="38"/>
      <c r="H154" s="38"/>
      <c r="I154" s="39" t="n">
        <f aca="false">SUMIFS(Trechos!$F$2:$F$275,Trechos!$L$2:$L$275,A154)</f>
        <v>27.0246428584506</v>
      </c>
      <c r="J154" s="38"/>
      <c r="K154" s="38"/>
      <c r="L154" s="38" t="s">
        <v>77</v>
      </c>
      <c r="M154" s="38" t="s">
        <v>49</v>
      </c>
      <c r="N154" s="38" t="str">
        <f aca="false">Blocos!AA17</f>
        <v>—</v>
      </c>
    </row>
    <row r="155" customFormat="false" ht="15" hidden="true" customHeight="false" outlineLevel="1" collapsed="false">
      <c r="F155" s="35" t="s">
        <v>553</v>
      </c>
      <c r="G155" s="35" t="s">
        <v>293</v>
      </c>
      <c r="H155" s="35" t="s">
        <v>554</v>
      </c>
      <c r="I155" s="40" t="n">
        <v>20.5513976176177</v>
      </c>
      <c r="J155" s="36" t="n">
        <v>883.293939686907</v>
      </c>
      <c r="K155" s="35"/>
    </row>
    <row r="156" customFormat="false" ht="15" hidden="true" customHeight="false" outlineLevel="1" collapsed="false">
      <c r="F156" s="35" t="s">
        <v>555</v>
      </c>
      <c r="G156" s="35" t="s">
        <v>293</v>
      </c>
      <c r="H156" s="35" t="s">
        <v>556</v>
      </c>
      <c r="I156" s="40" t="n">
        <v>6.47324524083288</v>
      </c>
      <c r="J156" s="36" t="n">
        <v>869.215787310122</v>
      </c>
      <c r="K156" s="35"/>
    </row>
    <row r="157" customFormat="false" ht="15" hidden="false" customHeight="false" outlineLevel="0" collapsed="true">
      <c r="A157" s="38" t="n">
        <v>17</v>
      </c>
      <c r="B157" s="38" t="s">
        <v>22</v>
      </c>
      <c r="C157" s="38" t="s">
        <v>157</v>
      </c>
      <c r="D157" s="38" t="s">
        <v>227</v>
      </c>
      <c r="E157" s="38" t="s">
        <v>42</v>
      </c>
      <c r="F157" s="38" t="str">
        <f aca="false">COUNTIFS(Trechos!$L$2:$L$275,A157)&amp;" vãos"</f>
        <v>1 vãos</v>
      </c>
      <c r="G157" s="38"/>
      <c r="H157" s="38"/>
      <c r="I157" s="39" t="n">
        <f aca="false">SUMIFS(Trechos!$F$2:$F$275,Trechos!$L$2:$L$275,A157)</f>
        <v>2.87610339940285</v>
      </c>
      <c r="J157" s="38"/>
      <c r="K157" s="38"/>
      <c r="L157" s="38" t="s">
        <v>80</v>
      </c>
      <c r="M157" s="38" t="s">
        <v>49</v>
      </c>
      <c r="N157" s="38" t="str">
        <f aca="false">Blocos!AA18</f>
        <v>0200055007</v>
      </c>
    </row>
    <row r="158" customFormat="false" ht="15" hidden="true" customHeight="false" outlineLevel="1" collapsed="false">
      <c r="F158" s="35" t="s">
        <v>557</v>
      </c>
      <c r="G158" s="35" t="s">
        <v>300</v>
      </c>
      <c r="H158" s="35" t="s">
        <v>558</v>
      </c>
      <c r="I158" s="40" t="n">
        <v>2.87610339940285</v>
      </c>
      <c r="J158" s="36" t="n">
        <v>1055.81591107082</v>
      </c>
      <c r="K158" s="35"/>
    </row>
    <row r="159" customFormat="false" ht="15" hidden="false" customHeight="false" outlineLevel="0" collapsed="true">
      <c r="A159" s="43" t="n">
        <v>18</v>
      </c>
      <c r="B159" s="43" t="s">
        <v>24</v>
      </c>
      <c r="C159" s="43" t="s">
        <v>157</v>
      </c>
      <c r="D159" s="43" t="s">
        <v>227</v>
      </c>
      <c r="E159" s="43" t="s">
        <v>80</v>
      </c>
      <c r="F159" s="43" t="str">
        <f aca="false">COUNTIFS(Trechos!$L$2:$L$275,A159)&amp;" vãos"</f>
        <v>2 vãos</v>
      </c>
      <c r="G159" s="43"/>
      <c r="H159" s="43"/>
      <c r="I159" s="44" t="n">
        <f aca="false">SUMIFS(Trechos!$F$2:$F$275,Trechos!$L$2:$L$275,A159)</f>
        <v>41.257040528592</v>
      </c>
      <c r="J159" s="43"/>
      <c r="K159" s="43"/>
      <c r="L159" s="43" t="s">
        <v>81</v>
      </c>
      <c r="M159" s="43" t="s">
        <v>49</v>
      </c>
      <c r="N159" s="43" t="str">
        <f aca="false">Blocos!AA19</f>
        <v>—</v>
      </c>
    </row>
    <row r="160" customFormat="false" ht="15" hidden="true" customHeight="false" outlineLevel="1" collapsed="false">
      <c r="F160" s="35" t="s">
        <v>559</v>
      </c>
      <c r="G160" s="35" t="s">
        <v>558</v>
      </c>
      <c r="H160" s="35" t="s">
        <v>560</v>
      </c>
      <c r="I160" s="40" t="n">
        <v>25.2099479979487</v>
      </c>
      <c r="J160" s="36" t="n">
        <v>25.2099479979486</v>
      </c>
      <c r="K160" s="35"/>
    </row>
    <row r="161" customFormat="false" ht="15" hidden="true" customHeight="false" outlineLevel="1" collapsed="false">
      <c r="F161" s="35" t="s">
        <v>561</v>
      </c>
      <c r="G161" s="35" t="s">
        <v>560</v>
      </c>
      <c r="H161" s="35" t="s">
        <v>562</v>
      </c>
      <c r="I161" s="40" t="n">
        <v>16.0470925306433</v>
      </c>
      <c r="J161" s="36" t="n">
        <v>41.2570405285919</v>
      </c>
      <c r="K161" s="35"/>
    </row>
    <row r="162" customFormat="false" ht="15" hidden="false" customHeight="false" outlineLevel="0" collapsed="true">
      <c r="A162" s="38" t="n">
        <v>19</v>
      </c>
      <c r="B162" s="38" t="s">
        <v>22</v>
      </c>
      <c r="C162" s="38" t="s">
        <v>157</v>
      </c>
      <c r="D162" s="38" t="s">
        <v>228</v>
      </c>
      <c r="E162" s="38" t="s">
        <v>42</v>
      </c>
      <c r="F162" s="38" t="str">
        <f aca="false">COUNTIFS(Trechos!$L$2:$L$275,A162)&amp;" vãos"</f>
        <v>4 vãos</v>
      </c>
      <c r="G162" s="38"/>
      <c r="H162" s="38"/>
      <c r="I162" s="39" t="n">
        <f aca="false">SUMIFS(Trechos!$F$2:$F$275,Trechos!$L$2:$L$275,A162)</f>
        <v>24.8091689458992</v>
      </c>
      <c r="J162" s="38"/>
      <c r="K162" s="38"/>
      <c r="L162" s="38" t="s">
        <v>84</v>
      </c>
      <c r="M162" s="38" t="s">
        <v>49</v>
      </c>
      <c r="N162" s="38" t="str">
        <f aca="false">Blocos!AA20</f>
        <v>0300057007, 0357094007, 0300056007</v>
      </c>
    </row>
    <row r="163" customFormat="false" ht="15" hidden="true" customHeight="false" outlineLevel="1" collapsed="false">
      <c r="F163" s="35" t="s">
        <v>563</v>
      </c>
      <c r="G163" s="35" t="s">
        <v>302</v>
      </c>
      <c r="H163" s="35" t="s">
        <v>564</v>
      </c>
      <c r="I163" s="40" t="n">
        <v>8.6120637642433</v>
      </c>
      <c r="J163" s="36" t="n">
        <v>1091.0175959885</v>
      </c>
      <c r="K163" s="35"/>
    </row>
    <row r="164" customFormat="false" ht="15" hidden="true" customHeight="false" outlineLevel="1" collapsed="false">
      <c r="F164" s="35" t="s">
        <v>565</v>
      </c>
      <c r="G164" s="35" t="s">
        <v>564</v>
      </c>
      <c r="H164" s="35" t="s">
        <v>566</v>
      </c>
      <c r="I164" s="40" t="n">
        <v>3.19640502904944</v>
      </c>
      <c r="J164" s="36" t="n">
        <v>1094.21400101755</v>
      </c>
      <c r="K164" s="35"/>
    </row>
    <row r="165" customFormat="false" ht="15" hidden="true" customHeight="false" outlineLevel="1" collapsed="false">
      <c r="F165" s="35" t="s">
        <v>567</v>
      </c>
      <c r="G165" s="35" t="s">
        <v>302</v>
      </c>
      <c r="H165" s="35" t="s">
        <v>568</v>
      </c>
      <c r="I165" s="40" t="n">
        <v>10.1168138612299</v>
      </c>
      <c r="J165" s="36" t="n">
        <v>1092.52234608549</v>
      </c>
      <c r="K165" s="35"/>
    </row>
    <row r="166" customFormat="false" ht="15" hidden="true" customHeight="false" outlineLevel="1" collapsed="false">
      <c r="F166" s="35" t="s">
        <v>569</v>
      </c>
      <c r="G166" s="35" t="s">
        <v>568</v>
      </c>
      <c r="H166" s="35" t="s">
        <v>570</v>
      </c>
      <c r="I166" s="40" t="n">
        <v>2.8838862913766</v>
      </c>
      <c r="J166" s="36" t="n">
        <v>1095.40623237686</v>
      </c>
      <c r="K166" s="35"/>
    </row>
    <row r="167" customFormat="false" ht="15" hidden="false" customHeight="false" outlineLevel="0" collapsed="true">
      <c r="A167" s="43" t="n">
        <v>20</v>
      </c>
      <c r="B167" s="43" t="s">
        <v>24</v>
      </c>
      <c r="C167" s="43" t="s">
        <v>157</v>
      </c>
      <c r="D167" s="43" t="s">
        <v>228</v>
      </c>
      <c r="E167" s="43" t="s">
        <v>85</v>
      </c>
      <c r="F167" s="43" t="str">
        <f aca="false">COUNTIFS(Trechos!$L$2:$L$275,A167)&amp;" vãos"</f>
        <v>4 vãos</v>
      </c>
      <c r="G167" s="43"/>
      <c r="H167" s="43"/>
      <c r="I167" s="44" t="n">
        <f aca="false">SUMIFS(Trechos!$F$2:$F$275,Trechos!$L$2:$L$275,A167)</f>
        <v>188.298210279016</v>
      </c>
      <c r="J167" s="43"/>
      <c r="K167" s="43"/>
      <c r="L167" s="43" t="s">
        <v>86</v>
      </c>
      <c r="M167" s="43" t="s">
        <v>49</v>
      </c>
      <c r="N167" s="43" t="str">
        <f aca="false">Blocos!AA21</f>
        <v>0357094007</v>
      </c>
    </row>
    <row r="168" customFormat="false" ht="15" hidden="true" customHeight="false" outlineLevel="1" collapsed="false">
      <c r="F168" s="35" t="s">
        <v>571</v>
      </c>
      <c r="G168" s="35" t="s">
        <v>566</v>
      </c>
      <c r="H168" s="35" t="s">
        <v>572</v>
      </c>
      <c r="I168" s="40" t="n">
        <v>147.33230923751</v>
      </c>
      <c r="J168" s="36" t="n">
        <v>147.33230923751</v>
      </c>
      <c r="K168" s="35"/>
    </row>
    <row r="169" customFormat="false" ht="15" hidden="true" customHeight="false" outlineLevel="1" collapsed="false">
      <c r="F169" s="35" t="s">
        <v>573</v>
      </c>
      <c r="G169" s="35" t="s">
        <v>572</v>
      </c>
      <c r="H169" s="35" t="s">
        <v>574</v>
      </c>
      <c r="I169" s="40" t="n">
        <v>28.5884212271135</v>
      </c>
      <c r="J169" s="36" t="n">
        <v>175.920730464623</v>
      </c>
      <c r="K169" s="35"/>
    </row>
    <row r="170" customFormat="false" ht="15" hidden="true" customHeight="false" outlineLevel="1" collapsed="false">
      <c r="F170" s="35" t="s">
        <v>575</v>
      </c>
      <c r="G170" s="35" t="s">
        <v>574</v>
      </c>
      <c r="H170" s="35" t="s">
        <v>576</v>
      </c>
      <c r="I170" s="40" t="n">
        <v>12.1550899611083</v>
      </c>
      <c r="J170" s="36" t="n">
        <v>188.075820425732</v>
      </c>
      <c r="K170" s="35"/>
    </row>
    <row r="171" customFormat="false" ht="15" hidden="true" customHeight="false" outlineLevel="1" collapsed="false">
      <c r="F171" s="35" t="s">
        <v>577</v>
      </c>
      <c r="G171" s="35" t="s">
        <v>574</v>
      </c>
      <c r="H171" s="35" t="s">
        <v>578</v>
      </c>
      <c r="I171" s="40" t="n">
        <v>0.222389853284294</v>
      </c>
      <c r="J171" s="36" t="n">
        <v>176.143120317908</v>
      </c>
      <c r="K171" s="35"/>
    </row>
    <row r="172" customFormat="false" ht="15" hidden="false" customHeight="false" outlineLevel="0" collapsed="true">
      <c r="A172" s="45" t="n">
        <v>21</v>
      </c>
      <c r="B172" s="45" t="s">
        <v>25</v>
      </c>
      <c r="C172" s="45" t="s">
        <v>157</v>
      </c>
      <c r="D172" s="45" t="s">
        <v>228</v>
      </c>
      <c r="E172" s="45" t="s">
        <v>87</v>
      </c>
      <c r="F172" s="45" t="str">
        <f aca="false">COUNTIFS(Trechos!$L$2:$L$275,A172)&amp;" vãos"</f>
        <v>1 vãos</v>
      </c>
      <c r="G172" s="45"/>
      <c r="H172" s="45"/>
      <c r="I172" s="46" t="n">
        <f aca="false">SUMIFS(Trechos!$F$2:$F$275,Trechos!$L$2:$L$275,A172)</f>
        <v>2.35262168509654</v>
      </c>
      <c r="J172" s="45"/>
      <c r="K172" s="45"/>
      <c r="L172" s="45" t="s">
        <v>88</v>
      </c>
      <c r="M172" s="45" t="s">
        <v>49</v>
      </c>
      <c r="N172" s="45" t="str">
        <f aca="false">Blocos!AA22</f>
        <v>—</v>
      </c>
    </row>
    <row r="173" customFormat="false" ht="15" hidden="true" customHeight="false" outlineLevel="1" collapsed="false">
      <c r="F173" s="35" t="s">
        <v>579</v>
      </c>
      <c r="G173" s="35" t="s">
        <v>578</v>
      </c>
      <c r="H173" s="35" t="s">
        <v>580</v>
      </c>
      <c r="I173" s="40" t="n">
        <v>2.35262168509654</v>
      </c>
      <c r="J173" s="36" t="n">
        <v>2.35262168509644</v>
      </c>
      <c r="K173" s="35"/>
    </row>
    <row r="174" customFormat="false" ht="15" hidden="false" customHeight="false" outlineLevel="0" collapsed="true">
      <c r="A174" s="43" t="n">
        <v>22</v>
      </c>
      <c r="B174" s="43" t="s">
        <v>24</v>
      </c>
      <c r="C174" s="43" t="s">
        <v>157</v>
      </c>
      <c r="D174" s="43" t="s">
        <v>228</v>
      </c>
      <c r="E174" s="43" t="s">
        <v>89</v>
      </c>
      <c r="F174" s="43" t="str">
        <f aca="false">COUNTIFS(Trechos!$L$2:$L$275,A174)&amp;" vãos"</f>
        <v>1 vãos</v>
      </c>
      <c r="G174" s="43"/>
      <c r="H174" s="43"/>
      <c r="I174" s="44" t="n">
        <f aca="false">SUMIFS(Trechos!$F$2:$F$275,Trechos!$L$2:$L$275,A174)</f>
        <v>25.7703165866184</v>
      </c>
      <c r="J174" s="43"/>
      <c r="K174" s="43"/>
      <c r="L174" s="43" t="s">
        <v>90</v>
      </c>
      <c r="M174" s="43" t="s">
        <v>49</v>
      </c>
      <c r="N174" s="43" t="str">
        <f aca="false">Blocos!AA23</f>
        <v>—</v>
      </c>
    </row>
    <row r="175" customFormat="false" ht="15" hidden="true" customHeight="false" outlineLevel="1" collapsed="false">
      <c r="F175" s="35" t="s">
        <v>581</v>
      </c>
      <c r="G175" s="35" t="s">
        <v>570</v>
      </c>
      <c r="H175" s="35" t="s">
        <v>582</v>
      </c>
      <c r="I175" s="40" t="n">
        <v>25.7703165866184</v>
      </c>
      <c r="J175" s="36" t="n">
        <v>25.7703165866185</v>
      </c>
      <c r="K175" s="35"/>
    </row>
    <row r="176" customFormat="false" ht="15" hidden="false" customHeight="false" outlineLevel="0" collapsed="true">
      <c r="A176" s="38" t="n">
        <v>23</v>
      </c>
      <c r="B176" s="38" t="s">
        <v>22</v>
      </c>
      <c r="C176" s="38" t="s">
        <v>157</v>
      </c>
      <c r="D176" s="38" t="s">
        <v>230</v>
      </c>
      <c r="E176" s="38" t="s">
        <v>42</v>
      </c>
      <c r="F176" s="38" t="str">
        <f aca="false">COUNTIFS(Trechos!$L$2:$L$275,A176)&amp;" vãos"</f>
        <v>1 vãos</v>
      </c>
      <c r="G176" s="38"/>
      <c r="H176" s="38"/>
      <c r="I176" s="39" t="n">
        <f aca="false">SUMIFS(Trechos!$F$2:$F$275,Trechos!$L$2:$L$275,A176)</f>
        <v>1.91634481160728</v>
      </c>
      <c r="J176" s="38"/>
      <c r="K176" s="38"/>
      <c r="L176" s="38" t="s">
        <v>93</v>
      </c>
      <c r="M176" s="38" t="s">
        <v>49</v>
      </c>
      <c r="N176" s="38" t="str">
        <f aca="false">Blocos!AA24</f>
        <v>0200061007</v>
      </c>
    </row>
    <row r="177" customFormat="false" ht="15" hidden="true" customHeight="false" outlineLevel="1" collapsed="false">
      <c r="F177" s="35" t="s">
        <v>583</v>
      </c>
      <c r="G177" s="35" t="s">
        <v>304</v>
      </c>
      <c r="H177" s="35" t="s">
        <v>584</v>
      </c>
      <c r="I177" s="40" t="n">
        <v>1.91634481160728</v>
      </c>
      <c r="J177" s="36" t="n">
        <v>1238.24213618607</v>
      </c>
      <c r="K177" s="35"/>
    </row>
    <row r="178" customFormat="false" ht="15" hidden="false" customHeight="false" outlineLevel="0" collapsed="true">
      <c r="A178" s="43" t="n">
        <v>24</v>
      </c>
      <c r="B178" s="43" t="s">
        <v>24</v>
      </c>
      <c r="C178" s="43" t="s">
        <v>157</v>
      </c>
      <c r="D178" s="43" t="s">
        <v>230</v>
      </c>
      <c r="E178" s="43" t="s">
        <v>93</v>
      </c>
      <c r="F178" s="43" t="str">
        <f aca="false">COUNTIFS(Trechos!$L$2:$L$275,A178)&amp;" vãos"</f>
        <v>2 vãos</v>
      </c>
      <c r="G178" s="43"/>
      <c r="H178" s="43"/>
      <c r="I178" s="44" t="n">
        <f aca="false">SUMIFS(Trechos!$F$2:$F$275,Trechos!$L$2:$L$275,A178)</f>
        <v>31.66240387166</v>
      </c>
      <c r="J178" s="43"/>
      <c r="K178" s="43"/>
      <c r="L178" s="43" t="s">
        <v>94</v>
      </c>
      <c r="M178" s="43" t="s">
        <v>49</v>
      </c>
      <c r="N178" s="43" t="str">
        <f aca="false">Blocos!AA25</f>
        <v>—</v>
      </c>
    </row>
    <row r="179" customFormat="false" ht="15" hidden="true" customHeight="false" outlineLevel="1" collapsed="false">
      <c r="F179" s="35" t="s">
        <v>585</v>
      </c>
      <c r="G179" s="35" t="s">
        <v>584</v>
      </c>
      <c r="H179" s="35" t="s">
        <v>586</v>
      </c>
      <c r="I179" s="40" t="n">
        <v>16.0781143564431</v>
      </c>
      <c r="J179" s="36" t="n">
        <v>16.0781143564432</v>
      </c>
      <c r="K179" s="35"/>
    </row>
    <row r="180" customFormat="false" ht="15" hidden="true" customHeight="false" outlineLevel="1" collapsed="false">
      <c r="F180" s="35" t="s">
        <v>587</v>
      </c>
      <c r="G180" s="35" t="s">
        <v>586</v>
      </c>
      <c r="H180" s="35" t="s">
        <v>588</v>
      </c>
      <c r="I180" s="40" t="n">
        <v>15.5842895152168</v>
      </c>
      <c r="J180" s="36" t="n">
        <v>31.66240387166</v>
      </c>
      <c r="K180" s="35"/>
    </row>
    <row r="181" customFormat="false" ht="15" hidden="false" customHeight="false" outlineLevel="0" collapsed="true">
      <c r="A181" s="38" t="n">
        <v>25</v>
      </c>
      <c r="B181" s="38" t="s">
        <v>22</v>
      </c>
      <c r="C181" s="38" t="s">
        <v>157</v>
      </c>
      <c r="D181" s="38" t="s">
        <v>231</v>
      </c>
      <c r="E181" s="38" t="s">
        <v>42</v>
      </c>
      <c r="F181" s="38" t="str">
        <f aca="false">COUNTIFS(Trechos!$L$2:$L$275,A181)&amp;" vãos"</f>
        <v>1 vãos</v>
      </c>
      <c r="G181" s="38"/>
      <c r="H181" s="38"/>
      <c r="I181" s="39" t="n">
        <f aca="false">SUMIFS(Trechos!$F$2:$F$275,Trechos!$L$2:$L$275,A181)</f>
        <v>0.3289439437299</v>
      </c>
      <c r="J181" s="38"/>
      <c r="K181" s="38"/>
      <c r="L181" s="38" t="s">
        <v>97</v>
      </c>
      <c r="M181" s="38" t="s">
        <v>49</v>
      </c>
      <c r="N181" s="38" t="str">
        <f aca="false">Blocos!AA26</f>
        <v>0300062007</v>
      </c>
    </row>
    <row r="182" customFormat="false" ht="15" hidden="true" customHeight="false" outlineLevel="1" collapsed="false">
      <c r="F182" s="35" t="s">
        <v>589</v>
      </c>
      <c r="G182" s="35" t="s">
        <v>306</v>
      </c>
      <c r="H182" s="35" t="s">
        <v>590</v>
      </c>
      <c r="I182" s="40" t="n">
        <v>0.3289439437299</v>
      </c>
      <c r="J182" s="36" t="n">
        <v>1270.9229584853</v>
      </c>
      <c r="K182" s="35"/>
    </row>
    <row r="183" customFormat="false" ht="15" hidden="false" customHeight="false" outlineLevel="0" collapsed="true">
      <c r="A183" s="43" t="n">
        <v>26</v>
      </c>
      <c r="B183" s="43" t="s">
        <v>24</v>
      </c>
      <c r="C183" s="43" t="s">
        <v>157</v>
      </c>
      <c r="D183" s="43" t="s">
        <v>231</v>
      </c>
      <c r="E183" s="43" t="s">
        <v>97</v>
      </c>
      <c r="F183" s="43" t="str">
        <f aca="false">COUNTIFS(Trechos!$L$2:$L$275,A183)&amp;" vãos"</f>
        <v>4 vãos</v>
      </c>
      <c r="G183" s="43"/>
      <c r="H183" s="43"/>
      <c r="I183" s="44" t="n">
        <f aca="false">SUMIFS(Trechos!$F$2:$F$275,Trechos!$L$2:$L$275,A183)</f>
        <v>10.2712756964159</v>
      </c>
      <c r="J183" s="43"/>
      <c r="K183" s="43"/>
      <c r="L183" s="43" t="s">
        <v>98</v>
      </c>
      <c r="M183" s="43" t="s">
        <v>49</v>
      </c>
      <c r="N183" s="43" t="str">
        <f aca="false">Blocos!AA27</f>
        <v>—</v>
      </c>
    </row>
    <row r="184" customFormat="false" ht="15" hidden="true" customHeight="false" outlineLevel="1" collapsed="false">
      <c r="F184" s="35" t="s">
        <v>591</v>
      </c>
      <c r="G184" s="35" t="s">
        <v>590</v>
      </c>
      <c r="H184" s="35" t="s">
        <v>592</v>
      </c>
      <c r="I184" s="40" t="n">
        <v>2.99372053848975</v>
      </c>
      <c r="J184" s="36" t="n">
        <v>2.9937205384897</v>
      </c>
      <c r="K184" s="35"/>
    </row>
    <row r="185" customFormat="false" ht="15" hidden="true" customHeight="false" outlineLevel="1" collapsed="false">
      <c r="F185" s="35" t="s">
        <v>593</v>
      </c>
      <c r="G185" s="35" t="s">
        <v>592</v>
      </c>
      <c r="H185" s="35" t="s">
        <v>594</v>
      </c>
      <c r="I185" s="40" t="n">
        <v>3.58516639178689</v>
      </c>
      <c r="J185" s="36" t="n">
        <v>6.57888693027667</v>
      </c>
      <c r="K185" s="35"/>
    </row>
    <row r="186" customFormat="false" ht="15" hidden="true" customHeight="false" outlineLevel="1" collapsed="false">
      <c r="F186" s="35" t="s">
        <v>595</v>
      </c>
      <c r="G186" s="35" t="s">
        <v>594</v>
      </c>
      <c r="H186" s="35" t="s">
        <v>596</v>
      </c>
      <c r="I186" s="40" t="n">
        <v>1.69086371113608</v>
      </c>
      <c r="J186" s="36" t="n">
        <v>8.26975064141266</v>
      </c>
      <c r="K186" s="35"/>
    </row>
    <row r="187" customFormat="false" ht="15" hidden="true" customHeight="false" outlineLevel="1" collapsed="false">
      <c r="F187" s="35" t="s">
        <v>597</v>
      </c>
      <c r="G187" s="35" t="s">
        <v>592</v>
      </c>
      <c r="H187" s="35" t="s">
        <v>598</v>
      </c>
      <c r="I187" s="40" t="n">
        <v>2.00152505500315</v>
      </c>
      <c r="J187" s="36" t="n">
        <v>4.99524559349288</v>
      </c>
      <c r="K187" s="35"/>
    </row>
    <row r="188" customFormat="false" ht="15" hidden="false" customHeight="false" outlineLevel="0" collapsed="true">
      <c r="A188" s="38" t="n">
        <v>27</v>
      </c>
      <c r="B188" s="38" t="s">
        <v>22</v>
      </c>
      <c r="C188" s="38" t="s">
        <v>157</v>
      </c>
      <c r="D188" s="38" t="s">
        <v>234</v>
      </c>
      <c r="E188" s="38" t="s">
        <v>42</v>
      </c>
      <c r="F188" s="38" t="str">
        <f aca="false">COUNTIFS(Trechos!$L$2:$L$275,A188)&amp;" vãos"</f>
        <v>4 vãos</v>
      </c>
      <c r="G188" s="38"/>
      <c r="H188" s="38"/>
      <c r="I188" s="39" t="n">
        <f aca="false">SUMIFS(Trechos!$F$2:$F$275,Trechos!$L$2:$L$275,A188)</f>
        <v>174.127818277171</v>
      </c>
      <c r="J188" s="38"/>
      <c r="K188" s="38"/>
      <c r="L188" s="38" t="s">
        <v>101</v>
      </c>
      <c r="M188" s="38" t="s">
        <v>49</v>
      </c>
      <c r="N188" s="38" t="str">
        <f aca="false">Blocos!AA28</f>
        <v>0300065007</v>
      </c>
    </row>
    <row r="189" customFormat="false" ht="15" hidden="true" customHeight="false" outlineLevel="1" collapsed="false">
      <c r="F189" s="35" t="s">
        <v>599</v>
      </c>
      <c r="G189" s="35" t="s">
        <v>308</v>
      </c>
      <c r="H189" s="35" t="s">
        <v>600</v>
      </c>
      <c r="I189" s="40" t="n">
        <v>14.8251857792474</v>
      </c>
      <c r="J189" s="36" t="n">
        <v>1305.61213542795</v>
      </c>
      <c r="K189" s="35"/>
    </row>
    <row r="190" customFormat="false" ht="15" hidden="true" customHeight="false" outlineLevel="1" collapsed="false">
      <c r="F190" s="35" t="s">
        <v>601</v>
      </c>
      <c r="G190" s="35" t="s">
        <v>600</v>
      </c>
      <c r="H190" s="35" t="s">
        <v>602</v>
      </c>
      <c r="I190" s="40" t="n">
        <v>3.40759980415001</v>
      </c>
      <c r="J190" s="36" t="n">
        <v>1309.0197352321</v>
      </c>
      <c r="K190" s="35"/>
    </row>
    <row r="191" customFormat="false" ht="15" hidden="true" customHeight="false" outlineLevel="1" collapsed="false">
      <c r="F191" s="35" t="s">
        <v>603</v>
      </c>
      <c r="G191" s="35" t="s">
        <v>308</v>
      </c>
      <c r="H191" s="35" t="s">
        <v>604</v>
      </c>
      <c r="I191" s="40" t="n">
        <v>16.6972426982726</v>
      </c>
      <c r="J191" s="36" t="n">
        <v>1307.48419234697</v>
      </c>
      <c r="K191" s="35"/>
    </row>
    <row r="192" customFormat="false" ht="15" hidden="true" customHeight="false" outlineLevel="1" collapsed="false">
      <c r="F192" s="35" t="s">
        <v>605</v>
      </c>
      <c r="G192" s="35" t="s">
        <v>604</v>
      </c>
      <c r="H192" s="35" t="s">
        <v>606</v>
      </c>
      <c r="I192" s="40" t="n">
        <v>139.197789995501</v>
      </c>
      <c r="J192" s="36" t="n">
        <v>1446.68198234247</v>
      </c>
      <c r="K192" s="35"/>
    </row>
    <row r="193" customFormat="false" ht="15" hidden="false" customHeight="false" outlineLevel="0" collapsed="true">
      <c r="A193" s="43" t="n">
        <v>28</v>
      </c>
      <c r="B193" s="43" t="s">
        <v>24</v>
      </c>
      <c r="C193" s="43" t="s">
        <v>157</v>
      </c>
      <c r="D193" s="43" t="s">
        <v>234</v>
      </c>
      <c r="E193" s="43" t="s">
        <v>102</v>
      </c>
      <c r="F193" s="43" t="str">
        <f aca="false">COUNTIFS(Trechos!$L$2:$L$275,A193)&amp;" vãos"</f>
        <v>1 vãos</v>
      </c>
      <c r="G193" s="43"/>
      <c r="H193" s="43"/>
      <c r="I193" s="44" t="n">
        <f aca="false">SUMIFS(Trechos!$F$2:$F$275,Trechos!$L$2:$L$275,A193)</f>
        <v>102.761217127749</v>
      </c>
      <c r="J193" s="43"/>
      <c r="K193" s="43"/>
      <c r="L193" s="43" t="s">
        <v>103</v>
      </c>
      <c r="M193" s="43" t="s">
        <v>49</v>
      </c>
      <c r="N193" s="43" t="str">
        <f aca="false">Blocos!AA29</f>
        <v>—</v>
      </c>
    </row>
    <row r="194" customFormat="false" ht="15" hidden="true" customHeight="false" outlineLevel="1" collapsed="false">
      <c r="F194" s="35" t="s">
        <v>607</v>
      </c>
      <c r="G194" s="35" t="s">
        <v>602</v>
      </c>
      <c r="H194" s="35" t="s">
        <v>608</v>
      </c>
      <c r="I194" s="40" t="n">
        <v>102.761217127749</v>
      </c>
      <c r="J194" s="36" t="n">
        <v>102.761217127749</v>
      </c>
      <c r="K194" s="35"/>
    </row>
    <row r="195" customFormat="false" ht="15" hidden="false" customHeight="false" outlineLevel="0" collapsed="true">
      <c r="A195" s="38" t="n">
        <v>29</v>
      </c>
      <c r="B195" s="38" t="s">
        <v>22</v>
      </c>
      <c r="C195" s="38" t="s">
        <v>157</v>
      </c>
      <c r="D195" s="38" t="s">
        <v>236</v>
      </c>
      <c r="E195" s="38" t="s">
        <v>42</v>
      </c>
      <c r="F195" s="38" t="str">
        <f aca="false">COUNTIFS(Trechos!$L$2:$L$275,A195)&amp;" vãos"</f>
        <v>1 vãos</v>
      </c>
      <c r="G195" s="38"/>
      <c r="H195" s="38"/>
      <c r="I195" s="39" t="n">
        <f aca="false">SUMIFS(Trechos!$F$2:$F$275,Trechos!$L$2:$L$275,A195)</f>
        <v>5.45772281405916</v>
      </c>
      <c r="J195" s="38"/>
      <c r="K195" s="38"/>
      <c r="L195" s="38" t="s">
        <v>106</v>
      </c>
      <c r="M195" s="38" t="s">
        <v>49</v>
      </c>
      <c r="N195" s="38" t="str">
        <f aca="false">Blocos!AA30</f>
        <v>—</v>
      </c>
    </row>
    <row r="196" customFormat="false" ht="15" hidden="true" customHeight="false" outlineLevel="1" collapsed="false">
      <c r="F196" s="35" t="s">
        <v>609</v>
      </c>
      <c r="G196" s="35" t="s">
        <v>310</v>
      </c>
      <c r="H196" s="35" t="s">
        <v>610</v>
      </c>
      <c r="I196" s="40" t="n">
        <v>5.45772281405916</v>
      </c>
      <c r="J196" s="36" t="n">
        <v>1451.72031879194</v>
      </c>
      <c r="K196" s="35"/>
    </row>
    <row r="197" customFormat="false" ht="15" hidden="false" customHeight="false" outlineLevel="0" collapsed="true">
      <c r="A197" s="41" t="n">
        <v>30</v>
      </c>
      <c r="B197" s="41" t="s">
        <v>23</v>
      </c>
      <c r="C197" s="41" t="s">
        <v>157</v>
      </c>
      <c r="D197" s="41" t="s">
        <v>237</v>
      </c>
      <c r="E197" s="41" t="s">
        <v>43</v>
      </c>
      <c r="F197" s="41" t="str">
        <f aca="false">COUNTIFS(Trechos!$L$2:$L$275,A197)&amp;" vãos"</f>
        <v>1 vãos</v>
      </c>
      <c r="G197" s="41"/>
      <c r="H197" s="41"/>
      <c r="I197" s="42" t="n">
        <f aca="false">SUMIFS(Trechos!$F$2:$F$275,Trechos!$L$2:$L$275,A197)</f>
        <v>4.77595546451011</v>
      </c>
      <c r="J197" s="41"/>
      <c r="K197" s="41"/>
      <c r="L197" s="41" t="s">
        <v>109</v>
      </c>
      <c r="M197" s="41" t="s">
        <v>49</v>
      </c>
      <c r="N197" s="41" t="str">
        <f aca="false">Blocos!AA31</f>
        <v>—</v>
      </c>
    </row>
    <row r="198" customFormat="false" ht="15" hidden="true" customHeight="false" outlineLevel="1" collapsed="false">
      <c r="F198" s="35" t="s">
        <v>611</v>
      </c>
      <c r="G198" s="35" t="s">
        <v>322</v>
      </c>
      <c r="H198" s="35" t="s">
        <v>612</v>
      </c>
      <c r="I198" s="40" t="n">
        <v>4.77595546451011</v>
      </c>
      <c r="J198" s="36" t="n">
        <v>9.66934371446382</v>
      </c>
      <c r="K198" s="35"/>
    </row>
    <row r="199" customFormat="false" ht="15" hidden="false" customHeight="false" outlineLevel="0" collapsed="true">
      <c r="A199" s="41" t="n">
        <v>31</v>
      </c>
      <c r="B199" s="41" t="s">
        <v>23</v>
      </c>
      <c r="C199" s="41" t="s">
        <v>157</v>
      </c>
      <c r="D199" s="41" t="s">
        <v>238</v>
      </c>
      <c r="E199" s="41" t="s">
        <v>43</v>
      </c>
      <c r="F199" s="41" t="str">
        <f aca="false">COUNTIFS(Trechos!$L$2:$L$275,A199)&amp;" vãos"</f>
        <v>2 vãos</v>
      </c>
      <c r="G199" s="41"/>
      <c r="H199" s="41"/>
      <c r="I199" s="42" t="n">
        <f aca="false">SUMIFS(Trechos!$F$2:$F$275,Trechos!$L$2:$L$275,A199)</f>
        <v>44.7709334024713</v>
      </c>
      <c r="J199" s="41"/>
      <c r="K199" s="41"/>
      <c r="L199" s="41" t="s">
        <v>112</v>
      </c>
      <c r="M199" s="41" t="s">
        <v>49</v>
      </c>
      <c r="N199" s="41" t="str">
        <f aca="false">Blocos!AA32</f>
        <v>0300068007, 0300070007, 0300073007, 0300074007</v>
      </c>
    </row>
    <row r="200" customFormat="false" ht="15" hidden="true" customHeight="false" outlineLevel="1" collapsed="false">
      <c r="F200" s="35" t="s">
        <v>613</v>
      </c>
      <c r="G200" s="35" t="s">
        <v>324</v>
      </c>
      <c r="H200" s="35" t="s">
        <v>614</v>
      </c>
      <c r="I200" s="40" t="n">
        <v>40.8805850442623</v>
      </c>
      <c r="J200" s="36" t="n">
        <v>103.989021447315</v>
      </c>
      <c r="K200" s="35"/>
    </row>
    <row r="201" customFormat="false" ht="15" hidden="true" customHeight="false" outlineLevel="1" collapsed="false">
      <c r="F201" s="35" t="s">
        <v>615</v>
      </c>
      <c r="G201" s="35" t="s">
        <v>614</v>
      </c>
      <c r="H201" s="35" t="s">
        <v>616</v>
      </c>
      <c r="I201" s="40" t="n">
        <v>3.89034835820897</v>
      </c>
      <c r="J201" s="36" t="n">
        <v>107.879369805524</v>
      </c>
      <c r="K201" s="35"/>
    </row>
    <row r="202" customFormat="false" ht="15" hidden="false" customHeight="false" outlineLevel="0" collapsed="true">
      <c r="A202" s="43" t="n">
        <v>32</v>
      </c>
      <c r="B202" s="43" t="s">
        <v>24</v>
      </c>
      <c r="C202" s="43" t="s">
        <v>157</v>
      </c>
      <c r="D202" s="43" t="s">
        <v>238</v>
      </c>
      <c r="E202" s="43" t="s">
        <v>112</v>
      </c>
      <c r="F202" s="43" t="str">
        <f aca="false">COUNTIFS(Trechos!$L$2:$L$275,A202)&amp;" vãos"</f>
        <v>16 vãos</v>
      </c>
      <c r="G202" s="43"/>
      <c r="H202" s="43"/>
      <c r="I202" s="44" t="n">
        <f aca="false">SUMIFS(Trechos!$F$2:$F$275,Trechos!$L$2:$L$275,A202)</f>
        <v>618.681172096717</v>
      </c>
      <c r="J202" s="43"/>
      <c r="K202" s="43"/>
      <c r="L202" s="43" t="s">
        <v>113</v>
      </c>
      <c r="M202" s="43" t="s">
        <v>49</v>
      </c>
      <c r="N202" s="43" t="str">
        <f aca="false">Blocos!AA33</f>
        <v>0300070007, 0300073007, 0300074007</v>
      </c>
    </row>
    <row r="203" customFormat="false" ht="15" hidden="true" customHeight="false" outlineLevel="1" collapsed="false">
      <c r="F203" s="35" t="s">
        <v>617</v>
      </c>
      <c r="G203" s="35" t="s">
        <v>616</v>
      </c>
      <c r="H203" s="35" t="s">
        <v>618</v>
      </c>
      <c r="I203" s="40" t="n">
        <v>51.6844930442778</v>
      </c>
      <c r="J203" s="36" t="n">
        <v>51.6844930442778</v>
      </c>
      <c r="K203" s="35"/>
    </row>
    <row r="204" customFormat="false" ht="15" hidden="true" customHeight="false" outlineLevel="1" collapsed="false">
      <c r="F204" s="35" t="s">
        <v>619</v>
      </c>
      <c r="G204" s="35" t="s">
        <v>618</v>
      </c>
      <c r="H204" s="35" t="s">
        <v>620</v>
      </c>
      <c r="I204" s="40" t="n">
        <v>146.930640231572</v>
      </c>
      <c r="J204" s="36" t="n">
        <v>198.61513327585</v>
      </c>
      <c r="K204" s="35"/>
    </row>
    <row r="205" customFormat="false" ht="15" hidden="true" customHeight="false" outlineLevel="1" collapsed="false">
      <c r="F205" s="35" t="s">
        <v>621</v>
      </c>
      <c r="G205" s="35" t="s">
        <v>620</v>
      </c>
      <c r="H205" s="35" t="s">
        <v>622</v>
      </c>
      <c r="I205" s="40" t="n">
        <v>18.80114723457</v>
      </c>
      <c r="J205" s="36" t="n">
        <v>217.41628051042</v>
      </c>
      <c r="K205" s="35"/>
    </row>
    <row r="206" customFormat="false" ht="15" hidden="true" customHeight="false" outlineLevel="1" collapsed="false">
      <c r="F206" s="35" t="s">
        <v>623</v>
      </c>
      <c r="G206" s="35" t="s">
        <v>622</v>
      </c>
      <c r="H206" s="35" t="s">
        <v>624</v>
      </c>
      <c r="I206" s="40" t="n">
        <v>33.0048859035478</v>
      </c>
      <c r="J206" s="36" t="n">
        <v>250.421166413968</v>
      </c>
      <c r="K206" s="35"/>
    </row>
    <row r="207" customFormat="false" ht="15" hidden="true" customHeight="false" outlineLevel="1" collapsed="false">
      <c r="F207" s="35" t="s">
        <v>625</v>
      </c>
      <c r="G207" s="35" t="s">
        <v>624</v>
      </c>
      <c r="H207" s="35" t="s">
        <v>626</v>
      </c>
      <c r="I207" s="40" t="n">
        <v>3.01226026178296</v>
      </c>
      <c r="J207" s="36" t="n">
        <v>253.433426675751</v>
      </c>
      <c r="K207" s="35"/>
    </row>
    <row r="208" customFormat="false" ht="15" hidden="true" customHeight="false" outlineLevel="1" collapsed="false">
      <c r="F208" s="35" t="s">
        <v>627</v>
      </c>
      <c r="G208" s="35" t="s">
        <v>626</v>
      </c>
      <c r="H208" s="35" t="s">
        <v>628</v>
      </c>
      <c r="I208" s="40" t="n">
        <v>135.162987040292</v>
      </c>
      <c r="J208" s="36" t="n">
        <v>388.596413716043</v>
      </c>
      <c r="K208" s="35"/>
    </row>
    <row r="209" customFormat="false" ht="15" hidden="true" customHeight="false" outlineLevel="1" collapsed="false">
      <c r="F209" s="35" t="s">
        <v>629</v>
      </c>
      <c r="G209" s="35" t="s">
        <v>628</v>
      </c>
      <c r="H209" s="35" t="s">
        <v>630</v>
      </c>
      <c r="I209" s="40" t="n">
        <v>37.7383322408361</v>
      </c>
      <c r="J209" s="36" t="n">
        <v>426.334745956879</v>
      </c>
      <c r="K209" s="35"/>
    </row>
    <row r="210" customFormat="false" ht="15" hidden="true" customHeight="false" outlineLevel="1" collapsed="false">
      <c r="F210" s="35" t="s">
        <v>631</v>
      </c>
      <c r="G210" s="35" t="s">
        <v>620</v>
      </c>
      <c r="H210" s="35" t="s">
        <v>632</v>
      </c>
      <c r="I210" s="40" t="n">
        <v>43.9699105861722</v>
      </c>
      <c r="J210" s="36" t="n">
        <v>242.585043862022</v>
      </c>
      <c r="K210" s="35"/>
    </row>
    <row r="211" customFormat="false" ht="15" hidden="true" customHeight="false" outlineLevel="1" collapsed="false">
      <c r="F211" s="35" t="s">
        <v>633</v>
      </c>
      <c r="G211" s="35" t="s">
        <v>632</v>
      </c>
      <c r="H211" s="35" t="s">
        <v>634</v>
      </c>
      <c r="I211" s="40" t="n">
        <v>4.31949391434077</v>
      </c>
      <c r="J211" s="36" t="n">
        <v>246.904537776363</v>
      </c>
      <c r="K211" s="35"/>
    </row>
    <row r="212" customFormat="false" ht="15" hidden="true" customHeight="false" outlineLevel="1" collapsed="false">
      <c r="F212" s="35" t="s">
        <v>635</v>
      </c>
      <c r="G212" s="35" t="s">
        <v>620</v>
      </c>
      <c r="H212" s="35" t="s">
        <v>636</v>
      </c>
      <c r="I212" s="40" t="n">
        <v>22.1699589229147</v>
      </c>
      <c r="J212" s="36" t="n">
        <v>220.785092198765</v>
      </c>
      <c r="K212" s="35"/>
    </row>
    <row r="213" customFormat="false" ht="15" hidden="true" customHeight="false" outlineLevel="1" collapsed="false">
      <c r="F213" s="35" t="s">
        <v>637</v>
      </c>
      <c r="G213" s="35" t="s">
        <v>636</v>
      </c>
      <c r="H213" s="35" t="s">
        <v>638</v>
      </c>
      <c r="I213" s="40" t="n">
        <v>18.2586862368133</v>
      </c>
      <c r="J213" s="36" t="n">
        <v>239.043778435578</v>
      </c>
      <c r="K213" s="35"/>
    </row>
    <row r="214" customFormat="false" ht="15" hidden="true" customHeight="false" outlineLevel="1" collapsed="false">
      <c r="F214" s="35" t="s">
        <v>639</v>
      </c>
      <c r="G214" s="35" t="s">
        <v>638</v>
      </c>
      <c r="H214" s="35" t="s">
        <v>640</v>
      </c>
      <c r="I214" s="40" t="n">
        <v>3.6807261746649</v>
      </c>
      <c r="J214" s="36" t="n">
        <v>242.724504610243</v>
      </c>
      <c r="K214" s="35"/>
    </row>
    <row r="215" customFormat="false" ht="15" hidden="true" customHeight="false" outlineLevel="1" collapsed="false">
      <c r="F215" s="35" t="s">
        <v>641</v>
      </c>
      <c r="G215" s="35" t="s">
        <v>636</v>
      </c>
      <c r="H215" s="35" t="s">
        <v>642</v>
      </c>
      <c r="I215" s="40" t="n">
        <v>22.8136665897299</v>
      </c>
      <c r="J215" s="36" t="n">
        <v>243.598758788495</v>
      </c>
      <c r="K215" s="35"/>
    </row>
    <row r="216" customFormat="false" ht="15" hidden="true" customHeight="false" outlineLevel="1" collapsed="false">
      <c r="F216" s="35" t="s">
        <v>643</v>
      </c>
      <c r="G216" s="35" t="s">
        <v>636</v>
      </c>
      <c r="H216" s="35" t="s">
        <v>644</v>
      </c>
      <c r="I216" s="40" t="n">
        <v>7.46416753735654</v>
      </c>
      <c r="J216" s="36" t="n">
        <v>228.249259736122</v>
      </c>
      <c r="K216" s="35"/>
    </row>
    <row r="217" customFormat="false" ht="15" hidden="true" customHeight="false" outlineLevel="1" collapsed="false">
      <c r="F217" s="35" t="s">
        <v>645</v>
      </c>
      <c r="G217" s="35" t="s">
        <v>618</v>
      </c>
      <c r="H217" s="35" t="s">
        <v>646</v>
      </c>
      <c r="I217" s="40" t="n">
        <v>22.2276890308898</v>
      </c>
      <c r="J217" s="36" t="n">
        <v>73.9121820751675</v>
      </c>
      <c r="K217" s="35"/>
    </row>
    <row r="218" customFormat="false" ht="15" hidden="true" customHeight="false" outlineLevel="1" collapsed="false">
      <c r="F218" s="35" t="s">
        <v>647</v>
      </c>
      <c r="G218" s="35" t="s">
        <v>618</v>
      </c>
      <c r="H218" s="35" t="s">
        <v>648</v>
      </c>
      <c r="I218" s="40" t="n">
        <v>47.4421271469551</v>
      </c>
      <c r="J218" s="36" t="n">
        <v>99.1266201912329</v>
      </c>
      <c r="K218" s="35"/>
    </row>
    <row r="219" customFormat="false" ht="15" hidden="false" customHeight="false" outlineLevel="0" collapsed="true">
      <c r="A219" s="45" t="n">
        <v>33</v>
      </c>
      <c r="B219" s="45" t="s">
        <v>25</v>
      </c>
      <c r="C219" s="45" t="s">
        <v>157</v>
      </c>
      <c r="D219" s="45" t="s">
        <v>238</v>
      </c>
      <c r="E219" s="45" t="s">
        <v>114</v>
      </c>
      <c r="F219" s="45" t="str">
        <f aca="false">COUNTIFS(Trechos!$L$2:$L$275,A219)&amp;" vãos"</f>
        <v>2 vãos</v>
      </c>
      <c r="G219" s="45"/>
      <c r="H219" s="45"/>
      <c r="I219" s="46" t="n">
        <f aca="false">SUMIFS(Trechos!$F$2:$F$275,Trechos!$L$2:$L$275,A219)</f>
        <v>174.540618398025</v>
      </c>
      <c r="J219" s="45"/>
      <c r="K219" s="45"/>
      <c r="L219" s="45" t="s">
        <v>115</v>
      </c>
      <c r="M219" s="45" t="s">
        <v>49</v>
      </c>
      <c r="N219" s="45" t="str">
        <f aca="false">Blocos!AA34</f>
        <v>—</v>
      </c>
    </row>
    <row r="220" customFormat="false" ht="15" hidden="true" customHeight="false" outlineLevel="1" collapsed="false">
      <c r="F220" s="35" t="s">
        <v>649</v>
      </c>
      <c r="G220" s="35" t="s">
        <v>634</v>
      </c>
      <c r="H220" s="35" t="s">
        <v>650</v>
      </c>
      <c r="I220" s="40" t="n">
        <v>38.6302430777457</v>
      </c>
      <c r="J220" s="36" t="n">
        <v>38.6302430777457</v>
      </c>
      <c r="K220" s="35"/>
    </row>
    <row r="221" customFormat="false" ht="15" hidden="true" customHeight="false" outlineLevel="1" collapsed="false">
      <c r="F221" s="35" t="s">
        <v>651</v>
      </c>
      <c r="G221" s="35" t="s">
        <v>650</v>
      </c>
      <c r="H221" s="35" t="s">
        <v>652</v>
      </c>
      <c r="I221" s="40" t="n">
        <v>135.910375320279</v>
      </c>
      <c r="J221" s="36" t="n">
        <v>174.540618398025</v>
      </c>
      <c r="K221" s="35"/>
    </row>
    <row r="222" customFormat="false" ht="15" hidden="false" customHeight="false" outlineLevel="0" collapsed="true">
      <c r="A222" s="45" t="n">
        <v>34</v>
      </c>
      <c r="B222" s="45" t="s">
        <v>25</v>
      </c>
      <c r="C222" s="45" t="s">
        <v>157</v>
      </c>
      <c r="D222" s="45" t="s">
        <v>238</v>
      </c>
      <c r="E222" s="45" t="s">
        <v>116</v>
      </c>
      <c r="F222" s="45" t="str">
        <f aca="false">COUNTIFS(Trechos!$L$2:$L$275,A222)&amp;" vãos"</f>
        <v>5 vãos</v>
      </c>
      <c r="G222" s="45"/>
      <c r="H222" s="45"/>
      <c r="I222" s="46" t="n">
        <f aca="false">SUMIFS(Trechos!$F$2:$F$275,Trechos!$L$2:$L$275,A222)</f>
        <v>276.328228466191</v>
      </c>
      <c r="J222" s="45"/>
      <c r="K222" s="45"/>
      <c r="L222" s="45" t="s">
        <v>117</v>
      </c>
      <c r="M222" s="45" t="s">
        <v>49</v>
      </c>
      <c r="N222" s="45" t="str">
        <f aca="false">Blocos!AA35</f>
        <v>0300074007</v>
      </c>
    </row>
    <row r="223" customFormat="false" ht="15" hidden="true" customHeight="false" outlineLevel="1" collapsed="false">
      <c r="F223" s="35" t="s">
        <v>653</v>
      </c>
      <c r="G223" s="35" t="s">
        <v>640</v>
      </c>
      <c r="H223" s="35" t="s">
        <v>654</v>
      </c>
      <c r="I223" s="40" t="n">
        <v>32.9132936716603</v>
      </c>
      <c r="J223" s="36" t="n">
        <v>32.9132936716603</v>
      </c>
      <c r="K223" s="35"/>
    </row>
    <row r="224" customFormat="false" ht="15" hidden="true" customHeight="false" outlineLevel="1" collapsed="false">
      <c r="F224" s="35" t="s">
        <v>655</v>
      </c>
      <c r="G224" s="35" t="s">
        <v>654</v>
      </c>
      <c r="H224" s="35" t="s">
        <v>656</v>
      </c>
      <c r="I224" s="40" t="n">
        <v>65.6493904998734</v>
      </c>
      <c r="J224" s="36" t="n">
        <v>98.5626841715337</v>
      </c>
      <c r="K224" s="35"/>
    </row>
    <row r="225" customFormat="false" ht="15" hidden="true" customHeight="false" outlineLevel="1" collapsed="false">
      <c r="F225" s="35" t="s">
        <v>657</v>
      </c>
      <c r="G225" s="35" t="s">
        <v>656</v>
      </c>
      <c r="H225" s="35" t="s">
        <v>658</v>
      </c>
      <c r="I225" s="40" t="n">
        <v>73.5007884378374</v>
      </c>
      <c r="J225" s="36" t="n">
        <v>172.063472609371</v>
      </c>
      <c r="K225" s="35"/>
    </row>
    <row r="226" customFormat="false" ht="15" hidden="true" customHeight="false" outlineLevel="1" collapsed="false">
      <c r="F226" s="35" t="s">
        <v>659</v>
      </c>
      <c r="G226" s="35" t="s">
        <v>658</v>
      </c>
      <c r="H226" s="35" t="s">
        <v>660</v>
      </c>
      <c r="I226" s="40" t="n">
        <v>103.326282140305</v>
      </c>
      <c r="J226" s="36" t="n">
        <v>275.389754749676</v>
      </c>
      <c r="K226" s="35"/>
    </row>
    <row r="227" customFormat="false" ht="15" hidden="true" customHeight="false" outlineLevel="1" collapsed="false">
      <c r="F227" s="35" t="s">
        <v>661</v>
      </c>
      <c r="G227" s="35" t="s">
        <v>660</v>
      </c>
      <c r="H227" s="35" t="s">
        <v>662</v>
      </c>
      <c r="I227" s="40" t="n">
        <v>0.938473716514427</v>
      </c>
      <c r="J227" s="36" t="n">
        <v>276.328228466191</v>
      </c>
      <c r="K227" s="35"/>
    </row>
    <row r="228" customFormat="false" ht="15" hidden="false" customHeight="false" outlineLevel="0" collapsed="true">
      <c r="A228" s="47" t="n">
        <v>35</v>
      </c>
      <c r="B228" s="47" t="s">
        <v>26</v>
      </c>
      <c r="C228" s="47" t="s">
        <v>157</v>
      </c>
      <c r="D228" s="47" t="s">
        <v>238</v>
      </c>
      <c r="E228" s="47" t="s">
        <v>117</v>
      </c>
      <c r="F228" s="47" t="str">
        <f aca="false">COUNTIFS(Trechos!$L$2:$L$275,A228)&amp;" vãos"</f>
        <v>1 vãos</v>
      </c>
      <c r="G228" s="47"/>
      <c r="H228" s="47"/>
      <c r="I228" s="48" t="n">
        <f aca="false">SUMIFS(Trechos!$F$2:$F$275,Trechos!$L$2:$L$275,A228)</f>
        <v>9.28942562558534</v>
      </c>
      <c r="J228" s="47"/>
      <c r="K228" s="47"/>
      <c r="L228" s="47" t="s">
        <v>118</v>
      </c>
      <c r="M228" s="47" t="s">
        <v>49</v>
      </c>
      <c r="N228" s="47" t="str">
        <f aca="false">Blocos!AA36</f>
        <v>—</v>
      </c>
    </row>
    <row r="229" customFormat="false" ht="15" hidden="true" customHeight="false" outlineLevel="1" collapsed="false">
      <c r="F229" s="35" t="s">
        <v>663</v>
      </c>
      <c r="G229" s="35" t="s">
        <v>662</v>
      </c>
      <c r="H229" s="35" t="s">
        <v>664</v>
      </c>
      <c r="I229" s="40" t="n">
        <v>9.28942562558534</v>
      </c>
      <c r="J229" s="36" t="n">
        <v>9.28942562558541</v>
      </c>
      <c r="K229" s="35"/>
    </row>
    <row r="230" customFormat="false" ht="15" hidden="false" customHeight="false" outlineLevel="0" collapsed="true">
      <c r="A230" s="41" t="n">
        <v>36</v>
      </c>
      <c r="B230" s="41" t="s">
        <v>23</v>
      </c>
      <c r="C230" s="41" t="s">
        <v>157</v>
      </c>
      <c r="D230" s="41" t="s">
        <v>244</v>
      </c>
      <c r="E230" s="41" t="s">
        <v>43</v>
      </c>
      <c r="F230" s="41" t="str">
        <f aca="false">COUNTIFS(Trechos!$L$2:$L$275,A230)&amp;" vãos"</f>
        <v>7 vãos</v>
      </c>
      <c r="G230" s="41"/>
      <c r="H230" s="41"/>
      <c r="I230" s="42" t="n">
        <f aca="false">SUMIFS(Trechos!$F$2:$F$275,Trechos!$L$2:$L$275,A230)</f>
        <v>255.810255905576</v>
      </c>
      <c r="J230" s="41"/>
      <c r="K230" s="41"/>
      <c r="L230" s="41" t="s">
        <v>121</v>
      </c>
      <c r="M230" s="41" t="s">
        <v>49</v>
      </c>
      <c r="N230" s="41" t="str">
        <f aca="false">Blocos!AA37</f>
        <v>0300111007, 0300115007, 0300145007, 0200114007, 0301201007, 0300109007</v>
      </c>
    </row>
    <row r="231" customFormat="false" ht="15" hidden="true" customHeight="false" outlineLevel="1" collapsed="false">
      <c r="F231" s="35" t="s">
        <v>665</v>
      </c>
      <c r="G231" s="35" t="s">
        <v>326</v>
      </c>
      <c r="H231" s="35" t="s">
        <v>666</v>
      </c>
      <c r="I231" s="40" t="n">
        <v>27.3942967138823</v>
      </c>
      <c r="J231" s="36" t="n">
        <v>113.163670878213</v>
      </c>
      <c r="K231" s="35"/>
    </row>
    <row r="232" customFormat="false" ht="15" hidden="true" customHeight="false" outlineLevel="1" collapsed="false">
      <c r="F232" s="35" t="s">
        <v>667</v>
      </c>
      <c r="G232" s="35" t="s">
        <v>326</v>
      </c>
      <c r="H232" s="35" t="s">
        <v>668</v>
      </c>
      <c r="I232" s="40" t="n">
        <v>143.663695643763</v>
      </c>
      <c r="J232" s="36" t="n">
        <v>229.433069808094</v>
      </c>
      <c r="K232" s="35"/>
    </row>
    <row r="233" customFormat="false" ht="15" hidden="true" customHeight="false" outlineLevel="1" collapsed="false">
      <c r="F233" s="35" t="s">
        <v>669</v>
      </c>
      <c r="G233" s="35" t="s">
        <v>668</v>
      </c>
      <c r="H233" s="35" t="s">
        <v>670</v>
      </c>
      <c r="I233" s="40" t="n">
        <v>18.7884355332532</v>
      </c>
      <c r="J233" s="36" t="n">
        <v>248.221505341347</v>
      </c>
      <c r="K233" s="35"/>
    </row>
    <row r="234" customFormat="false" ht="15" hidden="true" customHeight="false" outlineLevel="1" collapsed="false">
      <c r="F234" s="35" t="s">
        <v>671</v>
      </c>
      <c r="G234" s="35" t="s">
        <v>670</v>
      </c>
      <c r="H234" s="35" t="s">
        <v>672</v>
      </c>
      <c r="I234" s="40" t="n">
        <v>3.69254824912324</v>
      </c>
      <c r="J234" s="36" t="n">
        <v>251.91405359047</v>
      </c>
      <c r="K234" s="35"/>
    </row>
    <row r="235" customFormat="false" ht="15" hidden="true" customHeight="false" outlineLevel="1" collapsed="false">
      <c r="F235" s="35" t="s">
        <v>673</v>
      </c>
      <c r="G235" s="35" t="s">
        <v>668</v>
      </c>
      <c r="H235" s="35" t="s">
        <v>674</v>
      </c>
      <c r="I235" s="40" t="n">
        <v>33.2303090827683</v>
      </c>
      <c r="J235" s="36" t="n">
        <v>262.663378890862</v>
      </c>
      <c r="K235" s="35"/>
    </row>
    <row r="236" customFormat="false" ht="15" hidden="true" customHeight="false" outlineLevel="1" collapsed="false">
      <c r="F236" s="35" t="s">
        <v>675</v>
      </c>
      <c r="G236" s="35" t="s">
        <v>668</v>
      </c>
      <c r="H236" s="35" t="s">
        <v>676</v>
      </c>
      <c r="I236" s="40" t="n">
        <v>24.3515150340114</v>
      </c>
      <c r="J236" s="36" t="n">
        <v>253.784584842105</v>
      </c>
      <c r="K236" s="35"/>
    </row>
    <row r="237" customFormat="false" ht="15" hidden="true" customHeight="false" outlineLevel="1" collapsed="false">
      <c r="F237" s="35" t="s">
        <v>677</v>
      </c>
      <c r="G237" s="35" t="s">
        <v>676</v>
      </c>
      <c r="H237" s="35" t="s">
        <v>678</v>
      </c>
      <c r="I237" s="40" t="n">
        <v>4.68945564877437</v>
      </c>
      <c r="J237" s="36" t="n">
        <v>258.47404049088</v>
      </c>
      <c r="K237" s="35"/>
    </row>
    <row r="238" customFormat="false" ht="15" hidden="false" customHeight="false" outlineLevel="0" collapsed="true">
      <c r="A238" s="43" t="n">
        <v>37</v>
      </c>
      <c r="B238" s="43" t="s">
        <v>24</v>
      </c>
      <c r="C238" s="43" t="s">
        <v>157</v>
      </c>
      <c r="D238" s="43" t="s">
        <v>244</v>
      </c>
      <c r="E238" s="43" t="s">
        <v>122</v>
      </c>
      <c r="F238" s="43" t="str">
        <f aca="false">COUNTIFS(Trechos!$L$2:$L$275,A238)&amp;" vãos"</f>
        <v>34 vãos</v>
      </c>
      <c r="G238" s="43"/>
      <c r="H238" s="43"/>
      <c r="I238" s="44" t="n">
        <f aca="false">SUMIFS(Trechos!$F$2:$F$275,Trechos!$L$2:$L$275,A238)</f>
        <v>1391.56345957173</v>
      </c>
      <c r="J238" s="43"/>
      <c r="K238" s="43"/>
      <c r="L238" s="43" t="s">
        <v>123</v>
      </c>
      <c r="M238" s="43" t="s">
        <v>49</v>
      </c>
      <c r="N238" s="43" t="str">
        <f aca="false">Blocos!AA38</f>
        <v>0300115007, 0300145007, 0200114007, 0301201007</v>
      </c>
    </row>
    <row r="239" customFormat="false" ht="15" hidden="true" customHeight="false" outlineLevel="1" collapsed="false">
      <c r="F239" s="35" t="s">
        <v>679</v>
      </c>
      <c r="G239" s="35" t="s">
        <v>672</v>
      </c>
      <c r="H239" s="35" t="s">
        <v>680</v>
      </c>
      <c r="I239" s="40" t="n">
        <v>127.167627972434</v>
      </c>
      <c r="J239" s="36" t="n">
        <v>127.167627972435</v>
      </c>
      <c r="K239" s="35"/>
    </row>
    <row r="240" customFormat="false" ht="15" hidden="true" customHeight="false" outlineLevel="1" collapsed="false">
      <c r="F240" s="35" t="s">
        <v>681</v>
      </c>
      <c r="G240" s="35" t="s">
        <v>680</v>
      </c>
      <c r="H240" s="35" t="s">
        <v>682</v>
      </c>
      <c r="I240" s="40" t="n">
        <v>49.1913786034873</v>
      </c>
      <c r="J240" s="36" t="n">
        <v>176.359006575922</v>
      </c>
      <c r="K240" s="35"/>
    </row>
    <row r="241" customFormat="false" ht="15" hidden="true" customHeight="false" outlineLevel="1" collapsed="false">
      <c r="F241" s="35" t="s">
        <v>683</v>
      </c>
      <c r="G241" s="35" t="s">
        <v>682</v>
      </c>
      <c r="H241" s="35" t="s">
        <v>684</v>
      </c>
      <c r="I241" s="40" t="n">
        <v>194.319207343503</v>
      </c>
      <c r="J241" s="36" t="n">
        <v>370.678213919425</v>
      </c>
      <c r="K241" s="35"/>
    </row>
    <row r="242" customFormat="false" ht="15" hidden="true" customHeight="false" outlineLevel="1" collapsed="false">
      <c r="F242" s="35" t="s">
        <v>685</v>
      </c>
      <c r="G242" s="35" t="s">
        <v>684</v>
      </c>
      <c r="H242" s="35" t="s">
        <v>686</v>
      </c>
      <c r="I242" s="40" t="n">
        <v>110.495207687469</v>
      </c>
      <c r="J242" s="36" t="n">
        <v>481.173421606894</v>
      </c>
      <c r="K242" s="35"/>
    </row>
    <row r="243" customFormat="false" ht="15" hidden="true" customHeight="false" outlineLevel="1" collapsed="false">
      <c r="F243" s="35" t="s">
        <v>687</v>
      </c>
      <c r="G243" s="35" t="s">
        <v>686</v>
      </c>
      <c r="H243" s="35" t="s">
        <v>688</v>
      </c>
      <c r="I243" s="40" t="n">
        <v>87.1994358702956</v>
      </c>
      <c r="J243" s="36" t="n">
        <v>568.37285747719</v>
      </c>
      <c r="K243" s="35"/>
    </row>
    <row r="244" customFormat="false" ht="15" hidden="true" customHeight="false" outlineLevel="1" collapsed="false">
      <c r="F244" s="35" t="s">
        <v>689</v>
      </c>
      <c r="G244" s="35" t="s">
        <v>688</v>
      </c>
      <c r="H244" s="35" t="s">
        <v>690</v>
      </c>
      <c r="I244" s="40" t="n">
        <v>9.55676208629375</v>
      </c>
      <c r="J244" s="36" t="n">
        <v>577.929619563484</v>
      </c>
      <c r="K244" s="35"/>
    </row>
    <row r="245" customFormat="false" ht="15" hidden="true" customHeight="false" outlineLevel="1" collapsed="false">
      <c r="F245" s="35" t="s">
        <v>691</v>
      </c>
      <c r="G245" s="35" t="s">
        <v>688</v>
      </c>
      <c r="H245" s="35" t="s">
        <v>692</v>
      </c>
      <c r="I245" s="40" t="n">
        <v>61.8847207380486</v>
      </c>
      <c r="J245" s="36" t="n">
        <v>630.257578215238</v>
      </c>
      <c r="K245" s="35"/>
    </row>
    <row r="246" customFormat="false" ht="15" hidden="true" customHeight="false" outlineLevel="1" collapsed="false">
      <c r="F246" s="35" t="s">
        <v>693</v>
      </c>
      <c r="G246" s="35" t="s">
        <v>692</v>
      </c>
      <c r="H246" s="35" t="s">
        <v>694</v>
      </c>
      <c r="I246" s="40" t="n">
        <v>125.019790751856</v>
      </c>
      <c r="J246" s="36" t="n">
        <v>755.277368967094</v>
      </c>
      <c r="K246" s="35"/>
    </row>
    <row r="247" customFormat="false" ht="15" hidden="true" customHeight="false" outlineLevel="1" collapsed="false">
      <c r="F247" s="35" t="s">
        <v>695</v>
      </c>
      <c r="G247" s="35" t="s">
        <v>694</v>
      </c>
      <c r="H247" s="35" t="s">
        <v>696</v>
      </c>
      <c r="I247" s="40" t="n">
        <v>17.8539669234972</v>
      </c>
      <c r="J247" s="36" t="n">
        <v>773.131335890591</v>
      </c>
      <c r="K247" s="35"/>
    </row>
    <row r="248" customFormat="false" ht="15" hidden="true" customHeight="false" outlineLevel="1" collapsed="false">
      <c r="F248" s="35" t="s">
        <v>697</v>
      </c>
      <c r="G248" s="35" t="s">
        <v>696</v>
      </c>
      <c r="H248" s="35" t="s">
        <v>698</v>
      </c>
      <c r="I248" s="40" t="n">
        <v>1.59825323295863</v>
      </c>
      <c r="J248" s="36" t="n">
        <v>774.72958912355</v>
      </c>
      <c r="K248" s="35"/>
    </row>
    <row r="249" customFormat="false" ht="15" hidden="true" customHeight="false" outlineLevel="1" collapsed="false">
      <c r="F249" s="35" t="s">
        <v>699</v>
      </c>
      <c r="G249" s="35" t="s">
        <v>694</v>
      </c>
      <c r="H249" s="35" t="s">
        <v>700</v>
      </c>
      <c r="I249" s="40" t="n">
        <v>18.6851889415873</v>
      </c>
      <c r="J249" s="36" t="n">
        <v>773.962557908681</v>
      </c>
      <c r="K249" s="35"/>
    </row>
    <row r="250" customFormat="false" ht="15" hidden="true" customHeight="false" outlineLevel="1" collapsed="false">
      <c r="F250" s="35" t="s">
        <v>701</v>
      </c>
      <c r="G250" s="35" t="s">
        <v>694</v>
      </c>
      <c r="H250" s="35" t="s">
        <v>702</v>
      </c>
      <c r="I250" s="40" t="n">
        <v>104.239253298166</v>
      </c>
      <c r="J250" s="36" t="n">
        <v>859.51662226526</v>
      </c>
      <c r="K250" s="35"/>
    </row>
    <row r="251" customFormat="false" ht="15" hidden="true" customHeight="false" outlineLevel="1" collapsed="false">
      <c r="F251" s="35" t="s">
        <v>703</v>
      </c>
      <c r="G251" s="35" t="s">
        <v>702</v>
      </c>
      <c r="H251" s="35" t="s">
        <v>704</v>
      </c>
      <c r="I251" s="40" t="n">
        <v>4.07444723132601</v>
      </c>
      <c r="J251" s="36" t="n">
        <v>863.591069496586</v>
      </c>
      <c r="K251" s="35"/>
    </row>
    <row r="252" customFormat="false" ht="15" hidden="true" customHeight="false" outlineLevel="1" collapsed="false">
      <c r="F252" s="35" t="s">
        <v>705</v>
      </c>
      <c r="G252" s="35" t="s">
        <v>704</v>
      </c>
      <c r="H252" s="35" t="s">
        <v>706</v>
      </c>
      <c r="I252" s="40" t="n">
        <v>1.19532695158792</v>
      </c>
      <c r="J252" s="36" t="n">
        <v>864.786396448174</v>
      </c>
      <c r="K252" s="35"/>
    </row>
    <row r="253" customFormat="false" ht="15" hidden="true" customHeight="false" outlineLevel="1" collapsed="false">
      <c r="F253" s="35" t="s">
        <v>707</v>
      </c>
      <c r="G253" s="35" t="s">
        <v>688</v>
      </c>
      <c r="H253" s="35" t="s">
        <v>708</v>
      </c>
      <c r="I253" s="40" t="n">
        <v>86.0919650074432</v>
      </c>
      <c r="J253" s="36" t="n">
        <v>654.464822484633</v>
      </c>
      <c r="K253" s="35"/>
    </row>
    <row r="254" customFormat="false" ht="15" hidden="true" customHeight="false" outlineLevel="1" collapsed="false">
      <c r="F254" s="35" t="s">
        <v>709</v>
      </c>
      <c r="G254" s="35" t="s">
        <v>708</v>
      </c>
      <c r="H254" s="35" t="s">
        <v>710</v>
      </c>
      <c r="I254" s="40" t="n">
        <v>38.4488714920295</v>
      </c>
      <c r="J254" s="36" t="n">
        <v>692.913693976662</v>
      </c>
      <c r="K254" s="35"/>
    </row>
    <row r="255" customFormat="false" ht="15" hidden="true" customHeight="false" outlineLevel="1" collapsed="false">
      <c r="F255" s="35" t="s">
        <v>711</v>
      </c>
      <c r="G255" s="35" t="s">
        <v>708</v>
      </c>
      <c r="H255" s="35" t="s">
        <v>712</v>
      </c>
      <c r="I255" s="40" t="n">
        <v>17.7139304375329</v>
      </c>
      <c r="J255" s="36" t="n">
        <v>672.178752922165</v>
      </c>
      <c r="K255" s="35"/>
    </row>
    <row r="256" customFormat="false" ht="15" hidden="true" customHeight="false" outlineLevel="1" collapsed="false">
      <c r="F256" s="35" t="s">
        <v>713</v>
      </c>
      <c r="G256" s="35" t="s">
        <v>712</v>
      </c>
      <c r="H256" s="35" t="s">
        <v>714</v>
      </c>
      <c r="I256" s="40" t="n">
        <v>37.0814493963708</v>
      </c>
      <c r="J256" s="36" t="n">
        <v>709.260202318536</v>
      </c>
      <c r="K256" s="35"/>
    </row>
    <row r="257" customFormat="false" ht="15" hidden="true" customHeight="false" outlineLevel="1" collapsed="false">
      <c r="F257" s="35" t="s">
        <v>715</v>
      </c>
      <c r="G257" s="35" t="s">
        <v>714</v>
      </c>
      <c r="H257" s="35" t="s">
        <v>716</v>
      </c>
      <c r="I257" s="40" t="n">
        <v>2.85320274106996</v>
      </c>
      <c r="J257" s="36" t="n">
        <v>712.113405059606</v>
      </c>
      <c r="K257" s="35"/>
    </row>
    <row r="258" customFormat="false" ht="15" hidden="true" customHeight="false" outlineLevel="1" collapsed="false">
      <c r="F258" s="35" t="s">
        <v>717</v>
      </c>
      <c r="G258" s="35" t="s">
        <v>716</v>
      </c>
      <c r="H258" s="35" t="s">
        <v>718</v>
      </c>
      <c r="I258" s="40" t="n">
        <v>32.5709830600777</v>
      </c>
      <c r="J258" s="36" t="n">
        <v>744.684388119684</v>
      </c>
      <c r="K258" s="35"/>
    </row>
    <row r="259" customFormat="false" ht="15" hidden="true" customHeight="false" outlineLevel="1" collapsed="false">
      <c r="F259" s="35" t="s">
        <v>719</v>
      </c>
      <c r="G259" s="35" t="s">
        <v>718</v>
      </c>
      <c r="H259" s="35" t="s">
        <v>720</v>
      </c>
      <c r="I259" s="40" t="n">
        <v>4.27805892013893</v>
      </c>
      <c r="J259" s="36" t="n">
        <v>748.962447039823</v>
      </c>
      <c r="K259" s="35"/>
    </row>
    <row r="260" customFormat="false" ht="15" hidden="true" customHeight="false" outlineLevel="1" collapsed="false">
      <c r="F260" s="35" t="s">
        <v>721</v>
      </c>
      <c r="G260" s="35" t="s">
        <v>718</v>
      </c>
      <c r="H260" s="35" t="s">
        <v>722</v>
      </c>
      <c r="I260" s="40" t="n">
        <v>0.245880829284591</v>
      </c>
      <c r="J260" s="36" t="n">
        <v>744.930268948968</v>
      </c>
      <c r="K260" s="35"/>
    </row>
    <row r="261" customFormat="false" ht="15" hidden="true" customHeight="false" outlineLevel="1" collapsed="false">
      <c r="F261" s="35" t="s">
        <v>723</v>
      </c>
      <c r="G261" s="35" t="s">
        <v>722</v>
      </c>
      <c r="H261" s="35" t="s">
        <v>724</v>
      </c>
      <c r="I261" s="40" t="n">
        <v>4.85609906264146</v>
      </c>
      <c r="J261" s="36" t="n">
        <v>749.78636801161</v>
      </c>
      <c r="K261" s="35"/>
    </row>
    <row r="262" customFormat="false" ht="15" hidden="true" customHeight="false" outlineLevel="1" collapsed="false">
      <c r="F262" s="35" t="s">
        <v>725</v>
      </c>
      <c r="G262" s="35" t="s">
        <v>714</v>
      </c>
      <c r="H262" s="35" t="s">
        <v>726</v>
      </c>
      <c r="I262" s="40" t="n">
        <v>29.3746115278238</v>
      </c>
      <c r="J262" s="36" t="n">
        <v>738.63481384636</v>
      </c>
      <c r="K262" s="35"/>
    </row>
    <row r="263" customFormat="false" ht="15" hidden="true" customHeight="false" outlineLevel="1" collapsed="false">
      <c r="F263" s="35" t="s">
        <v>727</v>
      </c>
      <c r="G263" s="35" t="s">
        <v>708</v>
      </c>
      <c r="H263" s="35" t="s">
        <v>728</v>
      </c>
      <c r="I263" s="40" t="n">
        <v>10.4171285730412</v>
      </c>
      <c r="J263" s="36" t="n">
        <v>664.881951057674</v>
      </c>
      <c r="K263" s="35"/>
    </row>
    <row r="264" customFormat="false" ht="15" hidden="true" customHeight="false" outlineLevel="1" collapsed="false">
      <c r="F264" s="35" t="s">
        <v>729</v>
      </c>
      <c r="G264" s="35" t="s">
        <v>686</v>
      </c>
      <c r="H264" s="35" t="s">
        <v>730</v>
      </c>
      <c r="I264" s="40" t="n">
        <v>2.13030827498473</v>
      </c>
      <c r="J264" s="36" t="n">
        <v>483.303729881879</v>
      </c>
      <c r="K264" s="35"/>
    </row>
    <row r="265" customFormat="false" ht="15" hidden="true" customHeight="false" outlineLevel="1" collapsed="false">
      <c r="F265" s="35" t="s">
        <v>731</v>
      </c>
      <c r="G265" s="35" t="s">
        <v>682</v>
      </c>
      <c r="H265" s="35" t="s">
        <v>732</v>
      </c>
      <c r="I265" s="40" t="n">
        <v>15.1443808561888</v>
      </c>
      <c r="J265" s="36" t="n">
        <v>191.503387432111</v>
      </c>
      <c r="K265" s="35"/>
    </row>
    <row r="266" customFormat="false" ht="15" hidden="true" customHeight="false" outlineLevel="1" collapsed="false">
      <c r="F266" s="35" t="s">
        <v>733</v>
      </c>
      <c r="G266" s="35" t="s">
        <v>732</v>
      </c>
      <c r="H266" s="35" t="s">
        <v>734</v>
      </c>
      <c r="I266" s="40" t="n">
        <v>3.36865107554104</v>
      </c>
      <c r="J266" s="36" t="n">
        <v>194.872038507652</v>
      </c>
      <c r="K266" s="35"/>
    </row>
    <row r="267" customFormat="false" ht="15" hidden="true" customHeight="false" outlineLevel="1" collapsed="false">
      <c r="F267" s="35" t="s">
        <v>735</v>
      </c>
      <c r="G267" s="35" t="s">
        <v>734</v>
      </c>
      <c r="H267" s="35" t="s">
        <v>736</v>
      </c>
      <c r="I267" s="40" t="n">
        <v>27.1534711510087</v>
      </c>
      <c r="J267" s="36" t="n">
        <v>222.02550965866</v>
      </c>
      <c r="K267" s="35"/>
    </row>
    <row r="268" customFormat="false" ht="15" hidden="true" customHeight="false" outlineLevel="1" collapsed="false">
      <c r="F268" s="35" t="s">
        <v>737</v>
      </c>
      <c r="G268" s="35" t="s">
        <v>736</v>
      </c>
      <c r="H268" s="35" t="s">
        <v>738</v>
      </c>
      <c r="I268" s="40" t="n">
        <v>3.48711942045308</v>
      </c>
      <c r="J268" s="36" t="n">
        <v>225.512629079113</v>
      </c>
      <c r="K268" s="35"/>
    </row>
    <row r="269" customFormat="false" ht="15" hidden="true" customHeight="false" outlineLevel="1" collapsed="false">
      <c r="F269" s="35" t="s">
        <v>739</v>
      </c>
      <c r="G269" s="35" t="s">
        <v>738</v>
      </c>
      <c r="H269" s="35" t="s">
        <v>740</v>
      </c>
      <c r="I269" s="40" t="n">
        <v>112.824114698425</v>
      </c>
      <c r="J269" s="36" t="n">
        <v>338.336743777538</v>
      </c>
      <c r="K269" s="35"/>
    </row>
    <row r="270" customFormat="false" ht="15" hidden="true" customHeight="false" outlineLevel="1" collapsed="false">
      <c r="F270" s="35" t="s">
        <v>741</v>
      </c>
      <c r="G270" s="35" t="s">
        <v>740</v>
      </c>
      <c r="H270" s="35" t="s">
        <v>742</v>
      </c>
      <c r="I270" s="40" t="n">
        <v>24.7917943305319</v>
      </c>
      <c r="J270" s="36" t="n">
        <v>363.12853810807</v>
      </c>
      <c r="K270" s="35"/>
    </row>
    <row r="271" customFormat="false" ht="15" hidden="true" customHeight="false" outlineLevel="1" collapsed="false">
      <c r="F271" s="35" t="s">
        <v>743</v>
      </c>
      <c r="G271" s="35" t="s">
        <v>682</v>
      </c>
      <c r="H271" s="35" t="s">
        <v>744</v>
      </c>
      <c r="I271" s="40" t="n">
        <v>22.3272618459425</v>
      </c>
      <c r="J271" s="36" t="n">
        <v>198.686268421864</v>
      </c>
      <c r="K271" s="35"/>
    </row>
    <row r="272" customFormat="false" ht="15" hidden="true" customHeight="false" outlineLevel="1" collapsed="false">
      <c r="F272" s="35" t="s">
        <v>745</v>
      </c>
      <c r="G272" s="35" t="s">
        <v>744</v>
      </c>
      <c r="H272" s="35" t="s">
        <v>746</v>
      </c>
      <c r="I272" s="40" t="n">
        <v>3.92360923868606</v>
      </c>
      <c r="J272" s="36" t="n">
        <v>202.60987766055</v>
      </c>
      <c r="K272" s="35"/>
    </row>
    <row r="273" customFormat="false" ht="15" hidden="false" customHeight="false" outlineLevel="0" collapsed="true">
      <c r="A273" s="45" t="n">
        <v>38</v>
      </c>
      <c r="B273" s="45" t="s">
        <v>25</v>
      </c>
      <c r="C273" s="45" t="s">
        <v>157</v>
      </c>
      <c r="D273" s="45" t="s">
        <v>244</v>
      </c>
      <c r="E273" s="45" t="s">
        <v>124</v>
      </c>
      <c r="F273" s="45" t="str">
        <f aca="false">COUNTIFS(Trechos!$L$2:$L$275,A273)&amp;" vãos"</f>
        <v>16 vãos</v>
      </c>
      <c r="G273" s="45"/>
      <c r="H273" s="45"/>
      <c r="I273" s="46" t="n">
        <f aca="false">SUMIFS(Trechos!$F$2:$F$275,Trechos!$L$2:$L$275,A273)</f>
        <v>903.0351698631</v>
      </c>
      <c r="J273" s="45"/>
      <c r="K273" s="45"/>
      <c r="L273" s="45" t="s">
        <v>125</v>
      </c>
      <c r="M273" s="45" t="s">
        <v>126</v>
      </c>
      <c r="N273" s="45" t="str">
        <f aca="false">Blocos!AA39</f>
        <v>—</v>
      </c>
    </row>
    <row r="274" customFormat="false" ht="15" hidden="true" customHeight="false" outlineLevel="1" collapsed="false">
      <c r="F274" s="35" t="s">
        <v>747</v>
      </c>
      <c r="G274" s="35" t="s">
        <v>698</v>
      </c>
      <c r="H274" s="35" t="s">
        <v>748</v>
      </c>
      <c r="I274" s="40" t="n">
        <v>190.904901113402</v>
      </c>
      <c r="J274" s="36" t="n">
        <v>190.904901113402</v>
      </c>
      <c r="K274" s="35"/>
    </row>
    <row r="275" customFormat="false" ht="15" hidden="true" customHeight="false" outlineLevel="1" collapsed="false">
      <c r="F275" s="35" t="s">
        <v>749</v>
      </c>
      <c r="G275" s="35" t="s">
        <v>748</v>
      </c>
      <c r="H275" s="35" t="s">
        <v>750</v>
      </c>
      <c r="I275" s="40" t="n">
        <v>37.4847739121398</v>
      </c>
      <c r="J275" s="36" t="n">
        <v>228.389675025542</v>
      </c>
      <c r="K275" s="35"/>
    </row>
    <row r="276" customFormat="false" ht="15" hidden="true" customHeight="false" outlineLevel="1" collapsed="false">
      <c r="F276" s="35" t="s">
        <v>751</v>
      </c>
      <c r="G276" s="35" t="s">
        <v>750</v>
      </c>
      <c r="H276" s="35" t="s">
        <v>752</v>
      </c>
      <c r="I276" s="40" t="n">
        <v>2.88199740231633</v>
      </c>
      <c r="J276" s="36" t="n">
        <v>231.271672427858</v>
      </c>
      <c r="K276" s="35"/>
    </row>
    <row r="277" customFormat="false" ht="15" hidden="true" customHeight="false" outlineLevel="1" collapsed="false">
      <c r="F277" s="35" t="s">
        <v>753</v>
      </c>
      <c r="G277" s="35" t="s">
        <v>752</v>
      </c>
      <c r="H277" s="35" t="s">
        <v>754</v>
      </c>
      <c r="I277" s="40" t="n">
        <v>118.721728219984</v>
      </c>
      <c r="J277" s="36" t="n">
        <v>349.993400647842</v>
      </c>
      <c r="K277" s="35"/>
    </row>
    <row r="278" customFormat="false" ht="15" hidden="true" customHeight="false" outlineLevel="1" collapsed="false">
      <c r="F278" s="35" t="s">
        <v>755</v>
      </c>
      <c r="G278" s="35" t="s">
        <v>754</v>
      </c>
      <c r="H278" s="35" t="s">
        <v>756</v>
      </c>
      <c r="I278" s="40" t="n">
        <v>3.14773404394584</v>
      </c>
      <c r="J278" s="36" t="n">
        <v>353.141134691788</v>
      </c>
      <c r="K278" s="35"/>
    </row>
    <row r="279" customFormat="false" ht="15" hidden="true" customHeight="false" outlineLevel="1" collapsed="false">
      <c r="F279" s="35" t="s">
        <v>757</v>
      </c>
      <c r="G279" s="35" t="s">
        <v>756</v>
      </c>
      <c r="H279" s="35" t="s">
        <v>758</v>
      </c>
      <c r="I279" s="40" t="n">
        <v>4.93160194818971</v>
      </c>
      <c r="J279" s="36" t="n">
        <v>358.072736639977</v>
      </c>
      <c r="K279" s="35"/>
    </row>
    <row r="280" customFormat="false" ht="15" hidden="true" customHeight="false" outlineLevel="1" collapsed="false">
      <c r="F280" s="35" t="s">
        <v>759</v>
      </c>
      <c r="G280" s="35" t="s">
        <v>758</v>
      </c>
      <c r="H280" s="35" t="s">
        <v>760</v>
      </c>
      <c r="I280" s="40" t="n">
        <v>16.8712630748769</v>
      </c>
      <c r="J280" s="36" t="n">
        <v>374.943999714854</v>
      </c>
      <c r="K280" s="35"/>
    </row>
    <row r="281" customFormat="false" ht="15" hidden="true" customHeight="false" outlineLevel="1" collapsed="false">
      <c r="F281" s="35" t="s">
        <v>761</v>
      </c>
      <c r="G281" s="35" t="s">
        <v>760</v>
      </c>
      <c r="H281" s="35" t="s">
        <v>762</v>
      </c>
      <c r="I281" s="40" t="n">
        <v>4.31666086247555</v>
      </c>
      <c r="J281" s="36" t="n">
        <v>379.26066057733</v>
      </c>
      <c r="K281" s="35" t="s">
        <v>126</v>
      </c>
    </row>
    <row r="282" customFormat="false" ht="15" hidden="true" customHeight="false" outlineLevel="1" collapsed="false">
      <c r="F282" s="35" t="s">
        <v>763</v>
      </c>
      <c r="G282" s="35" t="s">
        <v>762</v>
      </c>
      <c r="H282" s="35" t="s">
        <v>764</v>
      </c>
      <c r="I282" s="40" t="n">
        <v>222.066647896529</v>
      </c>
      <c r="J282" s="36" t="n">
        <v>601.327308473859</v>
      </c>
      <c r="K282" s="35"/>
    </row>
    <row r="283" customFormat="false" ht="15" hidden="true" customHeight="false" outlineLevel="1" collapsed="false">
      <c r="F283" s="35" t="s">
        <v>765</v>
      </c>
      <c r="G283" s="35" t="s">
        <v>764</v>
      </c>
      <c r="H283" s="35" t="s">
        <v>766</v>
      </c>
      <c r="I283" s="40" t="n">
        <v>2.29241420015553</v>
      </c>
      <c r="J283" s="36" t="n">
        <v>603.619722674015</v>
      </c>
      <c r="K283" s="35"/>
    </row>
    <row r="284" customFormat="false" ht="15" hidden="true" customHeight="false" outlineLevel="1" collapsed="false">
      <c r="F284" s="35" t="s">
        <v>767</v>
      </c>
      <c r="G284" s="35" t="s">
        <v>766</v>
      </c>
      <c r="H284" s="35" t="s">
        <v>768</v>
      </c>
      <c r="I284" s="40" t="n">
        <v>11.1200521007884</v>
      </c>
      <c r="J284" s="36" t="n">
        <v>614.739774774804</v>
      </c>
      <c r="K284" s="35"/>
    </row>
    <row r="285" customFormat="false" ht="15" hidden="true" customHeight="false" outlineLevel="1" collapsed="false">
      <c r="F285" s="35" t="s">
        <v>769</v>
      </c>
      <c r="G285" s="35" t="s">
        <v>768</v>
      </c>
      <c r="H285" s="35" t="s">
        <v>770</v>
      </c>
      <c r="I285" s="40" t="n">
        <v>2.96889891487272</v>
      </c>
      <c r="J285" s="36" t="n">
        <v>617.708673689676</v>
      </c>
      <c r="K285" s="35"/>
    </row>
    <row r="286" customFormat="false" ht="15" hidden="true" customHeight="false" outlineLevel="1" collapsed="false">
      <c r="F286" s="35" t="s">
        <v>771</v>
      </c>
      <c r="G286" s="35" t="s">
        <v>770</v>
      </c>
      <c r="H286" s="35" t="s">
        <v>772</v>
      </c>
      <c r="I286" s="40" t="n">
        <v>190.603844916451</v>
      </c>
      <c r="J286" s="36" t="n">
        <v>808.312518606128</v>
      </c>
      <c r="K286" s="35"/>
    </row>
    <row r="287" customFormat="false" ht="15" hidden="true" customHeight="false" outlineLevel="1" collapsed="false">
      <c r="F287" s="35" t="s">
        <v>773</v>
      </c>
      <c r="G287" s="35" t="s">
        <v>764</v>
      </c>
      <c r="H287" s="35" t="s">
        <v>774</v>
      </c>
      <c r="I287" s="40" t="n">
        <v>37.4243147480761</v>
      </c>
      <c r="J287" s="36" t="n">
        <v>638.751623221936</v>
      </c>
      <c r="K287" s="35"/>
    </row>
    <row r="288" customFormat="false" ht="15" hidden="true" customHeight="false" outlineLevel="1" collapsed="false">
      <c r="F288" s="35" t="s">
        <v>775</v>
      </c>
      <c r="G288" s="35" t="s">
        <v>758</v>
      </c>
      <c r="H288" s="35" t="s">
        <v>776</v>
      </c>
      <c r="I288" s="40" t="n">
        <v>31.0442067428336</v>
      </c>
      <c r="J288" s="36" t="n">
        <v>389.116943382811</v>
      </c>
      <c r="K288" s="35"/>
    </row>
    <row r="289" customFormat="false" ht="15" hidden="true" customHeight="false" outlineLevel="1" collapsed="false">
      <c r="F289" s="35" t="s">
        <v>777</v>
      </c>
      <c r="G289" s="35" t="s">
        <v>758</v>
      </c>
      <c r="H289" s="35" t="s">
        <v>778</v>
      </c>
      <c r="I289" s="40" t="n">
        <v>26.2541297660633</v>
      </c>
      <c r="J289" s="36" t="n">
        <v>384.326866406041</v>
      </c>
      <c r="K289" s="35"/>
    </row>
    <row r="290" customFormat="false" ht="15" hidden="false" customHeight="false" outlineLevel="0" collapsed="true">
      <c r="A290" s="45" t="n">
        <v>39</v>
      </c>
      <c r="B290" s="45" t="s">
        <v>25</v>
      </c>
      <c r="C290" s="45" t="s">
        <v>157</v>
      </c>
      <c r="D290" s="45" t="s">
        <v>244</v>
      </c>
      <c r="E290" s="45" t="s">
        <v>127</v>
      </c>
      <c r="F290" s="45" t="str">
        <f aca="false">COUNTIFS(Trechos!$L$2:$L$275,A290)&amp;" vãos"</f>
        <v>9 vãos</v>
      </c>
      <c r="G290" s="45"/>
      <c r="H290" s="45"/>
      <c r="I290" s="46" t="n">
        <f aca="false">SUMIFS(Trechos!$F$2:$F$275,Trechos!$L$2:$L$275,A290)</f>
        <v>318.293173892993</v>
      </c>
      <c r="J290" s="45"/>
      <c r="K290" s="45"/>
      <c r="L290" s="45" t="s">
        <v>128</v>
      </c>
      <c r="M290" s="45" t="s">
        <v>49</v>
      </c>
      <c r="N290" s="45" t="str">
        <f aca="false">Blocos!AA40</f>
        <v>—</v>
      </c>
    </row>
    <row r="291" customFormat="false" ht="15" hidden="true" customHeight="false" outlineLevel="1" collapsed="false">
      <c r="F291" s="35" t="s">
        <v>779</v>
      </c>
      <c r="G291" s="35" t="s">
        <v>706</v>
      </c>
      <c r="H291" s="35" t="s">
        <v>780</v>
      </c>
      <c r="I291" s="40" t="n">
        <v>11.7466757338847</v>
      </c>
      <c r="J291" s="36" t="n">
        <v>11.7466757338848</v>
      </c>
      <c r="K291" s="35"/>
    </row>
    <row r="292" customFormat="false" ht="15" hidden="true" customHeight="false" outlineLevel="1" collapsed="false">
      <c r="F292" s="35" t="s">
        <v>781</v>
      </c>
      <c r="G292" s="35" t="s">
        <v>780</v>
      </c>
      <c r="H292" s="35" t="s">
        <v>782</v>
      </c>
      <c r="I292" s="40" t="n">
        <v>2.31917431613862</v>
      </c>
      <c r="J292" s="36" t="n">
        <v>14.0658500500235</v>
      </c>
      <c r="K292" s="35"/>
    </row>
    <row r="293" customFormat="false" ht="15" hidden="true" customHeight="false" outlineLevel="1" collapsed="false">
      <c r="F293" s="35" t="s">
        <v>783</v>
      </c>
      <c r="G293" s="35" t="s">
        <v>782</v>
      </c>
      <c r="H293" s="35" t="s">
        <v>784</v>
      </c>
      <c r="I293" s="40" t="n">
        <v>90.2702865226727</v>
      </c>
      <c r="J293" s="36" t="n">
        <v>104.336136572696</v>
      </c>
      <c r="K293" s="35"/>
    </row>
    <row r="294" customFormat="false" ht="15" hidden="true" customHeight="false" outlineLevel="1" collapsed="false">
      <c r="F294" s="35" t="s">
        <v>785</v>
      </c>
      <c r="G294" s="35" t="s">
        <v>784</v>
      </c>
      <c r="H294" s="35" t="s">
        <v>786</v>
      </c>
      <c r="I294" s="40" t="n">
        <v>36.2044846650489</v>
      </c>
      <c r="J294" s="36" t="n">
        <v>140.540621237745</v>
      </c>
      <c r="K294" s="35"/>
    </row>
    <row r="295" customFormat="false" ht="15" hidden="true" customHeight="false" outlineLevel="1" collapsed="false">
      <c r="F295" s="35" t="s">
        <v>787</v>
      </c>
      <c r="G295" s="35" t="s">
        <v>784</v>
      </c>
      <c r="H295" s="35" t="s">
        <v>788</v>
      </c>
      <c r="I295" s="40" t="n">
        <v>11.7135469215741</v>
      </c>
      <c r="J295" s="36" t="n">
        <v>116.04968349427</v>
      </c>
      <c r="K295" s="35"/>
    </row>
    <row r="296" customFormat="false" ht="15" hidden="true" customHeight="false" outlineLevel="1" collapsed="false">
      <c r="F296" s="35" t="s">
        <v>789</v>
      </c>
      <c r="G296" s="35" t="s">
        <v>784</v>
      </c>
      <c r="H296" s="35" t="s">
        <v>790</v>
      </c>
      <c r="I296" s="40" t="n">
        <v>73.6772730821337</v>
      </c>
      <c r="J296" s="36" t="n">
        <v>178.01340965483</v>
      </c>
      <c r="K296" s="35"/>
    </row>
    <row r="297" customFormat="false" ht="15" hidden="true" customHeight="false" outlineLevel="1" collapsed="false">
      <c r="F297" s="35" t="s">
        <v>791</v>
      </c>
      <c r="G297" s="35" t="s">
        <v>790</v>
      </c>
      <c r="H297" s="35" t="s">
        <v>792</v>
      </c>
      <c r="I297" s="40" t="n">
        <v>40.2818256604369</v>
      </c>
      <c r="J297" s="36" t="n">
        <v>218.295235315266</v>
      </c>
      <c r="K297" s="35"/>
    </row>
    <row r="298" customFormat="false" ht="15" hidden="true" customHeight="false" outlineLevel="1" collapsed="false">
      <c r="F298" s="35" t="s">
        <v>793</v>
      </c>
      <c r="G298" s="35" t="s">
        <v>780</v>
      </c>
      <c r="H298" s="35" t="s">
        <v>794</v>
      </c>
      <c r="I298" s="40" t="n">
        <v>3.26611715353685</v>
      </c>
      <c r="J298" s="36" t="n">
        <v>15.0127928874217</v>
      </c>
      <c r="K298" s="35"/>
    </row>
    <row r="299" customFormat="false" ht="15" hidden="true" customHeight="false" outlineLevel="1" collapsed="false">
      <c r="F299" s="35" t="s">
        <v>795</v>
      </c>
      <c r="G299" s="35" t="s">
        <v>794</v>
      </c>
      <c r="H299" s="35" t="s">
        <v>796</v>
      </c>
      <c r="I299" s="40" t="n">
        <v>48.8137898375669</v>
      </c>
      <c r="J299" s="36" t="n">
        <v>63.8265827249884</v>
      </c>
      <c r="K299" s="35"/>
    </row>
    <row r="300" customFormat="false" ht="15" hidden="false" customHeight="false" outlineLevel="0" collapsed="true">
      <c r="A300" s="45" t="n">
        <v>40</v>
      </c>
      <c r="B300" s="45" t="s">
        <v>25</v>
      </c>
      <c r="C300" s="45" t="s">
        <v>157</v>
      </c>
      <c r="D300" s="45" t="s">
        <v>244</v>
      </c>
      <c r="E300" s="45" t="s">
        <v>129</v>
      </c>
      <c r="F300" s="45" t="str">
        <f aca="false">COUNTIFS(Trechos!$L$2:$L$275,A300)&amp;" vãos"</f>
        <v>2 vãos</v>
      </c>
      <c r="G300" s="45"/>
      <c r="H300" s="45"/>
      <c r="I300" s="46" t="n">
        <f aca="false">SUMIFS(Trechos!$F$2:$F$275,Trechos!$L$2:$L$275,A300)</f>
        <v>41.8485287060858</v>
      </c>
      <c r="J300" s="45"/>
      <c r="K300" s="45"/>
      <c r="L300" s="45" t="s">
        <v>130</v>
      </c>
      <c r="M300" s="45" t="s">
        <v>49</v>
      </c>
      <c r="N300" s="45" t="str">
        <f aca="false">Blocos!AA41</f>
        <v>—</v>
      </c>
    </row>
    <row r="301" customFormat="false" ht="15" hidden="true" customHeight="false" outlineLevel="1" collapsed="false">
      <c r="F301" s="35" t="s">
        <v>797</v>
      </c>
      <c r="G301" s="35" t="s">
        <v>730</v>
      </c>
      <c r="H301" s="35" t="s">
        <v>798</v>
      </c>
      <c r="I301" s="40" t="n">
        <v>18.9248405028871</v>
      </c>
      <c r="J301" s="36" t="n">
        <v>18.924840502887</v>
      </c>
      <c r="K301" s="35"/>
    </row>
    <row r="302" customFormat="false" ht="15" hidden="true" customHeight="false" outlineLevel="1" collapsed="false">
      <c r="F302" s="35" t="s">
        <v>799</v>
      </c>
      <c r="G302" s="35" t="s">
        <v>798</v>
      </c>
      <c r="H302" s="35" t="s">
        <v>800</v>
      </c>
      <c r="I302" s="40" t="n">
        <v>22.9236882031987</v>
      </c>
      <c r="J302" s="36" t="n">
        <v>41.8485287060857</v>
      </c>
      <c r="K302" s="35"/>
    </row>
    <row r="303" customFormat="false" ht="15" hidden="false" customHeight="false" outlineLevel="0" collapsed="true">
      <c r="A303" s="45" t="n">
        <v>41</v>
      </c>
      <c r="B303" s="45" t="s">
        <v>25</v>
      </c>
      <c r="C303" s="45" t="s">
        <v>157</v>
      </c>
      <c r="D303" s="45" t="s">
        <v>244</v>
      </c>
      <c r="E303" s="45" t="s">
        <v>131</v>
      </c>
      <c r="F303" s="45" t="str">
        <f aca="false">COUNTIFS(Trechos!$L$2:$L$275,A303)&amp;" vãos"</f>
        <v>3 vãos</v>
      </c>
      <c r="G303" s="45"/>
      <c r="H303" s="45"/>
      <c r="I303" s="46" t="n">
        <f aca="false">SUMIFS(Trechos!$F$2:$F$275,Trechos!$L$2:$L$275,A303)</f>
        <v>441.773855640389</v>
      </c>
      <c r="J303" s="45"/>
      <c r="K303" s="45"/>
      <c r="L303" s="45" t="s">
        <v>132</v>
      </c>
      <c r="M303" s="45" t="s">
        <v>49</v>
      </c>
      <c r="N303" s="45" t="str">
        <f aca="false">Blocos!AA42</f>
        <v>—</v>
      </c>
    </row>
    <row r="304" customFormat="false" ht="15" hidden="true" customHeight="false" outlineLevel="1" collapsed="false">
      <c r="F304" s="35" t="s">
        <v>801</v>
      </c>
      <c r="G304" s="35" t="s">
        <v>746</v>
      </c>
      <c r="H304" s="35" t="s">
        <v>802</v>
      </c>
      <c r="I304" s="40" t="n">
        <v>168.75017634512</v>
      </c>
      <c r="J304" s="36" t="n">
        <v>168.75017634512</v>
      </c>
      <c r="K304" s="35"/>
    </row>
    <row r="305" customFormat="false" ht="15" hidden="true" customHeight="false" outlineLevel="1" collapsed="false">
      <c r="F305" s="35" t="s">
        <v>803</v>
      </c>
      <c r="G305" s="35" t="s">
        <v>802</v>
      </c>
      <c r="H305" s="35" t="s">
        <v>804</v>
      </c>
      <c r="I305" s="40" t="n">
        <v>242.667832350555</v>
      </c>
      <c r="J305" s="36" t="n">
        <v>411.418008695676</v>
      </c>
      <c r="K305" s="35"/>
    </row>
    <row r="306" customFormat="false" ht="15" hidden="true" customHeight="false" outlineLevel="1" collapsed="false">
      <c r="F306" s="35" t="s">
        <v>805</v>
      </c>
      <c r="G306" s="35" t="s">
        <v>804</v>
      </c>
      <c r="H306" s="35" t="s">
        <v>806</v>
      </c>
      <c r="I306" s="40" t="n">
        <v>30.3558469447134</v>
      </c>
      <c r="J306" s="36" t="n">
        <v>441.773855640389</v>
      </c>
      <c r="K306" s="35"/>
    </row>
    <row r="307" customFormat="false" ht="15" hidden="false" customHeight="false" outlineLevel="0" collapsed="true">
      <c r="A307" s="43" t="n">
        <v>42</v>
      </c>
      <c r="B307" s="43" t="s">
        <v>24</v>
      </c>
      <c r="C307" s="43" t="s">
        <v>157</v>
      </c>
      <c r="D307" s="43" t="s">
        <v>244</v>
      </c>
      <c r="E307" s="43" t="s">
        <v>133</v>
      </c>
      <c r="F307" s="43" t="str">
        <f aca="false">COUNTIFS(Trechos!$L$2:$L$275,A307)&amp;" vãos"</f>
        <v>1 vãos</v>
      </c>
      <c r="G307" s="43"/>
      <c r="H307" s="43"/>
      <c r="I307" s="44" t="n">
        <f aca="false">SUMIFS(Trechos!$F$2:$F$275,Trechos!$L$2:$L$275,A307)</f>
        <v>42.0371060138566</v>
      </c>
      <c r="J307" s="43"/>
      <c r="K307" s="43"/>
      <c r="L307" s="43" t="s">
        <v>134</v>
      </c>
      <c r="M307" s="43" t="s">
        <v>49</v>
      </c>
      <c r="N307" s="43" t="str">
        <f aca="false">Blocos!AA43</f>
        <v>—</v>
      </c>
    </row>
    <row r="308" customFormat="false" ht="15" hidden="true" customHeight="false" outlineLevel="1" collapsed="false">
      <c r="F308" s="35" t="s">
        <v>807</v>
      </c>
      <c r="G308" s="35" t="s">
        <v>678</v>
      </c>
      <c r="H308" s="35" t="s">
        <v>808</v>
      </c>
      <c r="I308" s="40" t="n">
        <v>42.0371060138566</v>
      </c>
      <c r="J308" s="36" t="n">
        <v>42.0371060138566</v>
      </c>
      <c r="K308" s="35"/>
    </row>
    <row r="309" customFormat="false" ht="15" hidden="false" customHeight="false" outlineLevel="0" collapsed="true">
      <c r="A309" s="41" t="n">
        <v>43</v>
      </c>
      <c r="B309" s="41" t="s">
        <v>23</v>
      </c>
      <c r="C309" s="41" t="s">
        <v>157</v>
      </c>
      <c r="D309" s="41" t="s">
        <v>263</v>
      </c>
      <c r="E309" s="41" t="s">
        <v>43</v>
      </c>
      <c r="F309" s="41" t="str">
        <f aca="false">COUNTIFS(Trechos!$L$2:$L$275,A309)&amp;" vãos"</f>
        <v>1 vãos</v>
      </c>
      <c r="G309" s="41"/>
      <c r="H309" s="41"/>
      <c r="I309" s="42" t="n">
        <f aca="false">SUMIFS(Trechos!$F$2:$F$275,Trechos!$L$2:$L$275,A309)</f>
        <v>2.85618918731252</v>
      </c>
      <c r="J309" s="41"/>
      <c r="K309" s="41"/>
      <c r="L309" s="41" t="s">
        <v>137</v>
      </c>
      <c r="M309" s="41" t="s">
        <v>49</v>
      </c>
      <c r="N309" s="41" t="str">
        <f aca="false">Blocos!AA44</f>
        <v>0200038007</v>
      </c>
    </row>
    <row r="310" customFormat="false" ht="15" hidden="true" customHeight="false" outlineLevel="1" collapsed="false">
      <c r="F310" s="35" t="s">
        <v>809</v>
      </c>
      <c r="G310" s="35" t="s">
        <v>338</v>
      </c>
      <c r="H310" s="35" t="s">
        <v>810</v>
      </c>
      <c r="I310" s="40" t="n">
        <v>2.85618918731252</v>
      </c>
      <c r="J310" s="36" t="n">
        <v>491.933435069408</v>
      </c>
      <c r="K310" s="35"/>
    </row>
    <row r="311" customFormat="false" ht="15" hidden="false" customHeight="false" outlineLevel="0" collapsed="true">
      <c r="A311" s="43" t="n">
        <v>44</v>
      </c>
      <c r="B311" s="43" t="s">
        <v>24</v>
      </c>
      <c r="C311" s="43" t="s">
        <v>157</v>
      </c>
      <c r="D311" s="43" t="s">
        <v>263</v>
      </c>
      <c r="E311" s="43" t="s">
        <v>137</v>
      </c>
      <c r="F311" s="43" t="str">
        <f aca="false">COUNTIFS(Trechos!$L$2:$L$275,A311)&amp;" vãos"</f>
        <v>1 vãos</v>
      </c>
      <c r="G311" s="43"/>
      <c r="H311" s="43"/>
      <c r="I311" s="44" t="n">
        <f aca="false">SUMIFS(Trechos!$F$2:$F$275,Trechos!$L$2:$L$275,A311)</f>
        <v>26.0659621071185</v>
      </c>
      <c r="J311" s="43"/>
      <c r="K311" s="43"/>
      <c r="L311" s="43" t="s">
        <v>138</v>
      </c>
      <c r="M311" s="43" t="s">
        <v>49</v>
      </c>
      <c r="N311" s="43" t="str">
        <f aca="false">Blocos!AA45</f>
        <v>—</v>
      </c>
    </row>
    <row r="312" customFormat="false" ht="15" hidden="true" customHeight="false" outlineLevel="1" collapsed="false">
      <c r="F312" s="35" t="s">
        <v>811</v>
      </c>
      <c r="G312" s="35" t="s">
        <v>810</v>
      </c>
      <c r="H312" s="35" t="s">
        <v>812</v>
      </c>
      <c r="I312" s="40" t="n">
        <v>26.0659621071185</v>
      </c>
      <c r="J312" s="36" t="n">
        <v>26.0659621071186</v>
      </c>
      <c r="K312" s="35"/>
    </row>
    <row r="313" customFormat="false" ht="15" hidden="false" customHeight="false" outlineLevel="0" collapsed="true">
      <c r="A313" s="41" t="n">
        <v>45</v>
      </c>
      <c r="B313" s="41" t="s">
        <v>23</v>
      </c>
      <c r="C313" s="41" t="s">
        <v>157</v>
      </c>
      <c r="D313" s="41" t="s">
        <v>264</v>
      </c>
      <c r="E313" s="41" t="s">
        <v>43</v>
      </c>
      <c r="F313" s="41" t="str">
        <f aca="false">COUNTIFS(Trechos!$L$2:$L$275,A313)&amp;" vãos"</f>
        <v>3 vãos</v>
      </c>
      <c r="G313" s="41"/>
      <c r="H313" s="41"/>
      <c r="I313" s="42" t="n">
        <f aca="false">SUMIFS(Trechos!$F$2:$F$275,Trechos!$L$2:$L$275,A313)</f>
        <v>141.437819946529</v>
      </c>
      <c r="J313" s="41"/>
      <c r="K313" s="41"/>
      <c r="L313" s="41" t="s">
        <v>141</v>
      </c>
      <c r="M313" s="41" t="s">
        <v>49</v>
      </c>
      <c r="N313" s="41" t="str">
        <f aca="false">Blocos!AA46</f>
        <v>—</v>
      </c>
    </row>
    <row r="314" customFormat="false" ht="15" hidden="true" customHeight="false" outlineLevel="1" collapsed="false">
      <c r="F314" s="35" t="s">
        <v>813</v>
      </c>
      <c r="G314" s="35" t="s">
        <v>340</v>
      </c>
      <c r="H314" s="35" t="s">
        <v>814</v>
      </c>
      <c r="I314" s="40" t="n">
        <v>93.3127146548961</v>
      </c>
      <c r="J314" s="36" t="n">
        <v>589.161798798965</v>
      </c>
      <c r="K314" s="35"/>
    </row>
    <row r="315" customFormat="false" ht="15" hidden="true" customHeight="false" outlineLevel="1" collapsed="false">
      <c r="F315" s="35" t="s">
        <v>815</v>
      </c>
      <c r="G315" s="35" t="s">
        <v>814</v>
      </c>
      <c r="H315" s="35" t="s">
        <v>816</v>
      </c>
      <c r="I315" s="40" t="n">
        <v>26.5471253581071</v>
      </c>
      <c r="J315" s="36" t="n">
        <v>615.708924157072</v>
      </c>
      <c r="K315" s="35"/>
    </row>
    <row r="316" customFormat="false" ht="15" hidden="true" customHeight="false" outlineLevel="1" collapsed="false">
      <c r="F316" s="35" t="s">
        <v>817</v>
      </c>
      <c r="G316" s="35" t="s">
        <v>340</v>
      </c>
      <c r="H316" s="35" t="s">
        <v>818</v>
      </c>
      <c r="I316" s="40" t="n">
        <v>21.5779799335257</v>
      </c>
      <c r="J316" s="36" t="n">
        <v>517.427064077595</v>
      </c>
      <c r="K316" s="35"/>
    </row>
    <row r="317" customFormat="false" ht="15" hidden="false" customHeight="false" outlineLevel="0" collapsed="true">
      <c r="A317" s="41" t="n">
        <v>46</v>
      </c>
      <c r="B317" s="41" t="s">
        <v>23</v>
      </c>
      <c r="C317" s="41" t="s">
        <v>157</v>
      </c>
      <c r="D317" s="41" t="s">
        <v>267</v>
      </c>
      <c r="E317" s="41" t="s">
        <v>43</v>
      </c>
      <c r="F317" s="41" t="str">
        <f aca="false">COUNTIFS(Trechos!$L$2:$L$275,A317)&amp;" vãos"</f>
        <v>1 vãos</v>
      </c>
      <c r="G317" s="41"/>
      <c r="H317" s="41"/>
      <c r="I317" s="42" t="n">
        <f aca="false">SUMIFS(Trechos!$F$2:$F$275,Trechos!$L$2:$L$275,A317)</f>
        <v>0.351143556282875</v>
      </c>
      <c r="J317" s="41"/>
      <c r="K317" s="41"/>
      <c r="L317" s="41" t="s">
        <v>144</v>
      </c>
      <c r="M317" s="41" t="s">
        <v>49</v>
      </c>
      <c r="N317" s="41" t="str">
        <f aca="false">Blocos!AA47</f>
        <v>0300040007</v>
      </c>
    </row>
    <row r="318" customFormat="false" ht="15" hidden="true" customHeight="false" outlineLevel="1" collapsed="false">
      <c r="F318" s="35" t="s">
        <v>819</v>
      </c>
      <c r="G318" s="35" t="s">
        <v>346</v>
      </c>
      <c r="H318" s="35" t="s">
        <v>820</v>
      </c>
      <c r="I318" s="40" t="n">
        <v>0.351143556282875</v>
      </c>
      <c r="J318" s="36" t="n">
        <v>892.535480135285</v>
      </c>
      <c r="K318" s="35"/>
    </row>
    <row r="319" customFormat="false" ht="15" hidden="false" customHeight="false" outlineLevel="0" collapsed="true">
      <c r="A319" s="43" t="n">
        <v>47</v>
      </c>
      <c r="B319" s="43" t="s">
        <v>24</v>
      </c>
      <c r="C319" s="43" t="s">
        <v>157</v>
      </c>
      <c r="D319" s="43" t="s">
        <v>267</v>
      </c>
      <c r="E319" s="43" t="s">
        <v>144</v>
      </c>
      <c r="F319" s="43" t="str">
        <f aca="false">COUNTIFS(Trechos!$L$2:$L$275,A319)&amp;" vãos"</f>
        <v>1 vãos</v>
      </c>
      <c r="G319" s="43"/>
      <c r="H319" s="43"/>
      <c r="I319" s="44" t="n">
        <f aca="false">SUMIFS(Trechos!$F$2:$F$275,Trechos!$L$2:$L$275,A319)</f>
        <v>3.05485468158191</v>
      </c>
      <c r="J319" s="43"/>
      <c r="K319" s="43"/>
      <c r="L319" s="43" t="s">
        <v>145</v>
      </c>
      <c r="M319" s="43" t="s">
        <v>49</v>
      </c>
      <c r="N319" s="43" t="str">
        <f aca="false">Blocos!AA48</f>
        <v>—</v>
      </c>
    </row>
    <row r="320" customFormat="false" ht="15" hidden="true" customHeight="false" outlineLevel="1" collapsed="false">
      <c r="F320" s="35" t="s">
        <v>821</v>
      </c>
      <c r="G320" s="35" t="s">
        <v>820</v>
      </c>
      <c r="H320" s="35" t="s">
        <v>822</v>
      </c>
      <c r="I320" s="40" t="n">
        <v>3.05485468158191</v>
      </c>
      <c r="J320" s="36" t="n">
        <v>3.05485468158213</v>
      </c>
      <c r="K320" s="35"/>
    </row>
    <row r="321" customFormat="false" ht="15" hidden="false" customHeight="false" outlineLevel="0" collapsed="true">
      <c r="A321" s="41" t="n">
        <v>48</v>
      </c>
      <c r="B321" s="41" t="s">
        <v>23</v>
      </c>
      <c r="C321" s="41" t="s">
        <v>157</v>
      </c>
      <c r="D321" s="41" t="s">
        <v>268</v>
      </c>
      <c r="E321" s="41" t="s">
        <v>43</v>
      </c>
      <c r="F321" s="41" t="str">
        <f aca="false">COUNTIFS(Trechos!$L$2:$L$275,A321)&amp;" vãos"</f>
        <v>2 vãos</v>
      </c>
      <c r="G321" s="41"/>
      <c r="H321" s="41"/>
      <c r="I321" s="42" t="n">
        <f aca="false">SUMIFS(Trechos!$F$2:$F$275,Trechos!$L$2:$L$275,A321)</f>
        <v>2.84738808040478</v>
      </c>
      <c r="J321" s="41"/>
      <c r="K321" s="41"/>
      <c r="L321" s="41" t="s">
        <v>148</v>
      </c>
      <c r="M321" s="41" t="s">
        <v>49</v>
      </c>
      <c r="N321" s="41" t="str">
        <f aca="false">Blocos!AA49</f>
        <v>—</v>
      </c>
    </row>
    <row r="322" customFormat="false" ht="15" hidden="true" customHeight="false" outlineLevel="1" collapsed="false">
      <c r="F322" s="35" t="s">
        <v>823</v>
      </c>
      <c r="G322" s="35" t="s">
        <v>348</v>
      </c>
      <c r="H322" s="35" t="s">
        <v>824</v>
      </c>
      <c r="I322" s="40" t="n">
        <v>0.312328820270645</v>
      </c>
      <c r="J322" s="36" t="n">
        <v>956.159455801925</v>
      </c>
      <c r="K322" s="35"/>
    </row>
    <row r="323" customFormat="false" ht="15" hidden="true" customHeight="false" outlineLevel="1" collapsed="false">
      <c r="F323" s="35" t="s">
        <v>825</v>
      </c>
      <c r="G323" s="35" t="s">
        <v>824</v>
      </c>
      <c r="H323" s="35" t="s">
        <v>152</v>
      </c>
      <c r="I323" s="40" t="n">
        <v>2.53505926013414</v>
      </c>
      <c r="J323" s="36" t="n">
        <v>958.694515062059</v>
      </c>
      <c r="K323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34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23" min="19" style="0" width="8"/>
    <col collapsed="false" customWidth="true" hidden="false" outlineLevel="0" max="24" min="24" style="0" width="34"/>
    <col collapsed="false" customWidth="true" hidden="false" outlineLevel="0" max="26" min="25" style="0" width="13"/>
    <col collapsed="false" customWidth="true" hidden="false" outlineLevel="0" max="27" min="27" style="0" width="8"/>
    <col collapsed="false" customWidth="true" hidden="false" outlineLevel="0" max="28" min="28" style="0" width="26"/>
  </cols>
  <sheetData>
    <row r="1" customFormat="false" ht="31.5" hidden="false" customHeight="true" outlineLevel="0" collapsed="false">
      <c r="A1" s="16" t="s">
        <v>826</v>
      </c>
      <c r="B1" s="16" t="s">
        <v>270</v>
      </c>
      <c r="C1" s="16" t="s">
        <v>827</v>
      </c>
      <c r="D1" s="16" t="s">
        <v>155</v>
      </c>
      <c r="E1" s="16" t="s">
        <v>271</v>
      </c>
      <c r="F1" s="16" t="s">
        <v>38</v>
      </c>
      <c r="G1" s="16" t="s">
        <v>828</v>
      </c>
      <c r="H1" s="16" t="s">
        <v>272</v>
      </c>
      <c r="I1" s="16" t="s">
        <v>1</v>
      </c>
      <c r="J1" s="16" t="s">
        <v>156</v>
      </c>
      <c r="K1" s="16" t="s">
        <v>157</v>
      </c>
      <c r="L1" s="16" t="s">
        <v>11</v>
      </c>
      <c r="M1" s="16" t="s">
        <v>7</v>
      </c>
      <c r="N1" s="16" t="s">
        <v>829</v>
      </c>
      <c r="O1" s="16" t="s">
        <v>830</v>
      </c>
      <c r="P1" s="16" t="s">
        <v>9</v>
      </c>
      <c r="Q1" s="16" t="s">
        <v>178</v>
      </c>
      <c r="R1" s="16" t="s">
        <v>160</v>
      </c>
      <c r="S1" s="16" t="s">
        <v>30</v>
      </c>
      <c r="T1" s="16" t="s">
        <v>31</v>
      </c>
      <c r="U1" s="16" t="s">
        <v>32</v>
      </c>
      <c r="V1" s="16" t="s">
        <v>33</v>
      </c>
      <c r="W1" s="16" t="s">
        <v>34</v>
      </c>
      <c r="X1" s="16" t="s">
        <v>161</v>
      </c>
      <c r="Y1" s="16" t="s">
        <v>831</v>
      </c>
      <c r="Z1" s="16" t="s">
        <v>832</v>
      </c>
      <c r="AA1" s="16" t="s">
        <v>833</v>
      </c>
      <c r="AB1" s="16" t="s">
        <v>834</v>
      </c>
    </row>
    <row r="2" customFormat="false" ht="15" hidden="false" customHeight="false" outlineLevel="0" collapsed="false">
      <c r="A2" s="35" t="n">
        <v>1</v>
      </c>
      <c r="B2" s="35" t="s">
        <v>275</v>
      </c>
      <c r="C2" s="35" t="s">
        <v>835</v>
      </c>
      <c r="D2" s="35" t="s">
        <v>276</v>
      </c>
      <c r="E2" s="35" t="s">
        <v>277</v>
      </c>
      <c r="F2" s="40" t="n">
        <v>41.5686602737969</v>
      </c>
      <c r="G2" s="36" t="n">
        <v>41.5686602737969</v>
      </c>
      <c r="H2" s="36" t="n">
        <v>41.5686602737969</v>
      </c>
      <c r="I2" s="5" t="s">
        <v>22</v>
      </c>
      <c r="J2" s="35" t="s">
        <v>5</v>
      </c>
      <c r="K2" s="35" t="s">
        <v>5</v>
      </c>
      <c r="L2" s="35" t="n">
        <v>1</v>
      </c>
      <c r="M2" s="35" t="s">
        <v>42</v>
      </c>
      <c r="N2" s="35" t="s">
        <v>836</v>
      </c>
      <c r="O2" s="35" t="s">
        <v>43</v>
      </c>
      <c r="P2" s="35" t="s">
        <v>837</v>
      </c>
      <c r="Q2" s="35" t="n">
        <v>23</v>
      </c>
      <c r="R2" s="35"/>
      <c r="S2" s="35" t="s">
        <v>42</v>
      </c>
      <c r="T2" s="35"/>
      <c r="U2" s="35"/>
      <c r="V2" s="35"/>
      <c r="W2" s="35"/>
      <c r="X2" s="35" t="s">
        <v>42</v>
      </c>
      <c r="Y2" s="35" t="n">
        <v>-9.5767105</v>
      </c>
      <c r="Z2" s="35" t="n">
        <v>-48.3956255</v>
      </c>
      <c r="AA2" s="49" t="s">
        <v>838</v>
      </c>
      <c r="AB2" s="35" t="s">
        <v>839</v>
      </c>
    </row>
    <row r="3" customFormat="false" ht="15" hidden="false" customHeight="false" outlineLevel="0" collapsed="false">
      <c r="A3" s="35" t="n">
        <v>2</v>
      </c>
      <c r="B3" s="35" t="s">
        <v>278</v>
      </c>
      <c r="C3" s="35" t="s">
        <v>840</v>
      </c>
      <c r="D3" s="35" t="s">
        <v>277</v>
      </c>
      <c r="E3" s="35" t="s">
        <v>279</v>
      </c>
      <c r="F3" s="40" t="n">
        <v>1.68227778068048</v>
      </c>
      <c r="G3" s="36" t="n">
        <v>43.2509380544774</v>
      </c>
      <c r="H3" s="36" t="n">
        <v>43.2509380544774</v>
      </c>
      <c r="I3" s="5" t="s">
        <v>22</v>
      </c>
      <c r="J3" s="35" t="s">
        <v>5</v>
      </c>
      <c r="K3" s="35" t="s">
        <v>5</v>
      </c>
      <c r="L3" s="35" t="n">
        <v>1</v>
      </c>
      <c r="M3" s="35" t="s">
        <v>42</v>
      </c>
      <c r="N3" s="35" t="s">
        <v>836</v>
      </c>
      <c r="O3" s="35" t="s">
        <v>43</v>
      </c>
      <c r="P3" s="35" t="s">
        <v>837</v>
      </c>
      <c r="Q3" s="35" t="n">
        <v>23</v>
      </c>
      <c r="R3" s="35" t="s">
        <v>280</v>
      </c>
      <c r="S3" s="35" t="s">
        <v>42</v>
      </c>
      <c r="T3" s="35"/>
      <c r="U3" s="35"/>
      <c r="V3" s="35"/>
      <c r="W3" s="35"/>
      <c r="X3" s="35" t="s">
        <v>42</v>
      </c>
      <c r="Y3" s="35" t="n">
        <v>-9.5765665</v>
      </c>
      <c r="Z3" s="35" t="n">
        <v>-48.395754</v>
      </c>
      <c r="AA3" s="49" t="s">
        <v>838</v>
      </c>
      <c r="AB3" s="35" t="s">
        <v>839</v>
      </c>
    </row>
    <row r="4" customFormat="false" ht="15" hidden="false" customHeight="false" outlineLevel="0" collapsed="false">
      <c r="A4" s="35" t="n">
        <v>3</v>
      </c>
      <c r="B4" s="35" t="s">
        <v>281</v>
      </c>
      <c r="C4" s="35" t="s">
        <v>841</v>
      </c>
      <c r="D4" s="35" t="s">
        <v>279</v>
      </c>
      <c r="E4" s="35" t="s">
        <v>282</v>
      </c>
      <c r="F4" s="40" t="n">
        <v>280.079552813108</v>
      </c>
      <c r="G4" s="36" t="n">
        <v>323.330490867585</v>
      </c>
      <c r="H4" s="36" t="n">
        <v>323.330490867585</v>
      </c>
      <c r="I4" s="5" t="s">
        <v>22</v>
      </c>
      <c r="J4" s="35" t="s">
        <v>5</v>
      </c>
      <c r="K4" s="35" t="s">
        <v>5</v>
      </c>
      <c r="L4" s="35" t="n">
        <v>1</v>
      </c>
      <c r="M4" s="35" t="s">
        <v>42</v>
      </c>
      <c r="N4" s="35" t="s">
        <v>836</v>
      </c>
      <c r="O4" s="35" t="s">
        <v>43</v>
      </c>
      <c r="P4" s="35" t="s">
        <v>837</v>
      </c>
      <c r="Q4" s="35" t="n">
        <v>23</v>
      </c>
      <c r="R4" s="35"/>
      <c r="S4" s="35" t="s">
        <v>42</v>
      </c>
      <c r="T4" s="35"/>
      <c r="U4" s="35"/>
      <c r="V4" s="35"/>
      <c r="W4" s="35"/>
      <c r="X4" s="35" t="s">
        <v>42</v>
      </c>
      <c r="Y4" s="35" t="n">
        <v>-9.575339</v>
      </c>
      <c r="Z4" s="35" t="n">
        <v>-48.395436</v>
      </c>
      <c r="AA4" s="49" t="s">
        <v>838</v>
      </c>
      <c r="AB4" s="35" t="s">
        <v>839</v>
      </c>
    </row>
    <row r="5" customFormat="false" ht="15" hidden="false" customHeight="false" outlineLevel="0" collapsed="false">
      <c r="A5" s="35" t="n">
        <v>4</v>
      </c>
      <c r="B5" s="35" t="s">
        <v>283</v>
      </c>
      <c r="C5" s="35" t="s">
        <v>842</v>
      </c>
      <c r="D5" s="35" t="s">
        <v>282</v>
      </c>
      <c r="E5" s="35" t="s">
        <v>284</v>
      </c>
      <c r="F5" s="40" t="n">
        <v>1.61733158555359</v>
      </c>
      <c r="G5" s="36" t="n">
        <v>324.947822453139</v>
      </c>
      <c r="H5" s="36" t="n">
        <v>324.947822453139</v>
      </c>
      <c r="I5" s="5" t="s">
        <v>22</v>
      </c>
      <c r="J5" s="35" t="s">
        <v>5</v>
      </c>
      <c r="K5" s="35" t="s">
        <v>5</v>
      </c>
      <c r="L5" s="35" t="n">
        <v>1</v>
      </c>
      <c r="M5" s="35" t="s">
        <v>42</v>
      </c>
      <c r="N5" s="35" t="s">
        <v>836</v>
      </c>
      <c r="O5" s="35" t="s">
        <v>43</v>
      </c>
      <c r="P5" s="35" t="s">
        <v>837</v>
      </c>
      <c r="Q5" s="35" t="n">
        <v>23</v>
      </c>
      <c r="R5" s="35" t="s">
        <v>285</v>
      </c>
      <c r="S5" s="35" t="s">
        <v>42</v>
      </c>
      <c r="T5" s="35"/>
      <c r="U5" s="35"/>
      <c r="V5" s="35"/>
      <c r="W5" s="35"/>
      <c r="X5" s="35" t="s">
        <v>42</v>
      </c>
      <c r="Y5" s="35" t="n">
        <v>-9.574112</v>
      </c>
      <c r="Z5" s="35" t="n">
        <v>-48.395117</v>
      </c>
      <c r="AA5" s="49" t="s">
        <v>838</v>
      </c>
      <c r="AB5" s="35" t="s">
        <v>839</v>
      </c>
    </row>
    <row r="6" customFormat="false" ht="15" hidden="false" customHeight="false" outlineLevel="0" collapsed="false">
      <c r="A6" s="35" t="n">
        <v>5</v>
      </c>
      <c r="B6" s="35" t="s">
        <v>286</v>
      </c>
      <c r="C6" s="35" t="s">
        <v>843</v>
      </c>
      <c r="D6" s="35" t="s">
        <v>284</v>
      </c>
      <c r="E6" s="35" t="s">
        <v>287</v>
      </c>
      <c r="F6" s="40" t="n">
        <v>14.3981090639567</v>
      </c>
      <c r="G6" s="36" t="n">
        <v>339.345931517095</v>
      </c>
      <c r="H6" s="36" t="n">
        <v>339.345931517095</v>
      </c>
      <c r="I6" s="5" t="s">
        <v>22</v>
      </c>
      <c r="J6" s="35" t="s">
        <v>5</v>
      </c>
      <c r="K6" s="35" t="s">
        <v>5</v>
      </c>
      <c r="L6" s="35" t="n">
        <v>1</v>
      </c>
      <c r="M6" s="35" t="s">
        <v>42</v>
      </c>
      <c r="N6" s="35" t="s">
        <v>836</v>
      </c>
      <c r="O6" s="35" t="s">
        <v>43</v>
      </c>
      <c r="P6" s="35" t="s">
        <v>837</v>
      </c>
      <c r="Q6" s="35" t="n">
        <v>23</v>
      </c>
      <c r="R6" s="35"/>
      <c r="S6" s="35" t="s">
        <v>42</v>
      </c>
      <c r="T6" s="35"/>
      <c r="U6" s="35"/>
      <c r="V6" s="35"/>
      <c r="W6" s="35"/>
      <c r="X6" s="35" t="s">
        <v>42</v>
      </c>
      <c r="Y6" s="35" t="n">
        <v>-9.574044</v>
      </c>
      <c r="Z6" s="35" t="n">
        <v>-48.395093</v>
      </c>
      <c r="AA6" s="49" t="s">
        <v>838</v>
      </c>
      <c r="AB6" s="35" t="s">
        <v>839</v>
      </c>
    </row>
    <row r="7" customFormat="false" ht="15" hidden="false" customHeight="false" outlineLevel="0" collapsed="false">
      <c r="A7" s="35" t="n">
        <v>6</v>
      </c>
      <c r="B7" s="35" t="s">
        <v>288</v>
      </c>
      <c r="C7" s="35" t="s">
        <v>844</v>
      </c>
      <c r="D7" s="35" t="s">
        <v>287</v>
      </c>
      <c r="E7" s="35" t="s">
        <v>289</v>
      </c>
      <c r="F7" s="40" t="n">
        <v>170.415166328657</v>
      </c>
      <c r="G7" s="36" t="n">
        <v>509.761097845752</v>
      </c>
      <c r="H7" s="36" t="n">
        <v>509.761097845752</v>
      </c>
      <c r="I7" s="5" t="s">
        <v>22</v>
      </c>
      <c r="J7" s="35" t="s">
        <v>5</v>
      </c>
      <c r="K7" s="35" t="s">
        <v>5</v>
      </c>
      <c r="L7" s="35" t="n">
        <v>1</v>
      </c>
      <c r="M7" s="35" t="s">
        <v>42</v>
      </c>
      <c r="N7" s="35" t="s">
        <v>836</v>
      </c>
      <c r="O7" s="35" t="s">
        <v>43</v>
      </c>
      <c r="P7" s="35" t="s">
        <v>845</v>
      </c>
      <c r="Q7" s="35" t="n">
        <v>21</v>
      </c>
      <c r="R7" s="35"/>
      <c r="S7" s="35" t="s">
        <v>42</v>
      </c>
      <c r="T7" s="35"/>
      <c r="U7" s="35"/>
      <c r="V7" s="35"/>
      <c r="W7" s="35"/>
      <c r="X7" s="35" t="s">
        <v>42</v>
      </c>
      <c r="Y7" s="35" t="n">
        <v>-9.573242</v>
      </c>
      <c r="Z7" s="35" t="n">
        <v>-48.394873</v>
      </c>
      <c r="AA7" s="49" t="s">
        <v>838</v>
      </c>
      <c r="AB7" s="35" t="s">
        <v>839</v>
      </c>
    </row>
    <row r="8" customFormat="false" ht="15" hidden="false" customHeight="false" outlineLevel="0" collapsed="false">
      <c r="A8" s="35" t="n">
        <v>7</v>
      </c>
      <c r="B8" s="35" t="s">
        <v>290</v>
      </c>
      <c r="C8" s="35" t="s">
        <v>846</v>
      </c>
      <c r="D8" s="35" t="s">
        <v>289</v>
      </c>
      <c r="E8" s="35" t="s">
        <v>291</v>
      </c>
      <c r="F8" s="40" t="n">
        <v>304.821910010754</v>
      </c>
      <c r="G8" s="36" t="n">
        <v>814.583007856506</v>
      </c>
      <c r="H8" s="36" t="n">
        <v>814.583007856506</v>
      </c>
      <c r="I8" s="5" t="s">
        <v>22</v>
      </c>
      <c r="J8" s="35" t="s">
        <v>5</v>
      </c>
      <c r="K8" s="35" t="s">
        <v>5</v>
      </c>
      <c r="L8" s="35" t="n">
        <v>1</v>
      </c>
      <c r="M8" s="35" t="s">
        <v>42</v>
      </c>
      <c r="N8" s="35" t="s">
        <v>836</v>
      </c>
      <c r="O8" s="35" t="s">
        <v>43</v>
      </c>
      <c r="P8" s="35" t="s">
        <v>847</v>
      </c>
      <c r="Q8" s="35" t="n">
        <v>20</v>
      </c>
      <c r="R8" s="35"/>
      <c r="S8" s="35" t="s">
        <v>42</v>
      </c>
      <c r="T8" s="35"/>
      <c r="U8" s="35"/>
      <c r="V8" s="35"/>
      <c r="W8" s="35"/>
      <c r="X8" s="35" t="s">
        <v>42</v>
      </c>
      <c r="Y8" s="35" t="n">
        <v>-9.5711775</v>
      </c>
      <c r="Z8" s="35" t="n">
        <v>-48.3943135</v>
      </c>
      <c r="AA8" s="49" t="s">
        <v>838</v>
      </c>
      <c r="AB8" s="35" t="s">
        <v>839</v>
      </c>
    </row>
    <row r="9" customFormat="false" ht="15" hidden="false" customHeight="false" outlineLevel="0" collapsed="false">
      <c r="A9" s="35" t="n">
        <v>8</v>
      </c>
      <c r="B9" s="35" t="s">
        <v>292</v>
      </c>
      <c r="C9" s="35" t="s">
        <v>848</v>
      </c>
      <c r="D9" s="35" t="s">
        <v>291</v>
      </c>
      <c r="E9" s="35" t="s">
        <v>293</v>
      </c>
      <c r="F9" s="40" t="n">
        <v>48.1595342127834</v>
      </c>
      <c r="G9" s="36" t="n">
        <v>862.742542069289</v>
      </c>
      <c r="H9" s="36" t="n">
        <v>862.742542069289</v>
      </c>
      <c r="I9" s="5" t="s">
        <v>22</v>
      </c>
      <c r="J9" s="35" t="s">
        <v>5</v>
      </c>
      <c r="K9" s="35" t="s">
        <v>5</v>
      </c>
      <c r="L9" s="35" t="n">
        <v>1</v>
      </c>
      <c r="M9" s="35" t="s">
        <v>42</v>
      </c>
      <c r="N9" s="35" t="s">
        <v>836</v>
      </c>
      <c r="O9" s="35" t="s">
        <v>43</v>
      </c>
      <c r="P9" s="35" t="s">
        <v>847</v>
      </c>
      <c r="Q9" s="35" t="n">
        <v>20</v>
      </c>
      <c r="R9" s="35"/>
      <c r="S9" s="35" t="s">
        <v>42</v>
      </c>
      <c r="T9" s="35"/>
      <c r="U9" s="35"/>
      <c r="V9" s="35"/>
      <c r="W9" s="35"/>
      <c r="X9" s="35" t="s">
        <v>42</v>
      </c>
      <c r="Y9" s="35" t="n">
        <v>-9.569645</v>
      </c>
      <c r="Z9" s="35" t="n">
        <v>-48.3938945</v>
      </c>
      <c r="AA9" s="49" t="s">
        <v>838</v>
      </c>
      <c r="AB9" s="35" t="s">
        <v>839</v>
      </c>
    </row>
    <row r="10" customFormat="false" ht="15" hidden="false" customHeight="false" outlineLevel="0" collapsed="false">
      <c r="A10" s="35" t="n">
        <v>9</v>
      </c>
      <c r="B10" s="35" t="s">
        <v>294</v>
      </c>
      <c r="C10" s="35" t="s">
        <v>849</v>
      </c>
      <c r="D10" s="35" t="s">
        <v>293</v>
      </c>
      <c r="E10" s="35" t="s">
        <v>295</v>
      </c>
      <c r="F10" s="40" t="n">
        <v>83.2315154214077</v>
      </c>
      <c r="G10" s="36" t="n">
        <v>945.974057490697</v>
      </c>
      <c r="H10" s="36" t="n">
        <v>945.974057490697</v>
      </c>
      <c r="I10" s="5" t="s">
        <v>22</v>
      </c>
      <c r="J10" s="35" t="s">
        <v>5</v>
      </c>
      <c r="K10" s="35" t="s">
        <v>5</v>
      </c>
      <c r="L10" s="35" t="n">
        <v>1</v>
      </c>
      <c r="M10" s="35" t="s">
        <v>42</v>
      </c>
      <c r="N10" s="35" t="s">
        <v>836</v>
      </c>
      <c r="O10" s="35" t="s">
        <v>43</v>
      </c>
      <c r="P10" s="35" t="s">
        <v>847</v>
      </c>
      <c r="Q10" s="35" t="n">
        <v>20</v>
      </c>
      <c r="R10" s="35"/>
      <c r="S10" s="35" t="s">
        <v>42</v>
      </c>
      <c r="T10" s="35"/>
      <c r="U10" s="35"/>
      <c r="V10" s="35"/>
      <c r="W10" s="35"/>
      <c r="X10" s="35" t="s">
        <v>42</v>
      </c>
      <c r="Y10" s="35" t="n">
        <v>-9.569542</v>
      </c>
      <c r="Z10" s="35" t="n">
        <v>-48.393473</v>
      </c>
      <c r="AA10" s="49" t="s">
        <v>838</v>
      </c>
      <c r="AB10" s="35" t="s">
        <v>839</v>
      </c>
    </row>
    <row r="11" customFormat="false" ht="15" hidden="false" customHeight="false" outlineLevel="0" collapsed="false">
      <c r="A11" s="35" t="n">
        <v>10</v>
      </c>
      <c r="B11" s="35" t="s">
        <v>296</v>
      </c>
      <c r="C11" s="35" t="s">
        <v>850</v>
      </c>
      <c r="D11" s="35" t="s">
        <v>295</v>
      </c>
      <c r="E11" s="35" t="s">
        <v>297</v>
      </c>
      <c r="F11" s="40" t="n">
        <v>3.81951308454351</v>
      </c>
      <c r="G11" s="36" t="n">
        <v>949.79357057524</v>
      </c>
      <c r="H11" s="36" t="n">
        <v>949.79357057524</v>
      </c>
      <c r="I11" s="5" t="s">
        <v>22</v>
      </c>
      <c r="J11" s="35" t="s">
        <v>5</v>
      </c>
      <c r="K11" s="35" t="s">
        <v>5</v>
      </c>
      <c r="L11" s="35" t="n">
        <v>1</v>
      </c>
      <c r="M11" s="35" t="s">
        <v>42</v>
      </c>
      <c r="N11" s="35" t="s">
        <v>836</v>
      </c>
      <c r="O11" s="35" t="s">
        <v>43</v>
      </c>
      <c r="P11" s="35" t="s">
        <v>847</v>
      </c>
      <c r="Q11" s="35" t="n">
        <v>20</v>
      </c>
      <c r="R11" s="35" t="s">
        <v>298</v>
      </c>
      <c r="S11" s="35" t="s">
        <v>42</v>
      </c>
      <c r="T11" s="35"/>
      <c r="U11" s="35"/>
      <c r="V11" s="35"/>
      <c r="W11" s="35"/>
      <c r="X11" s="35" t="s">
        <v>42</v>
      </c>
      <c r="Y11" s="35" t="n">
        <v>-9.5696535</v>
      </c>
      <c r="Z11" s="35" t="n">
        <v>-48.3930925</v>
      </c>
      <c r="AA11" s="49" t="s">
        <v>838</v>
      </c>
      <c r="AB11" s="35" t="s">
        <v>839</v>
      </c>
    </row>
    <row r="12" customFormat="false" ht="15" hidden="false" customHeight="false" outlineLevel="0" collapsed="false">
      <c r="A12" s="35" t="n">
        <v>11</v>
      </c>
      <c r="B12" s="35" t="s">
        <v>299</v>
      </c>
      <c r="C12" s="35" t="s">
        <v>851</v>
      </c>
      <c r="D12" s="35" t="s">
        <v>297</v>
      </c>
      <c r="E12" s="35" t="s">
        <v>300</v>
      </c>
      <c r="F12" s="40" t="n">
        <v>103.146237096173</v>
      </c>
      <c r="G12" s="36" t="n">
        <v>1052.93980767141</v>
      </c>
      <c r="H12" s="36" t="n">
        <v>1052.93980767141</v>
      </c>
      <c r="I12" s="5" t="s">
        <v>22</v>
      </c>
      <c r="J12" s="35" t="s">
        <v>5</v>
      </c>
      <c r="K12" s="35" t="s">
        <v>5</v>
      </c>
      <c r="L12" s="35" t="n">
        <v>1</v>
      </c>
      <c r="M12" s="35" t="s">
        <v>42</v>
      </c>
      <c r="N12" s="35" t="s">
        <v>836</v>
      </c>
      <c r="O12" s="35" t="s">
        <v>43</v>
      </c>
      <c r="P12" s="35" t="s">
        <v>847</v>
      </c>
      <c r="Q12" s="35" t="n">
        <v>20</v>
      </c>
      <c r="R12" s="35"/>
      <c r="S12" s="35" t="s">
        <v>42</v>
      </c>
      <c r="T12" s="35"/>
      <c r="U12" s="35"/>
      <c r="V12" s="35"/>
      <c r="W12" s="35"/>
      <c r="X12" s="35" t="s">
        <v>42</v>
      </c>
      <c r="Y12" s="35" t="n">
        <v>-9.569789</v>
      </c>
      <c r="Z12" s="35" t="n">
        <v>-48.3926245</v>
      </c>
      <c r="AA12" s="49" t="s">
        <v>838</v>
      </c>
      <c r="AB12" s="35" t="s">
        <v>839</v>
      </c>
    </row>
    <row r="13" customFormat="false" ht="15" hidden="false" customHeight="false" outlineLevel="0" collapsed="false">
      <c r="A13" s="35" t="n">
        <v>12</v>
      </c>
      <c r="B13" s="35" t="s">
        <v>301</v>
      </c>
      <c r="C13" s="35" t="s">
        <v>852</v>
      </c>
      <c r="D13" s="35" t="s">
        <v>300</v>
      </c>
      <c r="E13" s="35" t="s">
        <v>302</v>
      </c>
      <c r="F13" s="40" t="n">
        <v>29.4657245528422</v>
      </c>
      <c r="G13" s="36" t="n">
        <v>1082.40553222426</v>
      </c>
      <c r="H13" s="36" t="n">
        <v>1082.40553222426</v>
      </c>
      <c r="I13" s="5" t="s">
        <v>22</v>
      </c>
      <c r="J13" s="35" t="s">
        <v>5</v>
      </c>
      <c r="K13" s="35" t="s">
        <v>5</v>
      </c>
      <c r="L13" s="35" t="n">
        <v>1</v>
      </c>
      <c r="M13" s="35" t="s">
        <v>42</v>
      </c>
      <c r="N13" s="35" t="s">
        <v>836</v>
      </c>
      <c r="O13" s="35" t="s">
        <v>43</v>
      </c>
      <c r="P13" s="35" t="s">
        <v>853</v>
      </c>
      <c r="Q13" s="35" t="n">
        <v>19</v>
      </c>
      <c r="R13" s="35"/>
      <c r="S13" s="35" t="s">
        <v>42</v>
      </c>
      <c r="T13" s="35"/>
      <c r="U13" s="35"/>
      <c r="V13" s="35"/>
      <c r="W13" s="35"/>
      <c r="X13" s="35" t="s">
        <v>42</v>
      </c>
      <c r="Y13" s="35" t="n">
        <v>-9.5699525</v>
      </c>
      <c r="Z13" s="35" t="n">
        <v>-48.392043</v>
      </c>
      <c r="AA13" s="49" t="s">
        <v>838</v>
      </c>
      <c r="AB13" s="35" t="s">
        <v>839</v>
      </c>
    </row>
    <row r="14" customFormat="false" ht="15" hidden="false" customHeight="false" outlineLevel="0" collapsed="false">
      <c r="A14" s="35" t="n">
        <v>13</v>
      </c>
      <c r="B14" s="35" t="s">
        <v>303</v>
      </c>
      <c r="C14" s="35" t="s">
        <v>854</v>
      </c>
      <c r="D14" s="35" t="s">
        <v>302</v>
      </c>
      <c r="E14" s="35" t="s">
        <v>304</v>
      </c>
      <c r="F14" s="40" t="n">
        <v>153.920259150211</v>
      </c>
      <c r="G14" s="36" t="n">
        <v>1236.32579137447</v>
      </c>
      <c r="H14" s="36" t="n">
        <v>1236.32579137447</v>
      </c>
      <c r="I14" s="5" t="s">
        <v>22</v>
      </c>
      <c r="J14" s="35" t="s">
        <v>5</v>
      </c>
      <c r="K14" s="35" t="s">
        <v>5</v>
      </c>
      <c r="L14" s="35" t="n">
        <v>1</v>
      </c>
      <c r="M14" s="35" t="s">
        <v>42</v>
      </c>
      <c r="N14" s="35" t="s">
        <v>836</v>
      </c>
      <c r="O14" s="35" t="s">
        <v>43</v>
      </c>
      <c r="P14" s="35" t="s">
        <v>855</v>
      </c>
      <c r="Q14" s="35" t="n">
        <v>16</v>
      </c>
      <c r="R14" s="35"/>
      <c r="S14" s="35" t="s">
        <v>42</v>
      </c>
      <c r="T14" s="35"/>
      <c r="U14" s="35"/>
      <c r="V14" s="35"/>
      <c r="W14" s="35"/>
      <c r="X14" s="35" t="s">
        <v>42</v>
      </c>
      <c r="Y14" s="35" t="n">
        <v>-9.56932</v>
      </c>
      <c r="Z14" s="35" t="n">
        <v>-48.391722</v>
      </c>
      <c r="AA14" s="49" t="s">
        <v>838</v>
      </c>
      <c r="AB14" s="35" t="s">
        <v>839</v>
      </c>
    </row>
    <row r="15" customFormat="false" ht="15" hidden="false" customHeight="false" outlineLevel="0" collapsed="false">
      <c r="A15" s="35" t="n">
        <v>14</v>
      </c>
      <c r="B15" s="35" t="s">
        <v>305</v>
      </c>
      <c r="C15" s="35" t="s">
        <v>856</v>
      </c>
      <c r="D15" s="35" t="s">
        <v>304</v>
      </c>
      <c r="E15" s="35" t="s">
        <v>306</v>
      </c>
      <c r="F15" s="40" t="n">
        <v>34.2682231671047</v>
      </c>
      <c r="G15" s="36" t="n">
        <v>1270.59401454157</v>
      </c>
      <c r="H15" s="36" t="n">
        <v>1270.59401454157</v>
      </c>
      <c r="I15" s="5" t="s">
        <v>22</v>
      </c>
      <c r="J15" s="35" t="s">
        <v>5</v>
      </c>
      <c r="K15" s="35" t="s">
        <v>5</v>
      </c>
      <c r="L15" s="35" t="n">
        <v>1</v>
      </c>
      <c r="M15" s="35" t="s">
        <v>42</v>
      </c>
      <c r="N15" s="35" t="s">
        <v>836</v>
      </c>
      <c r="O15" s="35" t="s">
        <v>43</v>
      </c>
      <c r="P15" s="35" t="s">
        <v>857</v>
      </c>
      <c r="Q15" s="35" t="n">
        <v>15</v>
      </c>
      <c r="R15" s="35"/>
      <c r="S15" s="35" t="s">
        <v>42</v>
      </c>
      <c r="T15" s="35"/>
      <c r="U15" s="35"/>
      <c r="V15" s="35"/>
      <c r="W15" s="35"/>
      <c r="X15" s="35" t="s">
        <v>42</v>
      </c>
      <c r="Y15" s="35" t="n">
        <v>-9.568506</v>
      </c>
      <c r="Z15" s="35" t="n">
        <v>-48.3914875</v>
      </c>
      <c r="AA15" s="49" t="s">
        <v>838</v>
      </c>
      <c r="AB15" s="35" t="s">
        <v>839</v>
      </c>
    </row>
    <row r="16" customFormat="false" ht="15" hidden="false" customHeight="false" outlineLevel="0" collapsed="false">
      <c r="A16" s="35" t="n">
        <v>15</v>
      </c>
      <c r="B16" s="35" t="s">
        <v>307</v>
      </c>
      <c r="C16" s="35" t="s">
        <v>858</v>
      </c>
      <c r="D16" s="35" t="s">
        <v>306</v>
      </c>
      <c r="E16" s="35" t="s">
        <v>308</v>
      </c>
      <c r="F16" s="40" t="n">
        <v>20.1929351071278</v>
      </c>
      <c r="G16" s="36" t="n">
        <v>1290.7869496487</v>
      </c>
      <c r="H16" s="36" t="n">
        <v>1290.7869496487</v>
      </c>
      <c r="I16" s="5" t="s">
        <v>22</v>
      </c>
      <c r="J16" s="35" t="s">
        <v>5</v>
      </c>
      <c r="K16" s="35" t="s">
        <v>5</v>
      </c>
      <c r="L16" s="35" t="n">
        <v>1</v>
      </c>
      <c r="M16" s="35" t="s">
        <v>42</v>
      </c>
      <c r="N16" s="35" t="s">
        <v>836</v>
      </c>
      <c r="O16" s="35" t="s">
        <v>43</v>
      </c>
      <c r="P16" s="35" t="s">
        <v>859</v>
      </c>
      <c r="Q16" s="35" t="n">
        <v>14</v>
      </c>
      <c r="R16" s="35"/>
      <c r="S16" s="35" t="s">
        <v>42</v>
      </c>
      <c r="T16" s="35"/>
      <c r="U16" s="35"/>
      <c r="V16" s="35"/>
      <c r="W16" s="35"/>
      <c r="X16" s="35" t="s">
        <v>42</v>
      </c>
      <c r="Y16" s="35" t="n">
        <v>-9.5682715</v>
      </c>
      <c r="Z16" s="35" t="n">
        <v>-48.391416</v>
      </c>
      <c r="AA16" s="49" t="s">
        <v>838</v>
      </c>
      <c r="AB16" s="35" t="s">
        <v>839</v>
      </c>
    </row>
    <row r="17" customFormat="false" ht="15" hidden="false" customHeight="false" outlineLevel="0" collapsed="false">
      <c r="A17" s="35" t="n">
        <v>16</v>
      </c>
      <c r="B17" s="35" t="s">
        <v>309</v>
      </c>
      <c r="C17" s="35" t="s">
        <v>860</v>
      </c>
      <c r="D17" s="35" t="s">
        <v>308</v>
      </c>
      <c r="E17" s="35" t="s">
        <v>310</v>
      </c>
      <c r="F17" s="40" t="n">
        <v>155.475646329179</v>
      </c>
      <c r="G17" s="36" t="n">
        <v>1446.26259597788</v>
      </c>
      <c r="H17" s="36" t="n">
        <v>1446.26259597788</v>
      </c>
      <c r="I17" s="5" t="s">
        <v>22</v>
      </c>
      <c r="J17" s="35" t="s">
        <v>5</v>
      </c>
      <c r="K17" s="35" t="s">
        <v>5</v>
      </c>
      <c r="L17" s="35" t="n">
        <v>1</v>
      </c>
      <c r="M17" s="35" t="s">
        <v>42</v>
      </c>
      <c r="N17" s="35" t="s">
        <v>836</v>
      </c>
      <c r="O17" s="35" t="s">
        <v>43</v>
      </c>
      <c r="P17" s="35" t="s">
        <v>861</v>
      </c>
      <c r="Q17" s="35" t="n">
        <v>13</v>
      </c>
      <c r="R17" s="35"/>
      <c r="S17" s="35" t="s">
        <v>42</v>
      </c>
      <c r="T17" s="35"/>
      <c r="U17" s="35"/>
      <c r="V17" s="35"/>
      <c r="W17" s="35"/>
      <c r="X17" s="35" t="s">
        <v>42</v>
      </c>
      <c r="Y17" s="35" t="n">
        <v>-9.5675165</v>
      </c>
      <c r="Z17" s="35" t="n">
        <v>-48.3911805</v>
      </c>
      <c r="AA17" s="49" t="s">
        <v>838</v>
      </c>
      <c r="AB17" s="35" t="s">
        <v>839</v>
      </c>
    </row>
    <row r="18" customFormat="false" ht="15" hidden="false" customHeight="false" outlineLevel="0" collapsed="false">
      <c r="A18" s="35" t="n">
        <v>17</v>
      </c>
      <c r="B18" s="35" t="s">
        <v>311</v>
      </c>
      <c r="C18" s="35" t="s">
        <v>862</v>
      </c>
      <c r="D18" s="35" t="s">
        <v>310</v>
      </c>
      <c r="E18" s="35" t="s">
        <v>312</v>
      </c>
      <c r="F18" s="40" t="n">
        <v>0.247951676164058</v>
      </c>
      <c r="G18" s="36" t="n">
        <v>1446.51054765404</v>
      </c>
      <c r="H18" s="36" t="n">
        <v>1446.51054765404</v>
      </c>
      <c r="I18" s="5" t="s">
        <v>22</v>
      </c>
      <c r="J18" s="35" t="s">
        <v>5</v>
      </c>
      <c r="K18" s="35" t="s">
        <v>5</v>
      </c>
      <c r="L18" s="35" t="n">
        <v>1</v>
      </c>
      <c r="M18" s="35" t="s">
        <v>42</v>
      </c>
      <c r="N18" s="35" t="s">
        <v>836</v>
      </c>
      <c r="O18" s="35" t="s">
        <v>43</v>
      </c>
      <c r="P18" s="35" t="s">
        <v>861</v>
      </c>
      <c r="Q18" s="35" t="n">
        <v>13</v>
      </c>
      <c r="R18" s="35"/>
      <c r="S18" s="35" t="s">
        <v>42</v>
      </c>
      <c r="T18" s="35"/>
      <c r="U18" s="35"/>
      <c r="V18" s="35"/>
      <c r="W18" s="35"/>
      <c r="X18" s="35" t="s">
        <v>42</v>
      </c>
      <c r="Y18" s="35" t="n">
        <v>-9.566847</v>
      </c>
      <c r="Z18" s="35" t="n">
        <v>-48.3909725</v>
      </c>
      <c r="AA18" s="49" t="s">
        <v>838</v>
      </c>
      <c r="AB18" s="35" t="s">
        <v>839</v>
      </c>
    </row>
    <row r="19" customFormat="false" ht="15" hidden="false" customHeight="false" outlineLevel="0" collapsed="false">
      <c r="A19" s="35" t="n">
        <v>18</v>
      </c>
      <c r="B19" s="35" t="s">
        <v>313</v>
      </c>
      <c r="C19" s="35" t="s">
        <v>863</v>
      </c>
      <c r="D19" s="35" t="s">
        <v>312</v>
      </c>
      <c r="E19" s="35" t="s">
        <v>314</v>
      </c>
      <c r="F19" s="40" t="n">
        <v>2.73961493952014</v>
      </c>
      <c r="G19" s="36" t="n">
        <v>1449.25016259356</v>
      </c>
      <c r="H19" s="36" t="n">
        <v>1449.25016259356</v>
      </c>
      <c r="I19" s="5" t="s">
        <v>22</v>
      </c>
      <c r="J19" s="35" t="s">
        <v>5</v>
      </c>
      <c r="K19" s="35" t="s">
        <v>5</v>
      </c>
      <c r="L19" s="35" t="n">
        <v>1</v>
      </c>
      <c r="M19" s="35" t="s">
        <v>42</v>
      </c>
      <c r="N19" s="35" t="s">
        <v>836</v>
      </c>
      <c r="O19" s="35" t="s">
        <v>43</v>
      </c>
      <c r="P19" s="35" t="s">
        <v>861</v>
      </c>
      <c r="Q19" s="35" t="n">
        <v>13</v>
      </c>
      <c r="R19" s="35"/>
      <c r="S19" s="35" t="s">
        <v>42</v>
      </c>
      <c r="T19" s="35"/>
      <c r="U19" s="35"/>
      <c r="V19" s="35"/>
      <c r="W19" s="35"/>
      <c r="X19" s="35" t="s">
        <v>42</v>
      </c>
      <c r="Y19" s="35" t="n">
        <v>-9.566838</v>
      </c>
      <c r="Z19" s="35" t="n">
        <v>-48.3909625</v>
      </c>
      <c r="AA19" s="49" t="s">
        <v>838</v>
      </c>
      <c r="AB19" s="35" t="s">
        <v>839</v>
      </c>
    </row>
    <row r="20" customFormat="false" ht="15" hidden="false" customHeight="false" outlineLevel="0" collapsed="false">
      <c r="A20" s="35" t="n">
        <v>19</v>
      </c>
      <c r="B20" s="35" t="s">
        <v>315</v>
      </c>
      <c r="C20" s="35" t="s">
        <v>864</v>
      </c>
      <c r="D20" s="35" t="s">
        <v>314</v>
      </c>
      <c r="E20" s="35" t="s">
        <v>316</v>
      </c>
      <c r="F20" s="40" t="n">
        <v>0.111194926553732</v>
      </c>
      <c r="G20" s="36" t="n">
        <v>1449.36135752012</v>
      </c>
      <c r="H20" s="36" t="n">
        <v>1449.36135752012</v>
      </c>
      <c r="I20" s="5" t="s">
        <v>22</v>
      </c>
      <c r="J20" s="35" t="s">
        <v>5</v>
      </c>
      <c r="K20" s="35" t="s">
        <v>5</v>
      </c>
      <c r="L20" s="35" t="n">
        <v>1</v>
      </c>
      <c r="M20" s="35" t="s">
        <v>42</v>
      </c>
      <c r="N20" s="35" t="s">
        <v>836</v>
      </c>
      <c r="O20" s="35" t="s">
        <v>43</v>
      </c>
      <c r="P20" s="35" t="s">
        <v>861</v>
      </c>
      <c r="Q20" s="35" t="n">
        <v>13</v>
      </c>
      <c r="R20" s="35"/>
      <c r="S20" s="35" t="s">
        <v>42</v>
      </c>
      <c r="T20" s="35"/>
      <c r="U20" s="35"/>
      <c r="V20" s="35"/>
      <c r="W20" s="35"/>
      <c r="X20" s="35" t="s">
        <v>42</v>
      </c>
      <c r="Y20" s="35" t="n">
        <v>-9.5668295</v>
      </c>
      <c r="Z20" s="35" t="n">
        <v>-48.390953</v>
      </c>
      <c r="AA20" s="49" t="s">
        <v>838</v>
      </c>
      <c r="AB20" s="35" t="s">
        <v>839</v>
      </c>
    </row>
    <row r="21" customFormat="false" ht="15" hidden="false" customHeight="false" outlineLevel="0" collapsed="false">
      <c r="A21" s="35" t="n">
        <v>20</v>
      </c>
      <c r="B21" s="35" t="s">
        <v>317</v>
      </c>
      <c r="C21" s="35" t="s">
        <v>865</v>
      </c>
      <c r="D21" s="35" t="s">
        <v>316</v>
      </c>
      <c r="E21" s="35" t="s">
        <v>318</v>
      </c>
      <c r="F21" s="40" t="n">
        <v>1.89686166765195</v>
      </c>
      <c r="G21" s="36" t="n">
        <v>1451.25821918777</v>
      </c>
      <c r="H21" s="36" t="n">
        <v>1.89686166765205</v>
      </c>
      <c r="I21" s="6" t="s">
        <v>23</v>
      </c>
      <c r="J21" s="35" t="s">
        <v>5</v>
      </c>
      <c r="K21" s="35" t="s">
        <v>5</v>
      </c>
      <c r="L21" s="35" t="n">
        <v>2</v>
      </c>
      <c r="M21" s="35" t="s">
        <v>43</v>
      </c>
      <c r="N21" s="35" t="s">
        <v>866</v>
      </c>
      <c r="O21" s="35" t="s">
        <v>45</v>
      </c>
      <c r="P21" s="35" t="s">
        <v>867</v>
      </c>
      <c r="Q21" s="35" t="n">
        <v>12</v>
      </c>
      <c r="R21" s="35"/>
      <c r="S21" s="35" t="s">
        <v>42</v>
      </c>
      <c r="T21" s="35" t="s">
        <v>43</v>
      </c>
      <c r="U21" s="35"/>
      <c r="V21" s="35"/>
      <c r="W21" s="35"/>
      <c r="X21" s="35" t="s">
        <v>868</v>
      </c>
      <c r="Y21" s="35" t="n">
        <v>-9.566821</v>
      </c>
      <c r="Z21" s="35" t="n">
        <v>-48.39095</v>
      </c>
      <c r="AA21" s="49" t="s">
        <v>838</v>
      </c>
      <c r="AB21" s="35" t="s">
        <v>869</v>
      </c>
    </row>
    <row r="22" customFormat="false" ht="15" hidden="false" customHeight="false" outlineLevel="0" collapsed="false">
      <c r="A22" s="35" t="n">
        <v>21</v>
      </c>
      <c r="B22" s="35" t="s">
        <v>319</v>
      </c>
      <c r="C22" s="35" t="s">
        <v>870</v>
      </c>
      <c r="D22" s="35" t="s">
        <v>318</v>
      </c>
      <c r="E22" s="35" t="s">
        <v>320</v>
      </c>
      <c r="F22" s="40" t="n">
        <v>0.247951680997651</v>
      </c>
      <c r="G22" s="36" t="n">
        <v>1451.50617086877</v>
      </c>
      <c r="H22" s="36" t="n">
        <v>2.14481334864968</v>
      </c>
      <c r="I22" s="6" t="s">
        <v>23</v>
      </c>
      <c r="J22" s="35" t="s">
        <v>5</v>
      </c>
      <c r="K22" s="35" t="s">
        <v>5</v>
      </c>
      <c r="L22" s="35" t="n">
        <v>2</v>
      </c>
      <c r="M22" s="35" t="s">
        <v>43</v>
      </c>
      <c r="N22" s="35" t="s">
        <v>866</v>
      </c>
      <c r="O22" s="35" t="s">
        <v>45</v>
      </c>
      <c r="P22" s="35" t="s">
        <v>867</v>
      </c>
      <c r="Q22" s="35" t="n">
        <v>12</v>
      </c>
      <c r="R22" s="35"/>
      <c r="S22" s="35" t="s">
        <v>42</v>
      </c>
      <c r="T22" s="35" t="s">
        <v>43</v>
      </c>
      <c r="U22" s="35"/>
      <c r="V22" s="35"/>
      <c r="W22" s="35"/>
      <c r="X22" s="35" t="s">
        <v>868</v>
      </c>
      <c r="Y22" s="35" t="n">
        <v>-9.566812</v>
      </c>
      <c r="Z22" s="35" t="n">
        <v>-48.3909475</v>
      </c>
      <c r="AA22" s="49" t="s">
        <v>838</v>
      </c>
      <c r="AB22" s="35" t="s">
        <v>869</v>
      </c>
    </row>
    <row r="23" customFormat="false" ht="15" hidden="false" customHeight="false" outlineLevel="0" collapsed="false">
      <c r="A23" s="35" t="n">
        <v>22</v>
      </c>
      <c r="B23" s="35" t="s">
        <v>321</v>
      </c>
      <c r="C23" s="35" t="s">
        <v>871</v>
      </c>
      <c r="D23" s="35" t="s">
        <v>320</v>
      </c>
      <c r="E23" s="35" t="s">
        <v>322</v>
      </c>
      <c r="F23" s="40" t="n">
        <v>2.74857490130394</v>
      </c>
      <c r="G23" s="36" t="n">
        <v>1454.25474577007</v>
      </c>
      <c r="H23" s="36" t="n">
        <v>4.89338824995366</v>
      </c>
      <c r="I23" s="6" t="s">
        <v>23</v>
      </c>
      <c r="J23" s="35" t="s">
        <v>5</v>
      </c>
      <c r="K23" s="35" t="s">
        <v>5</v>
      </c>
      <c r="L23" s="35" t="n">
        <v>2</v>
      </c>
      <c r="M23" s="35" t="s">
        <v>43</v>
      </c>
      <c r="N23" s="35" t="s">
        <v>866</v>
      </c>
      <c r="O23" s="35" t="s">
        <v>45</v>
      </c>
      <c r="P23" s="35" t="s">
        <v>867</v>
      </c>
      <c r="Q23" s="35" t="n">
        <v>12</v>
      </c>
      <c r="R23" s="35"/>
      <c r="S23" s="35" t="s">
        <v>42</v>
      </c>
      <c r="T23" s="35" t="s">
        <v>43</v>
      </c>
      <c r="U23" s="35"/>
      <c r="V23" s="35"/>
      <c r="W23" s="35"/>
      <c r="X23" s="35" t="s">
        <v>868</v>
      </c>
      <c r="Y23" s="35" t="n">
        <v>-9.566799</v>
      </c>
      <c r="Z23" s="35" t="n">
        <v>-48.390951</v>
      </c>
      <c r="AA23" s="49" t="s">
        <v>838</v>
      </c>
      <c r="AB23" s="35" t="s">
        <v>869</v>
      </c>
    </row>
    <row r="24" customFormat="false" ht="15" hidden="false" customHeight="false" outlineLevel="0" collapsed="false">
      <c r="A24" s="35" t="n">
        <v>23</v>
      </c>
      <c r="B24" s="35" t="s">
        <v>323</v>
      </c>
      <c r="C24" s="35" t="s">
        <v>872</v>
      </c>
      <c r="D24" s="35" t="s">
        <v>322</v>
      </c>
      <c r="E24" s="35" t="s">
        <v>324</v>
      </c>
      <c r="F24" s="40" t="n">
        <v>58.2150481530992</v>
      </c>
      <c r="G24" s="36" t="n">
        <v>1512.46979392317</v>
      </c>
      <c r="H24" s="36" t="n">
        <v>63.1084364030528</v>
      </c>
      <c r="I24" s="6" t="s">
        <v>23</v>
      </c>
      <c r="J24" s="35" t="s">
        <v>5</v>
      </c>
      <c r="K24" s="35" t="s">
        <v>5</v>
      </c>
      <c r="L24" s="35" t="n">
        <v>2</v>
      </c>
      <c r="M24" s="35" t="s">
        <v>43</v>
      </c>
      <c r="N24" s="35" t="s">
        <v>866</v>
      </c>
      <c r="O24" s="35" t="s">
        <v>45</v>
      </c>
      <c r="P24" s="35" t="s">
        <v>867</v>
      </c>
      <c r="Q24" s="35" t="n">
        <v>12</v>
      </c>
      <c r="R24" s="35"/>
      <c r="S24" s="35" t="s">
        <v>42</v>
      </c>
      <c r="T24" s="35" t="s">
        <v>43</v>
      </c>
      <c r="U24" s="35"/>
      <c r="V24" s="35"/>
      <c r="W24" s="35"/>
      <c r="X24" s="35" t="s">
        <v>868</v>
      </c>
      <c r="Y24" s="35" t="n">
        <v>-9.5665305</v>
      </c>
      <c r="Z24" s="35" t="n">
        <v>-48.391007</v>
      </c>
      <c r="AA24" s="49" t="s">
        <v>838</v>
      </c>
      <c r="AB24" s="35" t="s">
        <v>869</v>
      </c>
    </row>
    <row r="25" customFormat="false" ht="15" hidden="false" customHeight="false" outlineLevel="0" collapsed="false">
      <c r="A25" s="35" t="n">
        <v>24</v>
      </c>
      <c r="B25" s="35" t="s">
        <v>325</v>
      </c>
      <c r="C25" s="35" t="s">
        <v>873</v>
      </c>
      <c r="D25" s="35" t="s">
        <v>324</v>
      </c>
      <c r="E25" s="35" t="s">
        <v>326</v>
      </c>
      <c r="F25" s="40" t="n">
        <v>22.6609377612778</v>
      </c>
      <c r="G25" s="36" t="n">
        <v>1535.13073168445</v>
      </c>
      <c r="H25" s="36" t="n">
        <v>85.7693741643307</v>
      </c>
      <c r="I25" s="6" t="s">
        <v>23</v>
      </c>
      <c r="J25" s="35" t="s">
        <v>5</v>
      </c>
      <c r="K25" s="35" t="s">
        <v>5</v>
      </c>
      <c r="L25" s="35" t="n">
        <v>2</v>
      </c>
      <c r="M25" s="35" t="s">
        <v>43</v>
      </c>
      <c r="N25" s="35" t="s">
        <v>866</v>
      </c>
      <c r="O25" s="35" t="s">
        <v>45</v>
      </c>
      <c r="P25" s="35" t="s">
        <v>874</v>
      </c>
      <c r="Q25" s="35" t="n">
        <v>8</v>
      </c>
      <c r="R25" s="35"/>
      <c r="S25" s="35" t="s">
        <v>42</v>
      </c>
      <c r="T25" s="35" t="s">
        <v>43</v>
      </c>
      <c r="U25" s="35"/>
      <c r="V25" s="35"/>
      <c r="W25" s="35"/>
      <c r="X25" s="35" t="s">
        <v>868</v>
      </c>
      <c r="Y25" s="35" t="n">
        <v>-9.5662465</v>
      </c>
      <c r="Z25" s="35" t="n">
        <v>-48.3911595</v>
      </c>
      <c r="AA25" s="49" t="s">
        <v>838</v>
      </c>
      <c r="AB25" s="35" t="s">
        <v>869</v>
      </c>
    </row>
    <row r="26" customFormat="false" ht="15" hidden="false" customHeight="false" outlineLevel="0" collapsed="false">
      <c r="A26" s="35" t="n">
        <v>25</v>
      </c>
      <c r="B26" s="35" t="s">
        <v>327</v>
      </c>
      <c r="C26" s="35" t="s">
        <v>875</v>
      </c>
      <c r="D26" s="35" t="s">
        <v>326</v>
      </c>
      <c r="E26" s="35" t="s">
        <v>328</v>
      </c>
      <c r="F26" s="40" t="n">
        <v>41.1875634034595</v>
      </c>
      <c r="G26" s="36" t="n">
        <v>1576.31829508791</v>
      </c>
      <c r="H26" s="36" t="n">
        <v>126.95693756779</v>
      </c>
      <c r="I26" s="6" t="s">
        <v>23</v>
      </c>
      <c r="J26" s="35" t="s">
        <v>5</v>
      </c>
      <c r="K26" s="35" t="s">
        <v>5</v>
      </c>
      <c r="L26" s="35" t="n">
        <v>2</v>
      </c>
      <c r="M26" s="35" t="s">
        <v>43</v>
      </c>
      <c r="N26" s="35" t="s">
        <v>866</v>
      </c>
      <c r="O26" s="35" t="s">
        <v>45</v>
      </c>
      <c r="P26" s="35" t="s">
        <v>876</v>
      </c>
      <c r="Q26" s="35" t="n">
        <v>2</v>
      </c>
      <c r="R26" s="35"/>
      <c r="S26" s="35" t="s">
        <v>42</v>
      </c>
      <c r="T26" s="35" t="s">
        <v>43</v>
      </c>
      <c r="U26" s="35"/>
      <c r="V26" s="35"/>
      <c r="W26" s="35"/>
      <c r="X26" s="35" t="s">
        <v>868</v>
      </c>
      <c r="Y26" s="35" t="n">
        <v>-9.5661645</v>
      </c>
      <c r="Z26" s="35" t="n">
        <v>-48.3914385</v>
      </c>
      <c r="AA26" s="49" t="s">
        <v>838</v>
      </c>
      <c r="AB26" s="35" t="s">
        <v>869</v>
      </c>
    </row>
    <row r="27" customFormat="false" ht="15" hidden="false" customHeight="false" outlineLevel="0" collapsed="false">
      <c r="A27" s="35" t="n">
        <v>26</v>
      </c>
      <c r="B27" s="35" t="s">
        <v>329</v>
      </c>
      <c r="C27" s="35" t="s">
        <v>877</v>
      </c>
      <c r="D27" s="35" t="s">
        <v>328</v>
      </c>
      <c r="E27" s="35" t="s">
        <v>330</v>
      </c>
      <c r="F27" s="40" t="n">
        <v>95.1354207703853</v>
      </c>
      <c r="G27" s="36" t="n">
        <v>1671.45371585829</v>
      </c>
      <c r="H27" s="36" t="n">
        <v>222.092358338176</v>
      </c>
      <c r="I27" s="6" t="s">
        <v>23</v>
      </c>
      <c r="J27" s="35" t="s">
        <v>5</v>
      </c>
      <c r="K27" s="35" t="s">
        <v>5</v>
      </c>
      <c r="L27" s="35" t="n">
        <v>2</v>
      </c>
      <c r="M27" s="35" t="s">
        <v>43</v>
      </c>
      <c r="N27" s="35" t="s">
        <v>866</v>
      </c>
      <c r="O27" s="35" t="s">
        <v>45</v>
      </c>
      <c r="P27" s="35" t="s">
        <v>876</v>
      </c>
      <c r="Q27" s="35" t="n">
        <v>2</v>
      </c>
      <c r="R27" s="35"/>
      <c r="S27" s="35" t="s">
        <v>42</v>
      </c>
      <c r="T27" s="35" t="s">
        <v>43</v>
      </c>
      <c r="U27" s="35"/>
      <c r="V27" s="35"/>
      <c r="W27" s="35"/>
      <c r="X27" s="35" t="s">
        <v>868</v>
      </c>
      <c r="Y27" s="35" t="n">
        <v>-9.565987</v>
      </c>
      <c r="Z27" s="35" t="n">
        <v>-48.3920335</v>
      </c>
      <c r="AA27" s="49" t="s">
        <v>838</v>
      </c>
      <c r="AB27" s="35" t="s">
        <v>869</v>
      </c>
    </row>
    <row r="28" customFormat="false" ht="15" hidden="false" customHeight="false" outlineLevel="0" collapsed="false">
      <c r="A28" s="35" t="n">
        <v>27</v>
      </c>
      <c r="B28" s="35" t="s">
        <v>331</v>
      </c>
      <c r="C28" s="35" t="s">
        <v>878</v>
      </c>
      <c r="D28" s="35" t="s">
        <v>330</v>
      </c>
      <c r="E28" s="35" t="s">
        <v>332</v>
      </c>
      <c r="F28" s="40" t="n">
        <v>77.064586839911</v>
      </c>
      <c r="G28" s="36" t="n">
        <v>1748.5183026982</v>
      </c>
      <c r="H28" s="36" t="n">
        <v>299.156945178087</v>
      </c>
      <c r="I28" s="6" t="s">
        <v>23</v>
      </c>
      <c r="J28" s="35" t="s">
        <v>5</v>
      </c>
      <c r="K28" s="35" t="s">
        <v>5</v>
      </c>
      <c r="L28" s="35" t="n">
        <v>2</v>
      </c>
      <c r="M28" s="35" t="s">
        <v>43</v>
      </c>
      <c r="N28" s="35" t="s">
        <v>866</v>
      </c>
      <c r="O28" s="35" t="s">
        <v>45</v>
      </c>
      <c r="P28" s="35" t="s">
        <v>876</v>
      </c>
      <c r="Q28" s="35" t="n">
        <v>2</v>
      </c>
      <c r="R28" s="35"/>
      <c r="S28" s="35" t="s">
        <v>42</v>
      </c>
      <c r="T28" s="35" t="s">
        <v>43</v>
      </c>
      <c r="U28" s="35"/>
      <c r="V28" s="35"/>
      <c r="W28" s="35"/>
      <c r="X28" s="35" t="s">
        <v>868</v>
      </c>
      <c r="Y28" s="35" t="n">
        <v>-9.565749</v>
      </c>
      <c r="Z28" s="35" t="n">
        <v>-48.3927805</v>
      </c>
      <c r="AA28" s="49" t="s">
        <v>838</v>
      </c>
      <c r="AB28" s="35" t="s">
        <v>869</v>
      </c>
    </row>
    <row r="29" customFormat="false" ht="15" hidden="false" customHeight="false" outlineLevel="0" collapsed="false">
      <c r="A29" s="35" t="n">
        <v>28</v>
      </c>
      <c r="B29" s="35" t="s">
        <v>333</v>
      </c>
      <c r="C29" s="35" t="s">
        <v>879</v>
      </c>
      <c r="D29" s="35" t="s">
        <v>332</v>
      </c>
      <c r="E29" s="35" t="s">
        <v>334</v>
      </c>
      <c r="F29" s="40" t="n">
        <v>3.43832731970365</v>
      </c>
      <c r="G29" s="36" t="n">
        <v>1751.95663001791</v>
      </c>
      <c r="H29" s="36" t="n">
        <v>302.59527249779</v>
      </c>
      <c r="I29" s="6" t="s">
        <v>23</v>
      </c>
      <c r="J29" s="35" t="s">
        <v>5</v>
      </c>
      <c r="K29" s="35" t="s">
        <v>5</v>
      </c>
      <c r="L29" s="35" t="n">
        <v>2</v>
      </c>
      <c r="M29" s="35" t="s">
        <v>43</v>
      </c>
      <c r="N29" s="35" t="s">
        <v>866</v>
      </c>
      <c r="O29" s="35" t="s">
        <v>45</v>
      </c>
      <c r="P29" s="35" t="s">
        <v>876</v>
      </c>
      <c r="Q29" s="35" t="n">
        <v>2</v>
      </c>
      <c r="R29" s="35" t="s">
        <v>46</v>
      </c>
      <c r="S29" s="35" t="s">
        <v>42</v>
      </c>
      <c r="T29" s="35" t="s">
        <v>43</v>
      </c>
      <c r="U29" s="35"/>
      <c r="V29" s="35"/>
      <c r="W29" s="35"/>
      <c r="X29" s="35" t="s">
        <v>868</v>
      </c>
      <c r="Y29" s="35" t="n">
        <v>-9.5656295</v>
      </c>
      <c r="Z29" s="35" t="n">
        <v>-48.393127</v>
      </c>
      <c r="AA29" s="49" t="s">
        <v>838</v>
      </c>
      <c r="AB29" s="35" t="s">
        <v>869</v>
      </c>
    </row>
    <row r="30" customFormat="false" ht="15" hidden="false" customHeight="false" outlineLevel="0" collapsed="false">
      <c r="A30" s="35" t="n">
        <v>29</v>
      </c>
      <c r="B30" s="35" t="s">
        <v>335</v>
      </c>
      <c r="C30" s="35" t="s">
        <v>880</v>
      </c>
      <c r="D30" s="35" t="s">
        <v>334</v>
      </c>
      <c r="E30" s="35" t="s">
        <v>336</v>
      </c>
      <c r="F30" s="40" t="n">
        <v>148.457243420595</v>
      </c>
      <c r="G30" s="36" t="n">
        <v>1900.4138734385</v>
      </c>
      <c r="H30" s="36" t="n">
        <v>451.052515918385</v>
      </c>
      <c r="I30" s="6" t="s">
        <v>23</v>
      </c>
      <c r="J30" s="35" t="s">
        <v>5</v>
      </c>
      <c r="K30" s="35" t="s">
        <v>5</v>
      </c>
      <c r="L30" s="35" t="n">
        <v>2</v>
      </c>
      <c r="M30" s="35" t="s">
        <v>43</v>
      </c>
      <c r="N30" s="35" t="s">
        <v>866</v>
      </c>
      <c r="O30" s="35" t="s">
        <v>45</v>
      </c>
      <c r="P30" s="35" t="s">
        <v>876</v>
      </c>
      <c r="Q30" s="35" t="n">
        <v>2</v>
      </c>
      <c r="R30" s="35"/>
      <c r="S30" s="35" t="s">
        <v>42</v>
      </c>
      <c r="T30" s="35" t="s">
        <v>43</v>
      </c>
      <c r="U30" s="35"/>
      <c r="V30" s="35"/>
      <c r="W30" s="35"/>
      <c r="X30" s="35" t="s">
        <v>868</v>
      </c>
      <c r="Y30" s="35" t="n">
        <v>-9.565406</v>
      </c>
      <c r="Z30" s="35" t="n">
        <v>-48.3937815</v>
      </c>
      <c r="AA30" s="49" t="s">
        <v>838</v>
      </c>
      <c r="AB30" s="35" t="s">
        <v>869</v>
      </c>
    </row>
    <row r="31" customFormat="false" ht="15" hidden="false" customHeight="false" outlineLevel="0" collapsed="false">
      <c r="A31" s="35" t="n">
        <v>30</v>
      </c>
      <c r="B31" s="35" t="s">
        <v>337</v>
      </c>
      <c r="C31" s="35" t="s">
        <v>881</v>
      </c>
      <c r="D31" s="35" t="s">
        <v>336</v>
      </c>
      <c r="E31" s="35" t="s">
        <v>338</v>
      </c>
      <c r="F31" s="40" t="n">
        <v>38.0247299637103</v>
      </c>
      <c r="G31" s="36" t="n">
        <v>1938.43860340221</v>
      </c>
      <c r="H31" s="36" t="n">
        <v>489.077245882096</v>
      </c>
      <c r="I31" s="6" t="s">
        <v>23</v>
      </c>
      <c r="J31" s="35" t="s">
        <v>5</v>
      </c>
      <c r="K31" s="35" t="s">
        <v>5</v>
      </c>
      <c r="L31" s="35" t="n">
        <v>2</v>
      </c>
      <c r="M31" s="35" t="s">
        <v>43</v>
      </c>
      <c r="N31" s="35" t="s">
        <v>866</v>
      </c>
      <c r="O31" s="35" t="s">
        <v>45</v>
      </c>
      <c r="P31" s="35" t="s">
        <v>876</v>
      </c>
      <c r="Q31" s="35" t="n">
        <v>2</v>
      </c>
      <c r="R31" s="35"/>
      <c r="S31" s="35" t="s">
        <v>42</v>
      </c>
      <c r="T31" s="35" t="s">
        <v>43</v>
      </c>
      <c r="U31" s="35"/>
      <c r="V31" s="35"/>
      <c r="W31" s="35"/>
      <c r="X31" s="35" t="s">
        <v>868</v>
      </c>
      <c r="Y31" s="35" t="n">
        <v>-9.565136</v>
      </c>
      <c r="Z31" s="35" t="n">
        <v>-48.3945865</v>
      </c>
      <c r="AA31" s="49" t="s">
        <v>838</v>
      </c>
      <c r="AB31" s="35" t="s">
        <v>869</v>
      </c>
    </row>
    <row r="32" customFormat="false" ht="15" hidden="false" customHeight="false" outlineLevel="0" collapsed="false">
      <c r="A32" s="35" t="n">
        <v>31</v>
      </c>
      <c r="B32" s="35" t="s">
        <v>339</v>
      </c>
      <c r="C32" s="35" t="s">
        <v>882</v>
      </c>
      <c r="D32" s="35" t="s">
        <v>338</v>
      </c>
      <c r="E32" s="35" t="s">
        <v>340</v>
      </c>
      <c r="F32" s="40" t="n">
        <v>6.77183826197357</v>
      </c>
      <c r="G32" s="36" t="n">
        <v>1945.21044166419</v>
      </c>
      <c r="H32" s="36" t="n">
        <v>495.849084144069</v>
      </c>
      <c r="I32" s="6" t="s">
        <v>23</v>
      </c>
      <c r="J32" s="35" t="s">
        <v>5</v>
      </c>
      <c r="K32" s="35" t="s">
        <v>5</v>
      </c>
      <c r="L32" s="35" t="n">
        <v>2</v>
      </c>
      <c r="M32" s="35" t="s">
        <v>43</v>
      </c>
      <c r="N32" s="35" t="s">
        <v>866</v>
      </c>
      <c r="O32" s="35" t="s">
        <v>45</v>
      </c>
      <c r="P32" s="35" t="s">
        <v>144</v>
      </c>
      <c r="Q32" s="35" t="n">
        <v>1</v>
      </c>
      <c r="R32" s="35"/>
      <c r="S32" s="35" t="s">
        <v>42</v>
      </c>
      <c r="T32" s="35" t="s">
        <v>43</v>
      </c>
      <c r="U32" s="35"/>
      <c r="V32" s="35"/>
      <c r="W32" s="35"/>
      <c r="X32" s="35" t="s">
        <v>868</v>
      </c>
      <c r="Y32" s="35" t="n">
        <v>-9.565076</v>
      </c>
      <c r="Z32" s="35" t="n">
        <v>-48.3947815</v>
      </c>
      <c r="AA32" s="49" t="s">
        <v>838</v>
      </c>
      <c r="AB32" s="35" t="s">
        <v>869</v>
      </c>
    </row>
    <row r="33" customFormat="false" ht="15" hidden="false" customHeight="false" outlineLevel="0" collapsed="false">
      <c r="A33" s="35" t="n">
        <v>32</v>
      </c>
      <c r="B33" s="35" t="s">
        <v>341</v>
      </c>
      <c r="C33" s="35" t="s">
        <v>883</v>
      </c>
      <c r="D33" s="35" t="s">
        <v>340</v>
      </c>
      <c r="E33" s="35" t="s">
        <v>342</v>
      </c>
      <c r="F33" s="40" t="n">
        <v>287.454024667514</v>
      </c>
      <c r="G33" s="36" t="n">
        <v>2232.6644663317</v>
      </c>
      <c r="H33" s="36" t="n">
        <v>783.303108811583</v>
      </c>
      <c r="I33" s="6" t="s">
        <v>23</v>
      </c>
      <c r="J33" s="35" t="s">
        <v>5</v>
      </c>
      <c r="K33" s="35" t="s">
        <v>5</v>
      </c>
      <c r="L33" s="35" t="n">
        <v>2</v>
      </c>
      <c r="M33" s="35" t="s">
        <v>43</v>
      </c>
      <c r="N33" s="35" t="s">
        <v>866</v>
      </c>
      <c r="O33" s="35" t="s">
        <v>45</v>
      </c>
      <c r="P33" s="35" t="s">
        <v>144</v>
      </c>
      <c r="Q33" s="35" t="n">
        <v>1</v>
      </c>
      <c r="R33" s="35"/>
      <c r="S33" s="35" t="s">
        <v>42</v>
      </c>
      <c r="T33" s="35" t="s">
        <v>43</v>
      </c>
      <c r="U33" s="35"/>
      <c r="V33" s="35"/>
      <c r="W33" s="35"/>
      <c r="X33" s="35" t="s">
        <v>868</v>
      </c>
      <c r="Y33" s="35" t="n">
        <v>-9.5646795</v>
      </c>
      <c r="Z33" s="35" t="n">
        <v>-48.3960615</v>
      </c>
      <c r="AA33" s="49" t="s">
        <v>838</v>
      </c>
      <c r="AB33" s="35" t="s">
        <v>869</v>
      </c>
    </row>
    <row r="34" customFormat="false" ht="15" hidden="false" customHeight="false" outlineLevel="0" collapsed="false">
      <c r="A34" s="35" t="n">
        <v>33</v>
      </c>
      <c r="B34" s="35" t="s">
        <v>343</v>
      </c>
      <c r="C34" s="35" t="s">
        <v>884</v>
      </c>
      <c r="D34" s="35" t="s">
        <v>342</v>
      </c>
      <c r="E34" s="35" t="s">
        <v>344</v>
      </c>
      <c r="F34" s="40" t="n">
        <v>73.4157091567646</v>
      </c>
      <c r="G34" s="36" t="n">
        <v>2306.08017548846</v>
      </c>
      <c r="H34" s="36" t="n">
        <v>856.718817968347</v>
      </c>
      <c r="I34" s="6" t="s">
        <v>23</v>
      </c>
      <c r="J34" s="35" t="s">
        <v>5</v>
      </c>
      <c r="K34" s="35" t="s">
        <v>5</v>
      </c>
      <c r="L34" s="35" t="n">
        <v>2</v>
      </c>
      <c r="M34" s="35" t="s">
        <v>43</v>
      </c>
      <c r="N34" s="35" t="s">
        <v>866</v>
      </c>
      <c r="O34" s="35" t="s">
        <v>45</v>
      </c>
      <c r="P34" s="35" t="s">
        <v>144</v>
      </c>
      <c r="Q34" s="35" t="n">
        <v>1</v>
      </c>
      <c r="R34" s="35"/>
      <c r="S34" s="35" t="s">
        <v>42</v>
      </c>
      <c r="T34" s="35" t="s">
        <v>43</v>
      </c>
      <c r="U34" s="35"/>
      <c r="V34" s="35"/>
      <c r="W34" s="35"/>
      <c r="X34" s="35" t="s">
        <v>868</v>
      </c>
      <c r="Y34" s="35" t="n">
        <v>-9.564183</v>
      </c>
      <c r="Z34" s="35" t="n">
        <v>-48.397628</v>
      </c>
      <c r="AA34" s="49" t="s">
        <v>838</v>
      </c>
      <c r="AB34" s="35" t="s">
        <v>869</v>
      </c>
    </row>
    <row r="35" customFormat="false" ht="15" hidden="false" customHeight="false" outlineLevel="0" collapsed="false">
      <c r="A35" s="35" t="n">
        <v>34</v>
      </c>
      <c r="B35" s="35" t="s">
        <v>345</v>
      </c>
      <c r="C35" s="35" t="s">
        <v>885</v>
      </c>
      <c r="D35" s="35" t="s">
        <v>344</v>
      </c>
      <c r="E35" s="35" t="s">
        <v>346</v>
      </c>
      <c r="F35" s="40" t="n">
        <v>35.4655186106553</v>
      </c>
      <c r="G35" s="36" t="n">
        <v>2341.54569409912</v>
      </c>
      <c r="H35" s="36" t="n">
        <v>892.184336579003</v>
      </c>
      <c r="I35" s="6" t="s">
        <v>23</v>
      </c>
      <c r="J35" s="35" t="s">
        <v>5</v>
      </c>
      <c r="K35" s="35" t="s">
        <v>5</v>
      </c>
      <c r="L35" s="35" t="n">
        <v>2</v>
      </c>
      <c r="M35" s="35" t="s">
        <v>43</v>
      </c>
      <c r="N35" s="35" t="s">
        <v>866</v>
      </c>
      <c r="O35" s="35" t="s">
        <v>45</v>
      </c>
      <c r="P35" s="35" t="s">
        <v>144</v>
      </c>
      <c r="Q35" s="35" t="n">
        <v>1</v>
      </c>
      <c r="R35" s="35"/>
      <c r="S35" s="35" t="s">
        <v>42</v>
      </c>
      <c r="T35" s="35" t="s">
        <v>43</v>
      </c>
      <c r="U35" s="35"/>
      <c r="V35" s="35"/>
      <c r="W35" s="35"/>
      <c r="X35" s="35" t="s">
        <v>868</v>
      </c>
      <c r="Y35" s="35" t="n">
        <v>-9.564012</v>
      </c>
      <c r="Z35" s="35" t="n">
        <v>-48.398093</v>
      </c>
      <c r="AA35" s="49" t="s">
        <v>838</v>
      </c>
      <c r="AB35" s="35" t="s">
        <v>869</v>
      </c>
    </row>
    <row r="36" customFormat="false" ht="15" hidden="false" customHeight="false" outlineLevel="0" collapsed="false">
      <c r="A36" s="35" t="n">
        <v>35</v>
      </c>
      <c r="B36" s="35" t="s">
        <v>347</v>
      </c>
      <c r="C36" s="35" t="s">
        <v>886</v>
      </c>
      <c r="D36" s="35" t="s">
        <v>346</v>
      </c>
      <c r="E36" s="35" t="s">
        <v>348</v>
      </c>
      <c r="F36" s="40" t="n">
        <v>63.6627904026522</v>
      </c>
      <c r="G36" s="36" t="n">
        <v>2405.20848450177</v>
      </c>
      <c r="H36" s="36" t="n">
        <v>955.847126981655</v>
      </c>
      <c r="I36" s="6" t="s">
        <v>23</v>
      </c>
      <c r="J36" s="35" t="s">
        <v>5</v>
      </c>
      <c r="K36" s="35" t="s">
        <v>5</v>
      </c>
      <c r="L36" s="35" t="n">
        <v>2</v>
      </c>
      <c r="M36" s="35" t="s">
        <v>43</v>
      </c>
      <c r="N36" s="35" t="s">
        <v>866</v>
      </c>
      <c r="O36" s="35" t="s">
        <v>45</v>
      </c>
      <c r="P36" s="35" t="s">
        <v>49</v>
      </c>
      <c r="Q36" s="35" t="n">
        <v>0</v>
      </c>
      <c r="R36" s="35"/>
      <c r="S36" s="35" t="s">
        <v>42</v>
      </c>
      <c r="T36" s="35" t="s">
        <v>43</v>
      </c>
      <c r="U36" s="35"/>
      <c r="V36" s="35"/>
      <c r="W36" s="35"/>
      <c r="X36" s="35" t="s">
        <v>868</v>
      </c>
      <c r="Y36" s="35" t="n">
        <v>-9.5638105</v>
      </c>
      <c r="Z36" s="35" t="n">
        <v>-48.3984955</v>
      </c>
      <c r="AA36" s="49" t="s">
        <v>838</v>
      </c>
      <c r="AB36" s="35" t="s">
        <v>869</v>
      </c>
    </row>
    <row r="37" customFormat="false" ht="15" hidden="false" customHeight="false" outlineLevel="0" collapsed="false">
      <c r="A37" s="35" t="n">
        <v>36</v>
      </c>
      <c r="B37" s="35" t="s">
        <v>349</v>
      </c>
      <c r="C37" s="35" t="s">
        <v>887</v>
      </c>
      <c r="D37" s="35" t="s">
        <v>348</v>
      </c>
      <c r="E37" s="35" t="s">
        <v>350</v>
      </c>
      <c r="F37" s="40" t="n">
        <v>4.56251387232822</v>
      </c>
      <c r="G37" s="36" t="n">
        <v>2409.7709983741</v>
      </c>
      <c r="H37" s="36" t="n">
        <v>960.409640853983</v>
      </c>
      <c r="I37" s="6" t="s">
        <v>23</v>
      </c>
      <c r="J37" s="35" t="s">
        <v>5</v>
      </c>
      <c r="K37" s="35" t="s">
        <v>5</v>
      </c>
      <c r="L37" s="35" t="n">
        <v>2</v>
      </c>
      <c r="M37" s="35" t="s">
        <v>43</v>
      </c>
      <c r="N37" s="35" t="s">
        <v>866</v>
      </c>
      <c r="O37" s="35" t="s">
        <v>45</v>
      </c>
      <c r="P37" s="35" t="s">
        <v>49</v>
      </c>
      <c r="Q37" s="35" t="n">
        <v>0</v>
      </c>
      <c r="R37" s="35"/>
      <c r="S37" s="35" t="s">
        <v>42</v>
      </c>
      <c r="T37" s="35" t="s">
        <v>43</v>
      </c>
      <c r="U37" s="35"/>
      <c r="V37" s="35"/>
      <c r="W37" s="35"/>
      <c r="X37" s="35" t="s">
        <v>868</v>
      </c>
      <c r="Y37" s="35" t="n">
        <v>-9.5636745</v>
      </c>
      <c r="Z37" s="35" t="n">
        <v>-48.3987695</v>
      </c>
      <c r="AA37" s="49" t="s">
        <v>838</v>
      </c>
      <c r="AB37" s="35" t="s">
        <v>869</v>
      </c>
    </row>
    <row r="38" customFormat="false" ht="15" hidden="false" customHeight="false" outlineLevel="0" collapsed="false">
      <c r="A38" s="35" t="n">
        <v>37</v>
      </c>
      <c r="B38" s="35" t="s">
        <v>351</v>
      </c>
      <c r="C38" s="35" t="s">
        <v>888</v>
      </c>
      <c r="D38" s="35" t="s">
        <v>276</v>
      </c>
      <c r="E38" s="35" t="s">
        <v>352</v>
      </c>
      <c r="F38" s="40" t="n">
        <v>37.1787893960728</v>
      </c>
      <c r="G38" s="36" t="n">
        <v>37.1787893960728</v>
      </c>
      <c r="H38" s="36" t="n">
        <v>37.1787893960728</v>
      </c>
      <c r="I38" s="5" t="s">
        <v>22</v>
      </c>
      <c r="J38" s="35" t="s">
        <v>157</v>
      </c>
      <c r="K38" s="35" t="s">
        <v>203</v>
      </c>
      <c r="L38" s="35" t="n">
        <v>3</v>
      </c>
      <c r="M38" s="35" t="s">
        <v>42</v>
      </c>
      <c r="N38" s="35" t="s">
        <v>836</v>
      </c>
      <c r="O38" s="35" t="s">
        <v>48</v>
      </c>
      <c r="P38" s="35" t="s">
        <v>889</v>
      </c>
      <c r="Q38" s="35" t="n">
        <v>7</v>
      </c>
      <c r="R38" s="35"/>
      <c r="S38" s="35" t="s">
        <v>42</v>
      </c>
      <c r="T38" s="35"/>
      <c r="U38" s="35"/>
      <c r="V38" s="35"/>
      <c r="W38" s="35"/>
      <c r="X38" s="35" t="s">
        <v>42</v>
      </c>
      <c r="Y38" s="35" t="n">
        <v>-9.5768285</v>
      </c>
      <c r="Z38" s="35" t="n">
        <v>-48.3956645</v>
      </c>
      <c r="AA38" s="49" t="s">
        <v>838</v>
      </c>
      <c r="AB38" s="35" t="s">
        <v>839</v>
      </c>
    </row>
    <row r="39" customFormat="false" ht="15" hidden="false" customHeight="false" outlineLevel="0" collapsed="false">
      <c r="A39" s="35" t="n">
        <v>38</v>
      </c>
      <c r="B39" s="35" t="s">
        <v>353</v>
      </c>
      <c r="C39" s="35" t="s">
        <v>890</v>
      </c>
      <c r="D39" s="35" t="s">
        <v>352</v>
      </c>
      <c r="E39" s="35" t="s">
        <v>354</v>
      </c>
      <c r="F39" s="40" t="n">
        <v>1.73565177100103</v>
      </c>
      <c r="G39" s="36" t="n">
        <v>38.9144411670738</v>
      </c>
      <c r="H39" s="36" t="n">
        <v>38.9144411670738</v>
      </c>
      <c r="I39" s="5" t="s">
        <v>22</v>
      </c>
      <c r="J39" s="35" t="s">
        <v>157</v>
      </c>
      <c r="K39" s="35" t="s">
        <v>203</v>
      </c>
      <c r="L39" s="35" t="n">
        <v>3</v>
      </c>
      <c r="M39" s="35" t="s">
        <v>42</v>
      </c>
      <c r="N39" s="35" t="s">
        <v>836</v>
      </c>
      <c r="O39" s="35" t="s">
        <v>48</v>
      </c>
      <c r="P39" s="35" t="s">
        <v>889</v>
      </c>
      <c r="Q39" s="35" t="n">
        <v>7</v>
      </c>
      <c r="R39" s="35"/>
      <c r="S39" s="35" t="s">
        <v>42</v>
      </c>
      <c r="T39" s="35"/>
      <c r="U39" s="35"/>
      <c r="V39" s="35"/>
      <c r="W39" s="35"/>
      <c r="X39" s="35" t="s">
        <v>42</v>
      </c>
      <c r="Y39" s="35" t="n">
        <v>-9.576817</v>
      </c>
      <c r="Z39" s="35" t="n">
        <v>-48.3958365</v>
      </c>
      <c r="AA39" s="49" t="s">
        <v>838</v>
      </c>
      <c r="AB39" s="35" t="s">
        <v>839</v>
      </c>
    </row>
    <row r="40" customFormat="false" ht="15" hidden="false" customHeight="false" outlineLevel="0" collapsed="false">
      <c r="A40" s="35" t="n">
        <v>39</v>
      </c>
      <c r="B40" s="35" t="s">
        <v>355</v>
      </c>
      <c r="C40" s="35" t="s">
        <v>891</v>
      </c>
      <c r="D40" s="35" t="s">
        <v>354</v>
      </c>
      <c r="E40" s="35" t="s">
        <v>356</v>
      </c>
      <c r="F40" s="40" t="n">
        <v>245.383444703842</v>
      </c>
      <c r="G40" s="36" t="n">
        <v>284.297885870915</v>
      </c>
      <c r="H40" s="36" t="n">
        <v>245.383444703842</v>
      </c>
      <c r="I40" s="7" t="s">
        <v>24</v>
      </c>
      <c r="J40" s="35" t="s">
        <v>157</v>
      </c>
      <c r="K40" s="35" t="s">
        <v>203</v>
      </c>
      <c r="L40" s="35" t="n">
        <v>4</v>
      </c>
      <c r="M40" s="35" t="s">
        <v>48</v>
      </c>
      <c r="N40" s="35" t="s">
        <v>892</v>
      </c>
      <c r="O40" s="35" t="s">
        <v>50</v>
      </c>
      <c r="P40" s="35" t="s">
        <v>893</v>
      </c>
      <c r="Q40" s="35" t="n">
        <v>6</v>
      </c>
      <c r="R40" s="35"/>
      <c r="S40" s="35" t="s">
        <v>42</v>
      </c>
      <c r="T40" s="35" t="s">
        <v>48</v>
      </c>
      <c r="U40" s="35"/>
      <c r="V40" s="35"/>
      <c r="W40" s="35"/>
      <c r="X40" s="35" t="s">
        <v>894</v>
      </c>
      <c r="Y40" s="35" t="n">
        <v>-9.577873</v>
      </c>
      <c r="Z40" s="35" t="n">
        <v>-48.396187</v>
      </c>
      <c r="AA40" s="49" t="s">
        <v>838</v>
      </c>
      <c r="AB40" s="35" t="s">
        <v>895</v>
      </c>
    </row>
    <row r="41" customFormat="false" ht="15" hidden="false" customHeight="false" outlineLevel="0" collapsed="false">
      <c r="A41" s="35" t="n">
        <v>40</v>
      </c>
      <c r="B41" s="35" t="s">
        <v>357</v>
      </c>
      <c r="C41" s="35" t="s">
        <v>896</v>
      </c>
      <c r="D41" s="35" t="s">
        <v>356</v>
      </c>
      <c r="E41" s="35" t="s">
        <v>358</v>
      </c>
      <c r="F41" s="40" t="n">
        <v>186.94835953408</v>
      </c>
      <c r="G41" s="36" t="n">
        <v>471.246245404995</v>
      </c>
      <c r="H41" s="36" t="n">
        <v>432.331804237921</v>
      </c>
      <c r="I41" s="7" t="s">
        <v>24</v>
      </c>
      <c r="J41" s="35" t="s">
        <v>157</v>
      </c>
      <c r="K41" s="35" t="s">
        <v>203</v>
      </c>
      <c r="L41" s="35" t="n">
        <v>4</v>
      </c>
      <c r="M41" s="35" t="s">
        <v>48</v>
      </c>
      <c r="N41" s="35" t="s">
        <v>892</v>
      </c>
      <c r="O41" s="35" t="s">
        <v>50</v>
      </c>
      <c r="P41" s="35" t="s">
        <v>893</v>
      </c>
      <c r="Q41" s="35" t="n">
        <v>6</v>
      </c>
      <c r="R41" s="35"/>
      <c r="S41" s="35" t="s">
        <v>42</v>
      </c>
      <c r="T41" s="35" t="s">
        <v>48</v>
      </c>
      <c r="U41" s="35"/>
      <c r="V41" s="35"/>
      <c r="W41" s="35"/>
      <c r="X41" s="35" t="s">
        <v>894</v>
      </c>
      <c r="Y41" s="35" t="n">
        <v>-9.579716</v>
      </c>
      <c r="Z41" s="35" t="n">
        <v>-48.396814</v>
      </c>
      <c r="AA41" s="49" t="s">
        <v>838</v>
      </c>
      <c r="AB41" s="35" t="s">
        <v>895</v>
      </c>
    </row>
    <row r="42" customFormat="false" ht="15" hidden="false" customHeight="false" outlineLevel="0" collapsed="false">
      <c r="A42" s="35" t="n">
        <v>41</v>
      </c>
      <c r="B42" s="35" t="s">
        <v>359</v>
      </c>
      <c r="C42" s="35" t="s">
        <v>897</v>
      </c>
      <c r="D42" s="35" t="s">
        <v>358</v>
      </c>
      <c r="E42" s="35" t="s">
        <v>360</v>
      </c>
      <c r="F42" s="40" t="n">
        <v>472.689361240694</v>
      </c>
      <c r="G42" s="36" t="n">
        <v>943.935606645689</v>
      </c>
      <c r="H42" s="36" t="n">
        <v>905.021165478615</v>
      </c>
      <c r="I42" s="7" t="s">
        <v>24</v>
      </c>
      <c r="J42" s="35" t="s">
        <v>157</v>
      </c>
      <c r="K42" s="35" t="s">
        <v>203</v>
      </c>
      <c r="L42" s="35" t="n">
        <v>4</v>
      </c>
      <c r="M42" s="35" t="s">
        <v>48</v>
      </c>
      <c r="N42" s="35" t="s">
        <v>892</v>
      </c>
      <c r="O42" s="35" t="s">
        <v>50</v>
      </c>
      <c r="P42" s="35" t="s">
        <v>898</v>
      </c>
      <c r="Q42" s="35" t="n">
        <v>5</v>
      </c>
      <c r="R42" s="35"/>
      <c r="S42" s="35" t="s">
        <v>42</v>
      </c>
      <c r="T42" s="35" t="s">
        <v>48</v>
      </c>
      <c r="U42" s="35"/>
      <c r="V42" s="35"/>
      <c r="W42" s="35"/>
      <c r="X42" s="35" t="s">
        <v>894</v>
      </c>
      <c r="Y42" s="35" t="n">
        <v>-9.5824835</v>
      </c>
      <c r="Z42" s="35" t="n">
        <v>-48.3978945</v>
      </c>
      <c r="AA42" s="49" t="s">
        <v>838</v>
      </c>
      <c r="AB42" s="35" t="s">
        <v>895</v>
      </c>
    </row>
    <row r="43" customFormat="false" ht="15" hidden="false" customHeight="false" outlineLevel="0" collapsed="false">
      <c r="A43" s="35" t="n">
        <v>42</v>
      </c>
      <c r="B43" s="35" t="s">
        <v>361</v>
      </c>
      <c r="C43" s="35" t="s">
        <v>899</v>
      </c>
      <c r="D43" s="35" t="s">
        <v>360</v>
      </c>
      <c r="E43" s="35" t="s">
        <v>362</v>
      </c>
      <c r="F43" s="40" t="n">
        <v>2.21280096141065</v>
      </c>
      <c r="G43" s="36" t="n">
        <v>946.148407607099</v>
      </c>
      <c r="H43" s="36" t="n">
        <v>907.233966440025</v>
      </c>
      <c r="I43" s="7" t="s">
        <v>24</v>
      </c>
      <c r="J43" s="35" t="s">
        <v>157</v>
      </c>
      <c r="K43" s="35" t="s">
        <v>203</v>
      </c>
      <c r="L43" s="35" t="n">
        <v>4</v>
      </c>
      <c r="M43" s="35" t="s">
        <v>48</v>
      </c>
      <c r="N43" s="35" t="s">
        <v>892</v>
      </c>
      <c r="O43" s="35" t="s">
        <v>50</v>
      </c>
      <c r="P43" s="35" t="s">
        <v>900</v>
      </c>
      <c r="Q43" s="35" t="n">
        <v>2</v>
      </c>
      <c r="R43" s="35"/>
      <c r="S43" s="35" t="s">
        <v>42</v>
      </c>
      <c r="T43" s="35" t="s">
        <v>48</v>
      </c>
      <c r="U43" s="35"/>
      <c r="V43" s="35"/>
      <c r="W43" s="35"/>
      <c r="X43" s="35" t="s">
        <v>894</v>
      </c>
      <c r="Y43" s="35" t="n">
        <v>-9.5844615</v>
      </c>
      <c r="Z43" s="35" t="n">
        <v>-48.398686</v>
      </c>
      <c r="AA43" s="49" t="s">
        <v>838</v>
      </c>
      <c r="AB43" s="35" t="s">
        <v>895</v>
      </c>
    </row>
    <row r="44" customFormat="false" ht="15" hidden="false" customHeight="false" outlineLevel="0" collapsed="false">
      <c r="A44" s="35" t="n">
        <v>43</v>
      </c>
      <c r="B44" s="35" t="s">
        <v>363</v>
      </c>
      <c r="C44" s="35" t="s">
        <v>901</v>
      </c>
      <c r="D44" s="35" t="s">
        <v>362</v>
      </c>
      <c r="E44" s="35" t="s">
        <v>364</v>
      </c>
      <c r="F44" s="40" t="n">
        <v>14.4474285081253</v>
      </c>
      <c r="G44" s="36" t="n">
        <v>960.595836115224</v>
      </c>
      <c r="H44" s="36" t="n">
        <v>921.681394948151</v>
      </c>
      <c r="I44" s="7" t="s">
        <v>24</v>
      </c>
      <c r="J44" s="35" t="s">
        <v>157</v>
      </c>
      <c r="K44" s="35" t="s">
        <v>203</v>
      </c>
      <c r="L44" s="35" t="n">
        <v>4</v>
      </c>
      <c r="M44" s="35" t="s">
        <v>48</v>
      </c>
      <c r="N44" s="35" t="s">
        <v>892</v>
      </c>
      <c r="O44" s="35" t="s">
        <v>50</v>
      </c>
      <c r="P44" s="35" t="s">
        <v>900</v>
      </c>
      <c r="Q44" s="35" t="n">
        <v>2</v>
      </c>
      <c r="R44" s="35"/>
      <c r="S44" s="35" t="s">
        <v>42</v>
      </c>
      <c r="T44" s="35" t="s">
        <v>48</v>
      </c>
      <c r="U44" s="35"/>
      <c r="V44" s="35"/>
      <c r="W44" s="35"/>
      <c r="X44" s="35" t="s">
        <v>894</v>
      </c>
      <c r="Y44" s="35" t="n">
        <v>-9.5845105</v>
      </c>
      <c r="Z44" s="35" t="n">
        <v>-48.398629</v>
      </c>
      <c r="AA44" s="49" t="s">
        <v>838</v>
      </c>
      <c r="AB44" s="35" t="s">
        <v>895</v>
      </c>
    </row>
    <row r="45" customFormat="false" ht="15" hidden="false" customHeight="false" outlineLevel="0" collapsed="false">
      <c r="A45" s="35" t="n">
        <v>44</v>
      </c>
      <c r="B45" s="35" t="s">
        <v>365</v>
      </c>
      <c r="C45" s="35" t="s">
        <v>902</v>
      </c>
      <c r="D45" s="35" t="s">
        <v>364</v>
      </c>
      <c r="E45" s="35" t="s">
        <v>366</v>
      </c>
      <c r="F45" s="40" t="n">
        <v>10.0743767111522</v>
      </c>
      <c r="G45" s="36" t="n">
        <v>970.670212826377</v>
      </c>
      <c r="H45" s="36" t="n">
        <v>931.755771659303</v>
      </c>
      <c r="I45" s="7" t="s">
        <v>24</v>
      </c>
      <c r="J45" s="35" t="s">
        <v>157</v>
      </c>
      <c r="K45" s="35" t="s">
        <v>203</v>
      </c>
      <c r="L45" s="35" t="n">
        <v>4</v>
      </c>
      <c r="M45" s="35" t="s">
        <v>48</v>
      </c>
      <c r="N45" s="35" t="s">
        <v>892</v>
      </c>
      <c r="O45" s="35" t="s">
        <v>50</v>
      </c>
      <c r="P45" s="35" t="s">
        <v>900</v>
      </c>
      <c r="Q45" s="35" t="n">
        <v>2</v>
      </c>
      <c r="R45" s="35"/>
      <c r="S45" s="35" t="s">
        <v>42</v>
      </c>
      <c r="T45" s="35" t="s">
        <v>48</v>
      </c>
      <c r="U45" s="35"/>
      <c r="V45" s="35"/>
      <c r="W45" s="35"/>
      <c r="X45" s="35" t="s">
        <v>894</v>
      </c>
      <c r="Y45" s="35" t="n">
        <v>-9.584586</v>
      </c>
      <c r="Z45" s="35" t="n">
        <v>-48.3985475</v>
      </c>
      <c r="AA45" s="49" t="s">
        <v>838</v>
      </c>
      <c r="AB45" s="35" t="s">
        <v>895</v>
      </c>
    </row>
    <row r="46" customFormat="false" ht="15" hidden="false" customHeight="false" outlineLevel="0" collapsed="false">
      <c r="A46" s="35" t="n">
        <v>45</v>
      </c>
      <c r="B46" s="35" t="s">
        <v>367</v>
      </c>
      <c r="C46" s="35" t="s">
        <v>903</v>
      </c>
      <c r="D46" s="35" t="s">
        <v>360</v>
      </c>
      <c r="E46" s="35" t="s">
        <v>368</v>
      </c>
      <c r="F46" s="40" t="n">
        <v>476.623788515186</v>
      </c>
      <c r="G46" s="36" t="n">
        <v>1420.55939516087</v>
      </c>
      <c r="H46" s="36" t="n">
        <v>1381.6449539938</v>
      </c>
      <c r="I46" s="7" t="s">
        <v>24</v>
      </c>
      <c r="J46" s="35" t="s">
        <v>157</v>
      </c>
      <c r="K46" s="35" t="s">
        <v>203</v>
      </c>
      <c r="L46" s="35" t="n">
        <v>4</v>
      </c>
      <c r="M46" s="35" t="s">
        <v>48</v>
      </c>
      <c r="N46" s="35" t="s">
        <v>892</v>
      </c>
      <c r="O46" s="35" t="s">
        <v>50</v>
      </c>
      <c r="P46" s="35" t="s">
        <v>904</v>
      </c>
      <c r="Q46" s="35" t="n">
        <v>3</v>
      </c>
      <c r="R46" s="35"/>
      <c r="S46" s="35" t="s">
        <v>42</v>
      </c>
      <c r="T46" s="35" t="s">
        <v>48</v>
      </c>
      <c r="U46" s="35"/>
      <c r="V46" s="35"/>
      <c r="W46" s="35"/>
      <c r="X46" s="35" t="s">
        <v>894</v>
      </c>
      <c r="Y46" s="35" t="n">
        <v>-9.5864085</v>
      </c>
      <c r="Z46" s="35" t="n">
        <v>-48.3995935</v>
      </c>
      <c r="AA46" s="49" t="s">
        <v>838</v>
      </c>
      <c r="AB46" s="35" t="s">
        <v>895</v>
      </c>
    </row>
    <row r="47" customFormat="false" ht="15" hidden="false" customHeight="false" outlineLevel="0" collapsed="false">
      <c r="A47" s="35" t="n">
        <v>46</v>
      </c>
      <c r="B47" s="35" t="s">
        <v>369</v>
      </c>
      <c r="C47" s="35" t="s">
        <v>905</v>
      </c>
      <c r="D47" s="35" t="s">
        <v>368</v>
      </c>
      <c r="E47" s="35" t="s">
        <v>370</v>
      </c>
      <c r="F47" s="40" t="n">
        <v>96.1517901977836</v>
      </c>
      <c r="G47" s="36" t="n">
        <v>1516.71118535866</v>
      </c>
      <c r="H47" s="36" t="n">
        <v>1477.79674419158</v>
      </c>
      <c r="I47" s="7" t="s">
        <v>24</v>
      </c>
      <c r="J47" s="35" t="s">
        <v>157</v>
      </c>
      <c r="K47" s="35" t="s">
        <v>203</v>
      </c>
      <c r="L47" s="35" t="n">
        <v>4</v>
      </c>
      <c r="M47" s="35" t="s">
        <v>48</v>
      </c>
      <c r="N47" s="35" t="s">
        <v>892</v>
      </c>
      <c r="O47" s="35" t="s">
        <v>50</v>
      </c>
      <c r="P47" s="35" t="s">
        <v>904</v>
      </c>
      <c r="Q47" s="35" t="n">
        <v>3</v>
      </c>
      <c r="R47" s="35"/>
      <c r="S47" s="35" t="s">
        <v>42</v>
      </c>
      <c r="T47" s="35" t="s">
        <v>48</v>
      </c>
      <c r="U47" s="35"/>
      <c r="V47" s="35"/>
      <c r="W47" s="35"/>
      <c r="X47" s="35" t="s">
        <v>894</v>
      </c>
      <c r="Y47" s="35" t="n">
        <v>-9.588756</v>
      </c>
      <c r="Z47" s="35" t="n">
        <v>-48.400668</v>
      </c>
      <c r="AA47" s="49" t="s">
        <v>838</v>
      </c>
      <c r="AB47" s="35" t="s">
        <v>895</v>
      </c>
    </row>
    <row r="48" customFormat="false" ht="15" hidden="false" customHeight="false" outlineLevel="0" collapsed="false">
      <c r="A48" s="35" t="n">
        <v>47</v>
      </c>
      <c r="B48" s="35" t="s">
        <v>371</v>
      </c>
      <c r="C48" s="35" t="s">
        <v>906</v>
      </c>
      <c r="D48" s="35" t="s">
        <v>370</v>
      </c>
      <c r="E48" s="35" t="s">
        <v>372</v>
      </c>
      <c r="F48" s="40" t="n">
        <v>20.6142636331733</v>
      </c>
      <c r="G48" s="36" t="n">
        <v>1537.32544899183</v>
      </c>
      <c r="H48" s="36" t="n">
        <v>1498.41100782476</v>
      </c>
      <c r="I48" s="7" t="s">
        <v>24</v>
      </c>
      <c r="J48" s="35" t="s">
        <v>157</v>
      </c>
      <c r="K48" s="35" t="s">
        <v>203</v>
      </c>
      <c r="L48" s="35" t="n">
        <v>4</v>
      </c>
      <c r="M48" s="35" t="s">
        <v>48</v>
      </c>
      <c r="N48" s="35" t="s">
        <v>892</v>
      </c>
      <c r="O48" s="35" t="s">
        <v>50</v>
      </c>
      <c r="P48" s="35" t="s">
        <v>49</v>
      </c>
      <c r="Q48" s="35" t="n">
        <v>0</v>
      </c>
      <c r="R48" s="35"/>
      <c r="S48" s="35" t="s">
        <v>42</v>
      </c>
      <c r="T48" s="35" t="s">
        <v>48</v>
      </c>
      <c r="U48" s="35"/>
      <c r="V48" s="35"/>
      <c r="W48" s="35"/>
      <c r="X48" s="35" t="s">
        <v>894</v>
      </c>
      <c r="Y48" s="35" t="n">
        <v>-9.589237</v>
      </c>
      <c r="Z48" s="35" t="n">
        <v>-48.4008815</v>
      </c>
      <c r="AA48" s="49" t="s">
        <v>838</v>
      </c>
      <c r="AB48" s="35" t="s">
        <v>895</v>
      </c>
    </row>
    <row r="49" customFormat="false" ht="15" hidden="false" customHeight="false" outlineLevel="0" collapsed="false">
      <c r="A49" s="35" t="n">
        <v>48</v>
      </c>
      <c r="B49" s="35" t="s">
        <v>373</v>
      </c>
      <c r="C49" s="35" t="s">
        <v>907</v>
      </c>
      <c r="D49" s="35" t="s">
        <v>372</v>
      </c>
      <c r="E49" s="35" t="s">
        <v>374</v>
      </c>
      <c r="F49" s="40" t="n">
        <v>4.08035517523712</v>
      </c>
      <c r="G49" s="36" t="n">
        <v>1541.40580416707</v>
      </c>
      <c r="H49" s="36" t="n">
        <v>1502.491363</v>
      </c>
      <c r="I49" s="7" t="s">
        <v>24</v>
      </c>
      <c r="J49" s="35" t="s">
        <v>157</v>
      </c>
      <c r="K49" s="35" t="s">
        <v>203</v>
      </c>
      <c r="L49" s="35" t="n">
        <v>4</v>
      </c>
      <c r="M49" s="35" t="s">
        <v>48</v>
      </c>
      <c r="N49" s="35" t="s">
        <v>892</v>
      </c>
      <c r="O49" s="35" t="s">
        <v>50</v>
      </c>
      <c r="P49" s="35" t="s">
        <v>49</v>
      </c>
      <c r="Q49" s="35" t="n">
        <v>0</v>
      </c>
      <c r="R49" s="35" t="s">
        <v>51</v>
      </c>
      <c r="S49" s="35" t="s">
        <v>42</v>
      </c>
      <c r="T49" s="35" t="s">
        <v>48</v>
      </c>
      <c r="U49" s="35"/>
      <c r="V49" s="35"/>
      <c r="W49" s="35"/>
      <c r="X49" s="35" t="s">
        <v>894</v>
      </c>
      <c r="Y49" s="35" t="n">
        <v>-9.589339</v>
      </c>
      <c r="Z49" s="35" t="n">
        <v>-48.400926</v>
      </c>
      <c r="AA49" s="49" t="s">
        <v>838</v>
      </c>
      <c r="AB49" s="35" t="s">
        <v>895</v>
      </c>
    </row>
    <row r="50" customFormat="false" ht="15" hidden="false" customHeight="false" outlineLevel="0" collapsed="false">
      <c r="A50" s="35" t="n">
        <v>49</v>
      </c>
      <c r="B50" s="35" t="s">
        <v>375</v>
      </c>
      <c r="C50" s="35" t="s">
        <v>908</v>
      </c>
      <c r="D50" s="35" t="s">
        <v>374</v>
      </c>
      <c r="E50" s="35" t="s">
        <v>376</v>
      </c>
      <c r="F50" s="40" t="n">
        <v>884.750707449324</v>
      </c>
      <c r="G50" s="36" t="n">
        <v>2426.15651161639</v>
      </c>
      <c r="H50" s="36" t="n">
        <v>2387.24207044932</v>
      </c>
      <c r="I50" s="7" t="s">
        <v>24</v>
      </c>
      <c r="J50" s="35" t="s">
        <v>157</v>
      </c>
      <c r="K50" s="35" t="s">
        <v>203</v>
      </c>
      <c r="L50" s="35" t="n">
        <v>4</v>
      </c>
      <c r="M50" s="35" t="s">
        <v>48</v>
      </c>
      <c r="N50" s="35" t="s">
        <v>892</v>
      </c>
      <c r="O50" s="35" t="s">
        <v>50</v>
      </c>
      <c r="P50" s="35" t="s">
        <v>49</v>
      </c>
      <c r="Q50" s="35" t="n">
        <v>0</v>
      </c>
      <c r="R50" s="35"/>
      <c r="S50" s="35" t="s">
        <v>42</v>
      </c>
      <c r="T50" s="35" t="s">
        <v>48</v>
      </c>
      <c r="U50" s="35"/>
      <c r="V50" s="35"/>
      <c r="W50" s="35"/>
      <c r="X50" s="35" t="s">
        <v>894</v>
      </c>
      <c r="Y50" s="35" t="n">
        <v>-9.5932625</v>
      </c>
      <c r="Z50" s="35" t="n">
        <v>-48.4016965</v>
      </c>
      <c r="AA50" s="49" t="s">
        <v>838</v>
      </c>
      <c r="AB50" s="35" t="s">
        <v>895</v>
      </c>
    </row>
    <row r="51" customFormat="false" ht="15" hidden="false" customHeight="false" outlineLevel="0" collapsed="false">
      <c r="A51" s="35" t="n">
        <v>50</v>
      </c>
      <c r="B51" s="35" t="s">
        <v>377</v>
      </c>
      <c r="C51" s="35" t="s">
        <v>909</v>
      </c>
      <c r="D51" s="35" t="s">
        <v>370</v>
      </c>
      <c r="E51" s="35" t="s">
        <v>378</v>
      </c>
      <c r="F51" s="40" t="n">
        <v>31.10575430314</v>
      </c>
      <c r="G51" s="36" t="n">
        <v>1547.8169396618</v>
      </c>
      <c r="H51" s="36" t="n">
        <v>1508.90249849472</v>
      </c>
      <c r="I51" s="7" t="s">
        <v>24</v>
      </c>
      <c r="J51" s="35" t="s">
        <v>157</v>
      </c>
      <c r="K51" s="35" t="s">
        <v>203</v>
      </c>
      <c r="L51" s="35" t="n">
        <v>4</v>
      </c>
      <c r="M51" s="35" t="s">
        <v>48</v>
      </c>
      <c r="N51" s="35" t="s">
        <v>892</v>
      </c>
      <c r="O51" s="35" t="s">
        <v>50</v>
      </c>
      <c r="P51" s="35" t="s">
        <v>904</v>
      </c>
      <c r="Q51" s="35" t="n">
        <v>3</v>
      </c>
      <c r="R51" s="35"/>
      <c r="S51" s="35" t="s">
        <v>42</v>
      </c>
      <c r="T51" s="35" t="s">
        <v>48</v>
      </c>
      <c r="U51" s="35"/>
      <c r="V51" s="35"/>
      <c r="W51" s="35"/>
      <c r="X51" s="35" t="s">
        <v>894</v>
      </c>
      <c r="Y51" s="35" t="n">
        <v>-9.589079</v>
      </c>
      <c r="Z51" s="35" t="n">
        <v>-48.400965</v>
      </c>
      <c r="AA51" s="49" t="s">
        <v>838</v>
      </c>
      <c r="AB51" s="35" t="s">
        <v>895</v>
      </c>
    </row>
    <row r="52" customFormat="false" ht="15" hidden="false" customHeight="false" outlineLevel="0" collapsed="false">
      <c r="A52" s="35" t="n">
        <v>51</v>
      </c>
      <c r="B52" s="35" t="s">
        <v>379</v>
      </c>
      <c r="C52" s="35" t="s">
        <v>910</v>
      </c>
      <c r="D52" s="35" t="s">
        <v>378</v>
      </c>
      <c r="E52" s="35" t="s">
        <v>380</v>
      </c>
      <c r="F52" s="40" t="n">
        <v>3.70094007950859</v>
      </c>
      <c r="G52" s="36" t="n">
        <v>1551.51787974131</v>
      </c>
      <c r="H52" s="36" t="n">
        <v>1512.60343857423</v>
      </c>
      <c r="I52" s="7" t="s">
        <v>24</v>
      </c>
      <c r="J52" s="35" t="s">
        <v>157</v>
      </c>
      <c r="K52" s="35" t="s">
        <v>203</v>
      </c>
      <c r="L52" s="35" t="n">
        <v>4</v>
      </c>
      <c r="M52" s="35" t="s">
        <v>48</v>
      </c>
      <c r="N52" s="35" t="s">
        <v>892</v>
      </c>
      <c r="O52" s="35" t="s">
        <v>50</v>
      </c>
      <c r="P52" s="35" t="s">
        <v>904</v>
      </c>
      <c r="Q52" s="35" t="n">
        <v>3</v>
      </c>
      <c r="R52" s="35"/>
      <c r="S52" s="35" t="s">
        <v>42</v>
      </c>
      <c r="T52" s="35" t="s">
        <v>48</v>
      </c>
      <c r="U52" s="35"/>
      <c r="V52" s="35"/>
      <c r="W52" s="35"/>
      <c r="X52" s="35" t="s">
        <v>894</v>
      </c>
      <c r="Y52" s="35" t="n">
        <v>-9.5890025</v>
      </c>
      <c r="Z52" s="35" t="n">
        <v>-48.4011025</v>
      </c>
      <c r="AA52" s="49" t="s">
        <v>838</v>
      </c>
      <c r="AB52" s="35" t="s">
        <v>895</v>
      </c>
    </row>
    <row r="53" customFormat="false" ht="15" hidden="false" customHeight="false" outlineLevel="0" collapsed="false">
      <c r="A53" s="35" t="n">
        <v>52</v>
      </c>
      <c r="B53" s="35" t="s">
        <v>381</v>
      </c>
      <c r="C53" s="35" t="s">
        <v>911</v>
      </c>
      <c r="D53" s="35" t="s">
        <v>370</v>
      </c>
      <c r="E53" s="35" t="s">
        <v>382</v>
      </c>
      <c r="F53" s="40" t="n">
        <v>4.67141721198786</v>
      </c>
      <c r="G53" s="36" t="n">
        <v>1521.38260257065</v>
      </c>
      <c r="H53" s="36" t="n">
        <v>1482.46816140357</v>
      </c>
      <c r="I53" s="7" t="s">
        <v>24</v>
      </c>
      <c r="J53" s="35" t="s">
        <v>157</v>
      </c>
      <c r="K53" s="35" t="s">
        <v>203</v>
      </c>
      <c r="L53" s="35" t="n">
        <v>4</v>
      </c>
      <c r="M53" s="35" t="s">
        <v>48</v>
      </c>
      <c r="N53" s="35" t="s">
        <v>892</v>
      </c>
      <c r="O53" s="35" t="s">
        <v>50</v>
      </c>
      <c r="P53" s="35" t="s">
        <v>49</v>
      </c>
      <c r="Q53" s="35" t="n">
        <v>0</v>
      </c>
      <c r="R53" s="35"/>
      <c r="S53" s="35" t="s">
        <v>42</v>
      </c>
      <c r="T53" s="35" t="s">
        <v>48</v>
      </c>
      <c r="U53" s="35"/>
      <c r="V53" s="35"/>
      <c r="W53" s="35"/>
      <c r="X53" s="35" t="s">
        <v>894</v>
      </c>
      <c r="Y53" s="35" t="n">
        <v>-9.5891615</v>
      </c>
      <c r="Z53" s="35" t="n">
        <v>-48.400825</v>
      </c>
      <c r="AA53" s="49" t="s">
        <v>838</v>
      </c>
      <c r="AB53" s="35" t="s">
        <v>895</v>
      </c>
    </row>
    <row r="54" customFormat="false" ht="15" hidden="false" customHeight="false" outlineLevel="0" collapsed="false">
      <c r="A54" s="35" t="n">
        <v>53</v>
      </c>
      <c r="B54" s="35" t="s">
        <v>383</v>
      </c>
      <c r="C54" s="35" t="s">
        <v>912</v>
      </c>
      <c r="D54" s="35" t="s">
        <v>358</v>
      </c>
      <c r="E54" s="35" t="s">
        <v>384</v>
      </c>
      <c r="F54" s="40" t="n">
        <v>4.49849098094168</v>
      </c>
      <c r="G54" s="36" t="n">
        <v>475.744736385937</v>
      </c>
      <c r="H54" s="36" t="n">
        <v>436.830295218863</v>
      </c>
      <c r="I54" s="7" t="s">
        <v>24</v>
      </c>
      <c r="J54" s="35" t="s">
        <v>157</v>
      </c>
      <c r="K54" s="35" t="s">
        <v>203</v>
      </c>
      <c r="L54" s="35" t="n">
        <v>4</v>
      </c>
      <c r="M54" s="35" t="s">
        <v>48</v>
      </c>
      <c r="N54" s="35" t="s">
        <v>892</v>
      </c>
      <c r="O54" s="35" t="s">
        <v>50</v>
      </c>
      <c r="P54" s="35" t="s">
        <v>61</v>
      </c>
      <c r="Q54" s="35" t="n">
        <v>1</v>
      </c>
      <c r="R54" s="35"/>
      <c r="S54" s="35" t="s">
        <v>42</v>
      </c>
      <c r="T54" s="35" t="s">
        <v>48</v>
      </c>
      <c r="U54" s="35"/>
      <c r="V54" s="35"/>
      <c r="W54" s="35"/>
      <c r="X54" s="35" t="s">
        <v>894</v>
      </c>
      <c r="Y54" s="35" t="n">
        <v>-9.5805055</v>
      </c>
      <c r="Z54" s="35" t="n">
        <v>-48.397114</v>
      </c>
      <c r="AA54" s="49" t="s">
        <v>838</v>
      </c>
      <c r="AB54" s="35" t="s">
        <v>895</v>
      </c>
    </row>
    <row r="55" customFormat="false" ht="15" hidden="false" customHeight="false" outlineLevel="0" collapsed="false">
      <c r="A55" s="35" t="n">
        <v>54</v>
      </c>
      <c r="B55" s="35" t="s">
        <v>385</v>
      </c>
      <c r="C55" s="35" t="s">
        <v>913</v>
      </c>
      <c r="D55" s="35" t="s">
        <v>366</v>
      </c>
      <c r="E55" s="35" t="s">
        <v>386</v>
      </c>
      <c r="F55" s="40" t="n">
        <v>212.830564194018</v>
      </c>
      <c r="G55" s="36" t="n">
        <v>1183.50077702039</v>
      </c>
      <c r="H55" s="36" t="n">
        <v>212.830564194018</v>
      </c>
      <c r="I55" s="8" t="s">
        <v>25</v>
      </c>
      <c r="J55" s="35" t="s">
        <v>157</v>
      </c>
      <c r="K55" s="35" t="s">
        <v>203</v>
      </c>
      <c r="L55" s="35" t="n">
        <v>5</v>
      </c>
      <c r="M55" s="35" t="s">
        <v>52</v>
      </c>
      <c r="N55" s="35" t="s">
        <v>892</v>
      </c>
      <c r="O55" s="35" t="s">
        <v>53</v>
      </c>
      <c r="P55" s="35" t="s">
        <v>53</v>
      </c>
      <c r="Q55" s="35" t="n">
        <v>1</v>
      </c>
      <c r="R55" s="35"/>
      <c r="S55" s="35" t="s">
        <v>42</v>
      </c>
      <c r="T55" s="35" t="s">
        <v>48</v>
      </c>
      <c r="U55" s="35" t="s">
        <v>52</v>
      </c>
      <c r="V55" s="35"/>
      <c r="W55" s="35"/>
      <c r="X55" s="35" t="s">
        <v>914</v>
      </c>
      <c r="Y55" s="35" t="n">
        <v>-9.5852695</v>
      </c>
      <c r="Z55" s="35" t="n">
        <v>-48.397804</v>
      </c>
      <c r="AA55" s="49" t="s">
        <v>838</v>
      </c>
      <c r="AB55" s="35" t="s">
        <v>915</v>
      </c>
    </row>
    <row r="56" customFormat="false" ht="15" hidden="false" customHeight="false" outlineLevel="0" collapsed="false">
      <c r="A56" s="35" t="n">
        <v>55</v>
      </c>
      <c r="B56" s="35" t="s">
        <v>387</v>
      </c>
      <c r="C56" s="35" t="s">
        <v>916</v>
      </c>
      <c r="D56" s="35" t="s">
        <v>386</v>
      </c>
      <c r="E56" s="35" t="s">
        <v>388</v>
      </c>
      <c r="F56" s="40" t="n">
        <v>10.3068584486134</v>
      </c>
      <c r="G56" s="36" t="n">
        <v>1193.80763546901</v>
      </c>
      <c r="H56" s="36" t="n">
        <v>223.137422642631</v>
      </c>
      <c r="I56" s="8" t="s">
        <v>25</v>
      </c>
      <c r="J56" s="35" t="s">
        <v>157</v>
      </c>
      <c r="K56" s="35" t="s">
        <v>203</v>
      </c>
      <c r="L56" s="35" t="n">
        <v>5</v>
      </c>
      <c r="M56" s="35" t="s">
        <v>52</v>
      </c>
      <c r="N56" s="35" t="s">
        <v>892</v>
      </c>
      <c r="O56" s="35" t="s">
        <v>53</v>
      </c>
      <c r="P56" s="35" t="s">
        <v>53</v>
      </c>
      <c r="Q56" s="35" t="n">
        <v>1</v>
      </c>
      <c r="R56" s="35"/>
      <c r="S56" s="35" t="s">
        <v>42</v>
      </c>
      <c r="T56" s="35" t="s">
        <v>48</v>
      </c>
      <c r="U56" s="35" t="s">
        <v>52</v>
      </c>
      <c r="V56" s="35"/>
      <c r="W56" s="35"/>
      <c r="X56" s="35" t="s">
        <v>914</v>
      </c>
      <c r="Y56" s="35" t="n">
        <v>-9.585954</v>
      </c>
      <c r="Z56" s="35" t="n">
        <v>-48.39706</v>
      </c>
      <c r="AA56" s="49" t="s">
        <v>838</v>
      </c>
      <c r="AB56" s="35" t="s">
        <v>915</v>
      </c>
    </row>
    <row r="57" customFormat="false" ht="15" hidden="false" customHeight="false" outlineLevel="0" collapsed="false">
      <c r="A57" s="35" t="n">
        <v>56</v>
      </c>
      <c r="B57" s="35" t="s">
        <v>389</v>
      </c>
      <c r="C57" s="35" t="s">
        <v>917</v>
      </c>
      <c r="D57" s="35" t="s">
        <v>388</v>
      </c>
      <c r="E57" s="35" t="s">
        <v>390</v>
      </c>
      <c r="F57" s="40" t="n">
        <v>92.4738305751356</v>
      </c>
      <c r="G57" s="36" t="n">
        <v>1286.28146604414</v>
      </c>
      <c r="H57" s="36" t="n">
        <v>92.4738305751355</v>
      </c>
      <c r="I57" s="9" t="s">
        <v>26</v>
      </c>
      <c r="J57" s="35" t="s">
        <v>157</v>
      </c>
      <c r="K57" s="35" t="s">
        <v>203</v>
      </c>
      <c r="L57" s="35" t="n">
        <v>6</v>
      </c>
      <c r="M57" s="35" t="s">
        <v>53</v>
      </c>
      <c r="N57" s="35" t="s">
        <v>892</v>
      </c>
      <c r="O57" s="35" t="s">
        <v>54</v>
      </c>
      <c r="P57" s="35" t="s">
        <v>49</v>
      </c>
      <c r="Q57" s="35" t="n">
        <v>0</v>
      </c>
      <c r="R57" s="35"/>
      <c r="S57" s="35" t="s">
        <v>42</v>
      </c>
      <c r="T57" s="35" t="s">
        <v>48</v>
      </c>
      <c r="U57" s="35" t="s">
        <v>52</v>
      </c>
      <c r="V57" s="35" t="s">
        <v>53</v>
      </c>
      <c r="W57" s="35"/>
      <c r="X57" s="35" t="s">
        <v>918</v>
      </c>
      <c r="Y57" s="35" t="n">
        <v>-9.5862695</v>
      </c>
      <c r="Z57" s="35" t="n">
        <v>-48.3967175</v>
      </c>
      <c r="AA57" s="49" t="s">
        <v>838</v>
      </c>
      <c r="AB57" s="35" t="s">
        <v>919</v>
      </c>
    </row>
    <row r="58" customFormat="false" ht="15" hidden="false" customHeight="false" outlineLevel="0" collapsed="false">
      <c r="A58" s="35" t="n">
        <v>57</v>
      </c>
      <c r="B58" s="35" t="s">
        <v>391</v>
      </c>
      <c r="C58" s="35" t="s">
        <v>920</v>
      </c>
      <c r="D58" s="35" t="s">
        <v>380</v>
      </c>
      <c r="E58" s="35" t="s">
        <v>392</v>
      </c>
      <c r="F58" s="40" t="n">
        <v>265.275236803972</v>
      </c>
      <c r="G58" s="36" t="n">
        <v>1816.79311654528</v>
      </c>
      <c r="H58" s="36" t="n">
        <v>265.275236803972</v>
      </c>
      <c r="I58" s="8" t="s">
        <v>25</v>
      </c>
      <c r="J58" s="35" t="s">
        <v>157</v>
      </c>
      <c r="K58" s="35" t="s">
        <v>203</v>
      </c>
      <c r="L58" s="35" t="n">
        <v>7</v>
      </c>
      <c r="M58" s="35" t="s">
        <v>55</v>
      </c>
      <c r="N58" s="35" t="s">
        <v>892</v>
      </c>
      <c r="O58" s="35" t="s">
        <v>56</v>
      </c>
      <c r="P58" s="35" t="s">
        <v>921</v>
      </c>
      <c r="Q58" s="35" t="n">
        <v>2</v>
      </c>
      <c r="R58" s="35"/>
      <c r="S58" s="35" t="s">
        <v>42</v>
      </c>
      <c r="T58" s="35" t="s">
        <v>48</v>
      </c>
      <c r="U58" s="35" t="s">
        <v>55</v>
      </c>
      <c r="V58" s="35"/>
      <c r="W58" s="35"/>
      <c r="X58" s="35" t="s">
        <v>922</v>
      </c>
      <c r="Y58" s="35" t="n">
        <v>-9.588823</v>
      </c>
      <c r="Z58" s="35" t="n">
        <v>-48.4023155</v>
      </c>
      <c r="AA58" s="49" t="s">
        <v>838</v>
      </c>
      <c r="AB58" s="35" t="s">
        <v>923</v>
      </c>
    </row>
    <row r="59" customFormat="false" ht="15" hidden="false" customHeight="false" outlineLevel="0" collapsed="false">
      <c r="A59" s="35" t="n">
        <v>58</v>
      </c>
      <c r="B59" s="35" t="s">
        <v>393</v>
      </c>
      <c r="C59" s="35" t="s">
        <v>924</v>
      </c>
      <c r="D59" s="35" t="s">
        <v>392</v>
      </c>
      <c r="E59" s="35" t="s">
        <v>394</v>
      </c>
      <c r="F59" s="40" t="n">
        <v>3.42786284130556</v>
      </c>
      <c r="G59" s="36" t="n">
        <v>1820.22097938658</v>
      </c>
      <c r="H59" s="36" t="n">
        <v>268.703099645278</v>
      </c>
      <c r="I59" s="8" t="s">
        <v>25</v>
      </c>
      <c r="J59" s="35" t="s">
        <v>157</v>
      </c>
      <c r="K59" s="35" t="s">
        <v>203</v>
      </c>
      <c r="L59" s="35" t="n">
        <v>7</v>
      </c>
      <c r="M59" s="35" t="s">
        <v>55</v>
      </c>
      <c r="N59" s="35" t="s">
        <v>892</v>
      </c>
      <c r="O59" s="35" t="s">
        <v>56</v>
      </c>
      <c r="P59" s="35" t="s">
        <v>921</v>
      </c>
      <c r="Q59" s="35" t="n">
        <v>2</v>
      </c>
      <c r="R59" s="35"/>
      <c r="S59" s="35" t="s">
        <v>42</v>
      </c>
      <c r="T59" s="35" t="s">
        <v>48</v>
      </c>
      <c r="U59" s="35" t="s">
        <v>55</v>
      </c>
      <c r="V59" s="35"/>
      <c r="W59" s="35"/>
      <c r="X59" s="35" t="s">
        <v>922</v>
      </c>
      <c r="Y59" s="35" t="n">
        <v>-9.588645</v>
      </c>
      <c r="Z59" s="35" t="n">
        <v>-48.4035275</v>
      </c>
      <c r="AA59" s="49" t="s">
        <v>838</v>
      </c>
      <c r="AB59" s="35" t="s">
        <v>923</v>
      </c>
    </row>
    <row r="60" customFormat="false" ht="15" hidden="false" customHeight="false" outlineLevel="0" collapsed="false">
      <c r="A60" s="35" t="n">
        <v>59</v>
      </c>
      <c r="B60" s="35" t="s">
        <v>395</v>
      </c>
      <c r="C60" s="35" t="s">
        <v>925</v>
      </c>
      <c r="D60" s="35" t="s">
        <v>394</v>
      </c>
      <c r="E60" s="35" t="s">
        <v>396</v>
      </c>
      <c r="F60" s="40" t="n">
        <v>157.283984723306</v>
      </c>
      <c r="G60" s="36" t="n">
        <v>1977.50496410989</v>
      </c>
      <c r="H60" s="36" t="n">
        <v>425.987084368584</v>
      </c>
      <c r="I60" s="8" t="s">
        <v>25</v>
      </c>
      <c r="J60" s="35" t="s">
        <v>157</v>
      </c>
      <c r="K60" s="35" t="s">
        <v>203</v>
      </c>
      <c r="L60" s="35" t="n">
        <v>7</v>
      </c>
      <c r="M60" s="35" t="s">
        <v>55</v>
      </c>
      <c r="N60" s="35" t="s">
        <v>892</v>
      </c>
      <c r="O60" s="35" t="s">
        <v>56</v>
      </c>
      <c r="P60" s="35" t="s">
        <v>921</v>
      </c>
      <c r="Q60" s="35" t="n">
        <v>2</v>
      </c>
      <c r="R60" s="35"/>
      <c r="S60" s="35" t="s">
        <v>42</v>
      </c>
      <c r="T60" s="35" t="s">
        <v>48</v>
      </c>
      <c r="U60" s="35" t="s">
        <v>55</v>
      </c>
      <c r="V60" s="35"/>
      <c r="W60" s="35"/>
      <c r="X60" s="35" t="s">
        <v>922</v>
      </c>
      <c r="Y60" s="35" t="n">
        <v>-9.58899</v>
      </c>
      <c r="Z60" s="35" t="n">
        <v>-48.404168</v>
      </c>
      <c r="AA60" s="49" t="s">
        <v>838</v>
      </c>
      <c r="AB60" s="35" t="s">
        <v>923</v>
      </c>
    </row>
    <row r="61" customFormat="false" ht="15" hidden="false" customHeight="false" outlineLevel="0" collapsed="false">
      <c r="A61" s="35" t="n">
        <v>60</v>
      </c>
      <c r="B61" s="35" t="s">
        <v>397</v>
      </c>
      <c r="C61" s="35" t="s">
        <v>926</v>
      </c>
      <c r="D61" s="35" t="s">
        <v>396</v>
      </c>
      <c r="E61" s="35" t="s">
        <v>398</v>
      </c>
      <c r="F61" s="40" t="n">
        <v>28.1070687579883</v>
      </c>
      <c r="G61" s="36" t="n">
        <v>2005.61203286788</v>
      </c>
      <c r="H61" s="36" t="n">
        <v>454.094153126572</v>
      </c>
      <c r="I61" s="8" t="s">
        <v>25</v>
      </c>
      <c r="J61" s="35" t="s">
        <v>157</v>
      </c>
      <c r="K61" s="35" t="s">
        <v>203</v>
      </c>
      <c r="L61" s="35" t="n">
        <v>7</v>
      </c>
      <c r="M61" s="35" t="s">
        <v>55</v>
      </c>
      <c r="N61" s="35" t="s">
        <v>892</v>
      </c>
      <c r="O61" s="35" t="s">
        <v>56</v>
      </c>
      <c r="P61" s="35" t="s">
        <v>921</v>
      </c>
      <c r="Q61" s="35" t="n">
        <v>2</v>
      </c>
      <c r="R61" s="35"/>
      <c r="S61" s="35" t="s">
        <v>42</v>
      </c>
      <c r="T61" s="35" t="s">
        <v>48</v>
      </c>
      <c r="U61" s="35" t="s">
        <v>55</v>
      </c>
      <c r="V61" s="35"/>
      <c r="W61" s="35"/>
      <c r="X61" s="35" t="s">
        <v>922</v>
      </c>
      <c r="Y61" s="35" t="n">
        <v>-9.5894035</v>
      </c>
      <c r="Z61" s="35" t="n">
        <v>-48.404902</v>
      </c>
      <c r="AA61" s="49" t="s">
        <v>838</v>
      </c>
      <c r="AB61" s="35" t="s">
        <v>923</v>
      </c>
    </row>
    <row r="62" customFormat="false" ht="15" hidden="false" customHeight="false" outlineLevel="0" collapsed="false">
      <c r="A62" s="35" t="n">
        <v>61</v>
      </c>
      <c r="B62" s="35" t="s">
        <v>399</v>
      </c>
      <c r="C62" s="35" t="s">
        <v>927</v>
      </c>
      <c r="D62" s="35" t="s">
        <v>398</v>
      </c>
      <c r="E62" s="35" t="s">
        <v>400</v>
      </c>
      <c r="F62" s="40" t="n">
        <v>3.15224447096026</v>
      </c>
      <c r="G62" s="36" t="n">
        <v>2008.76427733884</v>
      </c>
      <c r="H62" s="36" t="n">
        <v>457.246397597532</v>
      </c>
      <c r="I62" s="8" t="s">
        <v>25</v>
      </c>
      <c r="J62" s="35" t="s">
        <v>157</v>
      </c>
      <c r="K62" s="35" t="s">
        <v>203</v>
      </c>
      <c r="L62" s="35" t="n">
        <v>7</v>
      </c>
      <c r="M62" s="35" t="s">
        <v>55</v>
      </c>
      <c r="N62" s="35" t="s">
        <v>892</v>
      </c>
      <c r="O62" s="35" t="s">
        <v>56</v>
      </c>
      <c r="P62" s="35" t="s">
        <v>921</v>
      </c>
      <c r="Q62" s="35" t="n">
        <v>2</v>
      </c>
      <c r="R62" s="35"/>
      <c r="S62" s="35" t="s">
        <v>42</v>
      </c>
      <c r="T62" s="35" t="s">
        <v>48</v>
      </c>
      <c r="U62" s="35" t="s">
        <v>55</v>
      </c>
      <c r="V62" s="35"/>
      <c r="W62" s="35"/>
      <c r="X62" s="35" t="s">
        <v>922</v>
      </c>
      <c r="Y62" s="35" t="n">
        <v>-9.589477</v>
      </c>
      <c r="Z62" s="35" t="n">
        <v>-48.4050235</v>
      </c>
      <c r="AA62" s="49" t="s">
        <v>838</v>
      </c>
      <c r="AB62" s="35" t="s">
        <v>923</v>
      </c>
    </row>
    <row r="63" customFormat="false" ht="15" hidden="false" customHeight="false" outlineLevel="0" collapsed="false">
      <c r="A63" s="35" t="n">
        <v>62</v>
      </c>
      <c r="B63" s="35" t="s">
        <v>401</v>
      </c>
      <c r="C63" s="35" t="s">
        <v>928</v>
      </c>
      <c r="D63" s="35" t="s">
        <v>400</v>
      </c>
      <c r="E63" s="35" t="s">
        <v>402</v>
      </c>
      <c r="F63" s="40" t="n">
        <v>46.6572704062552</v>
      </c>
      <c r="G63" s="36" t="n">
        <v>2055.42154774509</v>
      </c>
      <c r="H63" s="36" t="n">
        <v>503.903668003787</v>
      </c>
      <c r="I63" s="8" t="s">
        <v>25</v>
      </c>
      <c r="J63" s="35" t="s">
        <v>157</v>
      </c>
      <c r="K63" s="35" t="s">
        <v>203</v>
      </c>
      <c r="L63" s="35" t="n">
        <v>7</v>
      </c>
      <c r="M63" s="35" t="s">
        <v>55</v>
      </c>
      <c r="N63" s="35" t="s">
        <v>892</v>
      </c>
      <c r="O63" s="35" t="s">
        <v>56</v>
      </c>
      <c r="P63" s="35" t="s">
        <v>921</v>
      </c>
      <c r="Q63" s="35" t="n">
        <v>2</v>
      </c>
      <c r="R63" s="35"/>
      <c r="S63" s="35" t="s">
        <v>42</v>
      </c>
      <c r="T63" s="35" t="s">
        <v>48</v>
      </c>
      <c r="U63" s="35" t="s">
        <v>55</v>
      </c>
      <c r="V63" s="35"/>
      <c r="W63" s="35"/>
      <c r="X63" s="35" t="s">
        <v>922</v>
      </c>
      <c r="Y63" s="35" t="n">
        <v>-9.5895885</v>
      </c>
      <c r="Z63" s="35" t="n">
        <v>-48.4052205</v>
      </c>
      <c r="AA63" s="49" t="s">
        <v>838</v>
      </c>
      <c r="AB63" s="35" t="s">
        <v>923</v>
      </c>
    </row>
    <row r="64" customFormat="false" ht="15" hidden="false" customHeight="false" outlineLevel="0" collapsed="false">
      <c r="A64" s="35" t="n">
        <v>63</v>
      </c>
      <c r="B64" s="35" t="s">
        <v>403</v>
      </c>
      <c r="C64" s="35" t="s">
        <v>929</v>
      </c>
      <c r="D64" s="35" t="s">
        <v>402</v>
      </c>
      <c r="E64" s="35" t="s">
        <v>404</v>
      </c>
      <c r="F64" s="40" t="n">
        <v>3.14750230296232</v>
      </c>
      <c r="G64" s="36" t="n">
        <v>2058.56905004806</v>
      </c>
      <c r="H64" s="36" t="n">
        <v>507.05117030675</v>
      </c>
      <c r="I64" s="8" t="s">
        <v>25</v>
      </c>
      <c r="J64" s="35" t="s">
        <v>157</v>
      </c>
      <c r="K64" s="35" t="s">
        <v>203</v>
      </c>
      <c r="L64" s="35" t="n">
        <v>7</v>
      </c>
      <c r="M64" s="35" t="s">
        <v>55</v>
      </c>
      <c r="N64" s="35" t="s">
        <v>892</v>
      </c>
      <c r="O64" s="35" t="s">
        <v>56</v>
      </c>
      <c r="P64" s="35" t="s">
        <v>921</v>
      </c>
      <c r="Q64" s="35" t="n">
        <v>2</v>
      </c>
      <c r="R64" s="35"/>
      <c r="S64" s="35" t="s">
        <v>42</v>
      </c>
      <c r="T64" s="35" t="s">
        <v>48</v>
      </c>
      <c r="U64" s="35" t="s">
        <v>55</v>
      </c>
      <c r="V64" s="35"/>
      <c r="W64" s="35"/>
      <c r="X64" s="35" t="s">
        <v>922</v>
      </c>
      <c r="Y64" s="35" t="n">
        <v>-9.589699</v>
      </c>
      <c r="Z64" s="35" t="n">
        <v>-48.405418</v>
      </c>
      <c r="AA64" s="49" t="s">
        <v>838</v>
      </c>
      <c r="AB64" s="35" t="s">
        <v>923</v>
      </c>
    </row>
    <row r="65" customFormat="false" ht="15" hidden="false" customHeight="false" outlineLevel="0" collapsed="false">
      <c r="A65" s="35" t="n">
        <v>64</v>
      </c>
      <c r="B65" s="35" t="s">
        <v>405</v>
      </c>
      <c r="C65" s="35" t="s">
        <v>930</v>
      </c>
      <c r="D65" s="35" t="s">
        <v>404</v>
      </c>
      <c r="E65" s="35" t="s">
        <v>406</v>
      </c>
      <c r="F65" s="40" t="n">
        <v>16.2528774105678</v>
      </c>
      <c r="G65" s="36" t="n">
        <v>2074.82192745862</v>
      </c>
      <c r="H65" s="36" t="n">
        <v>523.304047717317</v>
      </c>
      <c r="I65" s="8" t="s">
        <v>25</v>
      </c>
      <c r="J65" s="35" t="s">
        <v>157</v>
      </c>
      <c r="K65" s="35" t="s">
        <v>203</v>
      </c>
      <c r="L65" s="35" t="n">
        <v>7</v>
      </c>
      <c r="M65" s="35" t="s">
        <v>55</v>
      </c>
      <c r="N65" s="35" t="s">
        <v>892</v>
      </c>
      <c r="O65" s="35" t="s">
        <v>56</v>
      </c>
      <c r="P65" s="35" t="s">
        <v>921</v>
      </c>
      <c r="Q65" s="35" t="n">
        <v>2</v>
      </c>
      <c r="R65" s="35"/>
      <c r="S65" s="35" t="s">
        <v>42</v>
      </c>
      <c r="T65" s="35" t="s">
        <v>48</v>
      </c>
      <c r="U65" s="35" t="s">
        <v>55</v>
      </c>
      <c r="V65" s="35"/>
      <c r="W65" s="35"/>
      <c r="X65" s="35" t="s">
        <v>922</v>
      </c>
      <c r="Y65" s="35" t="n">
        <v>-9.5897435</v>
      </c>
      <c r="Z65" s="35" t="n">
        <v>-48.405494</v>
      </c>
      <c r="AA65" s="49" t="s">
        <v>838</v>
      </c>
      <c r="AB65" s="35" t="s">
        <v>923</v>
      </c>
    </row>
    <row r="66" customFormat="false" ht="15" hidden="false" customHeight="false" outlineLevel="0" collapsed="false">
      <c r="A66" s="35" t="n">
        <v>65</v>
      </c>
      <c r="B66" s="35" t="s">
        <v>407</v>
      </c>
      <c r="C66" s="35" t="s">
        <v>931</v>
      </c>
      <c r="D66" s="35" t="s">
        <v>406</v>
      </c>
      <c r="E66" s="35" t="s">
        <v>408</v>
      </c>
      <c r="F66" s="40" t="n">
        <v>26.2552558579867</v>
      </c>
      <c r="G66" s="36" t="n">
        <v>2101.07718331661</v>
      </c>
      <c r="H66" s="36" t="n">
        <v>549.559303575304</v>
      </c>
      <c r="I66" s="8" t="s">
        <v>25</v>
      </c>
      <c r="J66" s="35" t="s">
        <v>157</v>
      </c>
      <c r="K66" s="35" t="s">
        <v>203</v>
      </c>
      <c r="L66" s="35" t="n">
        <v>7</v>
      </c>
      <c r="M66" s="35" t="s">
        <v>55</v>
      </c>
      <c r="N66" s="35" t="s">
        <v>892</v>
      </c>
      <c r="O66" s="35" t="s">
        <v>56</v>
      </c>
      <c r="P66" s="35" t="s">
        <v>921</v>
      </c>
      <c r="Q66" s="35" t="n">
        <v>2</v>
      </c>
      <c r="R66" s="35"/>
      <c r="S66" s="35" t="s">
        <v>42</v>
      </c>
      <c r="T66" s="35" t="s">
        <v>48</v>
      </c>
      <c r="U66" s="35" t="s">
        <v>55</v>
      </c>
      <c r="V66" s="35"/>
      <c r="W66" s="35"/>
      <c r="X66" s="35" t="s">
        <v>922</v>
      </c>
      <c r="Y66" s="35" t="n">
        <v>-9.5898405</v>
      </c>
      <c r="Z66" s="35" t="n">
        <v>-48.405661</v>
      </c>
      <c r="AA66" s="49" t="s">
        <v>838</v>
      </c>
      <c r="AB66" s="35" t="s">
        <v>923</v>
      </c>
    </row>
    <row r="67" customFormat="false" ht="15" hidden="false" customHeight="false" outlineLevel="0" collapsed="false">
      <c r="A67" s="35" t="n">
        <v>66</v>
      </c>
      <c r="B67" s="35" t="s">
        <v>409</v>
      </c>
      <c r="C67" s="35" t="s">
        <v>932</v>
      </c>
      <c r="D67" s="35" t="s">
        <v>408</v>
      </c>
      <c r="E67" s="35" t="s">
        <v>410</v>
      </c>
      <c r="F67" s="40" t="n">
        <v>3.24803094734717</v>
      </c>
      <c r="G67" s="36" t="n">
        <v>2104.32521426396</v>
      </c>
      <c r="H67" s="36" t="n">
        <v>552.807334522651</v>
      </c>
      <c r="I67" s="8" t="s">
        <v>25</v>
      </c>
      <c r="J67" s="35" t="s">
        <v>157</v>
      </c>
      <c r="K67" s="35" t="s">
        <v>203</v>
      </c>
      <c r="L67" s="35" t="n">
        <v>7</v>
      </c>
      <c r="M67" s="35" t="s">
        <v>55</v>
      </c>
      <c r="N67" s="35" t="s">
        <v>892</v>
      </c>
      <c r="O67" s="35" t="s">
        <v>56</v>
      </c>
      <c r="P67" s="35" t="s">
        <v>921</v>
      </c>
      <c r="Q67" s="35" t="n">
        <v>2</v>
      </c>
      <c r="R67" s="35"/>
      <c r="S67" s="35" t="s">
        <v>42</v>
      </c>
      <c r="T67" s="35" t="s">
        <v>48</v>
      </c>
      <c r="U67" s="35" t="s">
        <v>55</v>
      </c>
      <c r="V67" s="35"/>
      <c r="W67" s="35"/>
      <c r="X67" s="35" t="s">
        <v>922</v>
      </c>
      <c r="Y67" s="35" t="n">
        <v>-9.589906</v>
      </c>
      <c r="Z67" s="35" t="n">
        <v>-48.405778</v>
      </c>
      <c r="AA67" s="49" t="s">
        <v>838</v>
      </c>
      <c r="AB67" s="35" t="s">
        <v>923</v>
      </c>
    </row>
    <row r="68" customFormat="false" ht="15" hidden="false" customHeight="false" outlineLevel="0" collapsed="false">
      <c r="A68" s="35" t="n">
        <v>67</v>
      </c>
      <c r="B68" s="35" t="s">
        <v>411</v>
      </c>
      <c r="C68" s="35" t="s">
        <v>933</v>
      </c>
      <c r="D68" s="35" t="s">
        <v>410</v>
      </c>
      <c r="E68" s="35" t="s">
        <v>412</v>
      </c>
      <c r="F68" s="40" t="n">
        <v>68.4355026397248</v>
      </c>
      <c r="G68" s="36" t="n">
        <v>2172.76071690368</v>
      </c>
      <c r="H68" s="36" t="n">
        <v>621.242837162376</v>
      </c>
      <c r="I68" s="8" t="s">
        <v>25</v>
      </c>
      <c r="J68" s="35" t="s">
        <v>157</v>
      </c>
      <c r="K68" s="35" t="s">
        <v>203</v>
      </c>
      <c r="L68" s="35" t="n">
        <v>7</v>
      </c>
      <c r="M68" s="35" t="s">
        <v>55</v>
      </c>
      <c r="N68" s="35" t="s">
        <v>892</v>
      </c>
      <c r="O68" s="35" t="s">
        <v>56</v>
      </c>
      <c r="P68" s="35" t="s">
        <v>921</v>
      </c>
      <c r="Q68" s="35" t="n">
        <v>2</v>
      </c>
      <c r="R68" s="35"/>
      <c r="S68" s="35" t="s">
        <v>42</v>
      </c>
      <c r="T68" s="35" t="s">
        <v>48</v>
      </c>
      <c r="U68" s="35" t="s">
        <v>55</v>
      </c>
      <c r="V68" s="35"/>
      <c r="W68" s="35"/>
      <c r="X68" s="35" t="s">
        <v>922</v>
      </c>
      <c r="Y68" s="35" t="n">
        <v>-9.5900585</v>
      </c>
      <c r="Z68" s="35" t="n">
        <v>-48.406066</v>
      </c>
      <c r="AA68" s="49" t="s">
        <v>838</v>
      </c>
      <c r="AB68" s="35" t="s">
        <v>923</v>
      </c>
    </row>
    <row r="69" customFormat="false" ht="15" hidden="false" customHeight="false" outlineLevel="0" collapsed="false">
      <c r="A69" s="35" t="n">
        <v>68</v>
      </c>
      <c r="B69" s="35" t="s">
        <v>413</v>
      </c>
      <c r="C69" s="35" t="s">
        <v>934</v>
      </c>
      <c r="D69" s="35" t="s">
        <v>412</v>
      </c>
      <c r="E69" s="35" t="s">
        <v>414</v>
      </c>
      <c r="F69" s="40" t="n">
        <v>2.90667294358374</v>
      </c>
      <c r="G69" s="36" t="n">
        <v>2175.66738984727</v>
      </c>
      <c r="H69" s="36" t="n">
        <v>624.14951010596</v>
      </c>
      <c r="I69" s="8" t="s">
        <v>25</v>
      </c>
      <c r="J69" s="35" t="s">
        <v>157</v>
      </c>
      <c r="K69" s="35" t="s">
        <v>203</v>
      </c>
      <c r="L69" s="35" t="n">
        <v>7</v>
      </c>
      <c r="M69" s="35" t="s">
        <v>55</v>
      </c>
      <c r="N69" s="35" t="s">
        <v>892</v>
      </c>
      <c r="O69" s="35" t="s">
        <v>56</v>
      </c>
      <c r="P69" s="35" t="s">
        <v>921</v>
      </c>
      <c r="Q69" s="35" t="n">
        <v>2</v>
      </c>
      <c r="R69" s="35"/>
      <c r="S69" s="35" t="s">
        <v>42</v>
      </c>
      <c r="T69" s="35" t="s">
        <v>48</v>
      </c>
      <c r="U69" s="35" t="s">
        <v>55</v>
      </c>
      <c r="V69" s="35"/>
      <c r="W69" s="35"/>
      <c r="X69" s="35" t="s">
        <v>922</v>
      </c>
      <c r="Y69" s="35" t="n">
        <v>-9.5902105</v>
      </c>
      <c r="Z69" s="35" t="n">
        <v>-48.4063525</v>
      </c>
      <c r="AA69" s="49" t="s">
        <v>838</v>
      </c>
      <c r="AB69" s="35" t="s">
        <v>923</v>
      </c>
    </row>
    <row r="70" customFormat="false" ht="15" hidden="false" customHeight="false" outlineLevel="0" collapsed="false">
      <c r="A70" s="35" t="n">
        <v>69</v>
      </c>
      <c r="B70" s="35" t="s">
        <v>415</v>
      </c>
      <c r="C70" s="35" t="s">
        <v>935</v>
      </c>
      <c r="D70" s="35" t="s">
        <v>414</v>
      </c>
      <c r="E70" s="35" t="s">
        <v>416</v>
      </c>
      <c r="F70" s="40" t="n">
        <v>27.082649702172</v>
      </c>
      <c r="G70" s="36" t="n">
        <v>2202.75003954944</v>
      </c>
      <c r="H70" s="36" t="n">
        <v>651.232159808132</v>
      </c>
      <c r="I70" s="8" t="s">
        <v>25</v>
      </c>
      <c r="J70" s="35" t="s">
        <v>157</v>
      </c>
      <c r="K70" s="35" t="s">
        <v>203</v>
      </c>
      <c r="L70" s="35" t="n">
        <v>7</v>
      </c>
      <c r="M70" s="35" t="s">
        <v>55</v>
      </c>
      <c r="N70" s="35" t="s">
        <v>892</v>
      </c>
      <c r="O70" s="35" t="s">
        <v>56</v>
      </c>
      <c r="P70" s="35" t="s">
        <v>921</v>
      </c>
      <c r="Q70" s="35" t="n">
        <v>2</v>
      </c>
      <c r="R70" s="35"/>
      <c r="S70" s="35" t="s">
        <v>42</v>
      </c>
      <c r="T70" s="35" t="s">
        <v>48</v>
      </c>
      <c r="U70" s="35" t="s">
        <v>55</v>
      </c>
      <c r="V70" s="35"/>
      <c r="W70" s="35"/>
      <c r="X70" s="35" t="s">
        <v>922</v>
      </c>
      <c r="Y70" s="35" t="n">
        <v>-9.5902795</v>
      </c>
      <c r="Z70" s="35" t="n">
        <v>-48.40647</v>
      </c>
      <c r="AA70" s="49" t="s">
        <v>838</v>
      </c>
      <c r="AB70" s="35" t="s">
        <v>923</v>
      </c>
    </row>
    <row r="71" customFormat="false" ht="15" hidden="false" customHeight="false" outlineLevel="0" collapsed="false">
      <c r="A71" s="35" t="n">
        <v>70</v>
      </c>
      <c r="B71" s="35" t="s">
        <v>417</v>
      </c>
      <c r="C71" s="35" t="s">
        <v>936</v>
      </c>
      <c r="D71" s="35" t="s">
        <v>416</v>
      </c>
      <c r="E71" s="35" t="s">
        <v>418</v>
      </c>
      <c r="F71" s="40" t="n">
        <v>3.59285118714245</v>
      </c>
      <c r="G71" s="36" t="n">
        <v>2206.34289073658</v>
      </c>
      <c r="H71" s="36" t="n">
        <v>654.825010995274</v>
      </c>
      <c r="I71" s="8" t="s">
        <v>25</v>
      </c>
      <c r="J71" s="35" t="s">
        <v>157</v>
      </c>
      <c r="K71" s="35" t="s">
        <v>203</v>
      </c>
      <c r="L71" s="35" t="n">
        <v>7</v>
      </c>
      <c r="M71" s="35" t="s">
        <v>55</v>
      </c>
      <c r="N71" s="35" t="s">
        <v>892</v>
      </c>
      <c r="O71" s="35" t="s">
        <v>56</v>
      </c>
      <c r="P71" s="35" t="s">
        <v>921</v>
      </c>
      <c r="Q71" s="35" t="n">
        <v>2</v>
      </c>
      <c r="R71" s="35"/>
      <c r="S71" s="35" t="s">
        <v>42</v>
      </c>
      <c r="T71" s="35" t="s">
        <v>48</v>
      </c>
      <c r="U71" s="35" t="s">
        <v>55</v>
      </c>
      <c r="V71" s="35"/>
      <c r="W71" s="35"/>
      <c r="X71" s="35" t="s">
        <v>922</v>
      </c>
      <c r="Y71" s="35" t="n">
        <v>-9.5903355</v>
      </c>
      <c r="Z71" s="35" t="n">
        <v>-48.406591</v>
      </c>
      <c r="AA71" s="49" t="s">
        <v>838</v>
      </c>
      <c r="AB71" s="35" t="s">
        <v>923</v>
      </c>
    </row>
    <row r="72" customFormat="false" ht="15" hidden="false" customHeight="false" outlineLevel="0" collapsed="false">
      <c r="A72" s="35" t="n">
        <v>71</v>
      </c>
      <c r="B72" s="35" t="s">
        <v>419</v>
      </c>
      <c r="C72" s="35" t="s">
        <v>937</v>
      </c>
      <c r="D72" s="35" t="s">
        <v>418</v>
      </c>
      <c r="E72" s="35" t="s">
        <v>420</v>
      </c>
      <c r="F72" s="40" t="n">
        <v>40.1410403724668</v>
      </c>
      <c r="G72" s="36" t="n">
        <v>2246.48393110905</v>
      </c>
      <c r="H72" s="36" t="n">
        <v>694.966051367741</v>
      </c>
      <c r="I72" s="8" t="s">
        <v>25</v>
      </c>
      <c r="J72" s="35" t="s">
        <v>157</v>
      </c>
      <c r="K72" s="35" t="s">
        <v>203</v>
      </c>
      <c r="L72" s="35" t="n">
        <v>7</v>
      </c>
      <c r="M72" s="35" t="s">
        <v>55</v>
      </c>
      <c r="N72" s="35" t="s">
        <v>892</v>
      </c>
      <c r="O72" s="35" t="s">
        <v>56</v>
      </c>
      <c r="P72" s="35" t="s">
        <v>921</v>
      </c>
      <c r="Q72" s="35" t="n">
        <v>2</v>
      </c>
      <c r="R72" s="35"/>
      <c r="S72" s="35" t="s">
        <v>42</v>
      </c>
      <c r="T72" s="35" t="s">
        <v>48</v>
      </c>
      <c r="U72" s="35" t="s">
        <v>55</v>
      </c>
      <c r="V72" s="35"/>
      <c r="W72" s="35"/>
      <c r="X72" s="35" t="s">
        <v>922</v>
      </c>
      <c r="Y72" s="35" t="n">
        <v>-9.5903335</v>
      </c>
      <c r="Z72" s="35" t="n">
        <v>-48.406789</v>
      </c>
      <c r="AA72" s="49" t="s">
        <v>838</v>
      </c>
      <c r="AB72" s="35" t="s">
        <v>923</v>
      </c>
    </row>
    <row r="73" customFormat="false" ht="15" hidden="false" customHeight="false" outlineLevel="0" collapsed="false">
      <c r="A73" s="35" t="n">
        <v>72</v>
      </c>
      <c r="B73" s="35" t="s">
        <v>421</v>
      </c>
      <c r="C73" s="35" t="s">
        <v>938</v>
      </c>
      <c r="D73" s="35" t="s">
        <v>420</v>
      </c>
      <c r="E73" s="35" t="s">
        <v>422</v>
      </c>
      <c r="F73" s="40" t="n">
        <v>3.63688270061982</v>
      </c>
      <c r="G73" s="36" t="n">
        <v>2250.12081380967</v>
      </c>
      <c r="H73" s="36" t="n">
        <v>698.602934068361</v>
      </c>
      <c r="I73" s="8" t="s">
        <v>25</v>
      </c>
      <c r="J73" s="35" t="s">
        <v>157</v>
      </c>
      <c r="K73" s="35" t="s">
        <v>203</v>
      </c>
      <c r="L73" s="35" t="n">
        <v>7</v>
      </c>
      <c r="M73" s="35" t="s">
        <v>55</v>
      </c>
      <c r="N73" s="35" t="s">
        <v>892</v>
      </c>
      <c r="O73" s="35" t="s">
        <v>56</v>
      </c>
      <c r="P73" s="35" t="s">
        <v>921</v>
      </c>
      <c r="Q73" s="35" t="n">
        <v>2</v>
      </c>
      <c r="R73" s="35"/>
      <c r="S73" s="35" t="s">
        <v>42</v>
      </c>
      <c r="T73" s="35" t="s">
        <v>48</v>
      </c>
      <c r="U73" s="35" t="s">
        <v>55</v>
      </c>
      <c r="V73" s="35"/>
      <c r="W73" s="35"/>
      <c r="X73" s="35" t="s">
        <v>922</v>
      </c>
      <c r="Y73" s="35" t="n">
        <v>-9.5903285</v>
      </c>
      <c r="Z73" s="35" t="n">
        <v>-48.4069855</v>
      </c>
      <c r="AA73" s="49" t="s">
        <v>838</v>
      </c>
      <c r="AB73" s="35" t="s">
        <v>923</v>
      </c>
    </row>
    <row r="74" customFormat="false" ht="15" hidden="false" customHeight="false" outlineLevel="0" collapsed="false">
      <c r="A74" s="35" t="n">
        <v>73</v>
      </c>
      <c r="B74" s="35" t="s">
        <v>423</v>
      </c>
      <c r="C74" s="35" t="s">
        <v>939</v>
      </c>
      <c r="D74" s="35" t="s">
        <v>422</v>
      </c>
      <c r="E74" s="35" t="s">
        <v>424</v>
      </c>
      <c r="F74" s="40" t="n">
        <v>141.058887625058</v>
      </c>
      <c r="G74" s="36" t="n">
        <v>2391.17970143473</v>
      </c>
      <c r="H74" s="36" t="n">
        <v>839.661821693419</v>
      </c>
      <c r="I74" s="8" t="s">
        <v>25</v>
      </c>
      <c r="J74" s="35" t="s">
        <v>157</v>
      </c>
      <c r="K74" s="35" t="s">
        <v>203</v>
      </c>
      <c r="L74" s="35" t="n">
        <v>7</v>
      </c>
      <c r="M74" s="35" t="s">
        <v>55</v>
      </c>
      <c r="N74" s="35" t="s">
        <v>892</v>
      </c>
      <c r="O74" s="35" t="s">
        <v>56</v>
      </c>
      <c r="P74" s="35" t="s">
        <v>921</v>
      </c>
      <c r="Q74" s="35" t="n">
        <v>2</v>
      </c>
      <c r="R74" s="35"/>
      <c r="S74" s="35" t="s">
        <v>42</v>
      </c>
      <c r="T74" s="35" t="s">
        <v>48</v>
      </c>
      <c r="U74" s="35" t="s">
        <v>55</v>
      </c>
      <c r="V74" s="35"/>
      <c r="W74" s="35"/>
      <c r="X74" s="35" t="s">
        <v>922</v>
      </c>
      <c r="Y74" s="35" t="n">
        <v>-9.589697</v>
      </c>
      <c r="Z74" s="35" t="n">
        <v>-48.407125</v>
      </c>
      <c r="AA74" s="49" t="s">
        <v>838</v>
      </c>
      <c r="AB74" s="35" t="s">
        <v>923</v>
      </c>
    </row>
    <row r="75" customFormat="false" ht="15" hidden="false" customHeight="false" outlineLevel="0" collapsed="false">
      <c r="A75" s="35" t="n">
        <v>74</v>
      </c>
      <c r="B75" s="35" t="s">
        <v>425</v>
      </c>
      <c r="C75" s="35" t="s">
        <v>940</v>
      </c>
      <c r="D75" s="35" t="s">
        <v>424</v>
      </c>
      <c r="E75" s="35" t="s">
        <v>426</v>
      </c>
      <c r="F75" s="40" t="n">
        <v>3.12398462060805</v>
      </c>
      <c r="G75" s="36" t="n">
        <v>2394.30368605533</v>
      </c>
      <c r="H75" s="36" t="n">
        <v>842.785806314027</v>
      </c>
      <c r="I75" s="8" t="s">
        <v>25</v>
      </c>
      <c r="J75" s="35" t="s">
        <v>157</v>
      </c>
      <c r="K75" s="35" t="s">
        <v>203</v>
      </c>
      <c r="L75" s="35" t="n">
        <v>7</v>
      </c>
      <c r="M75" s="35" t="s">
        <v>55</v>
      </c>
      <c r="N75" s="35" t="s">
        <v>892</v>
      </c>
      <c r="O75" s="35" t="s">
        <v>56</v>
      </c>
      <c r="P75" s="35" t="s">
        <v>921</v>
      </c>
      <c r="Q75" s="35" t="n">
        <v>2</v>
      </c>
      <c r="R75" s="35"/>
      <c r="S75" s="35" t="s">
        <v>42</v>
      </c>
      <c r="T75" s="35" t="s">
        <v>48</v>
      </c>
      <c r="U75" s="35" t="s">
        <v>55</v>
      </c>
      <c r="V75" s="35"/>
      <c r="W75" s="35"/>
      <c r="X75" s="35" t="s">
        <v>922</v>
      </c>
      <c r="Y75" s="35" t="n">
        <v>-9.5890625</v>
      </c>
      <c r="Z75" s="35" t="n">
        <v>-48.4072575</v>
      </c>
      <c r="AA75" s="49" t="s">
        <v>838</v>
      </c>
      <c r="AB75" s="35" t="s">
        <v>923</v>
      </c>
    </row>
    <row r="76" customFormat="false" ht="15" hidden="false" customHeight="false" outlineLevel="0" collapsed="false">
      <c r="A76" s="35" t="n">
        <v>75</v>
      </c>
      <c r="B76" s="35" t="s">
        <v>427</v>
      </c>
      <c r="C76" s="35" t="s">
        <v>941</v>
      </c>
      <c r="D76" s="35" t="s">
        <v>426</v>
      </c>
      <c r="E76" s="35" t="s">
        <v>428</v>
      </c>
      <c r="F76" s="40" t="n">
        <v>122.932596858644</v>
      </c>
      <c r="G76" s="36" t="n">
        <v>2517.23628291398</v>
      </c>
      <c r="H76" s="36" t="n">
        <v>965.71840317267</v>
      </c>
      <c r="I76" s="8" t="s">
        <v>25</v>
      </c>
      <c r="J76" s="35" t="s">
        <v>157</v>
      </c>
      <c r="K76" s="35" t="s">
        <v>203</v>
      </c>
      <c r="L76" s="35" t="n">
        <v>7</v>
      </c>
      <c r="M76" s="35" t="s">
        <v>55</v>
      </c>
      <c r="N76" s="35" t="s">
        <v>892</v>
      </c>
      <c r="O76" s="35" t="s">
        <v>56</v>
      </c>
      <c r="P76" s="35" t="s">
        <v>921</v>
      </c>
      <c r="Q76" s="35" t="n">
        <v>2</v>
      </c>
      <c r="R76" s="35"/>
      <c r="S76" s="35" t="s">
        <v>42</v>
      </c>
      <c r="T76" s="35" t="s">
        <v>48</v>
      </c>
      <c r="U76" s="35" t="s">
        <v>55</v>
      </c>
      <c r="V76" s="35"/>
      <c r="W76" s="35"/>
      <c r="X76" s="35" t="s">
        <v>922</v>
      </c>
      <c r="Y76" s="35" t="n">
        <v>-9.588547</v>
      </c>
      <c r="Z76" s="35" t="n">
        <v>-48.4074965</v>
      </c>
      <c r="AA76" s="49" t="s">
        <v>838</v>
      </c>
      <c r="AB76" s="35" t="s">
        <v>923</v>
      </c>
    </row>
    <row r="77" customFormat="false" ht="15" hidden="false" customHeight="false" outlineLevel="0" collapsed="false">
      <c r="A77" s="35" t="n">
        <v>76</v>
      </c>
      <c r="B77" s="35" t="s">
        <v>429</v>
      </c>
      <c r="C77" s="35" t="s">
        <v>942</v>
      </c>
      <c r="D77" s="35" t="s">
        <v>428</v>
      </c>
      <c r="E77" s="35" t="s">
        <v>430</v>
      </c>
      <c r="F77" s="40" t="n">
        <v>3.17551051059534</v>
      </c>
      <c r="G77" s="36" t="n">
        <v>2520.41179342457</v>
      </c>
      <c r="H77" s="36" t="n">
        <v>968.893913683266</v>
      </c>
      <c r="I77" s="8" t="s">
        <v>25</v>
      </c>
      <c r="J77" s="35" t="s">
        <v>157</v>
      </c>
      <c r="K77" s="35" t="s">
        <v>203</v>
      </c>
      <c r="L77" s="35" t="n">
        <v>7</v>
      </c>
      <c r="M77" s="35" t="s">
        <v>55</v>
      </c>
      <c r="N77" s="35" t="s">
        <v>892</v>
      </c>
      <c r="O77" s="35" t="s">
        <v>56</v>
      </c>
      <c r="P77" s="35" t="s">
        <v>921</v>
      </c>
      <c r="Q77" s="35" t="n">
        <v>2</v>
      </c>
      <c r="R77" s="35"/>
      <c r="S77" s="35" t="s">
        <v>42</v>
      </c>
      <c r="T77" s="35" t="s">
        <v>48</v>
      </c>
      <c r="U77" s="35" t="s">
        <v>55</v>
      </c>
      <c r="V77" s="35"/>
      <c r="W77" s="35"/>
      <c r="X77" s="35" t="s">
        <v>922</v>
      </c>
      <c r="Y77" s="35" t="n">
        <v>-9.5880315</v>
      </c>
      <c r="Z77" s="35" t="n">
        <v>-48.407736</v>
      </c>
      <c r="AA77" s="49" t="s">
        <v>838</v>
      </c>
      <c r="AB77" s="35" t="s">
        <v>923</v>
      </c>
    </row>
    <row r="78" customFormat="false" ht="15" hidden="false" customHeight="false" outlineLevel="0" collapsed="false">
      <c r="A78" s="35" t="n">
        <v>77</v>
      </c>
      <c r="B78" s="35" t="s">
        <v>431</v>
      </c>
      <c r="C78" s="35" t="s">
        <v>943</v>
      </c>
      <c r="D78" s="35" t="s">
        <v>430</v>
      </c>
      <c r="E78" s="35" t="s">
        <v>432</v>
      </c>
      <c r="F78" s="40" t="n">
        <v>442.74242755848</v>
      </c>
      <c r="G78" s="36" t="n">
        <v>2963.15422098305</v>
      </c>
      <c r="H78" s="36" t="n">
        <v>1411.63634124175</v>
      </c>
      <c r="I78" s="8" t="s">
        <v>25</v>
      </c>
      <c r="J78" s="35" t="s">
        <v>157</v>
      </c>
      <c r="K78" s="35" t="s">
        <v>203</v>
      </c>
      <c r="L78" s="35" t="n">
        <v>7</v>
      </c>
      <c r="M78" s="35" t="s">
        <v>55</v>
      </c>
      <c r="N78" s="35" t="s">
        <v>892</v>
      </c>
      <c r="O78" s="35" t="s">
        <v>56</v>
      </c>
      <c r="P78" s="35" t="s">
        <v>921</v>
      </c>
      <c r="Q78" s="35" t="n">
        <v>2</v>
      </c>
      <c r="R78" s="35"/>
      <c r="S78" s="35" t="s">
        <v>42</v>
      </c>
      <c r="T78" s="35" t="s">
        <v>48</v>
      </c>
      <c r="U78" s="35" t="s">
        <v>55</v>
      </c>
      <c r="V78" s="35"/>
      <c r="W78" s="35"/>
      <c r="X78" s="35" t="s">
        <v>922</v>
      </c>
      <c r="Y78" s="35" t="n">
        <v>-9.5862795</v>
      </c>
      <c r="Z78" s="35" t="n">
        <v>-48.408725</v>
      </c>
      <c r="AA78" s="49" t="s">
        <v>838</v>
      </c>
      <c r="AB78" s="35" t="s">
        <v>923</v>
      </c>
    </row>
    <row r="79" customFormat="false" ht="15" hidden="false" customHeight="false" outlineLevel="0" collapsed="false">
      <c r="A79" s="35" t="n">
        <v>78</v>
      </c>
      <c r="B79" s="35" t="s">
        <v>433</v>
      </c>
      <c r="C79" s="35" t="s">
        <v>944</v>
      </c>
      <c r="D79" s="35" t="s">
        <v>432</v>
      </c>
      <c r="E79" s="35" t="s">
        <v>434</v>
      </c>
      <c r="F79" s="40" t="n">
        <v>1.73607399753317</v>
      </c>
      <c r="G79" s="36" t="n">
        <v>2964.89029498059</v>
      </c>
      <c r="H79" s="36" t="n">
        <v>1413.37241523928</v>
      </c>
      <c r="I79" s="8" t="s">
        <v>25</v>
      </c>
      <c r="J79" s="35" t="s">
        <v>157</v>
      </c>
      <c r="K79" s="35" t="s">
        <v>203</v>
      </c>
      <c r="L79" s="35" t="n">
        <v>7</v>
      </c>
      <c r="M79" s="35" t="s">
        <v>55</v>
      </c>
      <c r="N79" s="35" t="s">
        <v>892</v>
      </c>
      <c r="O79" s="35" t="s">
        <v>56</v>
      </c>
      <c r="P79" s="35" t="s">
        <v>57</v>
      </c>
      <c r="Q79" s="35" t="n">
        <v>1</v>
      </c>
      <c r="R79" s="35"/>
      <c r="S79" s="35" t="s">
        <v>42</v>
      </c>
      <c r="T79" s="35" t="s">
        <v>48</v>
      </c>
      <c r="U79" s="35" t="s">
        <v>55</v>
      </c>
      <c r="V79" s="35"/>
      <c r="W79" s="35"/>
      <c r="X79" s="35" t="s">
        <v>922</v>
      </c>
      <c r="Y79" s="35" t="n">
        <v>-9.5845425</v>
      </c>
      <c r="Z79" s="35" t="n">
        <v>-48.4097145</v>
      </c>
      <c r="AA79" s="49" t="s">
        <v>838</v>
      </c>
      <c r="AB79" s="35" t="s">
        <v>923</v>
      </c>
    </row>
    <row r="80" customFormat="false" ht="15" hidden="false" customHeight="false" outlineLevel="0" collapsed="false">
      <c r="A80" s="35" t="n">
        <v>79</v>
      </c>
      <c r="B80" s="35" t="s">
        <v>435</v>
      </c>
      <c r="C80" s="35" t="s">
        <v>945</v>
      </c>
      <c r="D80" s="35" t="s">
        <v>434</v>
      </c>
      <c r="E80" s="35" t="s">
        <v>436</v>
      </c>
      <c r="F80" s="40" t="n">
        <v>42.4183003083392</v>
      </c>
      <c r="G80" s="36" t="n">
        <v>3007.30859528893</v>
      </c>
      <c r="H80" s="36" t="n">
        <v>1455.79071554762</v>
      </c>
      <c r="I80" s="8" t="s">
        <v>25</v>
      </c>
      <c r="J80" s="35" t="s">
        <v>157</v>
      </c>
      <c r="K80" s="35" t="s">
        <v>203</v>
      </c>
      <c r="L80" s="35" t="n">
        <v>7</v>
      </c>
      <c r="M80" s="35" t="s">
        <v>55</v>
      </c>
      <c r="N80" s="35" t="s">
        <v>892</v>
      </c>
      <c r="O80" s="35" t="s">
        <v>56</v>
      </c>
      <c r="P80" s="35" t="s">
        <v>57</v>
      </c>
      <c r="Q80" s="35" t="n">
        <v>1</v>
      </c>
      <c r="R80" s="35"/>
      <c r="S80" s="35" t="s">
        <v>42</v>
      </c>
      <c r="T80" s="35" t="s">
        <v>48</v>
      </c>
      <c r="U80" s="35" t="s">
        <v>55</v>
      </c>
      <c r="V80" s="35"/>
      <c r="W80" s="35"/>
      <c r="X80" s="35" t="s">
        <v>922</v>
      </c>
      <c r="Y80" s="35" t="n">
        <v>-9.5846185</v>
      </c>
      <c r="Z80" s="35" t="n">
        <v>-48.4099005</v>
      </c>
      <c r="AA80" s="49" t="s">
        <v>838</v>
      </c>
      <c r="AB80" s="35" t="s">
        <v>923</v>
      </c>
    </row>
    <row r="81" customFormat="false" ht="15" hidden="false" customHeight="false" outlineLevel="0" collapsed="false">
      <c r="A81" s="35" t="n">
        <v>80</v>
      </c>
      <c r="B81" s="35" t="s">
        <v>437</v>
      </c>
      <c r="C81" s="35" t="s">
        <v>946</v>
      </c>
      <c r="D81" s="35" t="s">
        <v>436</v>
      </c>
      <c r="E81" s="35" t="s">
        <v>438</v>
      </c>
      <c r="F81" s="40" t="n">
        <v>2.36867043989934</v>
      </c>
      <c r="G81" s="36" t="n">
        <v>3009.67726572882</v>
      </c>
      <c r="H81" s="36" t="n">
        <v>1458.15938598752</v>
      </c>
      <c r="I81" s="8" t="s">
        <v>25</v>
      </c>
      <c r="J81" s="35" t="s">
        <v>157</v>
      </c>
      <c r="K81" s="35" t="s">
        <v>203</v>
      </c>
      <c r="L81" s="35" t="n">
        <v>7</v>
      </c>
      <c r="M81" s="35" t="s">
        <v>55</v>
      </c>
      <c r="N81" s="35" t="s">
        <v>892</v>
      </c>
      <c r="O81" s="35" t="s">
        <v>56</v>
      </c>
      <c r="P81" s="35" t="s">
        <v>57</v>
      </c>
      <c r="Q81" s="35" t="n">
        <v>1</v>
      </c>
      <c r="R81" s="35"/>
      <c r="S81" s="35" t="s">
        <v>42</v>
      </c>
      <c r="T81" s="35" t="s">
        <v>48</v>
      </c>
      <c r="U81" s="35" t="s">
        <v>55</v>
      </c>
      <c r="V81" s="35"/>
      <c r="W81" s="35"/>
      <c r="X81" s="35" t="s">
        <v>922</v>
      </c>
      <c r="Y81" s="35" t="n">
        <v>-9.5846895</v>
      </c>
      <c r="Z81" s="35" t="n">
        <v>-48.4100895</v>
      </c>
      <c r="AA81" s="49" t="s">
        <v>838</v>
      </c>
      <c r="AB81" s="35" t="s">
        <v>923</v>
      </c>
    </row>
    <row r="82" customFormat="false" ht="15" hidden="false" customHeight="false" outlineLevel="0" collapsed="false">
      <c r="A82" s="35" t="n">
        <v>81</v>
      </c>
      <c r="B82" s="35" t="s">
        <v>439</v>
      </c>
      <c r="C82" s="35" t="s">
        <v>947</v>
      </c>
      <c r="D82" s="35" t="s">
        <v>438</v>
      </c>
      <c r="E82" s="35" t="s">
        <v>440</v>
      </c>
      <c r="F82" s="40" t="n">
        <v>85.3267136895523</v>
      </c>
      <c r="G82" s="36" t="n">
        <v>3095.00397941838</v>
      </c>
      <c r="H82" s="36" t="n">
        <v>1543.48609967707</v>
      </c>
      <c r="I82" s="8" t="s">
        <v>25</v>
      </c>
      <c r="J82" s="35" t="s">
        <v>157</v>
      </c>
      <c r="K82" s="35" t="s">
        <v>203</v>
      </c>
      <c r="L82" s="35" t="n">
        <v>7</v>
      </c>
      <c r="M82" s="35" t="s">
        <v>55</v>
      </c>
      <c r="N82" s="35" t="s">
        <v>892</v>
      </c>
      <c r="O82" s="35" t="s">
        <v>56</v>
      </c>
      <c r="P82" s="35" t="s">
        <v>57</v>
      </c>
      <c r="Q82" s="35" t="n">
        <v>1</v>
      </c>
      <c r="R82" s="35"/>
      <c r="S82" s="35" t="s">
        <v>42</v>
      </c>
      <c r="T82" s="35" t="s">
        <v>48</v>
      </c>
      <c r="U82" s="35" t="s">
        <v>55</v>
      </c>
      <c r="V82" s="35"/>
      <c r="W82" s="35"/>
      <c r="X82" s="35" t="s">
        <v>922</v>
      </c>
      <c r="Y82" s="35" t="n">
        <v>-9.5843065</v>
      </c>
      <c r="Z82" s="35" t="n">
        <v>-48.41015</v>
      </c>
      <c r="AA82" s="49" t="s">
        <v>838</v>
      </c>
      <c r="AB82" s="35" t="s">
        <v>923</v>
      </c>
    </row>
    <row r="83" customFormat="false" ht="15" hidden="false" customHeight="false" outlineLevel="0" collapsed="false">
      <c r="A83" s="35" t="n">
        <v>82</v>
      </c>
      <c r="B83" s="35" t="s">
        <v>441</v>
      </c>
      <c r="C83" s="35" t="s">
        <v>948</v>
      </c>
      <c r="D83" s="35" t="s">
        <v>440</v>
      </c>
      <c r="E83" s="35" t="s">
        <v>442</v>
      </c>
      <c r="F83" s="40" t="n">
        <v>1.8077825763217</v>
      </c>
      <c r="G83" s="36" t="n">
        <v>3096.8117619947</v>
      </c>
      <c r="H83" s="36" t="n">
        <v>1545.29388225339</v>
      </c>
      <c r="I83" s="8" t="s">
        <v>25</v>
      </c>
      <c r="J83" s="35" t="s">
        <v>157</v>
      </c>
      <c r="K83" s="35" t="s">
        <v>203</v>
      </c>
      <c r="L83" s="35" t="n">
        <v>7</v>
      </c>
      <c r="M83" s="35" t="s">
        <v>55</v>
      </c>
      <c r="N83" s="35" t="s">
        <v>892</v>
      </c>
      <c r="O83" s="35" t="s">
        <v>56</v>
      </c>
      <c r="P83" s="35" t="s">
        <v>57</v>
      </c>
      <c r="Q83" s="35" t="n">
        <v>1</v>
      </c>
      <c r="R83" s="35"/>
      <c r="S83" s="35" t="s">
        <v>42</v>
      </c>
      <c r="T83" s="35" t="s">
        <v>48</v>
      </c>
      <c r="U83" s="35" t="s">
        <v>55</v>
      </c>
      <c r="V83" s="35"/>
      <c r="W83" s="35"/>
      <c r="X83" s="35" t="s">
        <v>922</v>
      </c>
      <c r="Y83" s="35" t="n">
        <v>-9.583921</v>
      </c>
      <c r="Z83" s="35" t="n">
        <v>-48.4102065</v>
      </c>
      <c r="AA83" s="49" t="s">
        <v>838</v>
      </c>
      <c r="AB83" s="35" t="s">
        <v>923</v>
      </c>
    </row>
    <row r="84" customFormat="false" ht="15" hidden="false" customHeight="false" outlineLevel="0" collapsed="false">
      <c r="A84" s="35" t="n">
        <v>83</v>
      </c>
      <c r="B84" s="35" t="s">
        <v>443</v>
      </c>
      <c r="C84" s="35" t="s">
        <v>949</v>
      </c>
      <c r="D84" s="35" t="s">
        <v>432</v>
      </c>
      <c r="E84" s="35" t="s">
        <v>444</v>
      </c>
      <c r="F84" s="40" t="n">
        <v>72.4317243128891</v>
      </c>
      <c r="G84" s="36" t="n">
        <v>3035.58594529594</v>
      </c>
      <c r="H84" s="36" t="n">
        <v>1484.06806555464</v>
      </c>
      <c r="I84" s="8" t="s">
        <v>25</v>
      </c>
      <c r="J84" s="35" t="s">
        <v>157</v>
      </c>
      <c r="K84" s="35" t="s">
        <v>203</v>
      </c>
      <c r="L84" s="35" t="n">
        <v>7</v>
      </c>
      <c r="M84" s="35" t="s">
        <v>55</v>
      </c>
      <c r="N84" s="35" t="s">
        <v>892</v>
      </c>
      <c r="O84" s="35" t="s">
        <v>56</v>
      </c>
      <c r="P84" s="35" t="s">
        <v>59</v>
      </c>
      <c r="Q84" s="35" t="n">
        <v>1</v>
      </c>
      <c r="R84" s="35"/>
      <c r="S84" s="35" t="s">
        <v>42</v>
      </c>
      <c r="T84" s="35" t="s">
        <v>48</v>
      </c>
      <c r="U84" s="35" t="s">
        <v>55</v>
      </c>
      <c r="V84" s="35"/>
      <c r="W84" s="35"/>
      <c r="X84" s="35" t="s">
        <v>922</v>
      </c>
      <c r="Y84" s="35" t="n">
        <v>-9.584224</v>
      </c>
      <c r="Z84" s="35" t="n">
        <v>-48.409627</v>
      </c>
      <c r="AA84" s="49" t="s">
        <v>838</v>
      </c>
      <c r="AB84" s="35" t="s">
        <v>923</v>
      </c>
    </row>
    <row r="85" customFormat="false" ht="15" hidden="false" customHeight="false" outlineLevel="0" collapsed="false">
      <c r="A85" s="35" t="n">
        <v>84</v>
      </c>
      <c r="B85" s="35" t="s">
        <v>445</v>
      </c>
      <c r="C85" s="35" t="s">
        <v>950</v>
      </c>
      <c r="D85" s="35" t="s">
        <v>444</v>
      </c>
      <c r="E85" s="35" t="s">
        <v>446</v>
      </c>
      <c r="F85" s="40" t="n">
        <v>5.26740367444735</v>
      </c>
      <c r="G85" s="36" t="n">
        <v>3040.85334897039</v>
      </c>
      <c r="H85" s="36" t="n">
        <v>1489.33546922908</v>
      </c>
      <c r="I85" s="8" t="s">
        <v>25</v>
      </c>
      <c r="J85" s="35" t="s">
        <v>157</v>
      </c>
      <c r="K85" s="35" t="s">
        <v>203</v>
      </c>
      <c r="L85" s="35" t="n">
        <v>7</v>
      </c>
      <c r="M85" s="35" t="s">
        <v>55</v>
      </c>
      <c r="N85" s="35" t="s">
        <v>892</v>
      </c>
      <c r="O85" s="35" t="s">
        <v>56</v>
      </c>
      <c r="P85" s="35" t="s">
        <v>59</v>
      </c>
      <c r="Q85" s="35" t="n">
        <v>1</v>
      </c>
      <c r="R85" s="35"/>
      <c r="S85" s="35" t="s">
        <v>42</v>
      </c>
      <c r="T85" s="35" t="s">
        <v>48</v>
      </c>
      <c r="U85" s="35" t="s">
        <v>55</v>
      </c>
      <c r="V85" s="35"/>
      <c r="W85" s="35"/>
      <c r="X85" s="35" t="s">
        <v>922</v>
      </c>
      <c r="Y85" s="35" t="n">
        <v>-9.5838845</v>
      </c>
      <c r="Z85" s="35" t="n">
        <v>-48.40955</v>
      </c>
      <c r="AA85" s="49" t="s">
        <v>838</v>
      </c>
      <c r="AB85" s="35" t="s">
        <v>923</v>
      </c>
    </row>
    <row r="86" customFormat="false" ht="15" hidden="false" customHeight="false" outlineLevel="0" collapsed="false">
      <c r="A86" s="35" t="n">
        <v>85</v>
      </c>
      <c r="B86" s="35" t="s">
        <v>447</v>
      </c>
      <c r="C86" s="35" t="s">
        <v>951</v>
      </c>
      <c r="D86" s="35" t="s">
        <v>406</v>
      </c>
      <c r="E86" s="35" t="s">
        <v>448</v>
      </c>
      <c r="F86" s="40" t="n">
        <v>3.30086905814641</v>
      </c>
      <c r="G86" s="36" t="n">
        <v>2078.12279651677</v>
      </c>
      <c r="H86" s="36" t="n">
        <v>526.604916775464</v>
      </c>
      <c r="I86" s="8" t="s">
        <v>25</v>
      </c>
      <c r="J86" s="35" t="s">
        <v>157</v>
      </c>
      <c r="K86" s="35" t="s">
        <v>203</v>
      </c>
      <c r="L86" s="35" t="n">
        <v>7</v>
      </c>
      <c r="M86" s="35" t="s">
        <v>55</v>
      </c>
      <c r="N86" s="35" t="s">
        <v>892</v>
      </c>
      <c r="O86" s="35" t="s">
        <v>56</v>
      </c>
      <c r="P86" s="35" t="s">
        <v>49</v>
      </c>
      <c r="Q86" s="35" t="n">
        <v>0</v>
      </c>
      <c r="R86" s="35"/>
      <c r="S86" s="35" t="s">
        <v>42</v>
      </c>
      <c r="T86" s="35" t="s">
        <v>48</v>
      </c>
      <c r="U86" s="35" t="s">
        <v>55</v>
      </c>
      <c r="V86" s="35"/>
      <c r="W86" s="35"/>
      <c r="X86" s="35" t="s">
        <v>922</v>
      </c>
      <c r="Y86" s="35" t="n">
        <v>-9.589796</v>
      </c>
      <c r="Z86" s="35" t="n">
        <v>-48.405552</v>
      </c>
      <c r="AA86" s="49" t="s">
        <v>838</v>
      </c>
      <c r="AB86" s="35" t="s">
        <v>923</v>
      </c>
    </row>
    <row r="87" customFormat="false" ht="15" hidden="false" customHeight="false" outlineLevel="0" collapsed="false">
      <c r="A87" s="35" t="n">
        <v>86</v>
      </c>
      <c r="B87" s="35" t="s">
        <v>449</v>
      </c>
      <c r="C87" s="35" t="s">
        <v>952</v>
      </c>
      <c r="D87" s="35" t="s">
        <v>448</v>
      </c>
      <c r="E87" s="35" t="s">
        <v>450</v>
      </c>
      <c r="F87" s="40" t="n">
        <v>4.5154095344148</v>
      </c>
      <c r="G87" s="36" t="n">
        <v>2082.63820605119</v>
      </c>
      <c r="H87" s="36" t="n">
        <v>531.120326309879</v>
      </c>
      <c r="I87" s="8" t="s">
        <v>25</v>
      </c>
      <c r="J87" s="35" t="s">
        <v>157</v>
      </c>
      <c r="K87" s="35" t="s">
        <v>203</v>
      </c>
      <c r="L87" s="35" t="n">
        <v>7</v>
      </c>
      <c r="M87" s="35" t="s">
        <v>55</v>
      </c>
      <c r="N87" s="35" t="s">
        <v>892</v>
      </c>
      <c r="O87" s="35" t="s">
        <v>56</v>
      </c>
      <c r="P87" s="35" t="s">
        <v>49</v>
      </c>
      <c r="Q87" s="35" t="n">
        <v>0</v>
      </c>
      <c r="R87" s="35"/>
      <c r="S87" s="35" t="s">
        <v>42</v>
      </c>
      <c r="T87" s="35" t="s">
        <v>48</v>
      </c>
      <c r="U87" s="35" t="s">
        <v>55</v>
      </c>
      <c r="V87" s="35"/>
      <c r="W87" s="35"/>
      <c r="X87" s="35" t="s">
        <v>922</v>
      </c>
      <c r="Y87" s="35" t="n">
        <v>-9.5898265</v>
      </c>
      <c r="Z87" s="35" t="n">
        <v>-48.405535</v>
      </c>
      <c r="AA87" s="49" t="s">
        <v>838</v>
      </c>
      <c r="AB87" s="35" t="s">
        <v>923</v>
      </c>
    </row>
    <row r="88" customFormat="false" ht="15" hidden="false" customHeight="false" outlineLevel="0" collapsed="false">
      <c r="A88" s="35" t="n">
        <v>87</v>
      </c>
      <c r="B88" s="35" t="s">
        <v>451</v>
      </c>
      <c r="C88" s="35" t="s">
        <v>953</v>
      </c>
      <c r="D88" s="35" t="s">
        <v>450</v>
      </c>
      <c r="E88" s="35" t="s">
        <v>452</v>
      </c>
      <c r="F88" s="40" t="n">
        <v>4.15057485850619</v>
      </c>
      <c r="G88" s="36" t="n">
        <v>2086.78878090969</v>
      </c>
      <c r="H88" s="36" t="n">
        <v>535.270901168385</v>
      </c>
      <c r="I88" s="8" t="s">
        <v>25</v>
      </c>
      <c r="J88" s="35" t="s">
        <v>157</v>
      </c>
      <c r="K88" s="35" t="s">
        <v>203</v>
      </c>
      <c r="L88" s="35" t="n">
        <v>7</v>
      </c>
      <c r="M88" s="35" t="s">
        <v>55</v>
      </c>
      <c r="N88" s="35" t="s">
        <v>892</v>
      </c>
      <c r="O88" s="35" t="s">
        <v>56</v>
      </c>
      <c r="P88" s="35" t="s">
        <v>49</v>
      </c>
      <c r="Q88" s="35" t="n">
        <v>0</v>
      </c>
      <c r="R88" s="35"/>
      <c r="S88" s="35" t="s">
        <v>42</v>
      </c>
      <c r="T88" s="35" t="s">
        <v>48</v>
      </c>
      <c r="U88" s="35" t="s">
        <v>55</v>
      </c>
      <c r="V88" s="35"/>
      <c r="W88" s="35"/>
      <c r="X88" s="35" t="s">
        <v>922</v>
      </c>
      <c r="Y88" s="35" t="n">
        <v>-9.5898615</v>
      </c>
      <c r="Z88" s="35" t="n">
        <v>-48.4055205</v>
      </c>
      <c r="AA88" s="49" t="s">
        <v>838</v>
      </c>
      <c r="AB88" s="35" t="s">
        <v>923</v>
      </c>
    </row>
    <row r="89" customFormat="false" ht="15" hidden="false" customHeight="false" outlineLevel="0" collapsed="false">
      <c r="A89" s="35" t="n">
        <v>88</v>
      </c>
      <c r="B89" s="35" t="s">
        <v>453</v>
      </c>
      <c r="C89" s="35" t="s">
        <v>954</v>
      </c>
      <c r="D89" s="35" t="s">
        <v>452</v>
      </c>
      <c r="E89" s="35" t="s">
        <v>454</v>
      </c>
      <c r="F89" s="40" t="n">
        <v>175.302540331321</v>
      </c>
      <c r="G89" s="36" t="n">
        <v>2262.09132124101</v>
      </c>
      <c r="H89" s="36" t="n">
        <v>710.573441499706</v>
      </c>
      <c r="I89" s="8" t="s">
        <v>25</v>
      </c>
      <c r="J89" s="35" t="s">
        <v>157</v>
      </c>
      <c r="K89" s="35" t="s">
        <v>203</v>
      </c>
      <c r="L89" s="35" t="n">
        <v>7</v>
      </c>
      <c r="M89" s="35" t="s">
        <v>55</v>
      </c>
      <c r="N89" s="35" t="s">
        <v>892</v>
      </c>
      <c r="O89" s="35" t="s">
        <v>56</v>
      </c>
      <c r="P89" s="35" t="s">
        <v>49</v>
      </c>
      <c r="Q89" s="35" t="n">
        <v>0</v>
      </c>
      <c r="R89" s="35"/>
      <c r="S89" s="35" t="s">
        <v>42</v>
      </c>
      <c r="T89" s="35" t="s">
        <v>48</v>
      </c>
      <c r="U89" s="35" t="s">
        <v>55</v>
      </c>
      <c r="V89" s="35"/>
      <c r="W89" s="35"/>
      <c r="X89" s="35" t="s">
        <v>922</v>
      </c>
      <c r="Y89" s="35" t="n">
        <v>-9.590557</v>
      </c>
      <c r="Z89" s="35" t="n">
        <v>-48.4059275</v>
      </c>
      <c r="AA89" s="49" t="s">
        <v>838</v>
      </c>
      <c r="AB89" s="35" t="s">
        <v>923</v>
      </c>
    </row>
    <row r="90" customFormat="false" ht="15" hidden="false" customHeight="false" outlineLevel="0" collapsed="false">
      <c r="A90" s="35" t="n">
        <v>89</v>
      </c>
      <c r="B90" s="35" t="s">
        <v>455</v>
      </c>
      <c r="C90" s="35" t="s">
        <v>955</v>
      </c>
      <c r="D90" s="35" t="s">
        <v>454</v>
      </c>
      <c r="E90" s="35" t="s">
        <v>456</v>
      </c>
      <c r="F90" s="40" t="n">
        <v>3.47380152238294</v>
      </c>
      <c r="G90" s="36" t="n">
        <v>2265.5651227634</v>
      </c>
      <c r="H90" s="36" t="n">
        <v>714.047243022089</v>
      </c>
      <c r="I90" s="8" t="s">
        <v>25</v>
      </c>
      <c r="J90" s="35" t="s">
        <v>157</v>
      </c>
      <c r="K90" s="35" t="s">
        <v>203</v>
      </c>
      <c r="L90" s="35" t="n">
        <v>7</v>
      </c>
      <c r="M90" s="35" t="s">
        <v>55</v>
      </c>
      <c r="N90" s="35" t="s">
        <v>892</v>
      </c>
      <c r="O90" s="35" t="s">
        <v>56</v>
      </c>
      <c r="P90" s="35" t="s">
        <v>49</v>
      </c>
      <c r="Q90" s="35" t="n">
        <v>0</v>
      </c>
      <c r="R90" s="35"/>
      <c r="S90" s="35" t="s">
        <v>42</v>
      </c>
      <c r="T90" s="35" t="s">
        <v>48</v>
      </c>
      <c r="U90" s="35" t="s">
        <v>55</v>
      </c>
      <c r="V90" s="35"/>
      <c r="W90" s="35"/>
      <c r="X90" s="35" t="s">
        <v>922</v>
      </c>
      <c r="Y90" s="35" t="n">
        <v>-9.5912465</v>
      </c>
      <c r="Z90" s="35" t="n">
        <v>-48.4063465</v>
      </c>
      <c r="AA90" s="49" t="s">
        <v>838</v>
      </c>
      <c r="AB90" s="35" t="s">
        <v>923</v>
      </c>
    </row>
    <row r="91" customFormat="false" ht="15" hidden="false" customHeight="false" outlineLevel="0" collapsed="false">
      <c r="A91" s="35" t="n">
        <v>90</v>
      </c>
      <c r="B91" s="35" t="s">
        <v>457</v>
      </c>
      <c r="C91" s="35" t="s">
        <v>956</v>
      </c>
      <c r="D91" s="35" t="s">
        <v>456</v>
      </c>
      <c r="E91" s="35" t="s">
        <v>458</v>
      </c>
      <c r="F91" s="40" t="n">
        <v>116.732008227791</v>
      </c>
      <c r="G91" s="36" t="n">
        <v>2382.29713099119</v>
      </c>
      <c r="H91" s="36" t="n">
        <v>830.77925124988</v>
      </c>
      <c r="I91" s="8" t="s">
        <v>25</v>
      </c>
      <c r="J91" s="35" t="s">
        <v>157</v>
      </c>
      <c r="K91" s="35" t="s">
        <v>203</v>
      </c>
      <c r="L91" s="35" t="n">
        <v>7</v>
      </c>
      <c r="M91" s="35" t="s">
        <v>55</v>
      </c>
      <c r="N91" s="35" t="s">
        <v>892</v>
      </c>
      <c r="O91" s="35" t="s">
        <v>56</v>
      </c>
      <c r="P91" s="35" t="s">
        <v>49</v>
      </c>
      <c r="Q91" s="35" t="n">
        <v>0</v>
      </c>
      <c r="R91" s="35"/>
      <c r="S91" s="35" t="s">
        <v>42</v>
      </c>
      <c r="T91" s="35" t="s">
        <v>48</v>
      </c>
      <c r="U91" s="35" t="s">
        <v>55</v>
      </c>
      <c r="V91" s="35"/>
      <c r="W91" s="35"/>
      <c r="X91" s="35" t="s">
        <v>922</v>
      </c>
      <c r="Y91" s="35" t="n">
        <v>-9.591776</v>
      </c>
      <c r="Z91" s="35" t="n">
        <v>-48.406448</v>
      </c>
      <c r="AA91" s="49" t="s">
        <v>838</v>
      </c>
      <c r="AB91" s="35" t="s">
        <v>923</v>
      </c>
    </row>
    <row r="92" customFormat="false" ht="15" hidden="false" customHeight="false" outlineLevel="0" collapsed="false">
      <c r="A92" s="35" t="n">
        <v>91</v>
      </c>
      <c r="B92" s="35" t="s">
        <v>459</v>
      </c>
      <c r="C92" s="35" t="s">
        <v>957</v>
      </c>
      <c r="D92" s="35" t="s">
        <v>458</v>
      </c>
      <c r="E92" s="35" t="s">
        <v>460</v>
      </c>
      <c r="F92" s="40" t="n">
        <v>3.3418152389462</v>
      </c>
      <c r="G92" s="36" t="n">
        <v>2385.63894623013</v>
      </c>
      <c r="H92" s="36" t="n">
        <v>834.121066488826</v>
      </c>
      <c r="I92" s="8" t="s">
        <v>25</v>
      </c>
      <c r="J92" s="35" t="s">
        <v>157</v>
      </c>
      <c r="K92" s="35" t="s">
        <v>203</v>
      </c>
      <c r="L92" s="35" t="n">
        <v>7</v>
      </c>
      <c r="M92" s="35" t="s">
        <v>55</v>
      </c>
      <c r="N92" s="35" t="s">
        <v>892</v>
      </c>
      <c r="O92" s="35" t="s">
        <v>56</v>
      </c>
      <c r="P92" s="35" t="s">
        <v>49</v>
      </c>
      <c r="Q92" s="35" t="n">
        <v>0</v>
      </c>
      <c r="R92" s="35"/>
      <c r="S92" s="35" t="s">
        <v>42</v>
      </c>
      <c r="T92" s="35" t="s">
        <v>48</v>
      </c>
      <c r="U92" s="35" t="s">
        <v>55</v>
      </c>
      <c r="V92" s="35"/>
      <c r="W92" s="35"/>
      <c r="X92" s="35" t="s">
        <v>922</v>
      </c>
      <c r="Y92" s="35" t="n">
        <v>-9.5923075</v>
      </c>
      <c r="Z92" s="35" t="n">
        <v>-48.406544</v>
      </c>
      <c r="AA92" s="49" t="s">
        <v>838</v>
      </c>
      <c r="AB92" s="35" t="s">
        <v>923</v>
      </c>
    </row>
    <row r="93" customFormat="false" ht="15" hidden="false" customHeight="false" outlineLevel="0" collapsed="false">
      <c r="A93" s="35" t="n">
        <v>92</v>
      </c>
      <c r="B93" s="35" t="s">
        <v>461</v>
      </c>
      <c r="C93" s="35" t="s">
        <v>958</v>
      </c>
      <c r="D93" s="35" t="s">
        <v>460</v>
      </c>
      <c r="E93" s="35" t="s">
        <v>462</v>
      </c>
      <c r="F93" s="40" t="n">
        <v>158.734526711343</v>
      </c>
      <c r="G93" s="36" t="n">
        <v>2544.37347294148</v>
      </c>
      <c r="H93" s="36" t="n">
        <v>992.855593200169</v>
      </c>
      <c r="I93" s="8" t="s">
        <v>25</v>
      </c>
      <c r="J93" s="35" t="s">
        <v>157</v>
      </c>
      <c r="K93" s="35" t="s">
        <v>203</v>
      </c>
      <c r="L93" s="35" t="n">
        <v>7</v>
      </c>
      <c r="M93" s="35" t="s">
        <v>55</v>
      </c>
      <c r="N93" s="35" t="s">
        <v>892</v>
      </c>
      <c r="O93" s="35" t="s">
        <v>56</v>
      </c>
      <c r="P93" s="35" t="s">
        <v>49</v>
      </c>
      <c r="Q93" s="35" t="n">
        <v>0</v>
      </c>
      <c r="R93" s="35"/>
      <c r="S93" s="35" t="s">
        <v>42</v>
      </c>
      <c r="T93" s="35" t="s">
        <v>48</v>
      </c>
      <c r="U93" s="35" t="s">
        <v>55</v>
      </c>
      <c r="V93" s="35"/>
      <c r="W93" s="35"/>
      <c r="X93" s="35" t="s">
        <v>922</v>
      </c>
      <c r="Y93" s="35" t="n">
        <v>-9.593028</v>
      </c>
      <c r="Z93" s="35" t="n">
        <v>-48.4066545</v>
      </c>
      <c r="AA93" s="49" t="s">
        <v>838</v>
      </c>
      <c r="AB93" s="35" t="s">
        <v>923</v>
      </c>
    </row>
    <row r="94" customFormat="false" ht="15" hidden="false" customHeight="false" outlineLevel="0" collapsed="false">
      <c r="A94" s="35" t="n">
        <v>93</v>
      </c>
      <c r="B94" s="35" t="s">
        <v>463</v>
      </c>
      <c r="C94" s="35" t="s">
        <v>959</v>
      </c>
      <c r="D94" s="35" t="s">
        <v>462</v>
      </c>
      <c r="E94" s="35" t="s">
        <v>464</v>
      </c>
      <c r="F94" s="40" t="n">
        <v>43.7658902980668</v>
      </c>
      <c r="G94" s="36" t="n">
        <v>2588.13936323954</v>
      </c>
      <c r="H94" s="36" t="n">
        <v>1036.62148349824</v>
      </c>
      <c r="I94" s="8" t="s">
        <v>25</v>
      </c>
      <c r="J94" s="35" t="s">
        <v>157</v>
      </c>
      <c r="K94" s="35" t="s">
        <v>203</v>
      </c>
      <c r="L94" s="35" t="n">
        <v>7</v>
      </c>
      <c r="M94" s="35" t="s">
        <v>55</v>
      </c>
      <c r="N94" s="35" t="s">
        <v>892</v>
      </c>
      <c r="O94" s="35" t="s">
        <v>56</v>
      </c>
      <c r="P94" s="35" t="s">
        <v>49</v>
      </c>
      <c r="Q94" s="35" t="n">
        <v>0</v>
      </c>
      <c r="R94" s="35"/>
      <c r="S94" s="35" t="s">
        <v>42</v>
      </c>
      <c r="T94" s="35" t="s">
        <v>48</v>
      </c>
      <c r="U94" s="35" t="s">
        <v>55</v>
      </c>
      <c r="V94" s="35"/>
      <c r="W94" s="35"/>
      <c r="X94" s="35" t="s">
        <v>922</v>
      </c>
      <c r="Y94" s="35" t="n">
        <v>-9.5939255</v>
      </c>
      <c r="Z94" s="35" t="n">
        <v>-48.406807</v>
      </c>
      <c r="AA94" s="49" t="s">
        <v>838</v>
      </c>
      <c r="AB94" s="35" t="s">
        <v>923</v>
      </c>
    </row>
    <row r="95" customFormat="false" ht="15" hidden="false" customHeight="false" outlineLevel="0" collapsed="false">
      <c r="A95" s="35" t="n">
        <v>94</v>
      </c>
      <c r="B95" s="35" t="s">
        <v>465</v>
      </c>
      <c r="C95" s="35" t="s">
        <v>960</v>
      </c>
      <c r="D95" s="35" t="s">
        <v>442</v>
      </c>
      <c r="E95" s="35" t="s">
        <v>466</v>
      </c>
      <c r="F95" s="40" t="n">
        <v>16.0878124443238</v>
      </c>
      <c r="G95" s="36" t="n">
        <v>3112.89957443902</v>
      </c>
      <c r="H95" s="36" t="n">
        <v>16.0878124443238</v>
      </c>
      <c r="I95" s="9" t="s">
        <v>26</v>
      </c>
      <c r="J95" s="35" t="s">
        <v>157</v>
      </c>
      <c r="K95" s="35" t="s">
        <v>203</v>
      </c>
      <c r="L95" s="35" t="n">
        <v>8</v>
      </c>
      <c r="M95" s="35" t="s">
        <v>57</v>
      </c>
      <c r="N95" s="35" t="s">
        <v>961</v>
      </c>
      <c r="O95" s="35" t="s">
        <v>58</v>
      </c>
      <c r="P95" s="35" t="s">
        <v>49</v>
      </c>
      <c r="Q95" s="35" t="n">
        <v>0</v>
      </c>
      <c r="R95" s="35"/>
      <c r="S95" s="35" t="s">
        <v>42</v>
      </c>
      <c r="T95" s="35" t="s">
        <v>48</v>
      </c>
      <c r="U95" s="35" t="s">
        <v>55</v>
      </c>
      <c r="V95" s="35" t="s">
        <v>57</v>
      </c>
      <c r="W95" s="35"/>
      <c r="X95" s="35" t="s">
        <v>962</v>
      </c>
      <c r="Y95" s="35" t="n">
        <v>-9.5838665</v>
      </c>
      <c r="Z95" s="35" t="n">
        <v>-48.4102665</v>
      </c>
      <c r="AA95" s="49" t="s">
        <v>838</v>
      </c>
      <c r="AB95" s="35" t="s">
        <v>963</v>
      </c>
    </row>
    <row r="96" customFormat="false" ht="15" hidden="false" customHeight="false" outlineLevel="0" collapsed="false">
      <c r="A96" s="35" t="n">
        <v>95</v>
      </c>
      <c r="B96" s="35" t="s">
        <v>467</v>
      </c>
      <c r="C96" s="35" t="s">
        <v>964</v>
      </c>
      <c r="D96" s="35" t="s">
        <v>446</v>
      </c>
      <c r="E96" s="35" t="s">
        <v>468</v>
      </c>
      <c r="F96" s="40" t="n">
        <v>213.094615921007</v>
      </c>
      <c r="G96" s="36" t="n">
        <v>3253.9479648914</v>
      </c>
      <c r="H96" s="36" t="n">
        <v>213.094615921007</v>
      </c>
      <c r="I96" s="9" t="s">
        <v>26</v>
      </c>
      <c r="J96" s="35" t="s">
        <v>157</v>
      </c>
      <c r="K96" s="35" t="s">
        <v>203</v>
      </c>
      <c r="L96" s="35" t="n">
        <v>9</v>
      </c>
      <c r="M96" s="35" t="s">
        <v>59</v>
      </c>
      <c r="N96" s="35" t="s">
        <v>892</v>
      </c>
      <c r="O96" s="35" t="s">
        <v>60</v>
      </c>
      <c r="P96" s="35" t="s">
        <v>49</v>
      </c>
      <c r="Q96" s="35" t="n">
        <v>0</v>
      </c>
      <c r="R96" s="35"/>
      <c r="S96" s="35" t="s">
        <v>42</v>
      </c>
      <c r="T96" s="35" t="s">
        <v>48</v>
      </c>
      <c r="U96" s="35" t="s">
        <v>55</v>
      </c>
      <c r="V96" s="35" t="s">
        <v>59</v>
      </c>
      <c r="W96" s="35"/>
      <c r="X96" s="35" t="s">
        <v>965</v>
      </c>
      <c r="Y96" s="35" t="n">
        <v>-9.582903</v>
      </c>
      <c r="Z96" s="35" t="n">
        <v>-48.409533</v>
      </c>
      <c r="AA96" s="49" t="s">
        <v>838</v>
      </c>
      <c r="AB96" s="35" t="s">
        <v>966</v>
      </c>
    </row>
    <row r="97" customFormat="false" ht="15" hidden="false" customHeight="false" outlineLevel="0" collapsed="false">
      <c r="A97" s="35" t="n">
        <v>96</v>
      </c>
      <c r="B97" s="35" t="s">
        <v>469</v>
      </c>
      <c r="C97" s="35" t="s">
        <v>967</v>
      </c>
      <c r="D97" s="35" t="s">
        <v>468</v>
      </c>
      <c r="E97" s="35" t="s">
        <v>470</v>
      </c>
      <c r="F97" s="40" t="n">
        <v>10.6190690673738</v>
      </c>
      <c r="G97" s="36" t="n">
        <v>3264.56703395877</v>
      </c>
      <c r="H97" s="36" t="n">
        <v>223.713684988381</v>
      </c>
      <c r="I97" s="9" t="s">
        <v>26</v>
      </c>
      <c r="J97" s="35" t="s">
        <v>157</v>
      </c>
      <c r="K97" s="35" t="s">
        <v>203</v>
      </c>
      <c r="L97" s="35" t="n">
        <v>9</v>
      </c>
      <c r="M97" s="35" t="s">
        <v>59</v>
      </c>
      <c r="N97" s="35" t="s">
        <v>892</v>
      </c>
      <c r="O97" s="35" t="s">
        <v>60</v>
      </c>
      <c r="P97" s="35" t="s">
        <v>49</v>
      </c>
      <c r="Q97" s="35" t="n">
        <v>0</v>
      </c>
      <c r="R97" s="35"/>
      <c r="S97" s="35" t="s">
        <v>42</v>
      </c>
      <c r="T97" s="35" t="s">
        <v>48</v>
      </c>
      <c r="U97" s="35" t="s">
        <v>55</v>
      </c>
      <c r="V97" s="35" t="s">
        <v>59</v>
      </c>
      <c r="W97" s="35"/>
      <c r="X97" s="35" t="s">
        <v>965</v>
      </c>
      <c r="Y97" s="35" t="n">
        <v>-9.5819335</v>
      </c>
      <c r="Z97" s="35" t="n">
        <v>-48.40956</v>
      </c>
      <c r="AA97" s="49" t="s">
        <v>838</v>
      </c>
      <c r="AB97" s="35" t="s">
        <v>966</v>
      </c>
    </row>
    <row r="98" customFormat="false" ht="15" hidden="false" customHeight="false" outlineLevel="0" collapsed="false">
      <c r="A98" s="35" t="n">
        <v>97</v>
      </c>
      <c r="B98" s="35" t="s">
        <v>471</v>
      </c>
      <c r="C98" s="35" t="s">
        <v>968</v>
      </c>
      <c r="D98" s="35" t="s">
        <v>468</v>
      </c>
      <c r="E98" s="35" t="s">
        <v>472</v>
      </c>
      <c r="F98" s="40" t="n">
        <v>34.570722747975</v>
      </c>
      <c r="G98" s="36" t="n">
        <v>3288.51868763937</v>
      </c>
      <c r="H98" s="36" t="n">
        <v>247.665338668982</v>
      </c>
      <c r="I98" s="9" t="s">
        <v>26</v>
      </c>
      <c r="J98" s="35" t="s">
        <v>157</v>
      </c>
      <c r="K98" s="35" t="s">
        <v>203</v>
      </c>
      <c r="L98" s="35" t="n">
        <v>9</v>
      </c>
      <c r="M98" s="35" t="s">
        <v>59</v>
      </c>
      <c r="N98" s="35" t="s">
        <v>892</v>
      </c>
      <c r="O98" s="35" t="s">
        <v>60</v>
      </c>
      <c r="P98" s="35" t="s">
        <v>49</v>
      </c>
      <c r="Q98" s="35" t="n">
        <v>0</v>
      </c>
      <c r="R98" s="35"/>
      <c r="S98" s="35" t="s">
        <v>42</v>
      </c>
      <c r="T98" s="35" t="s">
        <v>48</v>
      </c>
      <c r="U98" s="35" t="s">
        <v>55</v>
      </c>
      <c r="V98" s="35" t="s">
        <v>59</v>
      </c>
      <c r="W98" s="35"/>
      <c r="X98" s="35" t="s">
        <v>965</v>
      </c>
      <c r="Y98" s="35" t="n">
        <v>-9.58179</v>
      </c>
      <c r="Z98" s="35" t="n">
        <v>-48.409501</v>
      </c>
      <c r="AA98" s="49" t="s">
        <v>838</v>
      </c>
      <c r="AB98" s="35" t="s">
        <v>966</v>
      </c>
    </row>
    <row r="99" customFormat="false" ht="15" hidden="false" customHeight="false" outlineLevel="0" collapsed="false">
      <c r="A99" s="35" t="n">
        <v>98</v>
      </c>
      <c r="B99" s="35" t="s">
        <v>473</v>
      </c>
      <c r="C99" s="35" t="s">
        <v>969</v>
      </c>
      <c r="D99" s="35" t="s">
        <v>468</v>
      </c>
      <c r="E99" s="35" t="s">
        <v>474</v>
      </c>
      <c r="F99" s="40" t="n">
        <v>57.9617434828013</v>
      </c>
      <c r="G99" s="36" t="n">
        <v>3311.9097083742</v>
      </c>
      <c r="H99" s="36" t="n">
        <v>271.056359403809</v>
      </c>
      <c r="I99" s="9" t="s">
        <v>26</v>
      </c>
      <c r="J99" s="35" t="s">
        <v>157</v>
      </c>
      <c r="K99" s="35" t="s">
        <v>203</v>
      </c>
      <c r="L99" s="35" t="n">
        <v>9</v>
      </c>
      <c r="M99" s="35" t="s">
        <v>59</v>
      </c>
      <c r="N99" s="35" t="s">
        <v>892</v>
      </c>
      <c r="O99" s="35" t="s">
        <v>60</v>
      </c>
      <c r="P99" s="35" t="s">
        <v>49</v>
      </c>
      <c r="Q99" s="35" t="n">
        <v>0</v>
      </c>
      <c r="R99" s="35"/>
      <c r="S99" s="35" t="s">
        <v>42</v>
      </c>
      <c r="T99" s="35" t="s">
        <v>48</v>
      </c>
      <c r="U99" s="35" t="s">
        <v>55</v>
      </c>
      <c r="V99" s="35" t="s">
        <v>59</v>
      </c>
      <c r="W99" s="35"/>
      <c r="X99" s="35" t="s">
        <v>965</v>
      </c>
      <c r="Y99" s="35" t="n">
        <v>-9.5819655</v>
      </c>
      <c r="Z99" s="35" t="n">
        <v>-48.4092495</v>
      </c>
      <c r="AA99" s="49" t="s">
        <v>838</v>
      </c>
      <c r="AB99" s="35" t="s">
        <v>966</v>
      </c>
    </row>
    <row r="100" customFormat="false" ht="15" hidden="false" customHeight="false" outlineLevel="0" collapsed="false">
      <c r="A100" s="35" t="n">
        <v>99</v>
      </c>
      <c r="B100" s="35" t="s">
        <v>475</v>
      </c>
      <c r="C100" s="35" t="s">
        <v>970</v>
      </c>
      <c r="D100" s="35" t="s">
        <v>474</v>
      </c>
      <c r="E100" s="35" t="s">
        <v>476</v>
      </c>
      <c r="F100" s="40" t="n">
        <v>49.8667420509496</v>
      </c>
      <c r="G100" s="36" t="n">
        <v>3361.77645042515</v>
      </c>
      <c r="H100" s="36" t="n">
        <v>320.923101454758</v>
      </c>
      <c r="I100" s="9" t="s">
        <v>26</v>
      </c>
      <c r="J100" s="35" t="s">
        <v>157</v>
      </c>
      <c r="K100" s="35" t="s">
        <v>203</v>
      </c>
      <c r="L100" s="35" t="n">
        <v>9</v>
      </c>
      <c r="M100" s="35" t="s">
        <v>59</v>
      </c>
      <c r="N100" s="35" t="s">
        <v>892</v>
      </c>
      <c r="O100" s="35" t="s">
        <v>60</v>
      </c>
      <c r="P100" s="35" t="s">
        <v>49</v>
      </c>
      <c r="Q100" s="35" t="n">
        <v>0</v>
      </c>
      <c r="R100" s="35"/>
      <c r="S100" s="35" t="s">
        <v>42</v>
      </c>
      <c r="T100" s="35" t="s">
        <v>48</v>
      </c>
      <c r="U100" s="35" t="s">
        <v>55</v>
      </c>
      <c r="V100" s="35" t="s">
        <v>59</v>
      </c>
      <c r="W100" s="35"/>
      <c r="X100" s="35" t="s">
        <v>965</v>
      </c>
      <c r="Y100" s="35" t="n">
        <v>-9.581764</v>
      </c>
      <c r="Z100" s="35" t="n">
        <v>-48.408954</v>
      </c>
      <c r="AA100" s="49" t="s">
        <v>838</v>
      </c>
      <c r="AB100" s="35" t="s">
        <v>966</v>
      </c>
    </row>
    <row r="101" customFormat="false" ht="15" hidden="false" customHeight="false" outlineLevel="0" collapsed="false">
      <c r="A101" s="35" t="n">
        <v>100</v>
      </c>
      <c r="B101" s="35" t="s">
        <v>477</v>
      </c>
      <c r="C101" s="35" t="s">
        <v>971</v>
      </c>
      <c r="D101" s="35" t="s">
        <v>476</v>
      </c>
      <c r="E101" s="35" t="s">
        <v>478</v>
      </c>
      <c r="F101" s="40" t="n">
        <v>28.5088272086736</v>
      </c>
      <c r="G101" s="36" t="n">
        <v>3390.28527763382</v>
      </c>
      <c r="H101" s="36" t="n">
        <v>349.431928663432</v>
      </c>
      <c r="I101" s="9" t="s">
        <v>26</v>
      </c>
      <c r="J101" s="35" t="s">
        <v>157</v>
      </c>
      <c r="K101" s="35" t="s">
        <v>203</v>
      </c>
      <c r="L101" s="35" t="n">
        <v>9</v>
      </c>
      <c r="M101" s="35" t="s">
        <v>59</v>
      </c>
      <c r="N101" s="35" t="s">
        <v>892</v>
      </c>
      <c r="O101" s="35" t="s">
        <v>60</v>
      </c>
      <c r="P101" s="35" t="s">
        <v>49</v>
      </c>
      <c r="Q101" s="35" t="n">
        <v>0</v>
      </c>
      <c r="R101" s="35"/>
      <c r="S101" s="35" t="s">
        <v>42</v>
      </c>
      <c r="T101" s="35" t="s">
        <v>48</v>
      </c>
      <c r="U101" s="35" t="s">
        <v>55</v>
      </c>
      <c r="V101" s="35" t="s">
        <v>59</v>
      </c>
      <c r="W101" s="35"/>
      <c r="X101" s="35" t="s">
        <v>965</v>
      </c>
      <c r="Y101" s="35" t="n">
        <v>-9.5814145</v>
      </c>
      <c r="Z101" s="35" t="n">
        <v>-48.4089085</v>
      </c>
      <c r="AA101" s="49" t="s">
        <v>838</v>
      </c>
      <c r="AB101" s="35" t="s">
        <v>966</v>
      </c>
    </row>
    <row r="102" customFormat="false" ht="15" hidden="false" customHeight="false" outlineLevel="0" collapsed="false">
      <c r="A102" s="35" t="n">
        <v>101</v>
      </c>
      <c r="B102" s="35" t="s">
        <v>479</v>
      </c>
      <c r="C102" s="35" t="s">
        <v>972</v>
      </c>
      <c r="D102" s="35" t="s">
        <v>474</v>
      </c>
      <c r="E102" s="35" t="s">
        <v>480</v>
      </c>
      <c r="F102" s="40" t="n">
        <v>16.4601360600843</v>
      </c>
      <c r="G102" s="36" t="n">
        <v>3328.36984443428</v>
      </c>
      <c r="H102" s="36" t="n">
        <v>287.516495463893</v>
      </c>
      <c r="I102" s="9" t="s">
        <v>26</v>
      </c>
      <c r="J102" s="35" t="s">
        <v>157</v>
      </c>
      <c r="K102" s="35" t="s">
        <v>203</v>
      </c>
      <c r="L102" s="35" t="n">
        <v>9</v>
      </c>
      <c r="M102" s="35" t="s">
        <v>59</v>
      </c>
      <c r="N102" s="35" t="s">
        <v>892</v>
      </c>
      <c r="O102" s="35" t="s">
        <v>60</v>
      </c>
      <c r="P102" s="35" t="s">
        <v>49</v>
      </c>
      <c r="Q102" s="35" t="n">
        <v>0</v>
      </c>
      <c r="R102" s="35"/>
      <c r="S102" s="35" t="s">
        <v>42</v>
      </c>
      <c r="T102" s="35" t="s">
        <v>48</v>
      </c>
      <c r="U102" s="35" t="s">
        <v>55</v>
      </c>
      <c r="V102" s="35" t="s">
        <v>59</v>
      </c>
      <c r="W102" s="35"/>
      <c r="X102" s="35" t="s">
        <v>965</v>
      </c>
      <c r="Y102" s="35" t="n">
        <v>-9.58206</v>
      </c>
      <c r="Z102" s="35" t="n">
        <v>-48.4089875</v>
      </c>
      <c r="AA102" s="49" t="s">
        <v>838</v>
      </c>
      <c r="AB102" s="35" t="s">
        <v>966</v>
      </c>
    </row>
    <row r="103" customFormat="false" ht="15" hidden="false" customHeight="false" outlineLevel="0" collapsed="false">
      <c r="A103" s="35" t="n">
        <v>102</v>
      </c>
      <c r="B103" s="35" t="s">
        <v>481</v>
      </c>
      <c r="C103" s="35" t="s">
        <v>973</v>
      </c>
      <c r="D103" s="35" t="s">
        <v>474</v>
      </c>
      <c r="E103" s="35" t="s">
        <v>482</v>
      </c>
      <c r="F103" s="40" t="n">
        <v>233.291872835394</v>
      </c>
      <c r="G103" s="36" t="n">
        <v>3545.20158120959</v>
      </c>
      <c r="H103" s="36" t="n">
        <v>504.348232239202</v>
      </c>
      <c r="I103" s="9" t="s">
        <v>26</v>
      </c>
      <c r="J103" s="35" t="s">
        <v>157</v>
      </c>
      <c r="K103" s="35" t="s">
        <v>203</v>
      </c>
      <c r="L103" s="35" t="n">
        <v>9</v>
      </c>
      <c r="M103" s="35" t="s">
        <v>59</v>
      </c>
      <c r="N103" s="35" t="s">
        <v>892</v>
      </c>
      <c r="O103" s="35" t="s">
        <v>60</v>
      </c>
      <c r="P103" s="35" t="s">
        <v>49</v>
      </c>
      <c r="Q103" s="35" t="n">
        <v>0</v>
      </c>
      <c r="R103" s="35"/>
      <c r="S103" s="35" t="s">
        <v>42</v>
      </c>
      <c r="T103" s="35" t="s">
        <v>48</v>
      </c>
      <c r="U103" s="35" t="s">
        <v>55</v>
      </c>
      <c r="V103" s="35" t="s">
        <v>59</v>
      </c>
      <c r="W103" s="35"/>
      <c r="X103" s="35" t="s">
        <v>965</v>
      </c>
      <c r="Y103" s="35" t="n">
        <v>-9.582096</v>
      </c>
      <c r="Z103" s="35" t="n">
        <v>-48.407928</v>
      </c>
      <c r="AA103" s="49" t="s">
        <v>838</v>
      </c>
      <c r="AB103" s="35" t="s">
        <v>966</v>
      </c>
    </row>
    <row r="104" customFormat="false" ht="15" hidden="false" customHeight="false" outlineLevel="0" collapsed="false">
      <c r="A104" s="35" t="n">
        <v>103</v>
      </c>
      <c r="B104" s="35" t="s">
        <v>483</v>
      </c>
      <c r="C104" s="35" t="s">
        <v>974</v>
      </c>
      <c r="D104" s="35" t="s">
        <v>482</v>
      </c>
      <c r="E104" s="35" t="s">
        <v>484</v>
      </c>
      <c r="F104" s="40" t="n">
        <v>3.58516420821682</v>
      </c>
      <c r="G104" s="36" t="n">
        <v>3548.78674541781</v>
      </c>
      <c r="H104" s="36" t="n">
        <v>507.933396447419</v>
      </c>
      <c r="I104" s="9" t="s">
        <v>26</v>
      </c>
      <c r="J104" s="35" t="s">
        <v>157</v>
      </c>
      <c r="K104" s="35" t="s">
        <v>203</v>
      </c>
      <c r="L104" s="35" t="n">
        <v>9</v>
      </c>
      <c r="M104" s="35" t="s">
        <v>59</v>
      </c>
      <c r="N104" s="35" t="s">
        <v>892</v>
      </c>
      <c r="O104" s="35" t="s">
        <v>60</v>
      </c>
      <c r="P104" s="35" t="s">
        <v>49</v>
      </c>
      <c r="Q104" s="35" t="n">
        <v>0</v>
      </c>
      <c r="R104" s="35"/>
      <c r="S104" s="35" t="s">
        <v>42</v>
      </c>
      <c r="T104" s="35" t="s">
        <v>48</v>
      </c>
      <c r="U104" s="35" t="s">
        <v>55</v>
      </c>
      <c r="V104" s="35" t="s">
        <v>59</v>
      </c>
      <c r="W104" s="35"/>
      <c r="X104" s="35" t="s">
        <v>965</v>
      </c>
      <c r="Y104" s="35" t="n">
        <v>-9.58219</v>
      </c>
      <c r="Z104" s="35" t="n">
        <v>-48.406868</v>
      </c>
      <c r="AA104" s="49" t="s">
        <v>838</v>
      </c>
      <c r="AB104" s="35" t="s">
        <v>966</v>
      </c>
    </row>
    <row r="105" customFormat="false" ht="15" hidden="false" customHeight="false" outlineLevel="0" collapsed="false">
      <c r="A105" s="35" t="n">
        <v>104</v>
      </c>
      <c r="B105" s="35" t="s">
        <v>485</v>
      </c>
      <c r="C105" s="35" t="s">
        <v>975</v>
      </c>
      <c r="D105" s="35" t="s">
        <v>484</v>
      </c>
      <c r="E105" s="35" t="s">
        <v>486</v>
      </c>
      <c r="F105" s="40" t="n">
        <v>47.2394821832982</v>
      </c>
      <c r="G105" s="36" t="n">
        <v>3596.02622760111</v>
      </c>
      <c r="H105" s="36" t="n">
        <v>555.172878630717</v>
      </c>
      <c r="I105" s="9" t="s">
        <v>26</v>
      </c>
      <c r="J105" s="35" t="s">
        <v>157</v>
      </c>
      <c r="K105" s="35" t="s">
        <v>203</v>
      </c>
      <c r="L105" s="35" t="n">
        <v>9</v>
      </c>
      <c r="M105" s="35" t="s">
        <v>59</v>
      </c>
      <c r="N105" s="35" t="s">
        <v>892</v>
      </c>
      <c r="O105" s="35" t="s">
        <v>60</v>
      </c>
      <c r="P105" s="35" t="s">
        <v>49</v>
      </c>
      <c r="Q105" s="35" t="n">
        <v>0</v>
      </c>
      <c r="R105" s="35"/>
      <c r="S105" s="35" t="s">
        <v>42</v>
      </c>
      <c r="T105" s="35" t="s">
        <v>48</v>
      </c>
      <c r="U105" s="35" t="s">
        <v>55</v>
      </c>
      <c r="V105" s="35" t="s">
        <v>59</v>
      </c>
      <c r="W105" s="35"/>
      <c r="X105" s="35" t="s">
        <v>965</v>
      </c>
      <c r="Y105" s="35" t="n">
        <v>-9.5819625</v>
      </c>
      <c r="Z105" s="35" t="n">
        <v>-48.406846</v>
      </c>
      <c r="AA105" s="49" t="s">
        <v>838</v>
      </c>
      <c r="AB105" s="35" t="s">
        <v>966</v>
      </c>
    </row>
    <row r="106" customFormat="false" ht="15" hidden="false" customHeight="false" outlineLevel="0" collapsed="false">
      <c r="A106" s="35" t="n">
        <v>105</v>
      </c>
      <c r="B106" s="35" t="s">
        <v>487</v>
      </c>
      <c r="C106" s="35" t="s">
        <v>976</v>
      </c>
      <c r="D106" s="35" t="s">
        <v>486</v>
      </c>
      <c r="E106" s="35" t="s">
        <v>488</v>
      </c>
      <c r="F106" s="40" t="n">
        <v>121.263223601608</v>
      </c>
      <c r="G106" s="36" t="n">
        <v>3717.28945120271</v>
      </c>
      <c r="H106" s="36" t="n">
        <v>676.436102232325</v>
      </c>
      <c r="I106" s="9" t="s">
        <v>26</v>
      </c>
      <c r="J106" s="35" t="s">
        <v>157</v>
      </c>
      <c r="K106" s="35" t="s">
        <v>203</v>
      </c>
      <c r="L106" s="35" t="n">
        <v>9</v>
      </c>
      <c r="M106" s="35" t="s">
        <v>59</v>
      </c>
      <c r="N106" s="35" t="s">
        <v>892</v>
      </c>
      <c r="O106" s="35" t="s">
        <v>60</v>
      </c>
      <c r="P106" s="35" t="s">
        <v>49</v>
      </c>
      <c r="Q106" s="35" t="n">
        <v>0</v>
      </c>
      <c r="R106" s="35"/>
      <c r="S106" s="35" t="s">
        <v>42</v>
      </c>
      <c r="T106" s="35" t="s">
        <v>48</v>
      </c>
      <c r="U106" s="35" t="s">
        <v>55</v>
      </c>
      <c r="V106" s="35" t="s">
        <v>59</v>
      </c>
      <c r="W106" s="35"/>
      <c r="X106" s="35" t="s">
        <v>965</v>
      </c>
      <c r="Y106" s="35" t="n">
        <v>-9.581209</v>
      </c>
      <c r="Z106" s="35" t="n">
        <v>-48.4067655</v>
      </c>
      <c r="AA106" s="49" t="s">
        <v>838</v>
      </c>
      <c r="AB106" s="35" t="s">
        <v>966</v>
      </c>
    </row>
    <row r="107" customFormat="false" ht="15" hidden="false" customHeight="false" outlineLevel="0" collapsed="false">
      <c r="A107" s="35" t="n">
        <v>106</v>
      </c>
      <c r="B107" s="35" t="s">
        <v>489</v>
      </c>
      <c r="C107" s="35" t="s">
        <v>977</v>
      </c>
      <c r="D107" s="35" t="s">
        <v>488</v>
      </c>
      <c r="E107" s="35" t="s">
        <v>490</v>
      </c>
      <c r="F107" s="40" t="n">
        <v>74.5859735511783</v>
      </c>
      <c r="G107" s="36" t="n">
        <v>3791.87542475389</v>
      </c>
      <c r="H107" s="36" t="n">
        <v>751.022075783503</v>
      </c>
      <c r="I107" s="9" t="s">
        <v>26</v>
      </c>
      <c r="J107" s="35" t="s">
        <v>157</v>
      </c>
      <c r="K107" s="35" t="s">
        <v>203</v>
      </c>
      <c r="L107" s="35" t="n">
        <v>9</v>
      </c>
      <c r="M107" s="35" t="s">
        <v>59</v>
      </c>
      <c r="N107" s="35" t="s">
        <v>892</v>
      </c>
      <c r="O107" s="35" t="s">
        <v>60</v>
      </c>
      <c r="P107" s="35" t="s">
        <v>49</v>
      </c>
      <c r="Q107" s="35" t="n">
        <v>0</v>
      </c>
      <c r="R107" s="35"/>
      <c r="S107" s="35" t="s">
        <v>42</v>
      </c>
      <c r="T107" s="35" t="s">
        <v>48</v>
      </c>
      <c r="U107" s="35" t="s">
        <v>55</v>
      </c>
      <c r="V107" s="35" t="s">
        <v>59</v>
      </c>
      <c r="W107" s="35"/>
      <c r="X107" s="35" t="s">
        <v>965</v>
      </c>
      <c r="Y107" s="35" t="n">
        <v>-9.5803335</v>
      </c>
      <c r="Z107" s="35" t="n">
        <v>-48.406669</v>
      </c>
      <c r="AA107" s="49" t="s">
        <v>838</v>
      </c>
      <c r="AB107" s="35" t="s">
        <v>966</v>
      </c>
    </row>
    <row r="108" customFormat="false" ht="15" hidden="false" customHeight="false" outlineLevel="0" collapsed="false">
      <c r="A108" s="35" t="n">
        <v>107</v>
      </c>
      <c r="B108" s="35" t="s">
        <v>491</v>
      </c>
      <c r="C108" s="35" t="s">
        <v>978</v>
      </c>
      <c r="D108" s="35" t="s">
        <v>490</v>
      </c>
      <c r="E108" s="35" t="s">
        <v>492</v>
      </c>
      <c r="F108" s="40" t="n">
        <v>17.3294959972776</v>
      </c>
      <c r="G108" s="36" t="n">
        <v>3809.20492075117</v>
      </c>
      <c r="H108" s="36" t="n">
        <v>768.351571780781</v>
      </c>
      <c r="I108" s="9" t="s">
        <v>26</v>
      </c>
      <c r="J108" s="35" t="s">
        <v>157</v>
      </c>
      <c r="K108" s="35" t="s">
        <v>203</v>
      </c>
      <c r="L108" s="35" t="n">
        <v>9</v>
      </c>
      <c r="M108" s="35" t="s">
        <v>59</v>
      </c>
      <c r="N108" s="35" t="s">
        <v>892</v>
      </c>
      <c r="O108" s="35" t="s">
        <v>60</v>
      </c>
      <c r="P108" s="35" t="s">
        <v>49</v>
      </c>
      <c r="Q108" s="35" t="n">
        <v>0</v>
      </c>
      <c r="R108" s="35"/>
      <c r="S108" s="35" t="s">
        <v>42</v>
      </c>
      <c r="T108" s="35" t="s">
        <v>48</v>
      </c>
      <c r="U108" s="35" t="s">
        <v>55</v>
      </c>
      <c r="V108" s="35" t="s">
        <v>59</v>
      </c>
      <c r="W108" s="35"/>
      <c r="X108" s="35" t="s">
        <v>965</v>
      </c>
      <c r="Y108" s="35" t="n">
        <v>-9.580002</v>
      </c>
      <c r="Z108" s="35" t="n">
        <v>-48.406554</v>
      </c>
      <c r="AA108" s="49" t="s">
        <v>838</v>
      </c>
      <c r="AB108" s="35" t="s">
        <v>966</v>
      </c>
    </row>
    <row r="109" customFormat="false" ht="15" hidden="false" customHeight="false" outlineLevel="0" collapsed="false">
      <c r="A109" s="35" t="n">
        <v>108</v>
      </c>
      <c r="B109" s="35" t="s">
        <v>493</v>
      </c>
      <c r="C109" s="35" t="s">
        <v>979</v>
      </c>
      <c r="D109" s="35" t="s">
        <v>490</v>
      </c>
      <c r="E109" s="35" t="s">
        <v>494</v>
      </c>
      <c r="F109" s="40" t="n">
        <v>97.0315537783116</v>
      </c>
      <c r="G109" s="36" t="n">
        <v>3888.9069785322</v>
      </c>
      <c r="H109" s="36" t="n">
        <v>848.053629561815</v>
      </c>
      <c r="I109" s="9" t="s">
        <v>26</v>
      </c>
      <c r="J109" s="35" t="s">
        <v>157</v>
      </c>
      <c r="K109" s="35" t="s">
        <v>203</v>
      </c>
      <c r="L109" s="35" t="n">
        <v>9</v>
      </c>
      <c r="M109" s="35" t="s">
        <v>59</v>
      </c>
      <c r="N109" s="35" t="s">
        <v>892</v>
      </c>
      <c r="O109" s="35" t="s">
        <v>60</v>
      </c>
      <c r="P109" s="35" t="s">
        <v>49</v>
      </c>
      <c r="Q109" s="35" t="n">
        <v>0</v>
      </c>
      <c r="R109" s="35"/>
      <c r="S109" s="35" t="s">
        <v>42</v>
      </c>
      <c r="T109" s="35" t="s">
        <v>48</v>
      </c>
      <c r="U109" s="35" t="s">
        <v>55</v>
      </c>
      <c r="V109" s="35" t="s">
        <v>59</v>
      </c>
      <c r="W109" s="35"/>
      <c r="X109" s="35" t="s">
        <v>965</v>
      </c>
      <c r="Y109" s="35" t="n">
        <v>-9.579566</v>
      </c>
      <c r="Z109" s="35" t="n">
        <v>-48.4065875</v>
      </c>
      <c r="AA109" s="49" t="s">
        <v>838</v>
      </c>
      <c r="AB109" s="35" t="s">
        <v>966</v>
      </c>
    </row>
    <row r="110" customFormat="false" ht="15" hidden="false" customHeight="false" outlineLevel="0" collapsed="false">
      <c r="A110" s="35" t="n">
        <v>109</v>
      </c>
      <c r="B110" s="35" t="s">
        <v>495</v>
      </c>
      <c r="C110" s="35" t="s">
        <v>980</v>
      </c>
      <c r="D110" s="35" t="s">
        <v>494</v>
      </c>
      <c r="E110" s="35" t="s">
        <v>496</v>
      </c>
      <c r="F110" s="40" t="n">
        <v>31.4964047068687</v>
      </c>
      <c r="G110" s="36" t="n">
        <v>3920.40338323907</v>
      </c>
      <c r="H110" s="36" t="n">
        <v>879.550034268684</v>
      </c>
      <c r="I110" s="9" t="s">
        <v>26</v>
      </c>
      <c r="J110" s="35" t="s">
        <v>157</v>
      </c>
      <c r="K110" s="35" t="s">
        <v>203</v>
      </c>
      <c r="L110" s="35" t="n">
        <v>9</v>
      </c>
      <c r="M110" s="35" t="s">
        <v>59</v>
      </c>
      <c r="N110" s="35" t="s">
        <v>892</v>
      </c>
      <c r="O110" s="35" t="s">
        <v>60</v>
      </c>
      <c r="P110" s="35" t="s">
        <v>49</v>
      </c>
      <c r="Q110" s="35" t="n">
        <v>0</v>
      </c>
      <c r="R110" s="35"/>
      <c r="S110" s="35" t="s">
        <v>42</v>
      </c>
      <c r="T110" s="35" t="s">
        <v>48</v>
      </c>
      <c r="U110" s="35" t="s">
        <v>55</v>
      </c>
      <c r="V110" s="35" t="s">
        <v>59</v>
      </c>
      <c r="W110" s="35"/>
      <c r="X110" s="35" t="s">
        <v>965</v>
      </c>
      <c r="Y110" s="35" t="n">
        <v>-9.578991</v>
      </c>
      <c r="Z110" s="35" t="n">
        <v>-48.4065285</v>
      </c>
      <c r="AA110" s="49" t="s">
        <v>838</v>
      </c>
      <c r="AB110" s="35" t="s">
        <v>966</v>
      </c>
    </row>
    <row r="111" customFormat="false" ht="15" hidden="false" customHeight="false" outlineLevel="0" collapsed="false">
      <c r="A111" s="35" t="n">
        <v>110</v>
      </c>
      <c r="B111" s="35" t="s">
        <v>497</v>
      </c>
      <c r="C111" s="35" t="s">
        <v>981</v>
      </c>
      <c r="D111" s="35" t="s">
        <v>490</v>
      </c>
      <c r="E111" s="35" t="s">
        <v>498</v>
      </c>
      <c r="F111" s="40" t="n">
        <v>59.4058897006506</v>
      </c>
      <c r="G111" s="36" t="n">
        <v>3851.28131445454</v>
      </c>
      <c r="H111" s="36" t="n">
        <v>810.427965484154</v>
      </c>
      <c r="I111" s="9" t="s">
        <v>26</v>
      </c>
      <c r="J111" s="35" t="s">
        <v>157</v>
      </c>
      <c r="K111" s="35" t="s">
        <v>203</v>
      </c>
      <c r="L111" s="35" t="n">
        <v>9</v>
      </c>
      <c r="M111" s="35" t="s">
        <v>59</v>
      </c>
      <c r="N111" s="35" t="s">
        <v>892</v>
      </c>
      <c r="O111" s="35" t="s">
        <v>60</v>
      </c>
      <c r="P111" s="35" t="s">
        <v>49</v>
      </c>
      <c r="Q111" s="35" t="n">
        <v>0</v>
      </c>
      <c r="R111" s="35"/>
      <c r="S111" s="35" t="s">
        <v>42</v>
      </c>
      <c r="T111" s="35" t="s">
        <v>48</v>
      </c>
      <c r="U111" s="35" t="s">
        <v>55</v>
      </c>
      <c r="V111" s="35" t="s">
        <v>59</v>
      </c>
      <c r="W111" s="35"/>
      <c r="X111" s="35" t="s">
        <v>965</v>
      </c>
      <c r="Y111" s="35" t="n">
        <v>-9.5799645</v>
      </c>
      <c r="Z111" s="35" t="n">
        <v>-48.4069015</v>
      </c>
      <c r="AA111" s="49" t="s">
        <v>838</v>
      </c>
      <c r="AB111" s="35" t="s">
        <v>966</v>
      </c>
    </row>
    <row r="112" customFormat="false" ht="15" hidden="false" customHeight="false" outlineLevel="0" collapsed="false">
      <c r="A112" s="35" t="n">
        <v>111</v>
      </c>
      <c r="B112" s="35" t="s">
        <v>499</v>
      </c>
      <c r="C112" s="35" t="s">
        <v>982</v>
      </c>
      <c r="D112" s="35" t="s">
        <v>498</v>
      </c>
      <c r="E112" s="35" t="s">
        <v>500</v>
      </c>
      <c r="F112" s="40" t="n">
        <v>33.0009033864644</v>
      </c>
      <c r="G112" s="36" t="n">
        <v>3884.28221784101</v>
      </c>
      <c r="H112" s="36" t="n">
        <v>843.428868870618</v>
      </c>
      <c r="I112" s="9" t="s">
        <v>26</v>
      </c>
      <c r="J112" s="35" t="s">
        <v>157</v>
      </c>
      <c r="K112" s="35" t="s">
        <v>203</v>
      </c>
      <c r="L112" s="35" t="n">
        <v>9</v>
      </c>
      <c r="M112" s="35" t="s">
        <v>59</v>
      </c>
      <c r="N112" s="35" t="s">
        <v>892</v>
      </c>
      <c r="O112" s="35" t="s">
        <v>60</v>
      </c>
      <c r="P112" s="35" t="s">
        <v>49</v>
      </c>
      <c r="Q112" s="35" t="n">
        <v>0</v>
      </c>
      <c r="R112" s="35"/>
      <c r="S112" s="35" t="s">
        <v>42</v>
      </c>
      <c r="T112" s="35" t="s">
        <v>48</v>
      </c>
      <c r="U112" s="35" t="s">
        <v>55</v>
      </c>
      <c r="V112" s="35" t="s">
        <v>59</v>
      </c>
      <c r="W112" s="35"/>
      <c r="X112" s="35" t="s">
        <v>965</v>
      </c>
      <c r="Y112" s="35" t="n">
        <v>-9.579912</v>
      </c>
      <c r="Z112" s="35" t="n">
        <v>-48.4073195</v>
      </c>
      <c r="AA112" s="49" t="s">
        <v>838</v>
      </c>
      <c r="AB112" s="35" t="s">
        <v>966</v>
      </c>
    </row>
    <row r="113" customFormat="false" ht="15" hidden="false" customHeight="false" outlineLevel="0" collapsed="false">
      <c r="A113" s="35" t="n">
        <v>112</v>
      </c>
      <c r="B113" s="35" t="s">
        <v>501</v>
      </c>
      <c r="C113" s="35" t="s">
        <v>983</v>
      </c>
      <c r="D113" s="35" t="s">
        <v>482</v>
      </c>
      <c r="E113" s="35" t="s">
        <v>502</v>
      </c>
      <c r="F113" s="40" t="n">
        <v>30.4329309392923</v>
      </c>
      <c r="G113" s="36" t="n">
        <v>3575.63451214888</v>
      </c>
      <c r="H113" s="36" t="n">
        <v>534.781163178495</v>
      </c>
      <c r="I113" s="9" t="s">
        <v>26</v>
      </c>
      <c r="J113" s="35" t="s">
        <v>157</v>
      </c>
      <c r="K113" s="35" t="s">
        <v>203</v>
      </c>
      <c r="L113" s="35" t="n">
        <v>9</v>
      </c>
      <c r="M113" s="35" t="s">
        <v>59</v>
      </c>
      <c r="N113" s="35" t="s">
        <v>892</v>
      </c>
      <c r="O113" s="35" t="s">
        <v>60</v>
      </c>
      <c r="P113" s="35" t="s">
        <v>49</v>
      </c>
      <c r="Q113" s="35" t="n">
        <v>0</v>
      </c>
      <c r="R113" s="35"/>
      <c r="S113" s="35" t="s">
        <v>42</v>
      </c>
      <c r="T113" s="35" t="s">
        <v>48</v>
      </c>
      <c r="U113" s="35" t="s">
        <v>55</v>
      </c>
      <c r="V113" s="35" t="s">
        <v>59</v>
      </c>
      <c r="W113" s="35"/>
      <c r="X113" s="35" t="s">
        <v>965</v>
      </c>
      <c r="Y113" s="35" t="n">
        <v>-9.5822205</v>
      </c>
      <c r="Z113" s="35" t="n">
        <v>-48.406732</v>
      </c>
      <c r="AA113" s="49" t="s">
        <v>838</v>
      </c>
      <c r="AB113" s="35" t="s">
        <v>966</v>
      </c>
    </row>
    <row r="114" customFormat="false" ht="15" hidden="false" customHeight="false" outlineLevel="0" collapsed="false">
      <c r="A114" s="35" t="n">
        <v>113</v>
      </c>
      <c r="B114" s="35" t="s">
        <v>503</v>
      </c>
      <c r="C114" s="35" t="s">
        <v>984</v>
      </c>
      <c r="D114" s="35" t="s">
        <v>384</v>
      </c>
      <c r="E114" s="35" t="s">
        <v>504</v>
      </c>
      <c r="F114" s="40" t="n">
        <v>83.7863750086203</v>
      </c>
      <c r="G114" s="36" t="n">
        <v>559.531111394557</v>
      </c>
      <c r="H114" s="36" t="n">
        <v>83.7863750086203</v>
      </c>
      <c r="I114" s="8" t="s">
        <v>25</v>
      </c>
      <c r="J114" s="35" t="s">
        <v>157</v>
      </c>
      <c r="K114" s="35" t="s">
        <v>203</v>
      </c>
      <c r="L114" s="35" t="n">
        <v>10</v>
      </c>
      <c r="M114" s="35" t="s">
        <v>61</v>
      </c>
      <c r="N114" s="35" t="s">
        <v>892</v>
      </c>
      <c r="O114" s="35" t="s">
        <v>62</v>
      </c>
      <c r="P114" s="35" t="s">
        <v>49</v>
      </c>
      <c r="Q114" s="35" t="n">
        <v>0</v>
      </c>
      <c r="R114" s="35"/>
      <c r="S114" s="35" t="s">
        <v>42</v>
      </c>
      <c r="T114" s="35" t="s">
        <v>48</v>
      </c>
      <c r="U114" s="35" t="s">
        <v>61</v>
      </c>
      <c r="V114" s="35"/>
      <c r="W114" s="35"/>
      <c r="X114" s="35" t="s">
        <v>985</v>
      </c>
      <c r="Y114" s="35" t="n">
        <v>-9.580407</v>
      </c>
      <c r="Z114" s="35" t="n">
        <v>-48.397504</v>
      </c>
      <c r="AA114" s="49" t="s">
        <v>838</v>
      </c>
      <c r="AB114" s="35" t="s">
        <v>986</v>
      </c>
    </row>
    <row r="115" customFormat="false" ht="15" hidden="false" customHeight="false" outlineLevel="0" collapsed="false">
      <c r="A115" s="35" t="n">
        <v>114</v>
      </c>
      <c r="B115" s="35" t="s">
        <v>505</v>
      </c>
      <c r="C115" s="35" t="s">
        <v>987</v>
      </c>
      <c r="D115" s="35" t="s">
        <v>287</v>
      </c>
      <c r="E115" s="35" t="s">
        <v>506</v>
      </c>
      <c r="F115" s="40" t="n">
        <v>41.9437465792314</v>
      </c>
      <c r="G115" s="36" t="n">
        <v>381.289678096327</v>
      </c>
      <c r="H115" s="36" t="n">
        <v>381.289678096327</v>
      </c>
      <c r="I115" s="5" t="s">
        <v>22</v>
      </c>
      <c r="J115" s="35" t="s">
        <v>157</v>
      </c>
      <c r="K115" s="35" t="s">
        <v>215</v>
      </c>
      <c r="L115" s="35" t="n">
        <v>11</v>
      </c>
      <c r="M115" s="35" t="s">
        <v>42</v>
      </c>
      <c r="N115" s="35" t="s">
        <v>836</v>
      </c>
      <c r="O115" s="35" t="s">
        <v>65</v>
      </c>
      <c r="P115" s="35" t="s">
        <v>988</v>
      </c>
      <c r="Q115" s="35" t="n">
        <v>2</v>
      </c>
      <c r="R115" s="35"/>
      <c r="S115" s="35" t="s">
        <v>42</v>
      </c>
      <c r="T115" s="35"/>
      <c r="U115" s="35"/>
      <c r="V115" s="35"/>
      <c r="W115" s="35"/>
      <c r="X115" s="35" t="s">
        <v>42</v>
      </c>
      <c r="Y115" s="35" t="n">
        <v>-9.574041</v>
      </c>
      <c r="Z115" s="35" t="n">
        <v>-48.394889</v>
      </c>
      <c r="AA115" s="49" t="s">
        <v>838</v>
      </c>
      <c r="AB115" s="35" t="s">
        <v>839</v>
      </c>
    </row>
    <row r="116" customFormat="false" ht="15" hidden="false" customHeight="false" outlineLevel="0" collapsed="false">
      <c r="A116" s="35" t="n">
        <v>115</v>
      </c>
      <c r="B116" s="35" t="s">
        <v>507</v>
      </c>
      <c r="C116" s="35" t="s">
        <v>989</v>
      </c>
      <c r="D116" s="35" t="s">
        <v>506</v>
      </c>
      <c r="E116" s="35" t="s">
        <v>508</v>
      </c>
      <c r="F116" s="40" t="n">
        <v>3.71576229314877</v>
      </c>
      <c r="G116" s="36" t="n">
        <v>385.005440389476</v>
      </c>
      <c r="H116" s="36" t="n">
        <v>385.005440389476</v>
      </c>
      <c r="I116" s="5" t="s">
        <v>22</v>
      </c>
      <c r="J116" s="35" t="s">
        <v>157</v>
      </c>
      <c r="K116" s="35" t="s">
        <v>215</v>
      </c>
      <c r="L116" s="35" t="n">
        <v>11</v>
      </c>
      <c r="M116" s="35" t="s">
        <v>42</v>
      </c>
      <c r="N116" s="35" t="s">
        <v>836</v>
      </c>
      <c r="O116" s="35" t="s">
        <v>65</v>
      </c>
      <c r="P116" s="35" t="s">
        <v>988</v>
      </c>
      <c r="Q116" s="35" t="n">
        <v>2</v>
      </c>
      <c r="R116" s="35"/>
      <c r="S116" s="35" t="s">
        <v>42</v>
      </c>
      <c r="T116" s="35"/>
      <c r="U116" s="35"/>
      <c r="V116" s="35"/>
      <c r="W116" s="35"/>
      <c r="X116" s="35" t="s">
        <v>42</v>
      </c>
      <c r="Y116" s="35" t="n">
        <v>-9.5741045</v>
      </c>
      <c r="Z116" s="35" t="n">
        <v>-48.394691</v>
      </c>
      <c r="AA116" s="49" t="s">
        <v>838</v>
      </c>
      <c r="AB116" s="35" t="s">
        <v>839</v>
      </c>
    </row>
    <row r="117" customFormat="false" ht="15" hidden="false" customHeight="false" outlineLevel="0" collapsed="false">
      <c r="A117" s="35" t="n">
        <v>116</v>
      </c>
      <c r="B117" s="35" t="s">
        <v>509</v>
      </c>
      <c r="C117" s="35" t="s">
        <v>990</v>
      </c>
      <c r="D117" s="35" t="s">
        <v>508</v>
      </c>
      <c r="E117" s="35" t="s">
        <v>510</v>
      </c>
      <c r="F117" s="40" t="n">
        <v>33.1259120992664</v>
      </c>
      <c r="G117" s="36" t="n">
        <v>418.131352488742</v>
      </c>
      <c r="H117" s="36" t="n">
        <v>418.131352488742</v>
      </c>
      <c r="I117" s="5" t="s">
        <v>22</v>
      </c>
      <c r="J117" s="35" t="s">
        <v>157</v>
      </c>
      <c r="K117" s="35" t="s">
        <v>215</v>
      </c>
      <c r="L117" s="35" t="n">
        <v>11</v>
      </c>
      <c r="M117" s="35" t="s">
        <v>42</v>
      </c>
      <c r="N117" s="35" t="s">
        <v>836</v>
      </c>
      <c r="O117" s="35" t="s">
        <v>65</v>
      </c>
      <c r="P117" s="35" t="s">
        <v>988</v>
      </c>
      <c r="Q117" s="35" t="n">
        <v>2</v>
      </c>
      <c r="R117" s="35"/>
      <c r="S117" s="35" t="s">
        <v>42</v>
      </c>
      <c r="T117" s="35"/>
      <c r="U117" s="35"/>
      <c r="V117" s="35"/>
      <c r="W117" s="35"/>
      <c r="X117" s="35" t="s">
        <v>42</v>
      </c>
      <c r="Y117" s="35" t="n">
        <v>-9.574155</v>
      </c>
      <c r="Z117" s="35" t="n">
        <v>-48.394531</v>
      </c>
      <c r="AA117" s="49" t="s">
        <v>838</v>
      </c>
      <c r="AB117" s="35" t="s">
        <v>839</v>
      </c>
    </row>
    <row r="118" customFormat="false" ht="15" hidden="false" customHeight="false" outlineLevel="0" collapsed="false">
      <c r="A118" s="35" t="n">
        <v>117</v>
      </c>
      <c r="B118" s="35" t="s">
        <v>511</v>
      </c>
      <c r="C118" s="35" t="s">
        <v>991</v>
      </c>
      <c r="D118" s="35" t="s">
        <v>510</v>
      </c>
      <c r="E118" s="35" t="s">
        <v>512</v>
      </c>
      <c r="F118" s="40" t="n">
        <v>126.628781632055</v>
      </c>
      <c r="G118" s="36" t="n">
        <v>544.760134120797</v>
      </c>
      <c r="H118" s="36" t="n">
        <v>544.760134120797</v>
      </c>
      <c r="I118" s="5" t="s">
        <v>22</v>
      </c>
      <c r="J118" s="35" t="s">
        <v>157</v>
      </c>
      <c r="K118" s="35" t="s">
        <v>215</v>
      </c>
      <c r="L118" s="35" t="n">
        <v>11</v>
      </c>
      <c r="M118" s="35" t="s">
        <v>42</v>
      </c>
      <c r="N118" s="35" t="s">
        <v>836</v>
      </c>
      <c r="O118" s="35" t="s">
        <v>65</v>
      </c>
      <c r="P118" s="35" t="s">
        <v>66</v>
      </c>
      <c r="Q118" s="35" t="n">
        <v>1</v>
      </c>
      <c r="R118" s="35"/>
      <c r="S118" s="35" t="s">
        <v>42</v>
      </c>
      <c r="T118" s="35"/>
      <c r="U118" s="35"/>
      <c r="V118" s="35"/>
      <c r="W118" s="35"/>
      <c r="X118" s="35" t="s">
        <v>42</v>
      </c>
      <c r="Y118" s="35" t="n">
        <v>-9.5743795</v>
      </c>
      <c r="Z118" s="35" t="n">
        <v>-48.393839</v>
      </c>
      <c r="AA118" s="49" t="s">
        <v>838</v>
      </c>
      <c r="AB118" s="35" t="s">
        <v>839</v>
      </c>
    </row>
    <row r="119" customFormat="false" ht="15" hidden="false" customHeight="false" outlineLevel="0" collapsed="false">
      <c r="A119" s="35" t="n">
        <v>118</v>
      </c>
      <c r="B119" s="35" t="s">
        <v>513</v>
      </c>
      <c r="C119" s="35" t="s">
        <v>992</v>
      </c>
      <c r="D119" s="35" t="s">
        <v>512</v>
      </c>
      <c r="E119" s="35" t="s">
        <v>514</v>
      </c>
      <c r="F119" s="40" t="n">
        <v>12.3648073467997</v>
      </c>
      <c r="G119" s="36" t="n">
        <v>557.124941467596</v>
      </c>
      <c r="H119" s="36" t="n">
        <v>557.124941467596</v>
      </c>
      <c r="I119" s="5" t="s">
        <v>22</v>
      </c>
      <c r="J119" s="35" t="s">
        <v>157</v>
      </c>
      <c r="K119" s="35" t="s">
        <v>215</v>
      </c>
      <c r="L119" s="35" t="n">
        <v>11</v>
      </c>
      <c r="M119" s="35" t="s">
        <v>42</v>
      </c>
      <c r="N119" s="35" t="s">
        <v>836</v>
      </c>
      <c r="O119" s="35" t="s">
        <v>65</v>
      </c>
      <c r="P119" s="35" t="s">
        <v>49</v>
      </c>
      <c r="Q119" s="35" t="n">
        <v>0</v>
      </c>
      <c r="R119" s="35"/>
      <c r="S119" s="35" t="s">
        <v>42</v>
      </c>
      <c r="T119" s="35"/>
      <c r="U119" s="35"/>
      <c r="V119" s="35"/>
      <c r="W119" s="35"/>
      <c r="X119" s="35" t="s">
        <v>42</v>
      </c>
      <c r="Y119" s="35" t="n">
        <v>-9.574575</v>
      </c>
      <c r="Z119" s="35" t="n">
        <v>-48.393237</v>
      </c>
      <c r="AA119" s="49" t="s">
        <v>838</v>
      </c>
      <c r="AB119" s="35" t="s">
        <v>839</v>
      </c>
    </row>
    <row r="120" customFormat="false" ht="15" hidden="false" customHeight="false" outlineLevel="0" collapsed="false">
      <c r="A120" s="35" t="n">
        <v>119</v>
      </c>
      <c r="B120" s="35" t="s">
        <v>515</v>
      </c>
      <c r="C120" s="35" t="s">
        <v>993</v>
      </c>
      <c r="D120" s="35" t="s">
        <v>512</v>
      </c>
      <c r="E120" s="35" t="s">
        <v>516</v>
      </c>
      <c r="F120" s="40" t="n">
        <v>128.41269656966</v>
      </c>
      <c r="G120" s="36" t="n">
        <v>673.172830690457</v>
      </c>
      <c r="H120" s="36" t="n">
        <v>673.172830690457</v>
      </c>
      <c r="I120" s="5" t="s">
        <v>22</v>
      </c>
      <c r="J120" s="35" t="s">
        <v>157</v>
      </c>
      <c r="K120" s="35" t="s">
        <v>215</v>
      </c>
      <c r="L120" s="35" t="n">
        <v>11</v>
      </c>
      <c r="M120" s="35" t="s">
        <v>42</v>
      </c>
      <c r="N120" s="35" t="s">
        <v>836</v>
      </c>
      <c r="O120" s="35" t="s">
        <v>65</v>
      </c>
      <c r="P120" s="35" t="s">
        <v>66</v>
      </c>
      <c r="Q120" s="35" t="n">
        <v>1</v>
      </c>
      <c r="R120" s="35"/>
      <c r="S120" s="35" t="s">
        <v>42</v>
      </c>
      <c r="T120" s="35"/>
      <c r="U120" s="35"/>
      <c r="V120" s="35"/>
      <c r="W120" s="35"/>
      <c r="X120" s="35" t="s">
        <v>42</v>
      </c>
      <c r="Y120" s="35" t="n">
        <v>-9.575112</v>
      </c>
      <c r="Z120" s="35" t="n">
        <v>-48.3934595</v>
      </c>
      <c r="AA120" s="49" t="s">
        <v>838</v>
      </c>
      <c r="AB120" s="35" t="s">
        <v>839</v>
      </c>
    </row>
    <row r="121" customFormat="false" ht="15" hidden="false" customHeight="false" outlineLevel="0" collapsed="false">
      <c r="A121" s="35" t="n">
        <v>120</v>
      </c>
      <c r="B121" s="35" t="s">
        <v>517</v>
      </c>
      <c r="C121" s="35" t="s">
        <v>994</v>
      </c>
      <c r="D121" s="35" t="s">
        <v>516</v>
      </c>
      <c r="E121" s="35" t="s">
        <v>518</v>
      </c>
      <c r="F121" s="40" t="n">
        <v>77.9131911000537</v>
      </c>
      <c r="G121" s="36" t="n">
        <v>751.086021790511</v>
      </c>
      <c r="H121" s="36" t="n">
        <v>751.086021790511</v>
      </c>
      <c r="I121" s="5" t="s">
        <v>22</v>
      </c>
      <c r="J121" s="35" t="s">
        <v>157</v>
      </c>
      <c r="K121" s="35" t="s">
        <v>215</v>
      </c>
      <c r="L121" s="35" t="n">
        <v>11</v>
      </c>
      <c r="M121" s="35" t="s">
        <v>42</v>
      </c>
      <c r="N121" s="35" t="s">
        <v>836</v>
      </c>
      <c r="O121" s="35" t="s">
        <v>65</v>
      </c>
      <c r="P121" s="35" t="s">
        <v>66</v>
      </c>
      <c r="Q121" s="35" t="n">
        <v>1</v>
      </c>
      <c r="R121" s="35"/>
      <c r="S121" s="35" t="s">
        <v>42</v>
      </c>
      <c r="T121" s="35"/>
      <c r="U121" s="35"/>
      <c r="V121" s="35"/>
      <c r="W121" s="35"/>
      <c r="X121" s="35" t="s">
        <v>42</v>
      </c>
      <c r="Y121" s="35" t="n">
        <v>-9.576</v>
      </c>
      <c r="Z121" s="35" t="n">
        <v>-48.393732</v>
      </c>
      <c r="AA121" s="49" t="s">
        <v>838</v>
      </c>
      <c r="AB121" s="35" t="s">
        <v>839</v>
      </c>
    </row>
    <row r="122" customFormat="false" ht="15" hidden="false" customHeight="false" outlineLevel="0" collapsed="false">
      <c r="A122" s="35" t="n">
        <v>121</v>
      </c>
      <c r="B122" s="35" t="s">
        <v>519</v>
      </c>
      <c r="C122" s="35" t="s">
        <v>995</v>
      </c>
      <c r="D122" s="35" t="s">
        <v>518</v>
      </c>
      <c r="E122" s="35" t="s">
        <v>520</v>
      </c>
      <c r="F122" s="40" t="n">
        <v>14.1057948321998</v>
      </c>
      <c r="G122" s="36" t="n">
        <v>765.191816622711</v>
      </c>
      <c r="H122" s="36" t="n">
        <v>765.191816622711</v>
      </c>
      <c r="I122" s="5" t="s">
        <v>22</v>
      </c>
      <c r="J122" s="35" t="s">
        <v>157</v>
      </c>
      <c r="K122" s="35" t="s">
        <v>215</v>
      </c>
      <c r="L122" s="35" t="n">
        <v>11</v>
      </c>
      <c r="M122" s="35" t="s">
        <v>42</v>
      </c>
      <c r="N122" s="35" t="s">
        <v>836</v>
      </c>
      <c r="O122" s="35" t="s">
        <v>65</v>
      </c>
      <c r="P122" s="35" t="s">
        <v>49</v>
      </c>
      <c r="Q122" s="35" t="n">
        <v>0</v>
      </c>
      <c r="R122" s="35"/>
      <c r="S122" s="35" t="s">
        <v>42</v>
      </c>
      <c r="T122" s="35"/>
      <c r="U122" s="35"/>
      <c r="V122" s="35"/>
      <c r="W122" s="35"/>
      <c r="X122" s="35" t="s">
        <v>42</v>
      </c>
      <c r="Y122" s="35" t="n">
        <v>-9.57632</v>
      </c>
      <c r="Z122" s="35" t="n">
        <v>-48.3938985</v>
      </c>
      <c r="AA122" s="49" t="s">
        <v>838</v>
      </c>
      <c r="AB122" s="35" t="s">
        <v>839</v>
      </c>
    </row>
    <row r="123" customFormat="false" ht="15" hidden="false" customHeight="false" outlineLevel="0" collapsed="false">
      <c r="A123" s="35" t="n">
        <v>122</v>
      </c>
      <c r="B123" s="35" t="s">
        <v>521</v>
      </c>
      <c r="C123" s="35" t="s">
        <v>996</v>
      </c>
      <c r="D123" s="35" t="s">
        <v>518</v>
      </c>
      <c r="E123" s="35" t="s">
        <v>522</v>
      </c>
      <c r="F123" s="40" t="n">
        <v>113.152744145922</v>
      </c>
      <c r="G123" s="36" t="n">
        <v>864.238765936433</v>
      </c>
      <c r="H123" s="36" t="n">
        <v>864.238765936433</v>
      </c>
      <c r="I123" s="5" t="s">
        <v>22</v>
      </c>
      <c r="J123" s="35" t="s">
        <v>157</v>
      </c>
      <c r="K123" s="35" t="s">
        <v>215</v>
      </c>
      <c r="L123" s="35" t="n">
        <v>11</v>
      </c>
      <c r="M123" s="35" t="s">
        <v>42</v>
      </c>
      <c r="N123" s="35" t="s">
        <v>836</v>
      </c>
      <c r="O123" s="35" t="s">
        <v>65</v>
      </c>
      <c r="P123" s="35" t="s">
        <v>66</v>
      </c>
      <c r="Q123" s="35" t="n">
        <v>1</v>
      </c>
      <c r="R123" s="35"/>
      <c r="S123" s="35" t="s">
        <v>42</v>
      </c>
      <c r="T123" s="35"/>
      <c r="U123" s="35"/>
      <c r="V123" s="35"/>
      <c r="W123" s="35"/>
      <c r="X123" s="35" t="s">
        <v>42</v>
      </c>
      <c r="Y123" s="35" t="n">
        <v>-9.57647</v>
      </c>
      <c r="Z123" s="35" t="n">
        <v>-48.3933385</v>
      </c>
      <c r="AA123" s="49" t="s">
        <v>838</v>
      </c>
      <c r="AB123" s="35" t="s">
        <v>839</v>
      </c>
    </row>
    <row r="124" customFormat="false" ht="15" hidden="false" customHeight="false" outlineLevel="0" collapsed="false">
      <c r="A124" s="35" t="n">
        <v>123</v>
      </c>
      <c r="B124" s="35" t="s">
        <v>523</v>
      </c>
      <c r="C124" s="35" t="s">
        <v>997</v>
      </c>
      <c r="D124" s="35" t="s">
        <v>522</v>
      </c>
      <c r="E124" s="35" t="s">
        <v>524</v>
      </c>
      <c r="F124" s="40" t="n">
        <v>39.2364616701694</v>
      </c>
      <c r="G124" s="36" t="n">
        <v>903.475227606602</v>
      </c>
      <c r="H124" s="36" t="n">
        <v>903.475227606602</v>
      </c>
      <c r="I124" s="5" t="s">
        <v>22</v>
      </c>
      <c r="J124" s="35" t="s">
        <v>157</v>
      </c>
      <c r="K124" s="35" t="s">
        <v>215</v>
      </c>
      <c r="L124" s="35" t="n">
        <v>11</v>
      </c>
      <c r="M124" s="35" t="s">
        <v>42</v>
      </c>
      <c r="N124" s="35" t="s">
        <v>836</v>
      </c>
      <c r="O124" s="35" t="s">
        <v>65</v>
      </c>
      <c r="P124" s="35" t="s">
        <v>49</v>
      </c>
      <c r="Q124" s="35" t="n">
        <v>0</v>
      </c>
      <c r="R124" s="35"/>
      <c r="S124" s="35" t="s">
        <v>42</v>
      </c>
      <c r="T124" s="35"/>
      <c r="U124" s="35"/>
      <c r="V124" s="35"/>
      <c r="W124" s="35"/>
      <c r="X124" s="35" t="s">
        <v>42</v>
      </c>
      <c r="Y124" s="35" t="n">
        <v>-9.5766585</v>
      </c>
      <c r="Z124" s="35" t="n">
        <v>-48.3926705</v>
      </c>
      <c r="AA124" s="49" t="s">
        <v>838</v>
      </c>
      <c r="AB124" s="35" t="s">
        <v>839</v>
      </c>
    </row>
    <row r="125" customFormat="false" ht="15" hidden="false" customHeight="false" outlineLevel="0" collapsed="false">
      <c r="A125" s="35" t="n">
        <v>124</v>
      </c>
      <c r="B125" s="35" t="s">
        <v>525</v>
      </c>
      <c r="C125" s="35" t="s">
        <v>998</v>
      </c>
      <c r="D125" s="35" t="s">
        <v>522</v>
      </c>
      <c r="E125" s="35" t="s">
        <v>526</v>
      </c>
      <c r="F125" s="40" t="n">
        <v>4.15057768313212</v>
      </c>
      <c r="G125" s="36" t="n">
        <v>868.389343619565</v>
      </c>
      <c r="H125" s="36" t="n">
        <v>868.389343619565</v>
      </c>
      <c r="I125" s="5" t="s">
        <v>22</v>
      </c>
      <c r="J125" s="35" t="s">
        <v>157</v>
      </c>
      <c r="K125" s="35" t="s">
        <v>215</v>
      </c>
      <c r="L125" s="35" t="n">
        <v>11</v>
      </c>
      <c r="M125" s="35" t="s">
        <v>42</v>
      </c>
      <c r="N125" s="35" t="s">
        <v>836</v>
      </c>
      <c r="O125" s="35" t="s">
        <v>65</v>
      </c>
      <c r="P125" s="35" t="s">
        <v>66</v>
      </c>
      <c r="Q125" s="35" t="n">
        <v>1</v>
      </c>
      <c r="R125" s="35"/>
      <c r="S125" s="35" t="s">
        <v>42</v>
      </c>
      <c r="T125" s="35"/>
      <c r="U125" s="35"/>
      <c r="V125" s="35"/>
      <c r="W125" s="35"/>
      <c r="X125" s="35" t="s">
        <v>42</v>
      </c>
      <c r="Y125" s="35" t="n">
        <v>-9.5766235</v>
      </c>
      <c r="Z125" s="35" t="n">
        <v>-48.3928435</v>
      </c>
      <c r="AA125" s="49" t="s">
        <v>838</v>
      </c>
      <c r="AB125" s="35" t="s">
        <v>839</v>
      </c>
    </row>
    <row r="126" customFormat="false" ht="15" hidden="false" customHeight="false" outlineLevel="0" collapsed="false">
      <c r="A126" s="35" t="n">
        <v>125</v>
      </c>
      <c r="B126" s="35" t="s">
        <v>527</v>
      </c>
      <c r="C126" s="35" t="s">
        <v>999</v>
      </c>
      <c r="D126" s="35" t="s">
        <v>518</v>
      </c>
      <c r="E126" s="35" t="s">
        <v>528</v>
      </c>
      <c r="F126" s="40" t="n">
        <v>262.625940452288</v>
      </c>
      <c r="G126" s="36" t="n">
        <v>1013.7119622428</v>
      </c>
      <c r="H126" s="36" t="n">
        <v>1013.7119622428</v>
      </c>
      <c r="I126" s="5" t="s">
        <v>22</v>
      </c>
      <c r="J126" s="35" t="s">
        <v>157</v>
      </c>
      <c r="K126" s="35" t="s">
        <v>215</v>
      </c>
      <c r="L126" s="35" t="n">
        <v>11</v>
      </c>
      <c r="M126" s="35" t="s">
        <v>42</v>
      </c>
      <c r="N126" s="35" t="s">
        <v>836</v>
      </c>
      <c r="O126" s="35" t="s">
        <v>65</v>
      </c>
      <c r="P126" s="35" t="s">
        <v>49</v>
      </c>
      <c r="Q126" s="35" t="n">
        <v>0</v>
      </c>
      <c r="R126" s="35"/>
      <c r="S126" s="35" t="s">
        <v>42</v>
      </c>
      <c r="T126" s="35"/>
      <c r="U126" s="35"/>
      <c r="V126" s="35"/>
      <c r="W126" s="35"/>
      <c r="X126" s="35" t="s">
        <v>42</v>
      </c>
      <c r="Y126" s="35" t="n">
        <v>-9.5774695</v>
      </c>
      <c r="Z126" s="35" t="n">
        <v>-48.3941685</v>
      </c>
      <c r="AA126" s="49" t="s">
        <v>838</v>
      </c>
      <c r="AB126" s="35" t="s">
        <v>839</v>
      </c>
    </row>
    <row r="127" customFormat="false" ht="15" hidden="false" customHeight="false" outlineLevel="0" collapsed="false">
      <c r="A127" s="35" t="n">
        <v>126</v>
      </c>
      <c r="B127" s="35" t="s">
        <v>529</v>
      </c>
      <c r="C127" s="35" t="s">
        <v>1000</v>
      </c>
      <c r="D127" s="35" t="s">
        <v>512</v>
      </c>
      <c r="E127" s="35" t="s">
        <v>530</v>
      </c>
      <c r="F127" s="40" t="n">
        <v>10.9576949289156</v>
      </c>
      <c r="G127" s="36" t="n">
        <v>555.717829049712</v>
      </c>
      <c r="H127" s="36" t="n">
        <v>555.717829049712</v>
      </c>
      <c r="I127" s="5" t="s">
        <v>22</v>
      </c>
      <c r="J127" s="35" t="s">
        <v>157</v>
      </c>
      <c r="K127" s="35" t="s">
        <v>215</v>
      </c>
      <c r="L127" s="35" t="n">
        <v>11</v>
      </c>
      <c r="M127" s="35" t="s">
        <v>42</v>
      </c>
      <c r="N127" s="35" t="s">
        <v>836</v>
      </c>
      <c r="O127" s="35" t="s">
        <v>65</v>
      </c>
      <c r="P127" s="35" t="s">
        <v>49</v>
      </c>
      <c r="Q127" s="35" t="n">
        <v>0</v>
      </c>
      <c r="R127" s="35"/>
      <c r="S127" s="35" t="s">
        <v>42</v>
      </c>
      <c r="T127" s="35"/>
      <c r="U127" s="35"/>
      <c r="V127" s="35"/>
      <c r="W127" s="35"/>
      <c r="X127" s="35" t="s">
        <v>42</v>
      </c>
      <c r="Y127" s="35" t="n">
        <v>-9.574512</v>
      </c>
      <c r="Z127" s="35" t="n">
        <v>-48.393276</v>
      </c>
      <c r="AA127" s="49" t="s">
        <v>838</v>
      </c>
      <c r="AB127" s="35" t="s">
        <v>839</v>
      </c>
    </row>
    <row r="128" customFormat="false" ht="15" hidden="false" customHeight="false" outlineLevel="0" collapsed="false">
      <c r="A128" s="35" t="n">
        <v>127</v>
      </c>
      <c r="B128" s="35" t="s">
        <v>531</v>
      </c>
      <c r="C128" s="35" t="s">
        <v>1001</v>
      </c>
      <c r="D128" s="35" t="s">
        <v>510</v>
      </c>
      <c r="E128" s="35" t="s">
        <v>532</v>
      </c>
      <c r="F128" s="40" t="n">
        <v>1.35223886573009</v>
      </c>
      <c r="G128" s="36" t="n">
        <v>419.483591354472</v>
      </c>
      <c r="H128" s="36" t="n">
        <v>419.483591354472</v>
      </c>
      <c r="I128" s="5" t="s">
        <v>22</v>
      </c>
      <c r="J128" s="35" t="s">
        <v>157</v>
      </c>
      <c r="K128" s="35" t="s">
        <v>215</v>
      </c>
      <c r="L128" s="35" t="n">
        <v>11</v>
      </c>
      <c r="M128" s="35" t="s">
        <v>42</v>
      </c>
      <c r="N128" s="35" t="s">
        <v>836</v>
      </c>
      <c r="O128" s="35" t="s">
        <v>65</v>
      </c>
      <c r="P128" s="35" t="s">
        <v>68</v>
      </c>
      <c r="Q128" s="35" t="n">
        <v>1</v>
      </c>
      <c r="R128" s="35"/>
      <c r="S128" s="35" t="s">
        <v>42</v>
      </c>
      <c r="T128" s="35"/>
      <c r="U128" s="35"/>
      <c r="V128" s="35"/>
      <c r="W128" s="35"/>
      <c r="X128" s="35" t="s">
        <v>42</v>
      </c>
      <c r="Y128" s="35" t="n">
        <v>-9.574206</v>
      </c>
      <c r="Z128" s="35" t="n">
        <v>-48.394388</v>
      </c>
      <c r="AA128" s="49" t="s">
        <v>838</v>
      </c>
      <c r="AB128" s="35" t="s">
        <v>839</v>
      </c>
    </row>
    <row r="129" customFormat="false" ht="15" hidden="false" customHeight="false" outlineLevel="0" collapsed="false">
      <c r="A129" s="35" t="n">
        <v>128</v>
      </c>
      <c r="B129" s="35" t="s">
        <v>533</v>
      </c>
      <c r="C129" s="35" t="s">
        <v>1002</v>
      </c>
      <c r="D129" s="35" t="s">
        <v>287</v>
      </c>
      <c r="E129" s="35" t="s">
        <v>534</v>
      </c>
      <c r="F129" s="40" t="n">
        <v>1.28550577451726</v>
      </c>
      <c r="G129" s="36" t="n">
        <v>340.631437291613</v>
      </c>
      <c r="H129" s="36" t="n">
        <v>340.631437291613</v>
      </c>
      <c r="I129" s="5" t="s">
        <v>22</v>
      </c>
      <c r="J129" s="35" t="s">
        <v>157</v>
      </c>
      <c r="K129" s="35" t="s">
        <v>215</v>
      </c>
      <c r="L129" s="35" t="n">
        <v>11</v>
      </c>
      <c r="M129" s="35" t="s">
        <v>42</v>
      </c>
      <c r="N129" s="35" t="s">
        <v>836</v>
      </c>
      <c r="O129" s="35" t="s">
        <v>65</v>
      </c>
      <c r="P129" s="35" t="s">
        <v>49</v>
      </c>
      <c r="Q129" s="35" t="n">
        <v>0</v>
      </c>
      <c r="R129" s="35"/>
      <c r="S129" s="35" t="s">
        <v>42</v>
      </c>
      <c r="T129" s="35"/>
      <c r="U129" s="35"/>
      <c r="V129" s="35"/>
      <c r="W129" s="35"/>
      <c r="X129" s="35" t="s">
        <v>42</v>
      </c>
      <c r="Y129" s="35" t="n">
        <v>-9.573981</v>
      </c>
      <c r="Z129" s="35" t="n">
        <v>-48.3950765</v>
      </c>
      <c r="AA129" s="49" t="s">
        <v>838</v>
      </c>
      <c r="AB129" s="35" t="s">
        <v>839</v>
      </c>
    </row>
    <row r="130" customFormat="false" ht="15" hidden="false" customHeight="false" outlineLevel="0" collapsed="false">
      <c r="A130" s="35" t="n">
        <v>129</v>
      </c>
      <c r="B130" s="35" t="s">
        <v>535</v>
      </c>
      <c r="C130" s="35" t="s">
        <v>1003</v>
      </c>
      <c r="D130" s="35" t="s">
        <v>526</v>
      </c>
      <c r="E130" s="35" t="s">
        <v>536</v>
      </c>
      <c r="F130" s="40" t="n">
        <v>37.1635504282544</v>
      </c>
      <c r="G130" s="36" t="n">
        <v>905.552894047819</v>
      </c>
      <c r="H130" s="36" t="n">
        <v>37.1635504282544</v>
      </c>
      <c r="I130" s="7" t="s">
        <v>24</v>
      </c>
      <c r="J130" s="35" t="s">
        <v>157</v>
      </c>
      <c r="K130" s="35" t="s">
        <v>215</v>
      </c>
      <c r="L130" s="35" t="n">
        <v>12</v>
      </c>
      <c r="M130" s="35" t="s">
        <v>66</v>
      </c>
      <c r="N130" s="35" t="s">
        <v>961</v>
      </c>
      <c r="O130" s="35" t="s">
        <v>67</v>
      </c>
      <c r="P130" s="35" t="s">
        <v>49</v>
      </c>
      <c r="Q130" s="35" t="n">
        <v>0</v>
      </c>
      <c r="R130" s="35"/>
      <c r="S130" s="35" t="s">
        <v>42</v>
      </c>
      <c r="T130" s="35" t="s">
        <v>66</v>
      </c>
      <c r="U130" s="35"/>
      <c r="V130" s="35"/>
      <c r="W130" s="35"/>
      <c r="X130" s="35" t="s">
        <v>1004</v>
      </c>
      <c r="Y130" s="35" t="n">
        <v>-9.576808</v>
      </c>
      <c r="Z130" s="35" t="n">
        <v>-48.3928655</v>
      </c>
      <c r="AA130" s="49" t="s">
        <v>838</v>
      </c>
      <c r="AB130" s="35" t="s">
        <v>1005</v>
      </c>
    </row>
    <row r="131" customFormat="false" ht="15" hidden="false" customHeight="false" outlineLevel="0" collapsed="false">
      <c r="A131" s="35" t="n">
        <v>130</v>
      </c>
      <c r="B131" s="35" t="s">
        <v>537</v>
      </c>
      <c r="C131" s="35" t="s">
        <v>1006</v>
      </c>
      <c r="D131" s="35" t="s">
        <v>536</v>
      </c>
      <c r="E131" s="35" t="s">
        <v>538</v>
      </c>
      <c r="F131" s="40" t="n">
        <v>19.8737559075159</v>
      </c>
      <c r="G131" s="36" t="n">
        <v>925.426649955335</v>
      </c>
      <c r="H131" s="36" t="n">
        <v>57.0373063357704</v>
      </c>
      <c r="I131" s="7" t="s">
        <v>24</v>
      </c>
      <c r="J131" s="35" t="s">
        <v>157</v>
      </c>
      <c r="K131" s="35" t="s">
        <v>215</v>
      </c>
      <c r="L131" s="35" t="n">
        <v>12</v>
      </c>
      <c r="M131" s="35" t="s">
        <v>66</v>
      </c>
      <c r="N131" s="35" t="s">
        <v>961</v>
      </c>
      <c r="O131" s="35" t="s">
        <v>67</v>
      </c>
      <c r="P131" s="35" t="s">
        <v>49</v>
      </c>
      <c r="Q131" s="35" t="n">
        <v>0</v>
      </c>
      <c r="R131" s="35"/>
      <c r="S131" s="35" t="s">
        <v>42</v>
      </c>
      <c r="T131" s="35" t="s">
        <v>66</v>
      </c>
      <c r="U131" s="35"/>
      <c r="V131" s="35"/>
      <c r="W131" s="35"/>
      <c r="X131" s="35" t="s">
        <v>1004</v>
      </c>
      <c r="Y131" s="35" t="n">
        <v>-9.577005</v>
      </c>
      <c r="Z131" s="35" t="n">
        <v>-48.3928</v>
      </c>
      <c r="AA131" s="49" t="s">
        <v>838</v>
      </c>
      <c r="AB131" s="35" t="s">
        <v>1005</v>
      </c>
    </row>
    <row r="132" customFormat="false" ht="15" hidden="false" customHeight="false" outlineLevel="0" collapsed="false">
      <c r="A132" s="35" t="n">
        <v>131</v>
      </c>
      <c r="B132" s="35" t="s">
        <v>539</v>
      </c>
      <c r="C132" s="35" t="s">
        <v>1007</v>
      </c>
      <c r="D132" s="35" t="s">
        <v>532</v>
      </c>
      <c r="E132" s="35" t="s">
        <v>540</v>
      </c>
      <c r="F132" s="40" t="n">
        <v>11.0944529514517</v>
      </c>
      <c r="G132" s="36" t="n">
        <v>430.578044305924</v>
      </c>
      <c r="H132" s="36" t="n">
        <v>11.0944529514517</v>
      </c>
      <c r="I132" s="7" t="s">
        <v>24</v>
      </c>
      <c r="J132" s="35" t="s">
        <v>157</v>
      </c>
      <c r="K132" s="35" t="s">
        <v>215</v>
      </c>
      <c r="L132" s="35" t="n">
        <v>13</v>
      </c>
      <c r="M132" s="35" t="s">
        <v>68</v>
      </c>
      <c r="N132" s="35" t="s">
        <v>961</v>
      </c>
      <c r="O132" s="35" t="s">
        <v>69</v>
      </c>
      <c r="P132" s="35" t="s">
        <v>49</v>
      </c>
      <c r="Q132" s="35" t="n">
        <v>0</v>
      </c>
      <c r="R132" s="35"/>
      <c r="S132" s="35" t="s">
        <v>42</v>
      </c>
      <c r="T132" s="35" t="s">
        <v>68</v>
      </c>
      <c r="U132" s="35"/>
      <c r="V132" s="35"/>
      <c r="W132" s="35"/>
      <c r="X132" s="35" t="s">
        <v>1008</v>
      </c>
      <c r="Y132" s="35" t="n">
        <v>-9.574261</v>
      </c>
      <c r="Z132" s="35" t="n">
        <v>-48.3943985</v>
      </c>
      <c r="AA132" s="49" t="s">
        <v>838</v>
      </c>
      <c r="AB132" s="35" t="s">
        <v>1009</v>
      </c>
    </row>
    <row r="133" customFormat="false" ht="15" hidden="false" customHeight="false" outlineLevel="0" collapsed="false">
      <c r="A133" s="35" t="n">
        <v>132</v>
      </c>
      <c r="B133" s="35" t="s">
        <v>541</v>
      </c>
      <c r="C133" s="35" t="s">
        <v>1010</v>
      </c>
      <c r="D133" s="35" t="s">
        <v>289</v>
      </c>
      <c r="E133" s="35" t="s">
        <v>542</v>
      </c>
      <c r="F133" s="40" t="n">
        <v>23.7870979766248</v>
      </c>
      <c r="G133" s="36" t="n">
        <v>533.548195822377</v>
      </c>
      <c r="H133" s="36" t="n">
        <v>533.548195822377</v>
      </c>
      <c r="I133" s="5" t="s">
        <v>22</v>
      </c>
      <c r="J133" s="35" t="s">
        <v>157</v>
      </c>
      <c r="K133" s="35" t="s">
        <v>222</v>
      </c>
      <c r="L133" s="35" t="n">
        <v>14</v>
      </c>
      <c r="M133" s="35" t="s">
        <v>42</v>
      </c>
      <c r="N133" s="35" t="s">
        <v>836</v>
      </c>
      <c r="O133" s="35" t="s">
        <v>72</v>
      </c>
      <c r="P133" s="35" t="s">
        <v>49</v>
      </c>
      <c r="Q133" s="35" t="n">
        <v>0</v>
      </c>
      <c r="R133" s="35"/>
      <c r="S133" s="35" t="s">
        <v>42</v>
      </c>
      <c r="T133" s="35"/>
      <c r="U133" s="35"/>
      <c r="V133" s="35"/>
      <c r="W133" s="35"/>
      <c r="X133" s="35" t="s">
        <v>42</v>
      </c>
      <c r="Y133" s="35" t="n">
        <v>-9.572466</v>
      </c>
      <c r="Z133" s="35" t="n">
        <v>-48.3947775</v>
      </c>
      <c r="AA133" s="49" t="s">
        <v>838</v>
      </c>
      <c r="AB133" s="35" t="s">
        <v>839</v>
      </c>
    </row>
    <row r="134" customFormat="false" ht="15" hidden="false" customHeight="false" outlineLevel="0" collapsed="false">
      <c r="A134" s="35" t="n">
        <v>133</v>
      </c>
      <c r="B134" s="35" t="s">
        <v>543</v>
      </c>
      <c r="C134" s="35" t="s">
        <v>1011</v>
      </c>
      <c r="D134" s="35" t="s">
        <v>289</v>
      </c>
      <c r="E134" s="35" t="s">
        <v>544</v>
      </c>
      <c r="F134" s="40" t="n">
        <v>11.534242143436</v>
      </c>
      <c r="G134" s="36" t="n">
        <v>521.295339989188</v>
      </c>
      <c r="H134" s="36" t="n">
        <v>521.295339989188</v>
      </c>
      <c r="I134" s="5" t="s">
        <v>22</v>
      </c>
      <c r="J134" s="35" t="s">
        <v>157</v>
      </c>
      <c r="K134" s="35" t="s">
        <v>222</v>
      </c>
      <c r="L134" s="35" t="n">
        <v>14</v>
      </c>
      <c r="M134" s="35" t="s">
        <v>42</v>
      </c>
      <c r="N134" s="35" t="s">
        <v>836</v>
      </c>
      <c r="O134" s="35" t="s">
        <v>72</v>
      </c>
      <c r="P134" s="35" t="s">
        <v>73</v>
      </c>
      <c r="Q134" s="35" t="n">
        <v>1</v>
      </c>
      <c r="R134" s="35"/>
      <c r="S134" s="35" t="s">
        <v>42</v>
      </c>
      <c r="T134" s="35"/>
      <c r="U134" s="35"/>
      <c r="V134" s="35"/>
      <c r="W134" s="35"/>
      <c r="X134" s="35" t="s">
        <v>42</v>
      </c>
      <c r="Y134" s="35" t="n">
        <v>-9.5725155</v>
      </c>
      <c r="Z134" s="35" t="n">
        <v>-48.3946245</v>
      </c>
      <c r="AA134" s="49" t="s">
        <v>838</v>
      </c>
      <c r="AB134" s="35" t="s">
        <v>839</v>
      </c>
    </row>
    <row r="135" customFormat="false" ht="15" hidden="false" customHeight="false" outlineLevel="0" collapsed="false">
      <c r="A135" s="35" t="n">
        <v>134</v>
      </c>
      <c r="B135" s="35" t="s">
        <v>545</v>
      </c>
      <c r="C135" s="35" t="s">
        <v>1012</v>
      </c>
      <c r="D135" s="35" t="s">
        <v>544</v>
      </c>
      <c r="E135" s="35" t="s">
        <v>546</v>
      </c>
      <c r="F135" s="40" t="n">
        <v>3.89028371045604</v>
      </c>
      <c r="G135" s="36" t="n">
        <v>525.185623699644</v>
      </c>
      <c r="H135" s="36" t="n">
        <v>525.185623699644</v>
      </c>
      <c r="I135" s="5" t="s">
        <v>22</v>
      </c>
      <c r="J135" s="35" t="s">
        <v>157</v>
      </c>
      <c r="K135" s="35" t="s">
        <v>222</v>
      </c>
      <c r="L135" s="35" t="n">
        <v>14</v>
      </c>
      <c r="M135" s="35" t="s">
        <v>42</v>
      </c>
      <c r="N135" s="35" t="s">
        <v>836</v>
      </c>
      <c r="O135" s="35" t="s">
        <v>72</v>
      </c>
      <c r="P135" s="35" t="s">
        <v>73</v>
      </c>
      <c r="Q135" s="35" t="n">
        <v>1</v>
      </c>
      <c r="R135" s="35"/>
      <c r="S135" s="35" t="s">
        <v>42</v>
      </c>
      <c r="T135" s="35"/>
      <c r="U135" s="35"/>
      <c r="V135" s="35"/>
      <c r="W135" s="35"/>
      <c r="X135" s="35" t="s">
        <v>42</v>
      </c>
      <c r="Y135" s="35" t="n">
        <v>-9.572535</v>
      </c>
      <c r="Z135" s="35" t="n">
        <v>-48.394557</v>
      </c>
      <c r="AA135" s="49" t="s">
        <v>838</v>
      </c>
      <c r="AB135" s="35" t="s">
        <v>839</v>
      </c>
    </row>
    <row r="136" customFormat="false" ht="15" hidden="false" customHeight="false" outlineLevel="0" collapsed="false">
      <c r="A136" s="35" t="n">
        <v>135</v>
      </c>
      <c r="B136" s="35" t="s">
        <v>547</v>
      </c>
      <c r="C136" s="35" t="s">
        <v>1013</v>
      </c>
      <c r="D136" s="35" t="s">
        <v>546</v>
      </c>
      <c r="E136" s="35" t="s">
        <v>548</v>
      </c>
      <c r="F136" s="40" t="n">
        <v>133.068654202209</v>
      </c>
      <c r="G136" s="36" t="n">
        <v>658.254277901853</v>
      </c>
      <c r="H136" s="36" t="n">
        <v>133.068654202209</v>
      </c>
      <c r="I136" s="7" t="s">
        <v>24</v>
      </c>
      <c r="J136" s="35" t="s">
        <v>157</v>
      </c>
      <c r="K136" s="35" t="s">
        <v>222</v>
      </c>
      <c r="L136" s="35" t="n">
        <v>15</v>
      </c>
      <c r="M136" s="35" t="s">
        <v>73</v>
      </c>
      <c r="N136" s="35" t="s">
        <v>892</v>
      </c>
      <c r="O136" s="35" t="s">
        <v>74</v>
      </c>
      <c r="P136" s="35" t="s">
        <v>49</v>
      </c>
      <c r="Q136" s="35" t="n">
        <v>0</v>
      </c>
      <c r="R136" s="35"/>
      <c r="S136" s="35" t="s">
        <v>42</v>
      </c>
      <c r="T136" s="35" t="s">
        <v>73</v>
      </c>
      <c r="U136" s="35"/>
      <c r="V136" s="35"/>
      <c r="W136" s="35"/>
      <c r="X136" s="35" t="s">
        <v>1014</v>
      </c>
      <c r="Y136" s="35" t="n">
        <v>-9.572711</v>
      </c>
      <c r="Z136" s="35" t="n">
        <v>-48.3939585</v>
      </c>
      <c r="AA136" s="49" t="s">
        <v>838</v>
      </c>
      <c r="AB136" s="35" t="s">
        <v>1015</v>
      </c>
    </row>
    <row r="137" customFormat="false" ht="15" hidden="false" customHeight="false" outlineLevel="0" collapsed="false">
      <c r="A137" s="35" t="n">
        <v>136</v>
      </c>
      <c r="B137" s="35" t="s">
        <v>549</v>
      </c>
      <c r="C137" s="35" t="s">
        <v>1016</v>
      </c>
      <c r="D137" s="35" t="s">
        <v>548</v>
      </c>
      <c r="E137" s="35" t="s">
        <v>550</v>
      </c>
      <c r="F137" s="40" t="n">
        <v>201.84839698313</v>
      </c>
      <c r="G137" s="36" t="n">
        <v>860.102674884983</v>
      </c>
      <c r="H137" s="36" t="n">
        <v>334.917051185339</v>
      </c>
      <c r="I137" s="7" t="s">
        <v>24</v>
      </c>
      <c r="J137" s="35" t="s">
        <v>157</v>
      </c>
      <c r="K137" s="35" t="s">
        <v>222</v>
      </c>
      <c r="L137" s="35" t="n">
        <v>15</v>
      </c>
      <c r="M137" s="35" t="s">
        <v>73</v>
      </c>
      <c r="N137" s="35" t="s">
        <v>892</v>
      </c>
      <c r="O137" s="35" t="s">
        <v>74</v>
      </c>
      <c r="P137" s="35" t="s">
        <v>49</v>
      </c>
      <c r="Q137" s="35" t="n">
        <v>0</v>
      </c>
      <c r="R137" s="35"/>
      <c r="S137" s="35" t="s">
        <v>42</v>
      </c>
      <c r="T137" s="35" t="s">
        <v>73</v>
      </c>
      <c r="U137" s="35"/>
      <c r="V137" s="35"/>
      <c r="W137" s="35"/>
      <c r="X137" s="35" t="s">
        <v>1014</v>
      </c>
      <c r="Y137" s="35" t="n">
        <v>-9.5731465</v>
      </c>
      <c r="Z137" s="35" t="n">
        <v>-48.3924965</v>
      </c>
      <c r="AA137" s="49" t="s">
        <v>838</v>
      </c>
      <c r="AB137" s="35" t="s">
        <v>1015</v>
      </c>
    </row>
    <row r="138" customFormat="false" ht="15" hidden="false" customHeight="false" outlineLevel="0" collapsed="false">
      <c r="A138" s="35" t="n">
        <v>137</v>
      </c>
      <c r="B138" s="35" t="s">
        <v>551</v>
      </c>
      <c r="C138" s="35" t="s">
        <v>1017</v>
      </c>
      <c r="D138" s="35" t="s">
        <v>550</v>
      </c>
      <c r="E138" s="35" t="s">
        <v>552</v>
      </c>
      <c r="F138" s="40" t="n">
        <v>46.0794356420134</v>
      </c>
      <c r="G138" s="36" t="n">
        <v>906.182110526996</v>
      </c>
      <c r="H138" s="36" t="n">
        <v>380.996486827352</v>
      </c>
      <c r="I138" s="7" t="s">
        <v>24</v>
      </c>
      <c r="J138" s="35" t="s">
        <v>157</v>
      </c>
      <c r="K138" s="35" t="s">
        <v>222</v>
      </c>
      <c r="L138" s="35" t="n">
        <v>15</v>
      </c>
      <c r="M138" s="35" t="s">
        <v>73</v>
      </c>
      <c r="N138" s="35" t="s">
        <v>892</v>
      </c>
      <c r="O138" s="35" t="s">
        <v>74</v>
      </c>
      <c r="P138" s="35" t="s">
        <v>49</v>
      </c>
      <c r="Q138" s="35" t="n">
        <v>0</v>
      </c>
      <c r="R138" s="35"/>
      <c r="S138" s="35" t="s">
        <v>42</v>
      </c>
      <c r="T138" s="35" t="s">
        <v>73</v>
      </c>
      <c r="U138" s="35"/>
      <c r="V138" s="35"/>
      <c r="W138" s="35"/>
      <c r="X138" s="35" t="s">
        <v>1014</v>
      </c>
      <c r="Y138" s="35" t="n">
        <v>-9.573473</v>
      </c>
      <c r="Z138" s="35" t="n">
        <v>-48.3914155</v>
      </c>
      <c r="AA138" s="49" t="s">
        <v>838</v>
      </c>
      <c r="AB138" s="35" t="s">
        <v>1015</v>
      </c>
    </row>
    <row r="139" customFormat="false" ht="15" hidden="false" customHeight="false" outlineLevel="0" collapsed="false">
      <c r="A139" s="35" t="n">
        <v>138</v>
      </c>
      <c r="B139" s="35" t="s">
        <v>553</v>
      </c>
      <c r="C139" s="35" t="s">
        <v>1018</v>
      </c>
      <c r="D139" s="35" t="s">
        <v>293</v>
      </c>
      <c r="E139" s="35" t="s">
        <v>554</v>
      </c>
      <c r="F139" s="40" t="n">
        <v>20.5513976176177</v>
      </c>
      <c r="G139" s="36" t="n">
        <v>883.293939686907</v>
      </c>
      <c r="H139" s="36" t="n">
        <v>883.293939686907</v>
      </c>
      <c r="I139" s="5" t="s">
        <v>22</v>
      </c>
      <c r="J139" s="35" t="s">
        <v>157</v>
      </c>
      <c r="K139" s="35" t="s">
        <v>224</v>
      </c>
      <c r="L139" s="35" t="n">
        <v>16</v>
      </c>
      <c r="M139" s="35" t="s">
        <v>42</v>
      </c>
      <c r="N139" s="35" t="s">
        <v>836</v>
      </c>
      <c r="O139" s="35" t="s">
        <v>77</v>
      </c>
      <c r="P139" s="35" t="s">
        <v>49</v>
      </c>
      <c r="Q139" s="35" t="n">
        <v>0</v>
      </c>
      <c r="R139" s="35"/>
      <c r="S139" s="35" t="s">
        <v>42</v>
      </c>
      <c r="T139" s="35"/>
      <c r="U139" s="35"/>
      <c r="V139" s="35"/>
      <c r="W139" s="35"/>
      <c r="X139" s="35" t="s">
        <v>42</v>
      </c>
      <c r="Y139" s="35" t="n">
        <v>-9.569412</v>
      </c>
      <c r="Z139" s="35" t="n">
        <v>-48.3939275</v>
      </c>
      <c r="AA139" s="49" t="s">
        <v>838</v>
      </c>
      <c r="AB139" s="35" t="s">
        <v>839</v>
      </c>
    </row>
    <row r="140" customFormat="false" ht="15" hidden="false" customHeight="false" outlineLevel="0" collapsed="false">
      <c r="A140" s="35" t="n">
        <v>139</v>
      </c>
      <c r="B140" s="35" t="s">
        <v>555</v>
      </c>
      <c r="C140" s="35" t="s">
        <v>1019</v>
      </c>
      <c r="D140" s="35" t="s">
        <v>293</v>
      </c>
      <c r="E140" s="35" t="s">
        <v>556</v>
      </c>
      <c r="F140" s="40" t="n">
        <v>6.47324524083288</v>
      </c>
      <c r="G140" s="36" t="n">
        <v>869.215787310122</v>
      </c>
      <c r="H140" s="36" t="n">
        <v>869.215787310122</v>
      </c>
      <c r="I140" s="5" t="s">
        <v>22</v>
      </c>
      <c r="J140" s="35" t="s">
        <v>157</v>
      </c>
      <c r="K140" s="35" t="s">
        <v>224</v>
      </c>
      <c r="L140" s="35" t="n">
        <v>16</v>
      </c>
      <c r="M140" s="35" t="s">
        <v>42</v>
      </c>
      <c r="N140" s="35" t="s">
        <v>836</v>
      </c>
      <c r="O140" s="35" t="s">
        <v>77</v>
      </c>
      <c r="P140" s="35" t="s">
        <v>49</v>
      </c>
      <c r="Q140" s="35" t="n">
        <v>0</v>
      </c>
      <c r="R140" s="35"/>
      <c r="S140" s="35" t="s">
        <v>42</v>
      </c>
      <c r="T140" s="35"/>
      <c r="U140" s="35"/>
      <c r="V140" s="35"/>
      <c r="W140" s="35"/>
      <c r="X140" s="35" t="s">
        <v>42</v>
      </c>
      <c r="Y140" s="35" t="n">
        <v>-9.5694075</v>
      </c>
      <c r="Z140" s="35" t="n">
        <v>-48.393831</v>
      </c>
      <c r="AA140" s="49" t="s">
        <v>838</v>
      </c>
      <c r="AB140" s="35" t="s">
        <v>839</v>
      </c>
    </row>
    <row r="141" customFormat="false" ht="15" hidden="false" customHeight="false" outlineLevel="0" collapsed="false">
      <c r="A141" s="35" t="n">
        <v>140</v>
      </c>
      <c r="B141" s="35" t="s">
        <v>557</v>
      </c>
      <c r="C141" s="35" t="s">
        <v>1020</v>
      </c>
      <c r="D141" s="35" t="s">
        <v>300</v>
      </c>
      <c r="E141" s="35" t="s">
        <v>558</v>
      </c>
      <c r="F141" s="40" t="n">
        <v>2.87610339940285</v>
      </c>
      <c r="G141" s="36" t="n">
        <v>1055.81591107082</v>
      </c>
      <c r="H141" s="36" t="n">
        <v>1055.81591107082</v>
      </c>
      <c r="I141" s="5" t="s">
        <v>22</v>
      </c>
      <c r="J141" s="35" t="s">
        <v>157</v>
      </c>
      <c r="K141" s="35" t="s">
        <v>227</v>
      </c>
      <c r="L141" s="35" t="n">
        <v>17</v>
      </c>
      <c r="M141" s="35" t="s">
        <v>42</v>
      </c>
      <c r="N141" s="35" t="s">
        <v>836</v>
      </c>
      <c r="O141" s="35" t="s">
        <v>80</v>
      </c>
      <c r="P141" s="35" t="s">
        <v>80</v>
      </c>
      <c r="Q141" s="35" t="n">
        <v>1</v>
      </c>
      <c r="R141" s="35"/>
      <c r="S141" s="35" t="s">
        <v>42</v>
      </c>
      <c r="T141" s="35"/>
      <c r="U141" s="35"/>
      <c r="V141" s="35"/>
      <c r="W141" s="35"/>
      <c r="X141" s="35" t="s">
        <v>42</v>
      </c>
      <c r="Y141" s="35" t="n">
        <v>-9.5699305</v>
      </c>
      <c r="Z141" s="35" t="n">
        <v>-48.392179</v>
      </c>
      <c r="AA141" s="49" t="s">
        <v>838</v>
      </c>
      <c r="AB141" s="35" t="s">
        <v>839</v>
      </c>
    </row>
    <row r="142" customFormat="false" ht="15" hidden="false" customHeight="false" outlineLevel="0" collapsed="false">
      <c r="A142" s="35" t="n">
        <v>141</v>
      </c>
      <c r="B142" s="35" t="s">
        <v>559</v>
      </c>
      <c r="C142" s="35" t="s">
        <v>1021</v>
      </c>
      <c r="D142" s="35" t="s">
        <v>558</v>
      </c>
      <c r="E142" s="35" t="s">
        <v>560</v>
      </c>
      <c r="F142" s="40" t="n">
        <v>25.2099479979487</v>
      </c>
      <c r="G142" s="36" t="n">
        <v>1081.02585906876</v>
      </c>
      <c r="H142" s="36" t="n">
        <v>25.2099479979486</v>
      </c>
      <c r="I142" s="7" t="s">
        <v>24</v>
      </c>
      <c r="J142" s="35" t="s">
        <v>157</v>
      </c>
      <c r="K142" s="35" t="s">
        <v>227</v>
      </c>
      <c r="L142" s="35" t="n">
        <v>18</v>
      </c>
      <c r="M142" s="35" t="s">
        <v>80</v>
      </c>
      <c r="N142" s="35" t="s">
        <v>961</v>
      </c>
      <c r="O142" s="35" t="s">
        <v>81</v>
      </c>
      <c r="P142" s="35" t="s">
        <v>49</v>
      </c>
      <c r="Q142" s="35" t="n">
        <v>0</v>
      </c>
      <c r="R142" s="35"/>
      <c r="S142" s="35" t="s">
        <v>42</v>
      </c>
      <c r="T142" s="35" t="s">
        <v>80</v>
      </c>
      <c r="U142" s="35"/>
      <c r="V142" s="35"/>
      <c r="W142" s="35"/>
      <c r="X142" s="35" t="s">
        <v>1022</v>
      </c>
      <c r="Y142" s="35" t="n">
        <v>-9.570041</v>
      </c>
      <c r="Z142" s="35" t="n">
        <v>-48.392241</v>
      </c>
      <c r="AA142" s="49" t="s">
        <v>838</v>
      </c>
      <c r="AB142" s="35" t="s">
        <v>1023</v>
      </c>
    </row>
    <row r="143" customFormat="false" ht="15" hidden="false" customHeight="false" outlineLevel="0" collapsed="false">
      <c r="A143" s="35" t="n">
        <v>142</v>
      </c>
      <c r="B143" s="35" t="s">
        <v>561</v>
      </c>
      <c r="C143" s="35" t="s">
        <v>1024</v>
      </c>
      <c r="D143" s="35" t="s">
        <v>560</v>
      </c>
      <c r="E143" s="35" t="s">
        <v>562</v>
      </c>
      <c r="F143" s="40" t="n">
        <v>16.0470925306433</v>
      </c>
      <c r="G143" s="36" t="n">
        <v>1097.07295159941</v>
      </c>
      <c r="H143" s="36" t="n">
        <v>41.2570405285919</v>
      </c>
      <c r="I143" s="7" t="s">
        <v>24</v>
      </c>
      <c r="J143" s="35" t="s">
        <v>157</v>
      </c>
      <c r="K143" s="35" t="s">
        <v>227</v>
      </c>
      <c r="L143" s="35" t="n">
        <v>18</v>
      </c>
      <c r="M143" s="35" t="s">
        <v>80</v>
      </c>
      <c r="N143" s="35" t="s">
        <v>961</v>
      </c>
      <c r="O143" s="35" t="s">
        <v>81</v>
      </c>
      <c r="P143" s="35" t="s">
        <v>49</v>
      </c>
      <c r="Q143" s="35" t="n">
        <v>0</v>
      </c>
      <c r="R143" s="35"/>
      <c r="S143" s="35" t="s">
        <v>42</v>
      </c>
      <c r="T143" s="35" t="s">
        <v>80</v>
      </c>
      <c r="U143" s="35"/>
      <c r="V143" s="35"/>
      <c r="W143" s="35"/>
      <c r="X143" s="35" t="s">
        <v>1022</v>
      </c>
      <c r="Y143" s="35" t="n">
        <v>-9.570145</v>
      </c>
      <c r="Z143" s="35" t="n">
        <v>-48.392224</v>
      </c>
      <c r="AA143" s="49" t="s">
        <v>838</v>
      </c>
      <c r="AB143" s="35" t="s">
        <v>1023</v>
      </c>
    </row>
    <row r="144" customFormat="false" ht="15" hidden="false" customHeight="false" outlineLevel="0" collapsed="false">
      <c r="A144" s="35" t="n">
        <v>143</v>
      </c>
      <c r="B144" s="35" t="s">
        <v>563</v>
      </c>
      <c r="C144" s="35" t="s">
        <v>1025</v>
      </c>
      <c r="D144" s="35" t="s">
        <v>302</v>
      </c>
      <c r="E144" s="35" t="s">
        <v>564</v>
      </c>
      <c r="F144" s="40" t="n">
        <v>8.6120637642433</v>
      </c>
      <c r="G144" s="36" t="n">
        <v>1091.0175959885</v>
      </c>
      <c r="H144" s="36" t="n">
        <v>1091.0175959885</v>
      </c>
      <c r="I144" s="5" t="s">
        <v>22</v>
      </c>
      <c r="J144" s="35" t="s">
        <v>157</v>
      </c>
      <c r="K144" s="35" t="s">
        <v>228</v>
      </c>
      <c r="L144" s="35" t="n">
        <v>19</v>
      </c>
      <c r="M144" s="35" t="s">
        <v>42</v>
      </c>
      <c r="N144" s="35" t="s">
        <v>836</v>
      </c>
      <c r="O144" s="35" t="s">
        <v>84</v>
      </c>
      <c r="P144" s="35" t="s">
        <v>1026</v>
      </c>
      <c r="Q144" s="35" t="n">
        <v>2</v>
      </c>
      <c r="R144" s="35"/>
      <c r="S144" s="35" t="s">
        <v>42</v>
      </c>
      <c r="T144" s="35"/>
      <c r="U144" s="35"/>
      <c r="V144" s="35"/>
      <c r="W144" s="35"/>
      <c r="X144" s="35" t="s">
        <v>42</v>
      </c>
      <c r="Y144" s="35" t="n">
        <v>-9.5699975</v>
      </c>
      <c r="Z144" s="35" t="n">
        <v>-48.3918755</v>
      </c>
      <c r="AA144" s="49" t="s">
        <v>838</v>
      </c>
      <c r="AB144" s="35" t="s">
        <v>839</v>
      </c>
    </row>
    <row r="145" customFormat="false" ht="15" hidden="false" customHeight="false" outlineLevel="0" collapsed="false">
      <c r="A145" s="35" t="n">
        <v>144</v>
      </c>
      <c r="B145" s="35" t="s">
        <v>565</v>
      </c>
      <c r="C145" s="35" t="s">
        <v>1027</v>
      </c>
      <c r="D145" s="35" t="s">
        <v>564</v>
      </c>
      <c r="E145" s="35" t="s">
        <v>566</v>
      </c>
      <c r="F145" s="40" t="n">
        <v>3.19640502904944</v>
      </c>
      <c r="G145" s="36" t="n">
        <v>1094.21400101755</v>
      </c>
      <c r="H145" s="36" t="n">
        <v>1094.21400101755</v>
      </c>
      <c r="I145" s="5" t="s">
        <v>22</v>
      </c>
      <c r="J145" s="35" t="s">
        <v>157</v>
      </c>
      <c r="K145" s="35" t="s">
        <v>228</v>
      </c>
      <c r="L145" s="35" t="n">
        <v>19</v>
      </c>
      <c r="M145" s="35" t="s">
        <v>42</v>
      </c>
      <c r="N145" s="35" t="s">
        <v>836</v>
      </c>
      <c r="O145" s="35" t="s">
        <v>84</v>
      </c>
      <c r="P145" s="35" t="s">
        <v>1026</v>
      </c>
      <c r="Q145" s="35" t="n">
        <v>2</v>
      </c>
      <c r="R145" s="35"/>
      <c r="S145" s="35" t="s">
        <v>42</v>
      </c>
      <c r="T145" s="35"/>
      <c r="U145" s="35"/>
      <c r="V145" s="35"/>
      <c r="W145" s="35"/>
      <c r="X145" s="35" t="s">
        <v>42</v>
      </c>
      <c r="Y145" s="35" t="n">
        <v>-9.570013</v>
      </c>
      <c r="Z145" s="35" t="n">
        <v>-48.391824</v>
      </c>
      <c r="AA145" s="49" t="s">
        <v>838</v>
      </c>
      <c r="AB145" s="35" t="s">
        <v>839</v>
      </c>
    </row>
    <row r="146" customFormat="false" ht="15" hidden="false" customHeight="false" outlineLevel="0" collapsed="false">
      <c r="A146" s="35" t="n">
        <v>145</v>
      </c>
      <c r="B146" s="35" t="s">
        <v>567</v>
      </c>
      <c r="C146" s="35" t="s">
        <v>1028</v>
      </c>
      <c r="D146" s="35" t="s">
        <v>302</v>
      </c>
      <c r="E146" s="35" t="s">
        <v>568</v>
      </c>
      <c r="F146" s="40" t="n">
        <v>10.1168138612299</v>
      </c>
      <c r="G146" s="36" t="n">
        <v>1092.52234608549</v>
      </c>
      <c r="H146" s="36" t="n">
        <v>1092.52234608549</v>
      </c>
      <c r="I146" s="5" t="s">
        <v>22</v>
      </c>
      <c r="J146" s="35" t="s">
        <v>157</v>
      </c>
      <c r="K146" s="35" t="s">
        <v>228</v>
      </c>
      <c r="L146" s="35" t="n">
        <v>19</v>
      </c>
      <c r="M146" s="35" t="s">
        <v>42</v>
      </c>
      <c r="N146" s="35" t="s">
        <v>836</v>
      </c>
      <c r="O146" s="35" t="s">
        <v>84</v>
      </c>
      <c r="P146" s="35" t="s">
        <v>89</v>
      </c>
      <c r="Q146" s="35" t="n">
        <v>1</v>
      </c>
      <c r="R146" s="35"/>
      <c r="S146" s="35" t="s">
        <v>42</v>
      </c>
      <c r="T146" s="35"/>
      <c r="U146" s="35"/>
      <c r="V146" s="35"/>
      <c r="W146" s="35"/>
      <c r="X146" s="35" t="s">
        <v>42</v>
      </c>
      <c r="Y146" s="35" t="n">
        <v>-9.5700295</v>
      </c>
      <c r="Z146" s="35" t="n">
        <v>-48.3919265</v>
      </c>
      <c r="AA146" s="49" t="s">
        <v>838</v>
      </c>
      <c r="AB146" s="35" t="s">
        <v>839</v>
      </c>
    </row>
    <row r="147" customFormat="false" ht="15" hidden="false" customHeight="false" outlineLevel="0" collapsed="false">
      <c r="A147" s="35" t="n">
        <v>146</v>
      </c>
      <c r="B147" s="35" t="s">
        <v>569</v>
      </c>
      <c r="C147" s="35" t="s">
        <v>1029</v>
      </c>
      <c r="D147" s="35" t="s">
        <v>568</v>
      </c>
      <c r="E147" s="35" t="s">
        <v>570</v>
      </c>
      <c r="F147" s="40" t="n">
        <v>2.8838862913766</v>
      </c>
      <c r="G147" s="36" t="n">
        <v>1095.40623237686</v>
      </c>
      <c r="H147" s="36" t="n">
        <v>1095.40623237686</v>
      </c>
      <c r="I147" s="5" t="s">
        <v>22</v>
      </c>
      <c r="J147" s="35" t="s">
        <v>157</v>
      </c>
      <c r="K147" s="35" t="s">
        <v>228</v>
      </c>
      <c r="L147" s="35" t="n">
        <v>19</v>
      </c>
      <c r="M147" s="35" t="s">
        <v>42</v>
      </c>
      <c r="N147" s="35" t="s">
        <v>836</v>
      </c>
      <c r="O147" s="35" t="s">
        <v>84</v>
      </c>
      <c r="P147" s="35" t="s">
        <v>89</v>
      </c>
      <c r="Q147" s="35" t="n">
        <v>1</v>
      </c>
      <c r="R147" s="35"/>
      <c r="S147" s="35" t="s">
        <v>42</v>
      </c>
      <c r="T147" s="35"/>
      <c r="U147" s="35"/>
      <c r="V147" s="35"/>
      <c r="W147" s="35"/>
      <c r="X147" s="35" t="s">
        <v>42</v>
      </c>
      <c r="Y147" s="35" t="n">
        <v>-9.5700855</v>
      </c>
      <c r="Z147" s="35" t="n">
        <v>-48.3919435</v>
      </c>
      <c r="AA147" s="49" t="s">
        <v>838</v>
      </c>
      <c r="AB147" s="35" t="s">
        <v>839</v>
      </c>
    </row>
    <row r="148" customFormat="false" ht="15" hidden="false" customHeight="false" outlineLevel="0" collapsed="false">
      <c r="A148" s="35" t="n">
        <v>147</v>
      </c>
      <c r="B148" s="35" t="s">
        <v>571</v>
      </c>
      <c r="C148" s="35" t="s">
        <v>1030</v>
      </c>
      <c r="D148" s="35" t="s">
        <v>566</v>
      </c>
      <c r="E148" s="35" t="s">
        <v>572</v>
      </c>
      <c r="F148" s="40" t="n">
        <v>147.33230923751</v>
      </c>
      <c r="G148" s="36" t="n">
        <v>1241.54631025506</v>
      </c>
      <c r="H148" s="36" t="n">
        <v>147.33230923751</v>
      </c>
      <c r="I148" s="7" t="s">
        <v>24</v>
      </c>
      <c r="J148" s="35" t="s">
        <v>157</v>
      </c>
      <c r="K148" s="35" t="s">
        <v>228</v>
      </c>
      <c r="L148" s="35" t="n">
        <v>20</v>
      </c>
      <c r="M148" s="35" t="s">
        <v>85</v>
      </c>
      <c r="N148" s="35" t="s">
        <v>892</v>
      </c>
      <c r="O148" s="35" t="s">
        <v>86</v>
      </c>
      <c r="P148" s="35" t="s">
        <v>87</v>
      </c>
      <c r="Q148" s="35" t="n">
        <v>1</v>
      </c>
      <c r="R148" s="35"/>
      <c r="S148" s="35" t="s">
        <v>42</v>
      </c>
      <c r="T148" s="35" t="s">
        <v>85</v>
      </c>
      <c r="U148" s="35"/>
      <c r="V148" s="35"/>
      <c r="W148" s="35"/>
      <c r="X148" s="35" t="s">
        <v>1031</v>
      </c>
      <c r="Y148" s="35" t="n">
        <v>-9.5701955</v>
      </c>
      <c r="Z148" s="35" t="n">
        <v>-48.391163</v>
      </c>
      <c r="AA148" s="49" t="s">
        <v>838</v>
      </c>
      <c r="AB148" s="35" t="s">
        <v>1032</v>
      </c>
    </row>
    <row r="149" customFormat="false" ht="15" hidden="false" customHeight="false" outlineLevel="0" collapsed="false">
      <c r="A149" s="35" t="n">
        <v>148</v>
      </c>
      <c r="B149" s="35" t="s">
        <v>573</v>
      </c>
      <c r="C149" s="35" t="s">
        <v>1033</v>
      </c>
      <c r="D149" s="35" t="s">
        <v>572</v>
      </c>
      <c r="E149" s="35" t="s">
        <v>574</v>
      </c>
      <c r="F149" s="40" t="n">
        <v>28.5884212271135</v>
      </c>
      <c r="G149" s="36" t="n">
        <v>1270.13473148217</v>
      </c>
      <c r="H149" s="36" t="n">
        <v>175.920730464623</v>
      </c>
      <c r="I149" s="7" t="s">
        <v>24</v>
      </c>
      <c r="J149" s="35" t="s">
        <v>157</v>
      </c>
      <c r="K149" s="35" t="s">
        <v>228</v>
      </c>
      <c r="L149" s="35" t="n">
        <v>20</v>
      </c>
      <c r="M149" s="35" t="s">
        <v>85</v>
      </c>
      <c r="N149" s="35" t="s">
        <v>892</v>
      </c>
      <c r="O149" s="35" t="s">
        <v>86</v>
      </c>
      <c r="P149" s="35" t="s">
        <v>87</v>
      </c>
      <c r="Q149" s="35" t="n">
        <v>1</v>
      </c>
      <c r="R149" s="35"/>
      <c r="S149" s="35" t="s">
        <v>42</v>
      </c>
      <c r="T149" s="35" t="s">
        <v>85</v>
      </c>
      <c r="U149" s="35"/>
      <c r="V149" s="35"/>
      <c r="W149" s="35"/>
      <c r="X149" s="35" t="s">
        <v>1031</v>
      </c>
      <c r="Y149" s="35" t="n">
        <v>-9.5704105</v>
      </c>
      <c r="Z149" s="35" t="n">
        <v>-48.390391</v>
      </c>
      <c r="AA149" s="49" t="s">
        <v>838</v>
      </c>
      <c r="AB149" s="35" t="s">
        <v>1032</v>
      </c>
    </row>
    <row r="150" customFormat="false" ht="15" hidden="false" customHeight="false" outlineLevel="0" collapsed="false">
      <c r="A150" s="35" t="n">
        <v>149</v>
      </c>
      <c r="B150" s="35" t="s">
        <v>575</v>
      </c>
      <c r="C150" s="35" t="s">
        <v>1034</v>
      </c>
      <c r="D150" s="35" t="s">
        <v>574</v>
      </c>
      <c r="E150" s="35" t="s">
        <v>576</v>
      </c>
      <c r="F150" s="40" t="n">
        <v>12.1550899611083</v>
      </c>
      <c r="G150" s="36" t="n">
        <v>1282.28982144328</v>
      </c>
      <c r="H150" s="36" t="n">
        <v>188.075820425732</v>
      </c>
      <c r="I150" s="7" t="s">
        <v>24</v>
      </c>
      <c r="J150" s="35" t="s">
        <v>157</v>
      </c>
      <c r="K150" s="35" t="s">
        <v>228</v>
      </c>
      <c r="L150" s="35" t="n">
        <v>20</v>
      </c>
      <c r="M150" s="35" t="s">
        <v>85</v>
      </c>
      <c r="N150" s="35" t="s">
        <v>892</v>
      </c>
      <c r="O150" s="35" t="s">
        <v>86</v>
      </c>
      <c r="P150" s="35" t="s">
        <v>49</v>
      </c>
      <c r="Q150" s="35" t="n">
        <v>0</v>
      </c>
      <c r="R150" s="35"/>
      <c r="S150" s="35" t="s">
        <v>42</v>
      </c>
      <c r="T150" s="35" t="s">
        <v>85</v>
      </c>
      <c r="U150" s="35"/>
      <c r="V150" s="35"/>
      <c r="W150" s="35"/>
      <c r="X150" s="35" t="s">
        <v>1031</v>
      </c>
      <c r="Y150" s="35" t="n">
        <v>-9.570463</v>
      </c>
      <c r="Z150" s="35" t="n">
        <v>-48.390213</v>
      </c>
      <c r="AA150" s="49" t="s">
        <v>838</v>
      </c>
      <c r="AB150" s="35" t="s">
        <v>1032</v>
      </c>
    </row>
    <row r="151" customFormat="false" ht="15" hidden="false" customHeight="false" outlineLevel="0" collapsed="false">
      <c r="A151" s="35" t="n">
        <v>150</v>
      </c>
      <c r="B151" s="35" t="s">
        <v>577</v>
      </c>
      <c r="C151" s="35" t="s">
        <v>1035</v>
      </c>
      <c r="D151" s="35" t="s">
        <v>574</v>
      </c>
      <c r="E151" s="35" t="s">
        <v>578</v>
      </c>
      <c r="F151" s="40" t="n">
        <v>0.222389853284294</v>
      </c>
      <c r="G151" s="36" t="n">
        <v>1270.35712133546</v>
      </c>
      <c r="H151" s="36" t="n">
        <v>176.143120317908</v>
      </c>
      <c r="I151" s="7" t="s">
        <v>24</v>
      </c>
      <c r="J151" s="35" t="s">
        <v>157</v>
      </c>
      <c r="K151" s="35" t="s">
        <v>228</v>
      </c>
      <c r="L151" s="35" t="n">
        <v>20</v>
      </c>
      <c r="M151" s="35" t="s">
        <v>85</v>
      </c>
      <c r="N151" s="35" t="s">
        <v>892</v>
      </c>
      <c r="O151" s="35" t="s">
        <v>86</v>
      </c>
      <c r="P151" s="35" t="s">
        <v>87</v>
      </c>
      <c r="Q151" s="35" t="n">
        <v>1</v>
      </c>
      <c r="R151" s="35"/>
      <c r="S151" s="35" t="s">
        <v>42</v>
      </c>
      <c r="T151" s="35" t="s">
        <v>85</v>
      </c>
      <c r="U151" s="35"/>
      <c r="V151" s="35"/>
      <c r="W151" s="35"/>
      <c r="X151" s="35" t="s">
        <v>1031</v>
      </c>
      <c r="Y151" s="35" t="n">
        <v>-9.570446</v>
      </c>
      <c r="Z151" s="35" t="n">
        <v>-48.390266</v>
      </c>
      <c r="AA151" s="49" t="s">
        <v>838</v>
      </c>
      <c r="AB151" s="35" t="s">
        <v>1032</v>
      </c>
    </row>
    <row r="152" customFormat="false" ht="15" hidden="false" customHeight="false" outlineLevel="0" collapsed="false">
      <c r="A152" s="35" t="n">
        <v>151</v>
      </c>
      <c r="B152" s="35" t="s">
        <v>579</v>
      </c>
      <c r="C152" s="35" t="s">
        <v>1036</v>
      </c>
      <c r="D152" s="35" t="s">
        <v>578</v>
      </c>
      <c r="E152" s="35" t="s">
        <v>580</v>
      </c>
      <c r="F152" s="40" t="n">
        <v>2.35262168509654</v>
      </c>
      <c r="G152" s="36" t="n">
        <v>1272.70974302055</v>
      </c>
      <c r="H152" s="36" t="n">
        <v>2.35262168509644</v>
      </c>
      <c r="I152" s="8" t="s">
        <v>25</v>
      </c>
      <c r="J152" s="35" t="s">
        <v>157</v>
      </c>
      <c r="K152" s="35" t="s">
        <v>228</v>
      </c>
      <c r="L152" s="35" t="n">
        <v>21</v>
      </c>
      <c r="M152" s="35" t="s">
        <v>87</v>
      </c>
      <c r="N152" s="35" t="s">
        <v>892</v>
      </c>
      <c r="O152" s="35" t="s">
        <v>88</v>
      </c>
      <c r="P152" s="35" t="s">
        <v>49</v>
      </c>
      <c r="Q152" s="35" t="n">
        <v>0</v>
      </c>
      <c r="R152" s="35"/>
      <c r="S152" s="35" t="s">
        <v>42</v>
      </c>
      <c r="T152" s="35" t="s">
        <v>85</v>
      </c>
      <c r="U152" s="35" t="s">
        <v>87</v>
      </c>
      <c r="V152" s="35"/>
      <c r="W152" s="35"/>
      <c r="X152" s="35" t="s">
        <v>1037</v>
      </c>
      <c r="Y152" s="35" t="n">
        <v>-9.570435</v>
      </c>
      <c r="Z152" s="35" t="n">
        <v>-48.3902625</v>
      </c>
      <c r="AA152" s="49" t="s">
        <v>838</v>
      </c>
      <c r="AB152" s="35" t="s">
        <v>1038</v>
      </c>
    </row>
    <row r="153" customFormat="false" ht="15" hidden="false" customHeight="false" outlineLevel="0" collapsed="false">
      <c r="A153" s="35" t="n">
        <v>152</v>
      </c>
      <c r="B153" s="35" t="s">
        <v>581</v>
      </c>
      <c r="C153" s="35" t="s">
        <v>1039</v>
      </c>
      <c r="D153" s="35" t="s">
        <v>570</v>
      </c>
      <c r="E153" s="35" t="s">
        <v>582</v>
      </c>
      <c r="F153" s="40" t="n">
        <v>25.7703165866184</v>
      </c>
      <c r="G153" s="36" t="n">
        <v>1121.17654896348</v>
      </c>
      <c r="H153" s="36" t="n">
        <v>25.7703165866185</v>
      </c>
      <c r="I153" s="7" t="s">
        <v>24</v>
      </c>
      <c r="J153" s="35" t="s">
        <v>157</v>
      </c>
      <c r="K153" s="35" t="s">
        <v>228</v>
      </c>
      <c r="L153" s="35" t="n">
        <v>22</v>
      </c>
      <c r="M153" s="35" t="s">
        <v>89</v>
      </c>
      <c r="N153" s="35" t="s">
        <v>892</v>
      </c>
      <c r="O153" s="35" t="s">
        <v>90</v>
      </c>
      <c r="P153" s="35" t="s">
        <v>49</v>
      </c>
      <c r="Q153" s="35" t="n">
        <v>0</v>
      </c>
      <c r="R153" s="35"/>
      <c r="S153" s="35" t="s">
        <v>42</v>
      </c>
      <c r="T153" s="35" t="s">
        <v>89</v>
      </c>
      <c r="U153" s="35"/>
      <c r="V153" s="35"/>
      <c r="W153" s="35"/>
      <c r="X153" s="35" t="s">
        <v>1040</v>
      </c>
      <c r="Y153" s="35" t="n">
        <v>-9.5702095</v>
      </c>
      <c r="Z153" s="35" t="n">
        <v>-48.391979</v>
      </c>
      <c r="AA153" s="49" t="s">
        <v>838</v>
      </c>
      <c r="AB153" s="35" t="s">
        <v>1041</v>
      </c>
    </row>
    <row r="154" customFormat="false" ht="15" hidden="false" customHeight="false" outlineLevel="0" collapsed="false">
      <c r="A154" s="35" t="n">
        <v>153</v>
      </c>
      <c r="B154" s="35" t="s">
        <v>583</v>
      </c>
      <c r="C154" s="35" t="s">
        <v>1042</v>
      </c>
      <c r="D154" s="35" t="s">
        <v>304</v>
      </c>
      <c r="E154" s="35" t="s">
        <v>584</v>
      </c>
      <c r="F154" s="40" t="n">
        <v>1.91634481160728</v>
      </c>
      <c r="G154" s="36" t="n">
        <v>1238.24213618607</v>
      </c>
      <c r="H154" s="36" t="n">
        <v>1238.24213618607</v>
      </c>
      <c r="I154" s="5" t="s">
        <v>22</v>
      </c>
      <c r="J154" s="35" t="s">
        <v>157</v>
      </c>
      <c r="K154" s="35" t="s">
        <v>230</v>
      </c>
      <c r="L154" s="35" t="n">
        <v>23</v>
      </c>
      <c r="M154" s="35" t="s">
        <v>42</v>
      </c>
      <c r="N154" s="35" t="s">
        <v>836</v>
      </c>
      <c r="O154" s="35" t="s">
        <v>93</v>
      </c>
      <c r="P154" s="35" t="s">
        <v>93</v>
      </c>
      <c r="Q154" s="35" t="n">
        <v>1</v>
      </c>
      <c r="R154" s="35"/>
      <c r="S154" s="35" t="s">
        <v>42</v>
      </c>
      <c r="T154" s="35"/>
      <c r="U154" s="35"/>
      <c r="V154" s="35"/>
      <c r="W154" s="35"/>
      <c r="X154" s="35" t="s">
        <v>42</v>
      </c>
      <c r="Y154" s="35" t="n">
        <v>-9.568652</v>
      </c>
      <c r="Z154" s="35" t="n">
        <v>-48.3915395</v>
      </c>
      <c r="AA154" s="49" t="s">
        <v>838</v>
      </c>
      <c r="AB154" s="35" t="s">
        <v>839</v>
      </c>
    </row>
    <row r="155" customFormat="false" ht="15" hidden="false" customHeight="false" outlineLevel="0" collapsed="false">
      <c r="A155" s="35" t="n">
        <v>154</v>
      </c>
      <c r="B155" s="35" t="s">
        <v>585</v>
      </c>
      <c r="C155" s="35" t="s">
        <v>1043</v>
      </c>
      <c r="D155" s="35" t="s">
        <v>584</v>
      </c>
      <c r="E155" s="35" t="s">
        <v>586</v>
      </c>
      <c r="F155" s="40" t="n">
        <v>16.0781143564431</v>
      </c>
      <c r="G155" s="36" t="n">
        <v>1254.32025054252</v>
      </c>
      <c r="H155" s="36" t="n">
        <v>16.0781143564432</v>
      </c>
      <c r="I155" s="7" t="s">
        <v>24</v>
      </c>
      <c r="J155" s="35" t="s">
        <v>157</v>
      </c>
      <c r="K155" s="35" t="s">
        <v>230</v>
      </c>
      <c r="L155" s="35" t="n">
        <v>24</v>
      </c>
      <c r="M155" s="35" t="s">
        <v>93</v>
      </c>
      <c r="N155" s="35" t="s">
        <v>961</v>
      </c>
      <c r="O155" s="35" t="s">
        <v>94</v>
      </c>
      <c r="P155" s="35" t="s">
        <v>49</v>
      </c>
      <c r="Q155" s="35" t="n">
        <v>0</v>
      </c>
      <c r="R155" s="35"/>
      <c r="S155" s="35" t="s">
        <v>42</v>
      </c>
      <c r="T155" s="35" t="s">
        <v>93</v>
      </c>
      <c r="U155" s="35"/>
      <c r="V155" s="35"/>
      <c r="W155" s="35"/>
      <c r="X155" s="35" t="s">
        <v>1044</v>
      </c>
      <c r="Y155" s="35" t="n">
        <v>-9.5686285</v>
      </c>
      <c r="Z155" s="35" t="n">
        <v>-48.391618</v>
      </c>
      <c r="AA155" s="49" t="s">
        <v>838</v>
      </c>
      <c r="AB155" s="35" t="s">
        <v>1045</v>
      </c>
    </row>
    <row r="156" customFormat="false" ht="15" hidden="false" customHeight="false" outlineLevel="0" collapsed="false">
      <c r="A156" s="35" t="n">
        <v>155</v>
      </c>
      <c r="B156" s="35" t="s">
        <v>587</v>
      </c>
      <c r="C156" s="35" t="s">
        <v>1046</v>
      </c>
      <c r="D156" s="35" t="s">
        <v>586</v>
      </c>
      <c r="E156" s="35" t="s">
        <v>588</v>
      </c>
      <c r="F156" s="40" t="n">
        <v>15.5842895152168</v>
      </c>
      <c r="G156" s="36" t="n">
        <v>1269.90454005773</v>
      </c>
      <c r="H156" s="36" t="n">
        <v>31.66240387166</v>
      </c>
      <c r="I156" s="7" t="s">
        <v>24</v>
      </c>
      <c r="J156" s="35" t="s">
        <v>157</v>
      </c>
      <c r="K156" s="35" t="s">
        <v>230</v>
      </c>
      <c r="L156" s="35" t="n">
        <v>24</v>
      </c>
      <c r="M156" s="35" t="s">
        <v>93</v>
      </c>
      <c r="N156" s="35" t="s">
        <v>961</v>
      </c>
      <c r="O156" s="35" t="s">
        <v>94</v>
      </c>
      <c r="P156" s="35" t="s">
        <v>49</v>
      </c>
      <c r="Q156" s="35" t="n">
        <v>0</v>
      </c>
      <c r="R156" s="35"/>
      <c r="S156" s="35" t="s">
        <v>42</v>
      </c>
      <c r="T156" s="35" t="s">
        <v>93</v>
      </c>
      <c r="U156" s="35"/>
      <c r="V156" s="35"/>
      <c r="W156" s="35"/>
      <c r="X156" s="35" t="s">
        <v>1044</v>
      </c>
      <c r="Y156" s="35" t="n">
        <v>-9.568604</v>
      </c>
      <c r="Z156" s="35" t="n">
        <v>-48.391617</v>
      </c>
      <c r="AA156" s="49" t="s">
        <v>838</v>
      </c>
      <c r="AB156" s="35" t="s">
        <v>1045</v>
      </c>
    </row>
    <row r="157" customFormat="false" ht="15" hidden="false" customHeight="false" outlineLevel="0" collapsed="false">
      <c r="A157" s="35" t="n">
        <v>156</v>
      </c>
      <c r="B157" s="35" t="s">
        <v>589</v>
      </c>
      <c r="C157" s="35" t="s">
        <v>1047</v>
      </c>
      <c r="D157" s="35" t="s">
        <v>306</v>
      </c>
      <c r="E157" s="35" t="s">
        <v>590</v>
      </c>
      <c r="F157" s="40" t="n">
        <v>0.3289439437299</v>
      </c>
      <c r="G157" s="36" t="n">
        <v>1270.9229584853</v>
      </c>
      <c r="H157" s="36" t="n">
        <v>1270.9229584853</v>
      </c>
      <c r="I157" s="5" t="s">
        <v>22</v>
      </c>
      <c r="J157" s="35" t="s">
        <v>157</v>
      </c>
      <c r="K157" s="35" t="s">
        <v>231</v>
      </c>
      <c r="L157" s="35" t="n">
        <v>25</v>
      </c>
      <c r="M157" s="35" t="s">
        <v>42</v>
      </c>
      <c r="N157" s="35" t="s">
        <v>836</v>
      </c>
      <c r="O157" s="35" t="s">
        <v>97</v>
      </c>
      <c r="P157" s="35" t="s">
        <v>97</v>
      </c>
      <c r="Q157" s="35" t="n">
        <v>1</v>
      </c>
      <c r="R157" s="35"/>
      <c r="S157" s="35" t="s">
        <v>42</v>
      </c>
      <c r="T157" s="35"/>
      <c r="U157" s="35"/>
      <c r="V157" s="35"/>
      <c r="W157" s="35"/>
      <c r="X157" s="35" t="s">
        <v>42</v>
      </c>
      <c r="Y157" s="35" t="n">
        <v>-9.568358</v>
      </c>
      <c r="Z157" s="35" t="n">
        <v>-48.3914425</v>
      </c>
      <c r="AA157" s="49" t="s">
        <v>838</v>
      </c>
      <c r="AB157" s="35" t="s">
        <v>839</v>
      </c>
    </row>
    <row r="158" customFormat="false" ht="15" hidden="false" customHeight="false" outlineLevel="0" collapsed="false">
      <c r="A158" s="35" t="n">
        <v>157</v>
      </c>
      <c r="B158" s="35" t="s">
        <v>591</v>
      </c>
      <c r="C158" s="35" t="s">
        <v>1048</v>
      </c>
      <c r="D158" s="35" t="s">
        <v>590</v>
      </c>
      <c r="E158" s="35" t="s">
        <v>592</v>
      </c>
      <c r="F158" s="40" t="n">
        <v>2.99372053848975</v>
      </c>
      <c r="G158" s="36" t="n">
        <v>1273.91667902379</v>
      </c>
      <c r="H158" s="36" t="n">
        <v>2.9937205384897</v>
      </c>
      <c r="I158" s="7" t="s">
        <v>24</v>
      </c>
      <c r="J158" s="35" t="s">
        <v>157</v>
      </c>
      <c r="K158" s="35" t="s">
        <v>231</v>
      </c>
      <c r="L158" s="35" t="n">
        <v>26</v>
      </c>
      <c r="M158" s="35" t="s">
        <v>97</v>
      </c>
      <c r="N158" s="35" t="s">
        <v>892</v>
      </c>
      <c r="O158" s="35" t="s">
        <v>98</v>
      </c>
      <c r="P158" s="35" t="s">
        <v>49</v>
      </c>
      <c r="Q158" s="35" t="n">
        <v>0</v>
      </c>
      <c r="R158" s="35"/>
      <c r="S158" s="35" t="s">
        <v>42</v>
      </c>
      <c r="T158" s="35" t="s">
        <v>97</v>
      </c>
      <c r="U158" s="35"/>
      <c r="V158" s="35"/>
      <c r="W158" s="35"/>
      <c r="X158" s="35" t="s">
        <v>1049</v>
      </c>
      <c r="Y158" s="35" t="n">
        <v>-9.568356</v>
      </c>
      <c r="Z158" s="35" t="n">
        <v>-48.3914275</v>
      </c>
      <c r="AA158" s="49" t="s">
        <v>838</v>
      </c>
      <c r="AB158" s="35" t="s">
        <v>1050</v>
      </c>
    </row>
    <row r="159" customFormat="false" ht="15" hidden="false" customHeight="false" outlineLevel="0" collapsed="false">
      <c r="A159" s="35" t="n">
        <v>158</v>
      </c>
      <c r="B159" s="35" t="s">
        <v>593</v>
      </c>
      <c r="C159" s="35" t="s">
        <v>1051</v>
      </c>
      <c r="D159" s="35" t="s">
        <v>592</v>
      </c>
      <c r="E159" s="35" t="s">
        <v>594</v>
      </c>
      <c r="F159" s="40" t="n">
        <v>3.58516639178689</v>
      </c>
      <c r="G159" s="36" t="n">
        <v>1277.50184541558</v>
      </c>
      <c r="H159" s="36" t="n">
        <v>6.57888693027667</v>
      </c>
      <c r="I159" s="7" t="s">
        <v>24</v>
      </c>
      <c r="J159" s="35" t="s">
        <v>157</v>
      </c>
      <c r="K159" s="35" t="s">
        <v>231</v>
      </c>
      <c r="L159" s="35" t="n">
        <v>26</v>
      </c>
      <c r="M159" s="35" t="s">
        <v>97</v>
      </c>
      <c r="N159" s="35" t="s">
        <v>892</v>
      </c>
      <c r="O159" s="35" t="s">
        <v>98</v>
      </c>
      <c r="P159" s="35" t="s">
        <v>49</v>
      </c>
      <c r="Q159" s="35" t="n">
        <v>0</v>
      </c>
      <c r="R159" s="35"/>
      <c r="S159" s="35" t="s">
        <v>42</v>
      </c>
      <c r="T159" s="35" t="s">
        <v>97</v>
      </c>
      <c r="U159" s="35"/>
      <c r="V159" s="35"/>
      <c r="W159" s="35"/>
      <c r="X159" s="35" t="s">
        <v>1049</v>
      </c>
      <c r="Y159" s="35" t="n">
        <v>-9.56837</v>
      </c>
      <c r="Z159" s="35" t="n">
        <v>-48.391416</v>
      </c>
      <c r="AA159" s="49" t="s">
        <v>838</v>
      </c>
      <c r="AB159" s="35" t="s">
        <v>1050</v>
      </c>
    </row>
    <row r="160" customFormat="false" ht="15" hidden="false" customHeight="false" outlineLevel="0" collapsed="false">
      <c r="A160" s="35" t="n">
        <v>159</v>
      </c>
      <c r="B160" s="35" t="s">
        <v>595</v>
      </c>
      <c r="C160" s="35" t="s">
        <v>1052</v>
      </c>
      <c r="D160" s="35" t="s">
        <v>594</v>
      </c>
      <c r="E160" s="35" t="s">
        <v>596</v>
      </c>
      <c r="F160" s="40" t="n">
        <v>1.69086371113608</v>
      </c>
      <c r="G160" s="36" t="n">
        <v>1279.19270912671</v>
      </c>
      <c r="H160" s="36" t="n">
        <v>8.26975064141266</v>
      </c>
      <c r="I160" s="7" t="s">
        <v>24</v>
      </c>
      <c r="J160" s="35" t="s">
        <v>157</v>
      </c>
      <c r="K160" s="35" t="s">
        <v>231</v>
      </c>
      <c r="L160" s="35" t="n">
        <v>26</v>
      </c>
      <c r="M160" s="35" t="s">
        <v>97</v>
      </c>
      <c r="N160" s="35" t="s">
        <v>892</v>
      </c>
      <c r="O160" s="35" t="s">
        <v>98</v>
      </c>
      <c r="P160" s="35" t="s">
        <v>49</v>
      </c>
      <c r="Q160" s="35" t="n">
        <v>0</v>
      </c>
      <c r="R160" s="35"/>
      <c r="S160" s="35" t="s">
        <v>42</v>
      </c>
      <c r="T160" s="35" t="s">
        <v>97</v>
      </c>
      <c r="U160" s="35"/>
      <c r="V160" s="35"/>
      <c r="W160" s="35"/>
      <c r="X160" s="35" t="s">
        <v>1049</v>
      </c>
      <c r="Y160" s="35" t="n">
        <v>-9.5683795</v>
      </c>
      <c r="Z160" s="35" t="n">
        <v>-48.391414</v>
      </c>
      <c r="AA160" s="49" t="s">
        <v>838</v>
      </c>
      <c r="AB160" s="35" t="s">
        <v>1050</v>
      </c>
    </row>
    <row r="161" customFormat="false" ht="15" hidden="false" customHeight="false" outlineLevel="0" collapsed="false">
      <c r="A161" s="35" t="n">
        <v>160</v>
      </c>
      <c r="B161" s="35" t="s">
        <v>597</v>
      </c>
      <c r="C161" s="35" t="s">
        <v>1053</v>
      </c>
      <c r="D161" s="35" t="s">
        <v>592</v>
      </c>
      <c r="E161" s="35" t="s">
        <v>598</v>
      </c>
      <c r="F161" s="40" t="n">
        <v>2.00152505500315</v>
      </c>
      <c r="G161" s="36" t="n">
        <v>1275.91820407879</v>
      </c>
      <c r="H161" s="36" t="n">
        <v>4.99524559349288</v>
      </c>
      <c r="I161" s="7" t="s">
        <v>24</v>
      </c>
      <c r="J161" s="35" t="s">
        <v>157</v>
      </c>
      <c r="K161" s="35" t="s">
        <v>231</v>
      </c>
      <c r="L161" s="35" t="n">
        <v>26</v>
      </c>
      <c r="M161" s="35" t="s">
        <v>97</v>
      </c>
      <c r="N161" s="35" t="s">
        <v>892</v>
      </c>
      <c r="O161" s="35" t="s">
        <v>98</v>
      </c>
      <c r="P161" s="35" t="s">
        <v>49</v>
      </c>
      <c r="Q161" s="35" t="n">
        <v>0</v>
      </c>
      <c r="R161" s="35"/>
      <c r="S161" s="35" t="s">
        <v>42</v>
      </c>
      <c r="T161" s="35" t="s">
        <v>97</v>
      </c>
      <c r="U161" s="35"/>
      <c r="V161" s="35"/>
      <c r="W161" s="35"/>
      <c r="X161" s="35" t="s">
        <v>1049</v>
      </c>
      <c r="Y161" s="35" t="n">
        <v>-9.5683625</v>
      </c>
      <c r="Z161" s="35" t="n">
        <v>-48.391411</v>
      </c>
      <c r="AA161" s="49" t="s">
        <v>838</v>
      </c>
      <c r="AB161" s="35" t="s">
        <v>1050</v>
      </c>
    </row>
    <row r="162" customFormat="false" ht="15" hidden="false" customHeight="false" outlineLevel="0" collapsed="false">
      <c r="A162" s="35" t="n">
        <v>161</v>
      </c>
      <c r="B162" s="35" t="s">
        <v>599</v>
      </c>
      <c r="C162" s="35" t="s">
        <v>1054</v>
      </c>
      <c r="D162" s="35" t="s">
        <v>308</v>
      </c>
      <c r="E162" s="35" t="s">
        <v>600</v>
      </c>
      <c r="F162" s="40" t="n">
        <v>14.8251857792474</v>
      </c>
      <c r="G162" s="36" t="n">
        <v>1305.61213542795</v>
      </c>
      <c r="H162" s="36" t="n">
        <v>1305.61213542795</v>
      </c>
      <c r="I162" s="5" t="s">
        <v>22</v>
      </c>
      <c r="J162" s="35" t="s">
        <v>157</v>
      </c>
      <c r="K162" s="35" t="s">
        <v>234</v>
      </c>
      <c r="L162" s="35" t="n">
        <v>27</v>
      </c>
      <c r="M162" s="35" t="s">
        <v>42</v>
      </c>
      <c r="N162" s="35" t="s">
        <v>836</v>
      </c>
      <c r="O162" s="35" t="s">
        <v>101</v>
      </c>
      <c r="P162" s="35" t="s">
        <v>102</v>
      </c>
      <c r="Q162" s="35" t="n">
        <v>1</v>
      </c>
      <c r="R162" s="35"/>
      <c r="S162" s="35" t="s">
        <v>42</v>
      </c>
      <c r="T162" s="35"/>
      <c r="U162" s="35"/>
      <c r="V162" s="35"/>
      <c r="W162" s="35"/>
      <c r="X162" s="35" t="s">
        <v>42</v>
      </c>
      <c r="Y162" s="35" t="n">
        <v>-9.5682015</v>
      </c>
      <c r="Z162" s="35" t="n">
        <v>-48.3913225</v>
      </c>
      <c r="AA162" s="49" t="s">
        <v>838</v>
      </c>
      <c r="AB162" s="35" t="s">
        <v>839</v>
      </c>
    </row>
    <row r="163" customFormat="false" ht="15" hidden="false" customHeight="false" outlineLevel="0" collapsed="false">
      <c r="A163" s="35" t="n">
        <v>162</v>
      </c>
      <c r="B163" s="35" t="s">
        <v>601</v>
      </c>
      <c r="C163" s="35" t="s">
        <v>1055</v>
      </c>
      <c r="D163" s="35" t="s">
        <v>600</v>
      </c>
      <c r="E163" s="35" t="s">
        <v>602</v>
      </c>
      <c r="F163" s="40" t="n">
        <v>3.40759980415001</v>
      </c>
      <c r="G163" s="36" t="n">
        <v>1309.0197352321</v>
      </c>
      <c r="H163" s="36" t="n">
        <v>1309.0197352321</v>
      </c>
      <c r="I163" s="5" t="s">
        <v>22</v>
      </c>
      <c r="J163" s="35" t="s">
        <v>157</v>
      </c>
      <c r="K163" s="35" t="s">
        <v>234</v>
      </c>
      <c r="L163" s="35" t="n">
        <v>27</v>
      </c>
      <c r="M163" s="35" t="s">
        <v>42</v>
      </c>
      <c r="N163" s="35" t="s">
        <v>836</v>
      </c>
      <c r="O163" s="35" t="s">
        <v>101</v>
      </c>
      <c r="P163" s="35" t="s">
        <v>102</v>
      </c>
      <c r="Q163" s="35" t="n">
        <v>1</v>
      </c>
      <c r="R163" s="35"/>
      <c r="S163" s="35" t="s">
        <v>42</v>
      </c>
      <c r="T163" s="35"/>
      <c r="U163" s="35"/>
      <c r="V163" s="35"/>
      <c r="W163" s="35"/>
      <c r="X163" s="35" t="s">
        <v>42</v>
      </c>
      <c r="Y163" s="35" t="n">
        <v>-9.568222</v>
      </c>
      <c r="Z163" s="35" t="n">
        <v>-48.391242</v>
      </c>
      <c r="AA163" s="49" t="s">
        <v>838</v>
      </c>
      <c r="AB163" s="35" t="s">
        <v>839</v>
      </c>
    </row>
    <row r="164" customFormat="false" ht="15" hidden="false" customHeight="false" outlineLevel="0" collapsed="false">
      <c r="A164" s="35" t="n">
        <v>163</v>
      </c>
      <c r="B164" s="35" t="s">
        <v>603</v>
      </c>
      <c r="C164" s="35" t="s">
        <v>1056</v>
      </c>
      <c r="D164" s="35" t="s">
        <v>308</v>
      </c>
      <c r="E164" s="35" t="s">
        <v>604</v>
      </c>
      <c r="F164" s="40" t="n">
        <v>16.6972426982726</v>
      </c>
      <c r="G164" s="36" t="n">
        <v>1307.48419234697</v>
      </c>
      <c r="H164" s="36" t="n">
        <v>1307.48419234697</v>
      </c>
      <c r="I164" s="5" t="s">
        <v>22</v>
      </c>
      <c r="J164" s="35" t="s">
        <v>157</v>
      </c>
      <c r="K164" s="35" t="s">
        <v>234</v>
      </c>
      <c r="L164" s="35" t="n">
        <v>27</v>
      </c>
      <c r="M164" s="35" t="s">
        <v>42</v>
      </c>
      <c r="N164" s="35" t="s">
        <v>836</v>
      </c>
      <c r="O164" s="35" t="s">
        <v>101</v>
      </c>
      <c r="P164" s="35" t="s">
        <v>49</v>
      </c>
      <c r="Q164" s="35" t="n">
        <v>0</v>
      </c>
      <c r="R164" s="35"/>
      <c r="S164" s="35" t="s">
        <v>42</v>
      </c>
      <c r="T164" s="35"/>
      <c r="U164" s="35"/>
      <c r="V164" s="35"/>
      <c r="W164" s="35"/>
      <c r="X164" s="35" t="s">
        <v>42</v>
      </c>
      <c r="Y164" s="35" t="n">
        <v>-9.5681695</v>
      </c>
      <c r="Z164" s="35" t="n">
        <v>-48.3914625</v>
      </c>
      <c r="AA164" s="49" t="s">
        <v>838</v>
      </c>
      <c r="AB164" s="35" t="s">
        <v>839</v>
      </c>
    </row>
    <row r="165" customFormat="false" ht="15" hidden="false" customHeight="false" outlineLevel="0" collapsed="false">
      <c r="A165" s="35" t="n">
        <v>164</v>
      </c>
      <c r="B165" s="35" t="s">
        <v>605</v>
      </c>
      <c r="C165" s="35" t="s">
        <v>1057</v>
      </c>
      <c r="D165" s="35" t="s">
        <v>604</v>
      </c>
      <c r="E165" s="35" t="s">
        <v>606</v>
      </c>
      <c r="F165" s="40" t="n">
        <v>139.197789995501</v>
      </c>
      <c r="G165" s="36" t="n">
        <v>1446.68198234247</v>
      </c>
      <c r="H165" s="36" t="n">
        <v>1446.68198234247</v>
      </c>
      <c r="I165" s="5" t="s">
        <v>22</v>
      </c>
      <c r="J165" s="35" t="s">
        <v>157</v>
      </c>
      <c r="K165" s="35" t="s">
        <v>234</v>
      </c>
      <c r="L165" s="35" t="n">
        <v>27</v>
      </c>
      <c r="M165" s="35" t="s">
        <v>42</v>
      </c>
      <c r="N165" s="35" t="s">
        <v>836</v>
      </c>
      <c r="O165" s="35" t="s">
        <v>101</v>
      </c>
      <c r="P165" s="35" t="s">
        <v>49</v>
      </c>
      <c r="Q165" s="35" t="n">
        <v>0</v>
      </c>
      <c r="R165" s="35"/>
      <c r="S165" s="35" t="s">
        <v>42</v>
      </c>
      <c r="T165" s="35"/>
      <c r="U165" s="35"/>
      <c r="V165" s="35"/>
      <c r="W165" s="35"/>
      <c r="X165" s="35" t="s">
        <v>42</v>
      </c>
      <c r="Y165" s="35" t="n">
        <v>-9.568003</v>
      </c>
      <c r="Z165" s="35" t="n">
        <v>-48.392153</v>
      </c>
      <c r="AA165" s="49" t="s">
        <v>838</v>
      </c>
      <c r="AB165" s="35" t="s">
        <v>839</v>
      </c>
    </row>
    <row r="166" customFormat="false" ht="15" hidden="false" customHeight="false" outlineLevel="0" collapsed="false">
      <c r="A166" s="35" t="n">
        <v>165</v>
      </c>
      <c r="B166" s="35" t="s">
        <v>607</v>
      </c>
      <c r="C166" s="35" t="s">
        <v>1058</v>
      </c>
      <c r="D166" s="35" t="s">
        <v>602</v>
      </c>
      <c r="E166" s="35" t="s">
        <v>608</v>
      </c>
      <c r="F166" s="40" t="n">
        <v>102.761217127749</v>
      </c>
      <c r="G166" s="36" t="n">
        <v>1411.78095235985</v>
      </c>
      <c r="H166" s="36" t="n">
        <v>102.761217127749</v>
      </c>
      <c r="I166" s="7" t="s">
        <v>24</v>
      </c>
      <c r="J166" s="35" t="s">
        <v>157</v>
      </c>
      <c r="K166" s="35" t="s">
        <v>234</v>
      </c>
      <c r="L166" s="35" t="n">
        <v>28</v>
      </c>
      <c r="M166" s="35" t="s">
        <v>102</v>
      </c>
      <c r="N166" s="35" t="s">
        <v>892</v>
      </c>
      <c r="O166" s="35" t="s">
        <v>103</v>
      </c>
      <c r="P166" s="35" t="s">
        <v>49</v>
      </c>
      <c r="Q166" s="35" t="n">
        <v>0</v>
      </c>
      <c r="R166" s="35"/>
      <c r="S166" s="35" t="s">
        <v>42</v>
      </c>
      <c r="T166" s="35" t="s">
        <v>102</v>
      </c>
      <c r="U166" s="35"/>
      <c r="V166" s="35"/>
      <c r="W166" s="35"/>
      <c r="X166" s="35" t="s">
        <v>1059</v>
      </c>
      <c r="Y166" s="35" t="n">
        <v>-9.5683365</v>
      </c>
      <c r="Z166" s="35" t="n">
        <v>-48.390772</v>
      </c>
      <c r="AA166" s="49" t="s">
        <v>838</v>
      </c>
      <c r="AB166" s="35" t="s">
        <v>1060</v>
      </c>
    </row>
    <row r="167" customFormat="false" ht="15" hidden="false" customHeight="false" outlineLevel="0" collapsed="false">
      <c r="A167" s="35" t="n">
        <v>166</v>
      </c>
      <c r="B167" s="35" t="s">
        <v>609</v>
      </c>
      <c r="C167" s="35" t="s">
        <v>1061</v>
      </c>
      <c r="D167" s="35" t="s">
        <v>310</v>
      </c>
      <c r="E167" s="35" t="s">
        <v>610</v>
      </c>
      <c r="F167" s="40" t="n">
        <v>5.45772281405916</v>
      </c>
      <c r="G167" s="36" t="n">
        <v>1451.72031879194</v>
      </c>
      <c r="H167" s="36" t="n">
        <v>1451.72031879194</v>
      </c>
      <c r="I167" s="5" t="s">
        <v>22</v>
      </c>
      <c r="J167" s="35" t="s">
        <v>157</v>
      </c>
      <c r="K167" s="35" t="s">
        <v>236</v>
      </c>
      <c r="L167" s="35" t="n">
        <v>29</v>
      </c>
      <c r="M167" s="35" t="s">
        <v>42</v>
      </c>
      <c r="N167" s="35" t="s">
        <v>836</v>
      </c>
      <c r="O167" s="35" t="s">
        <v>106</v>
      </c>
      <c r="P167" s="35" t="s">
        <v>49</v>
      </c>
      <c r="Q167" s="35" t="n">
        <v>0</v>
      </c>
      <c r="R167" s="35"/>
      <c r="S167" s="35" t="s">
        <v>42</v>
      </c>
      <c r="T167" s="35"/>
      <c r="U167" s="35"/>
      <c r="V167" s="35"/>
      <c r="W167" s="35"/>
      <c r="X167" s="35" t="s">
        <v>42</v>
      </c>
      <c r="Y167" s="35" t="n">
        <v>-9.5668265</v>
      </c>
      <c r="Z167" s="35" t="n">
        <v>-48.390985</v>
      </c>
      <c r="AA167" s="49" t="s">
        <v>838</v>
      </c>
      <c r="AB167" s="35" t="s">
        <v>839</v>
      </c>
    </row>
    <row r="168" customFormat="false" ht="15" hidden="false" customHeight="false" outlineLevel="0" collapsed="false">
      <c r="A168" s="35" t="n">
        <v>167</v>
      </c>
      <c r="B168" s="35" t="s">
        <v>611</v>
      </c>
      <c r="C168" s="35" t="s">
        <v>1062</v>
      </c>
      <c r="D168" s="35" t="s">
        <v>322</v>
      </c>
      <c r="E168" s="35" t="s">
        <v>612</v>
      </c>
      <c r="F168" s="40" t="n">
        <v>4.77595546451011</v>
      </c>
      <c r="G168" s="36" t="n">
        <v>1459.03070123458</v>
      </c>
      <c r="H168" s="36" t="n">
        <v>9.66934371446382</v>
      </c>
      <c r="I168" s="6" t="s">
        <v>23</v>
      </c>
      <c r="J168" s="35" t="s">
        <v>157</v>
      </c>
      <c r="K168" s="35" t="s">
        <v>237</v>
      </c>
      <c r="L168" s="35" t="n">
        <v>30</v>
      </c>
      <c r="M168" s="35" t="s">
        <v>43</v>
      </c>
      <c r="N168" s="35" t="s">
        <v>866</v>
      </c>
      <c r="O168" s="35" t="s">
        <v>109</v>
      </c>
      <c r="P168" s="35" t="s">
        <v>49</v>
      </c>
      <c r="Q168" s="35" t="n">
        <v>0</v>
      </c>
      <c r="R168" s="35"/>
      <c r="S168" s="35" t="s">
        <v>42</v>
      </c>
      <c r="T168" s="35" t="s">
        <v>43</v>
      </c>
      <c r="U168" s="35"/>
      <c r="V168" s="35"/>
      <c r="W168" s="35"/>
      <c r="X168" s="35" t="s">
        <v>868</v>
      </c>
      <c r="Y168" s="35" t="n">
        <v>-9.5667955</v>
      </c>
      <c r="Z168" s="35" t="n">
        <v>-48.390974</v>
      </c>
      <c r="AA168" s="49" t="s">
        <v>838</v>
      </c>
      <c r="AB168" s="35" t="s">
        <v>869</v>
      </c>
    </row>
    <row r="169" customFormat="false" ht="15" hidden="false" customHeight="false" outlineLevel="0" collapsed="false">
      <c r="A169" s="35" t="n">
        <v>168</v>
      </c>
      <c r="B169" s="35" t="s">
        <v>613</v>
      </c>
      <c r="C169" s="35" t="s">
        <v>1063</v>
      </c>
      <c r="D169" s="35" t="s">
        <v>324</v>
      </c>
      <c r="E169" s="35" t="s">
        <v>614</v>
      </c>
      <c r="F169" s="40" t="n">
        <v>40.8805850442623</v>
      </c>
      <c r="G169" s="36" t="n">
        <v>1553.35037896743</v>
      </c>
      <c r="H169" s="36" t="n">
        <v>103.989021447315</v>
      </c>
      <c r="I169" s="6" t="s">
        <v>23</v>
      </c>
      <c r="J169" s="35" t="s">
        <v>157</v>
      </c>
      <c r="K169" s="35" t="s">
        <v>238</v>
      </c>
      <c r="L169" s="35" t="n">
        <v>31</v>
      </c>
      <c r="M169" s="35" t="s">
        <v>43</v>
      </c>
      <c r="N169" s="35" t="s">
        <v>866</v>
      </c>
      <c r="O169" s="35" t="s">
        <v>112</v>
      </c>
      <c r="P169" s="35" t="s">
        <v>1064</v>
      </c>
      <c r="Q169" s="35" t="n">
        <v>4</v>
      </c>
      <c r="R169" s="35"/>
      <c r="S169" s="35" t="s">
        <v>42</v>
      </c>
      <c r="T169" s="35" t="s">
        <v>43</v>
      </c>
      <c r="U169" s="35"/>
      <c r="V169" s="35"/>
      <c r="W169" s="35"/>
      <c r="X169" s="35" t="s">
        <v>868</v>
      </c>
      <c r="Y169" s="35" t="n">
        <v>-9.566327</v>
      </c>
      <c r="Z169" s="35" t="n">
        <v>-48.3908815</v>
      </c>
      <c r="AA169" s="49" t="s">
        <v>838</v>
      </c>
      <c r="AB169" s="35" t="s">
        <v>869</v>
      </c>
    </row>
    <row r="170" customFormat="false" ht="15" hidden="false" customHeight="false" outlineLevel="0" collapsed="false">
      <c r="A170" s="35" t="n">
        <v>169</v>
      </c>
      <c r="B170" s="35" t="s">
        <v>615</v>
      </c>
      <c r="C170" s="35" t="s">
        <v>1065</v>
      </c>
      <c r="D170" s="35" t="s">
        <v>614</v>
      </c>
      <c r="E170" s="35" t="s">
        <v>616</v>
      </c>
      <c r="F170" s="40" t="n">
        <v>3.89034835820897</v>
      </c>
      <c r="G170" s="36" t="n">
        <v>1557.24072732564</v>
      </c>
      <c r="H170" s="36" t="n">
        <v>107.879369805524</v>
      </c>
      <c r="I170" s="6" t="s">
        <v>23</v>
      </c>
      <c r="J170" s="35" t="s">
        <v>157</v>
      </c>
      <c r="K170" s="35" t="s">
        <v>238</v>
      </c>
      <c r="L170" s="35" t="n">
        <v>31</v>
      </c>
      <c r="M170" s="35" t="s">
        <v>43</v>
      </c>
      <c r="N170" s="35" t="s">
        <v>866</v>
      </c>
      <c r="O170" s="35" t="s">
        <v>112</v>
      </c>
      <c r="P170" s="35" t="s">
        <v>1064</v>
      </c>
      <c r="Q170" s="35" t="n">
        <v>4</v>
      </c>
      <c r="R170" s="35"/>
      <c r="S170" s="35" t="s">
        <v>42</v>
      </c>
      <c r="T170" s="35" t="s">
        <v>43</v>
      </c>
      <c r="U170" s="35"/>
      <c r="V170" s="35"/>
      <c r="W170" s="35"/>
      <c r="X170" s="35" t="s">
        <v>868</v>
      </c>
      <c r="Y170" s="35" t="n">
        <v>-9.566385</v>
      </c>
      <c r="Z170" s="35" t="n">
        <v>-48.390686</v>
      </c>
      <c r="AA170" s="49" t="s">
        <v>838</v>
      </c>
      <c r="AB170" s="35" t="s">
        <v>869</v>
      </c>
    </row>
    <row r="171" customFormat="false" ht="15" hidden="false" customHeight="false" outlineLevel="0" collapsed="false">
      <c r="A171" s="35" t="n">
        <v>170</v>
      </c>
      <c r="B171" s="35" t="s">
        <v>617</v>
      </c>
      <c r="C171" s="35" t="s">
        <v>1066</v>
      </c>
      <c r="D171" s="35" t="s">
        <v>616</v>
      </c>
      <c r="E171" s="35" t="s">
        <v>618</v>
      </c>
      <c r="F171" s="40" t="n">
        <v>51.6844930442778</v>
      </c>
      <c r="G171" s="36" t="n">
        <v>1608.92522036992</v>
      </c>
      <c r="H171" s="36" t="n">
        <v>51.6844930442778</v>
      </c>
      <c r="I171" s="7" t="s">
        <v>24</v>
      </c>
      <c r="J171" s="35" t="s">
        <v>157</v>
      </c>
      <c r="K171" s="35" t="s">
        <v>238</v>
      </c>
      <c r="L171" s="35" t="n">
        <v>32</v>
      </c>
      <c r="M171" s="35" t="s">
        <v>112</v>
      </c>
      <c r="N171" s="35" t="s">
        <v>892</v>
      </c>
      <c r="O171" s="35" t="s">
        <v>113</v>
      </c>
      <c r="P171" s="35" t="s">
        <v>1067</v>
      </c>
      <c r="Q171" s="35" t="n">
        <v>3</v>
      </c>
      <c r="R171" s="35"/>
      <c r="S171" s="35" t="s">
        <v>42</v>
      </c>
      <c r="T171" s="35" t="s">
        <v>43</v>
      </c>
      <c r="U171" s="35" t="s">
        <v>112</v>
      </c>
      <c r="V171" s="35"/>
      <c r="W171" s="35"/>
      <c r="X171" s="35" t="s">
        <v>1068</v>
      </c>
      <c r="Y171" s="35" t="n">
        <v>-9.5664525</v>
      </c>
      <c r="Z171" s="35" t="n">
        <v>-48.390442</v>
      </c>
      <c r="AA171" s="49" t="s">
        <v>838</v>
      </c>
      <c r="AB171" s="35" t="s">
        <v>1069</v>
      </c>
    </row>
    <row r="172" customFormat="false" ht="15" hidden="false" customHeight="false" outlineLevel="0" collapsed="false">
      <c r="A172" s="35" t="n">
        <v>171</v>
      </c>
      <c r="B172" s="35" t="s">
        <v>619</v>
      </c>
      <c r="C172" s="35" t="s">
        <v>1070</v>
      </c>
      <c r="D172" s="35" t="s">
        <v>618</v>
      </c>
      <c r="E172" s="35" t="s">
        <v>620</v>
      </c>
      <c r="F172" s="40" t="n">
        <v>146.930640231572</v>
      </c>
      <c r="G172" s="36" t="n">
        <v>1755.85586060149</v>
      </c>
      <c r="H172" s="36" t="n">
        <v>198.61513327585</v>
      </c>
      <c r="I172" s="7" t="s">
        <v>24</v>
      </c>
      <c r="J172" s="35" t="s">
        <v>157</v>
      </c>
      <c r="K172" s="35" t="s">
        <v>238</v>
      </c>
      <c r="L172" s="35" t="n">
        <v>32</v>
      </c>
      <c r="M172" s="35" t="s">
        <v>112</v>
      </c>
      <c r="N172" s="35" t="s">
        <v>892</v>
      </c>
      <c r="O172" s="35" t="s">
        <v>113</v>
      </c>
      <c r="P172" s="35" t="s">
        <v>1067</v>
      </c>
      <c r="Q172" s="35" t="n">
        <v>3</v>
      </c>
      <c r="R172" s="35"/>
      <c r="S172" s="35" t="s">
        <v>42</v>
      </c>
      <c r="T172" s="35" t="s">
        <v>43</v>
      </c>
      <c r="U172" s="35" t="s">
        <v>112</v>
      </c>
      <c r="V172" s="35"/>
      <c r="W172" s="35"/>
      <c r="X172" s="35" t="s">
        <v>1068</v>
      </c>
      <c r="Y172" s="35" t="n">
        <v>-9.566699</v>
      </c>
      <c r="Z172" s="35" t="n">
        <v>-48.3895715</v>
      </c>
      <c r="AA172" s="49" t="s">
        <v>838</v>
      </c>
      <c r="AB172" s="35" t="s">
        <v>1069</v>
      </c>
    </row>
    <row r="173" customFormat="false" ht="15" hidden="false" customHeight="false" outlineLevel="0" collapsed="false">
      <c r="A173" s="35" t="n">
        <v>172</v>
      </c>
      <c r="B173" s="35" t="s">
        <v>621</v>
      </c>
      <c r="C173" s="35" t="s">
        <v>1071</v>
      </c>
      <c r="D173" s="35" t="s">
        <v>620</v>
      </c>
      <c r="E173" s="35" t="s">
        <v>622</v>
      </c>
      <c r="F173" s="40" t="n">
        <v>18.80114723457</v>
      </c>
      <c r="G173" s="36" t="n">
        <v>1774.65700783606</v>
      </c>
      <c r="H173" s="36" t="n">
        <v>217.41628051042</v>
      </c>
      <c r="I173" s="7" t="s">
        <v>24</v>
      </c>
      <c r="J173" s="35" t="s">
        <v>157</v>
      </c>
      <c r="K173" s="35" t="s">
        <v>238</v>
      </c>
      <c r="L173" s="35" t="n">
        <v>32</v>
      </c>
      <c r="M173" s="35" t="s">
        <v>112</v>
      </c>
      <c r="N173" s="35" t="s">
        <v>892</v>
      </c>
      <c r="O173" s="35" t="s">
        <v>113</v>
      </c>
      <c r="P173" s="35" t="s">
        <v>49</v>
      </c>
      <c r="Q173" s="35" t="n">
        <v>0</v>
      </c>
      <c r="R173" s="35"/>
      <c r="S173" s="35" t="s">
        <v>42</v>
      </c>
      <c r="T173" s="35" t="s">
        <v>43</v>
      </c>
      <c r="U173" s="35" t="s">
        <v>112</v>
      </c>
      <c r="V173" s="35"/>
      <c r="W173" s="35"/>
      <c r="X173" s="35" t="s">
        <v>1068</v>
      </c>
      <c r="Y173" s="35" t="n">
        <v>-9.566906</v>
      </c>
      <c r="Z173" s="35" t="n">
        <v>-48.3888455</v>
      </c>
      <c r="AA173" s="49" t="s">
        <v>838</v>
      </c>
      <c r="AB173" s="35" t="s">
        <v>1069</v>
      </c>
    </row>
    <row r="174" customFormat="false" ht="15" hidden="false" customHeight="false" outlineLevel="0" collapsed="false">
      <c r="A174" s="35" t="n">
        <v>173</v>
      </c>
      <c r="B174" s="35" t="s">
        <v>623</v>
      </c>
      <c r="C174" s="35" t="s">
        <v>1072</v>
      </c>
      <c r="D174" s="35" t="s">
        <v>622</v>
      </c>
      <c r="E174" s="35" t="s">
        <v>624</v>
      </c>
      <c r="F174" s="40" t="n">
        <v>33.0048859035478</v>
      </c>
      <c r="G174" s="36" t="n">
        <v>1807.66189373961</v>
      </c>
      <c r="H174" s="36" t="n">
        <v>250.421166413968</v>
      </c>
      <c r="I174" s="7" t="s">
        <v>24</v>
      </c>
      <c r="J174" s="35" t="s">
        <v>157</v>
      </c>
      <c r="K174" s="35" t="s">
        <v>238</v>
      </c>
      <c r="L174" s="35" t="n">
        <v>32</v>
      </c>
      <c r="M174" s="35" t="s">
        <v>112</v>
      </c>
      <c r="N174" s="35" t="s">
        <v>892</v>
      </c>
      <c r="O174" s="35" t="s">
        <v>113</v>
      </c>
      <c r="P174" s="35" t="s">
        <v>49</v>
      </c>
      <c r="Q174" s="35" t="n">
        <v>0</v>
      </c>
      <c r="R174" s="35"/>
      <c r="S174" s="35" t="s">
        <v>42</v>
      </c>
      <c r="T174" s="35" t="s">
        <v>43</v>
      </c>
      <c r="U174" s="35" t="s">
        <v>112</v>
      </c>
      <c r="V174" s="35"/>
      <c r="W174" s="35"/>
      <c r="X174" s="35" t="s">
        <v>1068</v>
      </c>
      <c r="Y174" s="35" t="n">
        <v>-9.5669585</v>
      </c>
      <c r="Z174" s="35" t="n">
        <v>-48.3886155</v>
      </c>
      <c r="AA174" s="49" t="s">
        <v>838</v>
      </c>
      <c r="AB174" s="35" t="s">
        <v>1069</v>
      </c>
    </row>
    <row r="175" customFormat="false" ht="15" hidden="false" customHeight="false" outlineLevel="0" collapsed="false">
      <c r="A175" s="35" t="n">
        <v>174</v>
      </c>
      <c r="B175" s="35" t="s">
        <v>625</v>
      </c>
      <c r="C175" s="35" t="s">
        <v>1073</v>
      </c>
      <c r="D175" s="35" t="s">
        <v>624</v>
      </c>
      <c r="E175" s="35" t="s">
        <v>626</v>
      </c>
      <c r="F175" s="40" t="n">
        <v>3.01226026178296</v>
      </c>
      <c r="G175" s="36" t="n">
        <v>1810.67415400139</v>
      </c>
      <c r="H175" s="36" t="n">
        <v>253.433426675751</v>
      </c>
      <c r="I175" s="7" t="s">
        <v>24</v>
      </c>
      <c r="J175" s="35" t="s">
        <v>157</v>
      </c>
      <c r="K175" s="35" t="s">
        <v>238</v>
      </c>
      <c r="L175" s="35" t="n">
        <v>32</v>
      </c>
      <c r="M175" s="35" t="s">
        <v>112</v>
      </c>
      <c r="N175" s="35" t="s">
        <v>892</v>
      </c>
      <c r="O175" s="35" t="s">
        <v>113</v>
      </c>
      <c r="P175" s="35" t="s">
        <v>49</v>
      </c>
      <c r="Q175" s="35" t="n">
        <v>0</v>
      </c>
      <c r="R175" s="35"/>
      <c r="S175" s="35" t="s">
        <v>42</v>
      </c>
      <c r="T175" s="35" t="s">
        <v>43</v>
      </c>
      <c r="U175" s="35" t="s">
        <v>112</v>
      </c>
      <c r="V175" s="35"/>
      <c r="W175" s="35"/>
      <c r="X175" s="35" t="s">
        <v>1068</v>
      </c>
      <c r="Y175" s="35" t="n">
        <v>-9.5669905</v>
      </c>
      <c r="Z175" s="35" t="n">
        <v>-48.3884545</v>
      </c>
      <c r="AA175" s="49" t="s">
        <v>838</v>
      </c>
      <c r="AB175" s="35" t="s">
        <v>1069</v>
      </c>
    </row>
    <row r="176" customFormat="false" ht="15" hidden="false" customHeight="false" outlineLevel="0" collapsed="false">
      <c r="A176" s="35" t="n">
        <v>175</v>
      </c>
      <c r="B176" s="35" t="s">
        <v>627</v>
      </c>
      <c r="C176" s="35" t="s">
        <v>1074</v>
      </c>
      <c r="D176" s="35" t="s">
        <v>626</v>
      </c>
      <c r="E176" s="35" t="s">
        <v>628</v>
      </c>
      <c r="F176" s="40" t="n">
        <v>135.162987040292</v>
      </c>
      <c r="G176" s="36" t="n">
        <v>1945.83714104168</v>
      </c>
      <c r="H176" s="36" t="n">
        <v>388.596413716043</v>
      </c>
      <c r="I176" s="7" t="s">
        <v>24</v>
      </c>
      <c r="J176" s="35" t="s">
        <v>157</v>
      </c>
      <c r="K176" s="35" t="s">
        <v>238</v>
      </c>
      <c r="L176" s="35" t="n">
        <v>32</v>
      </c>
      <c r="M176" s="35" t="s">
        <v>112</v>
      </c>
      <c r="N176" s="35" t="s">
        <v>892</v>
      </c>
      <c r="O176" s="35" t="s">
        <v>113</v>
      </c>
      <c r="P176" s="35" t="s">
        <v>49</v>
      </c>
      <c r="Q176" s="35" t="n">
        <v>0</v>
      </c>
      <c r="R176" s="35"/>
      <c r="S176" s="35" t="s">
        <v>42</v>
      </c>
      <c r="T176" s="35" t="s">
        <v>43</v>
      </c>
      <c r="U176" s="35" t="s">
        <v>112</v>
      </c>
      <c r="V176" s="35"/>
      <c r="W176" s="35"/>
      <c r="X176" s="35" t="s">
        <v>1068</v>
      </c>
      <c r="Y176" s="35" t="n">
        <v>-9.56708</v>
      </c>
      <c r="Z176" s="35" t="n">
        <v>-48.387831</v>
      </c>
      <c r="AA176" s="49" t="s">
        <v>838</v>
      </c>
      <c r="AB176" s="35" t="s">
        <v>1069</v>
      </c>
    </row>
    <row r="177" customFormat="false" ht="15" hidden="false" customHeight="false" outlineLevel="0" collapsed="false">
      <c r="A177" s="35" t="n">
        <v>176</v>
      </c>
      <c r="B177" s="35" t="s">
        <v>629</v>
      </c>
      <c r="C177" s="35" t="s">
        <v>1075</v>
      </c>
      <c r="D177" s="35" t="s">
        <v>628</v>
      </c>
      <c r="E177" s="35" t="s">
        <v>630</v>
      </c>
      <c r="F177" s="40" t="n">
        <v>37.7383322408361</v>
      </c>
      <c r="G177" s="36" t="n">
        <v>1983.57547328252</v>
      </c>
      <c r="H177" s="36" t="n">
        <v>426.334745956879</v>
      </c>
      <c r="I177" s="7" t="s">
        <v>24</v>
      </c>
      <c r="J177" s="35" t="s">
        <v>157</v>
      </c>
      <c r="K177" s="35" t="s">
        <v>238</v>
      </c>
      <c r="L177" s="35" t="n">
        <v>32</v>
      </c>
      <c r="M177" s="35" t="s">
        <v>112</v>
      </c>
      <c r="N177" s="35" t="s">
        <v>892</v>
      </c>
      <c r="O177" s="35" t="s">
        <v>113</v>
      </c>
      <c r="P177" s="35" t="s">
        <v>49</v>
      </c>
      <c r="Q177" s="35" t="n">
        <v>0</v>
      </c>
      <c r="R177" s="35"/>
      <c r="S177" s="35" t="s">
        <v>42</v>
      </c>
      <c r="T177" s="35" t="s">
        <v>43</v>
      </c>
      <c r="U177" s="35" t="s">
        <v>112</v>
      </c>
      <c r="V177" s="35"/>
      <c r="W177" s="35"/>
      <c r="X177" s="35" t="s">
        <v>1068</v>
      </c>
      <c r="Y177" s="35" t="n">
        <v>-9.56719</v>
      </c>
      <c r="Z177" s="35" t="n">
        <v>-48.3870505</v>
      </c>
      <c r="AA177" s="49" t="s">
        <v>838</v>
      </c>
      <c r="AB177" s="35" t="s">
        <v>1069</v>
      </c>
    </row>
    <row r="178" customFormat="false" ht="15" hidden="false" customHeight="false" outlineLevel="0" collapsed="false">
      <c r="A178" s="35" t="n">
        <v>177</v>
      </c>
      <c r="B178" s="35" t="s">
        <v>631</v>
      </c>
      <c r="C178" s="35" t="s">
        <v>1076</v>
      </c>
      <c r="D178" s="35" t="s">
        <v>620</v>
      </c>
      <c r="E178" s="35" t="s">
        <v>632</v>
      </c>
      <c r="F178" s="40" t="n">
        <v>43.9699105861722</v>
      </c>
      <c r="G178" s="36" t="n">
        <v>1799.82577118766</v>
      </c>
      <c r="H178" s="36" t="n">
        <v>242.585043862022</v>
      </c>
      <c r="I178" s="7" t="s">
        <v>24</v>
      </c>
      <c r="J178" s="35" t="s">
        <v>157</v>
      </c>
      <c r="K178" s="35" t="s">
        <v>238</v>
      </c>
      <c r="L178" s="35" t="n">
        <v>32</v>
      </c>
      <c r="M178" s="35" t="s">
        <v>112</v>
      </c>
      <c r="N178" s="35" t="s">
        <v>892</v>
      </c>
      <c r="O178" s="35" t="s">
        <v>113</v>
      </c>
      <c r="P178" s="35" t="s">
        <v>114</v>
      </c>
      <c r="Q178" s="35" t="n">
        <v>1</v>
      </c>
      <c r="R178" s="35"/>
      <c r="S178" s="35" t="s">
        <v>42</v>
      </c>
      <c r="T178" s="35" t="s">
        <v>43</v>
      </c>
      <c r="U178" s="35" t="s">
        <v>112</v>
      </c>
      <c r="V178" s="35"/>
      <c r="W178" s="35"/>
      <c r="X178" s="35" t="s">
        <v>1068</v>
      </c>
      <c r="Y178" s="35" t="n">
        <v>-9.5666945</v>
      </c>
      <c r="Z178" s="35" t="n">
        <v>-48.3888675</v>
      </c>
      <c r="AA178" s="49" t="s">
        <v>838</v>
      </c>
      <c r="AB178" s="35" t="s">
        <v>1069</v>
      </c>
    </row>
    <row r="179" customFormat="false" ht="15" hidden="false" customHeight="false" outlineLevel="0" collapsed="false">
      <c r="A179" s="35" t="n">
        <v>178</v>
      </c>
      <c r="B179" s="35" t="s">
        <v>633</v>
      </c>
      <c r="C179" s="35" t="s">
        <v>1077</v>
      </c>
      <c r="D179" s="35" t="s">
        <v>632</v>
      </c>
      <c r="E179" s="35" t="s">
        <v>634</v>
      </c>
      <c r="F179" s="40" t="n">
        <v>4.31949391434077</v>
      </c>
      <c r="G179" s="36" t="n">
        <v>1804.145265102</v>
      </c>
      <c r="H179" s="36" t="n">
        <v>246.904537776363</v>
      </c>
      <c r="I179" s="7" t="s">
        <v>24</v>
      </c>
      <c r="J179" s="35" t="s">
        <v>157</v>
      </c>
      <c r="K179" s="35" t="s">
        <v>238</v>
      </c>
      <c r="L179" s="35" t="n">
        <v>32</v>
      </c>
      <c r="M179" s="35" t="s">
        <v>112</v>
      </c>
      <c r="N179" s="35" t="s">
        <v>892</v>
      </c>
      <c r="O179" s="35" t="s">
        <v>113</v>
      </c>
      <c r="P179" s="35" t="s">
        <v>114</v>
      </c>
      <c r="Q179" s="35" t="n">
        <v>1</v>
      </c>
      <c r="R179" s="35"/>
      <c r="S179" s="35" t="s">
        <v>42</v>
      </c>
      <c r="T179" s="35" t="s">
        <v>43</v>
      </c>
      <c r="U179" s="35" t="s">
        <v>112</v>
      </c>
      <c r="V179" s="35"/>
      <c r="W179" s="35"/>
      <c r="X179" s="35" t="s">
        <v>1068</v>
      </c>
      <c r="Y179" s="35" t="n">
        <v>-9.5664875</v>
      </c>
      <c r="Z179" s="35" t="n">
        <v>-48.388801</v>
      </c>
      <c r="AA179" s="49" t="s">
        <v>838</v>
      </c>
      <c r="AB179" s="35" t="s">
        <v>1069</v>
      </c>
    </row>
    <row r="180" customFormat="false" ht="15" hidden="false" customHeight="false" outlineLevel="0" collapsed="false">
      <c r="A180" s="35" t="n">
        <v>179</v>
      </c>
      <c r="B180" s="35" t="s">
        <v>635</v>
      </c>
      <c r="C180" s="35" t="s">
        <v>1078</v>
      </c>
      <c r="D180" s="35" t="s">
        <v>620</v>
      </c>
      <c r="E180" s="35" t="s">
        <v>636</v>
      </c>
      <c r="F180" s="40" t="n">
        <v>22.1699589229147</v>
      </c>
      <c r="G180" s="36" t="n">
        <v>1778.0258195244</v>
      </c>
      <c r="H180" s="36" t="n">
        <v>220.785092198765</v>
      </c>
      <c r="I180" s="7" t="s">
        <v>24</v>
      </c>
      <c r="J180" s="35" t="s">
        <v>157</v>
      </c>
      <c r="K180" s="35" t="s">
        <v>238</v>
      </c>
      <c r="L180" s="35" t="n">
        <v>32</v>
      </c>
      <c r="M180" s="35" t="s">
        <v>112</v>
      </c>
      <c r="N180" s="35" t="s">
        <v>892</v>
      </c>
      <c r="O180" s="35" t="s">
        <v>113</v>
      </c>
      <c r="P180" s="35" t="s">
        <v>1079</v>
      </c>
      <c r="Q180" s="35" t="n">
        <v>2</v>
      </c>
      <c r="R180" s="35"/>
      <c r="S180" s="35" t="s">
        <v>42</v>
      </c>
      <c r="T180" s="35" t="s">
        <v>43</v>
      </c>
      <c r="U180" s="35" t="s">
        <v>112</v>
      </c>
      <c r="V180" s="35"/>
      <c r="W180" s="35"/>
      <c r="X180" s="35" t="s">
        <v>1068</v>
      </c>
      <c r="Y180" s="35" t="n">
        <v>-9.5669785</v>
      </c>
      <c r="Z180" s="35" t="n">
        <v>-48.388957</v>
      </c>
      <c r="AA180" s="49" t="s">
        <v>838</v>
      </c>
      <c r="AB180" s="35" t="s">
        <v>1069</v>
      </c>
    </row>
    <row r="181" customFormat="false" ht="15" hidden="false" customHeight="false" outlineLevel="0" collapsed="false">
      <c r="A181" s="35" t="n">
        <v>180</v>
      </c>
      <c r="B181" s="35" t="s">
        <v>637</v>
      </c>
      <c r="C181" s="35" t="s">
        <v>1080</v>
      </c>
      <c r="D181" s="35" t="s">
        <v>636</v>
      </c>
      <c r="E181" s="35" t="s">
        <v>638</v>
      </c>
      <c r="F181" s="40" t="n">
        <v>18.2586862368133</v>
      </c>
      <c r="G181" s="36" t="n">
        <v>1796.28450576122</v>
      </c>
      <c r="H181" s="36" t="n">
        <v>239.043778435578</v>
      </c>
      <c r="I181" s="7" t="s">
        <v>24</v>
      </c>
      <c r="J181" s="35" t="s">
        <v>157</v>
      </c>
      <c r="K181" s="35" t="s">
        <v>238</v>
      </c>
      <c r="L181" s="35" t="n">
        <v>32</v>
      </c>
      <c r="M181" s="35" t="s">
        <v>112</v>
      </c>
      <c r="N181" s="35" t="s">
        <v>892</v>
      </c>
      <c r="O181" s="35" t="s">
        <v>113</v>
      </c>
      <c r="P181" s="35" t="s">
        <v>1079</v>
      </c>
      <c r="Q181" s="35" t="n">
        <v>2</v>
      </c>
      <c r="R181" s="35"/>
      <c r="S181" s="35" t="s">
        <v>42</v>
      </c>
      <c r="T181" s="35" t="s">
        <v>43</v>
      </c>
      <c r="U181" s="35" t="s">
        <v>112</v>
      </c>
      <c r="V181" s="35"/>
      <c r="W181" s="35"/>
      <c r="X181" s="35" t="s">
        <v>1068</v>
      </c>
      <c r="Y181" s="35" t="n">
        <v>-9.567093</v>
      </c>
      <c r="Z181" s="35" t="n">
        <v>-48.388905</v>
      </c>
      <c r="AA181" s="49" t="s">
        <v>838</v>
      </c>
      <c r="AB181" s="35" t="s">
        <v>1069</v>
      </c>
    </row>
    <row r="182" customFormat="false" ht="15" hidden="false" customHeight="false" outlineLevel="0" collapsed="false">
      <c r="A182" s="35" t="n">
        <v>181</v>
      </c>
      <c r="B182" s="35" t="s">
        <v>639</v>
      </c>
      <c r="C182" s="35" t="s">
        <v>1081</v>
      </c>
      <c r="D182" s="35" t="s">
        <v>638</v>
      </c>
      <c r="E182" s="35" t="s">
        <v>640</v>
      </c>
      <c r="F182" s="40" t="n">
        <v>3.6807261746649</v>
      </c>
      <c r="G182" s="36" t="n">
        <v>1799.96523193588</v>
      </c>
      <c r="H182" s="36" t="n">
        <v>242.724504610243</v>
      </c>
      <c r="I182" s="7" t="s">
        <v>24</v>
      </c>
      <c r="J182" s="35" t="s">
        <v>157</v>
      </c>
      <c r="K182" s="35" t="s">
        <v>238</v>
      </c>
      <c r="L182" s="35" t="n">
        <v>32</v>
      </c>
      <c r="M182" s="35" t="s">
        <v>112</v>
      </c>
      <c r="N182" s="35" t="s">
        <v>892</v>
      </c>
      <c r="O182" s="35" t="s">
        <v>113</v>
      </c>
      <c r="P182" s="35" t="s">
        <v>1079</v>
      </c>
      <c r="Q182" s="35" t="n">
        <v>2</v>
      </c>
      <c r="R182" s="35"/>
      <c r="S182" s="35" t="s">
        <v>42</v>
      </c>
      <c r="T182" s="35" t="s">
        <v>43</v>
      </c>
      <c r="U182" s="35" t="s">
        <v>112</v>
      </c>
      <c r="V182" s="35"/>
      <c r="W182" s="35"/>
      <c r="X182" s="35" t="s">
        <v>1068</v>
      </c>
      <c r="Y182" s="35" t="n">
        <v>-9.567117</v>
      </c>
      <c r="Z182" s="35" t="n">
        <v>-48.388808</v>
      </c>
      <c r="AA182" s="49" t="s">
        <v>838</v>
      </c>
      <c r="AB182" s="35" t="s">
        <v>1069</v>
      </c>
    </row>
    <row r="183" customFormat="false" ht="15" hidden="false" customHeight="false" outlineLevel="0" collapsed="false">
      <c r="A183" s="35" t="n">
        <v>182</v>
      </c>
      <c r="B183" s="35" t="s">
        <v>641</v>
      </c>
      <c r="C183" s="35" t="s">
        <v>1082</v>
      </c>
      <c r="D183" s="35" t="s">
        <v>636</v>
      </c>
      <c r="E183" s="35" t="s">
        <v>642</v>
      </c>
      <c r="F183" s="40" t="n">
        <v>22.8136665897299</v>
      </c>
      <c r="G183" s="36" t="n">
        <v>1800.83948611413</v>
      </c>
      <c r="H183" s="36" t="n">
        <v>243.598758788495</v>
      </c>
      <c r="I183" s="7" t="s">
        <v>24</v>
      </c>
      <c r="J183" s="35" t="s">
        <v>157</v>
      </c>
      <c r="K183" s="35" t="s">
        <v>238</v>
      </c>
      <c r="L183" s="35" t="n">
        <v>32</v>
      </c>
      <c r="M183" s="35" t="s">
        <v>112</v>
      </c>
      <c r="N183" s="35" t="s">
        <v>892</v>
      </c>
      <c r="O183" s="35" t="s">
        <v>113</v>
      </c>
      <c r="P183" s="35" t="s">
        <v>49</v>
      </c>
      <c r="Q183" s="35" t="n">
        <v>0</v>
      </c>
      <c r="R183" s="35"/>
      <c r="S183" s="35" t="s">
        <v>42</v>
      </c>
      <c r="T183" s="35" t="s">
        <v>43</v>
      </c>
      <c r="U183" s="35" t="s">
        <v>112</v>
      </c>
      <c r="V183" s="35"/>
      <c r="W183" s="35"/>
      <c r="X183" s="35" t="s">
        <v>1068</v>
      </c>
      <c r="Y183" s="35" t="n">
        <v>-9.5670475</v>
      </c>
      <c r="Z183" s="35" t="n">
        <v>-48.3890865</v>
      </c>
      <c r="AA183" s="49" t="s">
        <v>838</v>
      </c>
      <c r="AB183" s="35" t="s">
        <v>1069</v>
      </c>
    </row>
    <row r="184" customFormat="false" ht="15" hidden="false" customHeight="false" outlineLevel="0" collapsed="false">
      <c r="A184" s="35" t="n">
        <v>183</v>
      </c>
      <c r="B184" s="35" t="s">
        <v>643</v>
      </c>
      <c r="C184" s="35" t="s">
        <v>1083</v>
      </c>
      <c r="D184" s="35" t="s">
        <v>636</v>
      </c>
      <c r="E184" s="35" t="s">
        <v>644</v>
      </c>
      <c r="F184" s="40" t="n">
        <v>7.46416753735654</v>
      </c>
      <c r="G184" s="36" t="n">
        <v>1785.48998706176</v>
      </c>
      <c r="H184" s="36" t="n">
        <v>228.249259736122</v>
      </c>
      <c r="I184" s="7" t="s">
        <v>24</v>
      </c>
      <c r="J184" s="35" t="s">
        <v>157</v>
      </c>
      <c r="K184" s="35" t="s">
        <v>238</v>
      </c>
      <c r="L184" s="35" t="n">
        <v>32</v>
      </c>
      <c r="M184" s="35" t="s">
        <v>112</v>
      </c>
      <c r="N184" s="35" t="s">
        <v>892</v>
      </c>
      <c r="O184" s="35" t="s">
        <v>113</v>
      </c>
      <c r="P184" s="35" t="s">
        <v>49</v>
      </c>
      <c r="Q184" s="35" t="n">
        <v>0</v>
      </c>
      <c r="R184" s="35"/>
      <c r="S184" s="35" t="s">
        <v>42</v>
      </c>
      <c r="T184" s="35" t="s">
        <v>43</v>
      </c>
      <c r="U184" s="35" t="s">
        <v>112</v>
      </c>
      <c r="V184" s="35"/>
      <c r="W184" s="35"/>
      <c r="X184" s="35" t="s">
        <v>1068</v>
      </c>
      <c r="Y184" s="35" t="n">
        <v>-9.5671065</v>
      </c>
      <c r="Z184" s="35" t="n">
        <v>-48.3889945</v>
      </c>
      <c r="AA184" s="49" t="s">
        <v>838</v>
      </c>
      <c r="AB184" s="35" t="s">
        <v>1069</v>
      </c>
    </row>
    <row r="185" customFormat="false" ht="15" hidden="false" customHeight="false" outlineLevel="0" collapsed="false">
      <c r="A185" s="35" t="n">
        <v>184</v>
      </c>
      <c r="B185" s="35" t="s">
        <v>645</v>
      </c>
      <c r="C185" s="35" t="s">
        <v>1084</v>
      </c>
      <c r="D185" s="35" t="s">
        <v>618</v>
      </c>
      <c r="E185" s="35" t="s">
        <v>646</v>
      </c>
      <c r="F185" s="40" t="n">
        <v>22.2276890308898</v>
      </c>
      <c r="G185" s="36" t="n">
        <v>1631.15290940081</v>
      </c>
      <c r="H185" s="36" t="n">
        <v>73.9121820751675</v>
      </c>
      <c r="I185" s="7" t="s">
        <v>24</v>
      </c>
      <c r="J185" s="35" t="s">
        <v>157</v>
      </c>
      <c r="K185" s="35" t="s">
        <v>238</v>
      </c>
      <c r="L185" s="35" t="n">
        <v>32</v>
      </c>
      <c r="M185" s="35" t="s">
        <v>112</v>
      </c>
      <c r="N185" s="35" t="s">
        <v>892</v>
      </c>
      <c r="O185" s="35" t="s">
        <v>113</v>
      </c>
      <c r="P185" s="35" t="s">
        <v>49</v>
      </c>
      <c r="Q185" s="35" t="n">
        <v>0</v>
      </c>
      <c r="R185" s="35"/>
      <c r="S185" s="35" t="s">
        <v>42</v>
      </c>
      <c r="T185" s="35" t="s">
        <v>43</v>
      </c>
      <c r="U185" s="35" t="s">
        <v>112</v>
      </c>
      <c r="V185" s="35"/>
      <c r="W185" s="35"/>
      <c r="X185" s="35" t="s">
        <v>1068</v>
      </c>
      <c r="Y185" s="35" t="n">
        <v>-9.56661</v>
      </c>
      <c r="Z185" s="35" t="n">
        <v>-48.3902465</v>
      </c>
      <c r="AA185" s="49" t="s">
        <v>838</v>
      </c>
      <c r="AB185" s="35" t="s">
        <v>1069</v>
      </c>
    </row>
    <row r="186" customFormat="false" ht="15" hidden="false" customHeight="false" outlineLevel="0" collapsed="false">
      <c r="A186" s="35" t="n">
        <v>185</v>
      </c>
      <c r="B186" s="35" t="s">
        <v>647</v>
      </c>
      <c r="C186" s="35" t="s">
        <v>1085</v>
      </c>
      <c r="D186" s="35" t="s">
        <v>618</v>
      </c>
      <c r="E186" s="35" t="s">
        <v>648</v>
      </c>
      <c r="F186" s="40" t="n">
        <v>47.4421271469551</v>
      </c>
      <c r="G186" s="36" t="n">
        <v>1656.36734751687</v>
      </c>
      <c r="H186" s="36" t="n">
        <v>99.1266201912329</v>
      </c>
      <c r="I186" s="7" t="s">
        <v>24</v>
      </c>
      <c r="J186" s="35" t="s">
        <v>157</v>
      </c>
      <c r="K186" s="35" t="s">
        <v>238</v>
      </c>
      <c r="L186" s="35" t="n">
        <v>32</v>
      </c>
      <c r="M186" s="35" t="s">
        <v>112</v>
      </c>
      <c r="N186" s="35" t="s">
        <v>892</v>
      </c>
      <c r="O186" s="35" t="s">
        <v>113</v>
      </c>
      <c r="P186" s="35" t="s">
        <v>49</v>
      </c>
      <c r="Q186" s="35" t="n">
        <v>0</v>
      </c>
      <c r="R186" s="35"/>
      <c r="S186" s="35" t="s">
        <v>42</v>
      </c>
      <c r="T186" s="35" t="s">
        <v>43</v>
      </c>
      <c r="U186" s="35" t="s">
        <v>112</v>
      </c>
      <c r="V186" s="35"/>
      <c r="W186" s="35"/>
      <c r="X186" s="35" t="s">
        <v>1068</v>
      </c>
      <c r="Y186" s="35" t="n">
        <v>-9.566312</v>
      </c>
      <c r="Z186" s="35" t="n">
        <v>-48.3901485</v>
      </c>
      <c r="AA186" s="49" t="s">
        <v>838</v>
      </c>
      <c r="AB186" s="35" t="s">
        <v>1069</v>
      </c>
    </row>
    <row r="187" customFormat="false" ht="15" hidden="false" customHeight="false" outlineLevel="0" collapsed="false">
      <c r="A187" s="35" t="n">
        <v>186</v>
      </c>
      <c r="B187" s="35" t="s">
        <v>649</v>
      </c>
      <c r="C187" s="35" t="s">
        <v>1086</v>
      </c>
      <c r="D187" s="35" t="s">
        <v>634</v>
      </c>
      <c r="E187" s="35" t="s">
        <v>650</v>
      </c>
      <c r="F187" s="40" t="n">
        <v>38.6302430777457</v>
      </c>
      <c r="G187" s="36" t="n">
        <v>1842.77550817975</v>
      </c>
      <c r="H187" s="36" t="n">
        <v>38.6302430777457</v>
      </c>
      <c r="I187" s="8" t="s">
        <v>25</v>
      </c>
      <c r="J187" s="35" t="s">
        <v>157</v>
      </c>
      <c r="K187" s="35" t="s">
        <v>238</v>
      </c>
      <c r="L187" s="35" t="n">
        <v>33</v>
      </c>
      <c r="M187" s="35" t="s">
        <v>114</v>
      </c>
      <c r="N187" s="35" t="s">
        <v>892</v>
      </c>
      <c r="O187" s="35" t="s">
        <v>115</v>
      </c>
      <c r="P187" s="35" t="s">
        <v>49</v>
      </c>
      <c r="Q187" s="35" t="n">
        <v>0</v>
      </c>
      <c r="R187" s="35"/>
      <c r="S187" s="35" t="s">
        <v>42</v>
      </c>
      <c r="T187" s="35" t="s">
        <v>43</v>
      </c>
      <c r="U187" s="35" t="s">
        <v>112</v>
      </c>
      <c r="V187" s="35" t="s">
        <v>114</v>
      </c>
      <c r="W187" s="35"/>
      <c r="X187" s="35" t="s">
        <v>1087</v>
      </c>
      <c r="Y187" s="35" t="n">
        <v>-9.5663035</v>
      </c>
      <c r="Z187" s="35" t="n">
        <v>-48.3887415</v>
      </c>
      <c r="AA187" s="49" t="s">
        <v>838</v>
      </c>
      <c r="AB187" s="35" t="s">
        <v>1088</v>
      </c>
    </row>
    <row r="188" customFormat="false" ht="15" hidden="false" customHeight="false" outlineLevel="0" collapsed="false">
      <c r="A188" s="35" t="n">
        <v>187</v>
      </c>
      <c r="B188" s="35" t="s">
        <v>651</v>
      </c>
      <c r="C188" s="35" t="s">
        <v>1089</v>
      </c>
      <c r="D188" s="35" t="s">
        <v>650</v>
      </c>
      <c r="E188" s="35" t="s">
        <v>652</v>
      </c>
      <c r="F188" s="40" t="n">
        <v>135.910375320279</v>
      </c>
      <c r="G188" s="36" t="n">
        <v>1978.68588350003</v>
      </c>
      <c r="H188" s="36" t="n">
        <v>174.540618398025</v>
      </c>
      <c r="I188" s="8" t="s">
        <v>25</v>
      </c>
      <c r="J188" s="35" t="s">
        <v>157</v>
      </c>
      <c r="K188" s="35" t="s">
        <v>238</v>
      </c>
      <c r="L188" s="35" t="n">
        <v>33</v>
      </c>
      <c r="M188" s="35" t="s">
        <v>114</v>
      </c>
      <c r="N188" s="35" t="s">
        <v>892</v>
      </c>
      <c r="O188" s="35" t="s">
        <v>115</v>
      </c>
      <c r="P188" s="35" t="s">
        <v>49</v>
      </c>
      <c r="Q188" s="35" t="n">
        <v>0</v>
      </c>
      <c r="R188" s="35"/>
      <c r="S188" s="35" t="s">
        <v>42</v>
      </c>
      <c r="T188" s="35" t="s">
        <v>43</v>
      </c>
      <c r="U188" s="35" t="s">
        <v>112</v>
      </c>
      <c r="V188" s="35" t="s">
        <v>114</v>
      </c>
      <c r="W188" s="35"/>
      <c r="X188" s="35" t="s">
        <v>1087</v>
      </c>
      <c r="Y188" s="35" t="n">
        <v>-9.565565</v>
      </c>
      <c r="Z188" s="35" t="n">
        <v>-48.3884725</v>
      </c>
      <c r="AA188" s="49" t="s">
        <v>838</v>
      </c>
      <c r="AB188" s="35" t="s">
        <v>1088</v>
      </c>
    </row>
    <row r="189" customFormat="false" ht="15" hidden="false" customHeight="false" outlineLevel="0" collapsed="false">
      <c r="A189" s="35" t="n">
        <v>188</v>
      </c>
      <c r="B189" s="35" t="s">
        <v>653</v>
      </c>
      <c r="C189" s="35" t="s">
        <v>1090</v>
      </c>
      <c r="D189" s="35" t="s">
        <v>640</v>
      </c>
      <c r="E189" s="35" t="s">
        <v>654</v>
      </c>
      <c r="F189" s="40" t="n">
        <v>32.9132936716603</v>
      </c>
      <c r="G189" s="36" t="n">
        <v>1832.87852560754</v>
      </c>
      <c r="H189" s="36" t="n">
        <v>32.9132936716603</v>
      </c>
      <c r="I189" s="8" t="s">
        <v>25</v>
      </c>
      <c r="J189" s="35" t="s">
        <v>157</v>
      </c>
      <c r="K189" s="35" t="s">
        <v>238</v>
      </c>
      <c r="L189" s="35" t="n">
        <v>34</v>
      </c>
      <c r="M189" s="35" t="s">
        <v>116</v>
      </c>
      <c r="N189" s="35" t="s">
        <v>892</v>
      </c>
      <c r="O189" s="35" t="s">
        <v>117</v>
      </c>
      <c r="P189" s="35" t="s">
        <v>117</v>
      </c>
      <c r="Q189" s="35" t="n">
        <v>1</v>
      </c>
      <c r="R189" s="35"/>
      <c r="S189" s="35" t="s">
        <v>42</v>
      </c>
      <c r="T189" s="35" t="s">
        <v>43</v>
      </c>
      <c r="U189" s="35" t="s">
        <v>112</v>
      </c>
      <c r="V189" s="35" t="s">
        <v>116</v>
      </c>
      <c r="W189" s="35"/>
      <c r="X189" s="35" t="s">
        <v>1091</v>
      </c>
      <c r="Y189" s="35" t="n">
        <v>-9.567162</v>
      </c>
      <c r="Z189" s="35" t="n">
        <v>-48.3886475</v>
      </c>
      <c r="AA189" s="49" t="s">
        <v>838</v>
      </c>
      <c r="AB189" s="35" t="s">
        <v>1092</v>
      </c>
    </row>
    <row r="190" customFormat="false" ht="15" hidden="false" customHeight="false" outlineLevel="0" collapsed="false">
      <c r="A190" s="35" t="n">
        <v>189</v>
      </c>
      <c r="B190" s="35" t="s">
        <v>655</v>
      </c>
      <c r="C190" s="35" t="s">
        <v>1093</v>
      </c>
      <c r="D190" s="35" t="s">
        <v>654</v>
      </c>
      <c r="E190" s="35" t="s">
        <v>656</v>
      </c>
      <c r="F190" s="40" t="n">
        <v>65.6493904998734</v>
      </c>
      <c r="G190" s="36" t="n">
        <v>1898.52791610742</v>
      </c>
      <c r="H190" s="36" t="n">
        <v>98.5626841715337</v>
      </c>
      <c r="I190" s="8" t="s">
        <v>25</v>
      </c>
      <c r="J190" s="35" t="s">
        <v>157</v>
      </c>
      <c r="K190" s="35" t="s">
        <v>238</v>
      </c>
      <c r="L190" s="35" t="n">
        <v>34</v>
      </c>
      <c r="M190" s="35" t="s">
        <v>116</v>
      </c>
      <c r="N190" s="35" t="s">
        <v>892</v>
      </c>
      <c r="O190" s="35" t="s">
        <v>117</v>
      </c>
      <c r="P190" s="35" t="s">
        <v>117</v>
      </c>
      <c r="Q190" s="35" t="n">
        <v>1</v>
      </c>
      <c r="R190" s="35"/>
      <c r="S190" s="35" t="s">
        <v>42</v>
      </c>
      <c r="T190" s="35" t="s">
        <v>43</v>
      </c>
      <c r="U190" s="35" t="s">
        <v>112</v>
      </c>
      <c r="V190" s="35" t="s">
        <v>116</v>
      </c>
      <c r="W190" s="35"/>
      <c r="X190" s="35" t="s">
        <v>1091</v>
      </c>
      <c r="Y190" s="35" t="n">
        <v>-9.567279</v>
      </c>
      <c r="Z190" s="35" t="n">
        <v>-48.388214</v>
      </c>
      <c r="AA190" s="49" t="s">
        <v>838</v>
      </c>
      <c r="AB190" s="35" t="s">
        <v>1092</v>
      </c>
    </row>
    <row r="191" customFormat="false" ht="15" hidden="false" customHeight="false" outlineLevel="0" collapsed="false">
      <c r="A191" s="35" t="n">
        <v>190</v>
      </c>
      <c r="B191" s="35" t="s">
        <v>657</v>
      </c>
      <c r="C191" s="35" t="s">
        <v>1094</v>
      </c>
      <c r="D191" s="35" t="s">
        <v>656</v>
      </c>
      <c r="E191" s="35" t="s">
        <v>658</v>
      </c>
      <c r="F191" s="40" t="n">
        <v>73.5007884378374</v>
      </c>
      <c r="G191" s="36" t="n">
        <v>1972.02870454525</v>
      </c>
      <c r="H191" s="36" t="n">
        <v>172.063472609371</v>
      </c>
      <c r="I191" s="8" t="s">
        <v>25</v>
      </c>
      <c r="J191" s="35" t="s">
        <v>157</v>
      </c>
      <c r="K191" s="35" t="s">
        <v>238</v>
      </c>
      <c r="L191" s="35" t="n">
        <v>34</v>
      </c>
      <c r="M191" s="35" t="s">
        <v>116</v>
      </c>
      <c r="N191" s="35" t="s">
        <v>892</v>
      </c>
      <c r="O191" s="35" t="s">
        <v>117</v>
      </c>
      <c r="P191" s="35" t="s">
        <v>117</v>
      </c>
      <c r="Q191" s="35" t="n">
        <v>1</v>
      </c>
      <c r="R191" s="35"/>
      <c r="S191" s="35" t="s">
        <v>42</v>
      </c>
      <c r="T191" s="35" t="s">
        <v>43</v>
      </c>
      <c r="U191" s="35" t="s">
        <v>112</v>
      </c>
      <c r="V191" s="35" t="s">
        <v>116</v>
      </c>
      <c r="W191" s="35"/>
      <c r="X191" s="35" t="s">
        <v>1091</v>
      </c>
      <c r="Y191" s="35" t="n">
        <v>-9.567446</v>
      </c>
      <c r="Z191" s="35" t="n">
        <v>-48.3876025</v>
      </c>
      <c r="AA191" s="49" t="s">
        <v>838</v>
      </c>
      <c r="AB191" s="35" t="s">
        <v>1092</v>
      </c>
    </row>
    <row r="192" customFormat="false" ht="15" hidden="false" customHeight="false" outlineLevel="0" collapsed="false">
      <c r="A192" s="35" t="n">
        <v>191</v>
      </c>
      <c r="B192" s="35" t="s">
        <v>659</v>
      </c>
      <c r="C192" s="35" t="s">
        <v>1095</v>
      </c>
      <c r="D192" s="35" t="s">
        <v>658</v>
      </c>
      <c r="E192" s="35" t="s">
        <v>660</v>
      </c>
      <c r="F192" s="40" t="n">
        <v>103.326282140305</v>
      </c>
      <c r="G192" s="36" t="n">
        <v>2075.35498668556</v>
      </c>
      <c r="H192" s="36" t="n">
        <v>275.389754749676</v>
      </c>
      <c r="I192" s="8" t="s">
        <v>25</v>
      </c>
      <c r="J192" s="35" t="s">
        <v>157</v>
      </c>
      <c r="K192" s="35" t="s">
        <v>238</v>
      </c>
      <c r="L192" s="35" t="n">
        <v>34</v>
      </c>
      <c r="M192" s="35" t="s">
        <v>116</v>
      </c>
      <c r="N192" s="35" t="s">
        <v>892</v>
      </c>
      <c r="O192" s="35" t="s">
        <v>117</v>
      </c>
      <c r="P192" s="35" t="s">
        <v>117</v>
      </c>
      <c r="Q192" s="35" t="n">
        <v>1</v>
      </c>
      <c r="R192" s="35"/>
      <c r="S192" s="35" t="s">
        <v>42</v>
      </c>
      <c r="T192" s="35" t="s">
        <v>43</v>
      </c>
      <c r="U192" s="35" t="s">
        <v>112</v>
      </c>
      <c r="V192" s="35" t="s">
        <v>116</v>
      </c>
      <c r="W192" s="35"/>
      <c r="X192" s="35" t="s">
        <v>1091</v>
      </c>
      <c r="Y192" s="35" t="n">
        <v>-9.5676585</v>
      </c>
      <c r="Z192" s="35" t="n">
        <v>-48.3868255</v>
      </c>
      <c r="AA192" s="49" t="s">
        <v>838</v>
      </c>
      <c r="AB192" s="35" t="s">
        <v>1092</v>
      </c>
    </row>
    <row r="193" customFormat="false" ht="15" hidden="false" customHeight="false" outlineLevel="0" collapsed="false">
      <c r="A193" s="35" t="n">
        <v>192</v>
      </c>
      <c r="B193" s="35" t="s">
        <v>661</v>
      </c>
      <c r="C193" s="35" t="s">
        <v>1096</v>
      </c>
      <c r="D193" s="35" t="s">
        <v>660</v>
      </c>
      <c r="E193" s="35" t="s">
        <v>662</v>
      </c>
      <c r="F193" s="40" t="n">
        <v>0.938473716514427</v>
      </c>
      <c r="G193" s="36" t="n">
        <v>2076.29346040207</v>
      </c>
      <c r="H193" s="36" t="n">
        <v>276.328228466191</v>
      </c>
      <c r="I193" s="8" t="s">
        <v>25</v>
      </c>
      <c r="J193" s="35" t="s">
        <v>157</v>
      </c>
      <c r="K193" s="35" t="s">
        <v>238</v>
      </c>
      <c r="L193" s="35" t="n">
        <v>34</v>
      </c>
      <c r="M193" s="35" t="s">
        <v>116</v>
      </c>
      <c r="N193" s="35" t="s">
        <v>892</v>
      </c>
      <c r="O193" s="35" t="s">
        <v>117</v>
      </c>
      <c r="P193" s="35" t="s">
        <v>117</v>
      </c>
      <c r="Q193" s="35" t="n">
        <v>1</v>
      </c>
      <c r="R193" s="35"/>
      <c r="S193" s="35" t="s">
        <v>42</v>
      </c>
      <c r="T193" s="35" t="s">
        <v>43</v>
      </c>
      <c r="U193" s="35" t="s">
        <v>112</v>
      </c>
      <c r="V193" s="35" t="s">
        <v>116</v>
      </c>
      <c r="W193" s="35"/>
      <c r="X193" s="35" t="s">
        <v>1091</v>
      </c>
      <c r="Y193" s="35" t="n">
        <v>-9.5677825</v>
      </c>
      <c r="Z193" s="35" t="n">
        <v>-48.386367</v>
      </c>
      <c r="AA193" s="49" t="s">
        <v>838</v>
      </c>
      <c r="AB193" s="35" t="s">
        <v>1092</v>
      </c>
    </row>
    <row r="194" customFormat="false" ht="15" hidden="false" customHeight="false" outlineLevel="0" collapsed="false">
      <c r="A194" s="35" t="n">
        <v>193</v>
      </c>
      <c r="B194" s="35" t="s">
        <v>663</v>
      </c>
      <c r="C194" s="35" t="s">
        <v>1097</v>
      </c>
      <c r="D194" s="35" t="s">
        <v>662</v>
      </c>
      <c r="E194" s="35" t="s">
        <v>664</v>
      </c>
      <c r="F194" s="40" t="n">
        <v>9.28942562558534</v>
      </c>
      <c r="G194" s="36" t="n">
        <v>2085.58288602766</v>
      </c>
      <c r="H194" s="36" t="n">
        <v>9.28942562558541</v>
      </c>
      <c r="I194" s="9" t="s">
        <v>26</v>
      </c>
      <c r="J194" s="35" t="s">
        <v>157</v>
      </c>
      <c r="K194" s="35" t="s">
        <v>238</v>
      </c>
      <c r="L194" s="35" t="n">
        <v>35</v>
      </c>
      <c r="M194" s="35" t="s">
        <v>117</v>
      </c>
      <c r="N194" s="35" t="s">
        <v>892</v>
      </c>
      <c r="O194" s="35" t="s">
        <v>118</v>
      </c>
      <c r="P194" s="35" t="s">
        <v>49</v>
      </c>
      <c r="Q194" s="35" t="n">
        <v>0</v>
      </c>
      <c r="R194" s="35"/>
      <c r="S194" s="35" t="s">
        <v>42</v>
      </c>
      <c r="T194" s="35" t="s">
        <v>43</v>
      </c>
      <c r="U194" s="35" t="s">
        <v>112</v>
      </c>
      <c r="V194" s="35" t="s">
        <v>116</v>
      </c>
      <c r="W194" s="35" t="s">
        <v>117</v>
      </c>
      <c r="X194" s="35" t="s">
        <v>1098</v>
      </c>
      <c r="Y194" s="35" t="n">
        <v>-9.5677945</v>
      </c>
      <c r="Z194" s="35" t="n">
        <v>-48.386322</v>
      </c>
      <c r="AA194" s="49" t="s">
        <v>838</v>
      </c>
      <c r="AB194" s="35" t="s">
        <v>1099</v>
      </c>
    </row>
    <row r="195" customFormat="false" ht="15" hidden="false" customHeight="false" outlineLevel="0" collapsed="false">
      <c r="A195" s="35" t="n">
        <v>194</v>
      </c>
      <c r="B195" s="35" t="s">
        <v>665</v>
      </c>
      <c r="C195" s="35" t="s">
        <v>1100</v>
      </c>
      <c r="D195" s="35" t="s">
        <v>326</v>
      </c>
      <c r="E195" s="35" t="s">
        <v>666</v>
      </c>
      <c r="F195" s="40" t="n">
        <v>27.3942967138823</v>
      </c>
      <c r="G195" s="36" t="n">
        <v>1562.52502839833</v>
      </c>
      <c r="H195" s="36" t="n">
        <v>113.163670878213</v>
      </c>
      <c r="I195" s="6" t="s">
        <v>23</v>
      </c>
      <c r="J195" s="35" t="s">
        <v>157</v>
      </c>
      <c r="K195" s="35" t="s">
        <v>244</v>
      </c>
      <c r="L195" s="35" t="n">
        <v>36</v>
      </c>
      <c r="M195" s="35" t="s">
        <v>43</v>
      </c>
      <c r="N195" s="35" t="s">
        <v>866</v>
      </c>
      <c r="O195" s="35" t="s">
        <v>121</v>
      </c>
      <c r="P195" s="35" t="s">
        <v>49</v>
      </c>
      <c r="Q195" s="35" t="n">
        <v>0</v>
      </c>
      <c r="R195" s="35"/>
      <c r="S195" s="35" t="s">
        <v>42</v>
      </c>
      <c r="T195" s="35" t="s">
        <v>43</v>
      </c>
      <c r="U195" s="35"/>
      <c r="V195" s="35"/>
      <c r="W195" s="35"/>
      <c r="X195" s="35" t="s">
        <v>868</v>
      </c>
      <c r="Y195" s="35" t="n">
        <v>-9.5663365</v>
      </c>
      <c r="Z195" s="35" t="n">
        <v>-48.3912965</v>
      </c>
      <c r="AA195" s="49" t="s">
        <v>838</v>
      </c>
      <c r="AB195" s="35" t="s">
        <v>869</v>
      </c>
    </row>
    <row r="196" customFormat="false" ht="15" hidden="false" customHeight="false" outlineLevel="0" collapsed="false">
      <c r="A196" s="35" t="n">
        <v>195</v>
      </c>
      <c r="B196" s="35" t="s">
        <v>667</v>
      </c>
      <c r="C196" s="35" t="s">
        <v>1101</v>
      </c>
      <c r="D196" s="35" t="s">
        <v>326</v>
      </c>
      <c r="E196" s="35" t="s">
        <v>668</v>
      </c>
      <c r="F196" s="40" t="n">
        <v>143.663695643763</v>
      </c>
      <c r="G196" s="36" t="n">
        <v>1678.79442732821</v>
      </c>
      <c r="H196" s="36" t="n">
        <v>229.433069808094</v>
      </c>
      <c r="I196" s="6" t="s">
        <v>23</v>
      </c>
      <c r="J196" s="35" t="s">
        <v>157</v>
      </c>
      <c r="K196" s="35" t="s">
        <v>244</v>
      </c>
      <c r="L196" s="35" t="n">
        <v>36</v>
      </c>
      <c r="M196" s="35" t="s">
        <v>43</v>
      </c>
      <c r="N196" s="35" t="s">
        <v>866</v>
      </c>
      <c r="O196" s="35" t="s">
        <v>121</v>
      </c>
      <c r="P196" s="35" t="s">
        <v>1102</v>
      </c>
      <c r="Q196" s="35" t="n">
        <v>6</v>
      </c>
      <c r="R196" s="35"/>
      <c r="S196" s="35" t="s">
        <v>42</v>
      </c>
      <c r="T196" s="35" t="s">
        <v>43</v>
      </c>
      <c r="U196" s="35"/>
      <c r="V196" s="35"/>
      <c r="W196" s="35"/>
      <c r="X196" s="35" t="s">
        <v>868</v>
      </c>
      <c r="Y196" s="35" t="n">
        <v>-9.565604</v>
      </c>
      <c r="Z196" s="35" t="n">
        <v>-48.3910585</v>
      </c>
      <c r="AA196" s="49" t="s">
        <v>838</v>
      </c>
      <c r="AB196" s="35" t="s">
        <v>869</v>
      </c>
    </row>
    <row r="197" customFormat="false" ht="15" hidden="false" customHeight="false" outlineLevel="0" collapsed="false">
      <c r="A197" s="35" t="n">
        <v>196</v>
      </c>
      <c r="B197" s="35" t="s">
        <v>669</v>
      </c>
      <c r="C197" s="35" t="s">
        <v>1103</v>
      </c>
      <c r="D197" s="35" t="s">
        <v>668</v>
      </c>
      <c r="E197" s="35" t="s">
        <v>670</v>
      </c>
      <c r="F197" s="40" t="n">
        <v>18.7884355332532</v>
      </c>
      <c r="G197" s="36" t="n">
        <v>1697.58286286146</v>
      </c>
      <c r="H197" s="36" t="n">
        <v>248.221505341347</v>
      </c>
      <c r="I197" s="6" t="s">
        <v>23</v>
      </c>
      <c r="J197" s="35" t="s">
        <v>157</v>
      </c>
      <c r="K197" s="35" t="s">
        <v>244</v>
      </c>
      <c r="L197" s="35" t="n">
        <v>36</v>
      </c>
      <c r="M197" s="35" t="s">
        <v>43</v>
      </c>
      <c r="N197" s="35" t="s">
        <v>866</v>
      </c>
      <c r="O197" s="35" t="s">
        <v>121</v>
      </c>
      <c r="P197" s="35" t="s">
        <v>1104</v>
      </c>
      <c r="Q197" s="35" t="n">
        <v>5</v>
      </c>
      <c r="R197" s="35"/>
      <c r="S197" s="35" t="s">
        <v>42</v>
      </c>
      <c r="T197" s="35" t="s">
        <v>43</v>
      </c>
      <c r="U197" s="35"/>
      <c r="V197" s="35"/>
      <c r="W197" s="35"/>
      <c r="X197" s="35" t="s">
        <v>868</v>
      </c>
      <c r="Y197" s="35" t="n">
        <v>-9.5649085</v>
      </c>
      <c r="Z197" s="35" t="n">
        <v>-48.390832</v>
      </c>
      <c r="AA197" s="49" t="s">
        <v>838</v>
      </c>
      <c r="AB197" s="35" t="s">
        <v>869</v>
      </c>
    </row>
    <row r="198" customFormat="false" ht="15" hidden="false" customHeight="false" outlineLevel="0" collapsed="false">
      <c r="A198" s="35" t="n">
        <v>197</v>
      </c>
      <c r="B198" s="35" t="s">
        <v>671</v>
      </c>
      <c r="C198" s="35" t="s">
        <v>1105</v>
      </c>
      <c r="D198" s="35" t="s">
        <v>670</v>
      </c>
      <c r="E198" s="35" t="s">
        <v>672</v>
      </c>
      <c r="F198" s="40" t="n">
        <v>3.69254824912324</v>
      </c>
      <c r="G198" s="36" t="n">
        <v>1701.27541111059</v>
      </c>
      <c r="H198" s="36" t="n">
        <v>251.91405359047</v>
      </c>
      <c r="I198" s="6" t="s">
        <v>23</v>
      </c>
      <c r="J198" s="35" t="s">
        <v>157</v>
      </c>
      <c r="K198" s="35" t="s">
        <v>244</v>
      </c>
      <c r="L198" s="35" t="n">
        <v>36</v>
      </c>
      <c r="M198" s="35" t="s">
        <v>43</v>
      </c>
      <c r="N198" s="35" t="s">
        <v>866</v>
      </c>
      <c r="O198" s="35" t="s">
        <v>121</v>
      </c>
      <c r="P198" s="35" t="s">
        <v>1104</v>
      </c>
      <c r="Q198" s="35" t="n">
        <v>5</v>
      </c>
      <c r="R198" s="35"/>
      <c r="S198" s="35" t="s">
        <v>42</v>
      </c>
      <c r="T198" s="35" t="s">
        <v>43</v>
      </c>
      <c r="U198" s="35"/>
      <c r="V198" s="35"/>
      <c r="W198" s="35"/>
      <c r="X198" s="35" t="s">
        <v>868</v>
      </c>
      <c r="Y198" s="35" t="n">
        <v>-9.564812</v>
      </c>
      <c r="Z198" s="35" t="n">
        <v>-48.3908015</v>
      </c>
      <c r="AA198" s="49" t="s">
        <v>838</v>
      </c>
      <c r="AB198" s="35" t="s">
        <v>869</v>
      </c>
    </row>
    <row r="199" customFormat="false" ht="15" hidden="false" customHeight="false" outlineLevel="0" collapsed="false">
      <c r="A199" s="35" t="n">
        <v>198</v>
      </c>
      <c r="B199" s="35" t="s">
        <v>673</v>
      </c>
      <c r="C199" s="35" t="s">
        <v>1106</v>
      </c>
      <c r="D199" s="35" t="s">
        <v>668</v>
      </c>
      <c r="E199" s="35" t="s">
        <v>674</v>
      </c>
      <c r="F199" s="40" t="n">
        <v>33.2303090827683</v>
      </c>
      <c r="G199" s="36" t="n">
        <v>1712.02473641098</v>
      </c>
      <c r="H199" s="36" t="n">
        <v>262.663378890862</v>
      </c>
      <c r="I199" s="6" t="s">
        <v>23</v>
      </c>
      <c r="J199" s="35" t="s">
        <v>157</v>
      </c>
      <c r="K199" s="35" t="s">
        <v>244</v>
      </c>
      <c r="L199" s="35" t="n">
        <v>36</v>
      </c>
      <c r="M199" s="35" t="s">
        <v>43</v>
      </c>
      <c r="N199" s="35" t="s">
        <v>866</v>
      </c>
      <c r="O199" s="35" t="s">
        <v>121</v>
      </c>
      <c r="P199" s="35" t="s">
        <v>49</v>
      </c>
      <c r="Q199" s="35" t="n">
        <v>0</v>
      </c>
      <c r="R199" s="35"/>
      <c r="S199" s="35" t="s">
        <v>42</v>
      </c>
      <c r="T199" s="35" t="s">
        <v>43</v>
      </c>
      <c r="U199" s="35"/>
      <c r="V199" s="35"/>
      <c r="W199" s="35"/>
      <c r="X199" s="35" t="s">
        <v>868</v>
      </c>
      <c r="Y199" s="35" t="n">
        <v>-9.565029</v>
      </c>
      <c r="Z199" s="35" t="n">
        <v>-48.390712</v>
      </c>
      <c r="AA199" s="49" t="s">
        <v>838</v>
      </c>
      <c r="AB199" s="35" t="s">
        <v>869</v>
      </c>
    </row>
    <row r="200" customFormat="false" ht="15" hidden="false" customHeight="false" outlineLevel="0" collapsed="false">
      <c r="A200" s="35" t="n">
        <v>199</v>
      </c>
      <c r="B200" s="35" t="s">
        <v>675</v>
      </c>
      <c r="C200" s="35" t="s">
        <v>1107</v>
      </c>
      <c r="D200" s="35" t="s">
        <v>668</v>
      </c>
      <c r="E200" s="35" t="s">
        <v>676</v>
      </c>
      <c r="F200" s="40" t="n">
        <v>24.3515150340114</v>
      </c>
      <c r="G200" s="36" t="n">
        <v>1703.14594236222</v>
      </c>
      <c r="H200" s="36" t="n">
        <v>253.784584842105</v>
      </c>
      <c r="I200" s="6" t="s">
        <v>23</v>
      </c>
      <c r="J200" s="35" t="s">
        <v>157</v>
      </c>
      <c r="K200" s="35" t="s">
        <v>244</v>
      </c>
      <c r="L200" s="35" t="n">
        <v>36</v>
      </c>
      <c r="M200" s="35" t="s">
        <v>43</v>
      </c>
      <c r="N200" s="35" t="s">
        <v>866</v>
      </c>
      <c r="O200" s="35" t="s">
        <v>121</v>
      </c>
      <c r="P200" s="35" t="s">
        <v>133</v>
      </c>
      <c r="Q200" s="35" t="n">
        <v>1</v>
      </c>
      <c r="R200" s="35"/>
      <c r="S200" s="35" t="s">
        <v>42</v>
      </c>
      <c r="T200" s="35" t="s">
        <v>43</v>
      </c>
      <c r="U200" s="35"/>
      <c r="V200" s="35"/>
      <c r="W200" s="35"/>
      <c r="X200" s="35" t="s">
        <v>868</v>
      </c>
      <c r="Y200" s="35" t="n">
        <v>-9.564958</v>
      </c>
      <c r="Z200" s="35" t="n">
        <v>-48.3909645</v>
      </c>
      <c r="AA200" s="49" t="s">
        <v>838</v>
      </c>
      <c r="AB200" s="35" t="s">
        <v>869</v>
      </c>
    </row>
    <row r="201" customFormat="false" ht="15" hidden="false" customHeight="false" outlineLevel="0" collapsed="false">
      <c r="A201" s="35" t="n">
        <v>200</v>
      </c>
      <c r="B201" s="35" t="s">
        <v>677</v>
      </c>
      <c r="C201" s="35" t="s">
        <v>1108</v>
      </c>
      <c r="D201" s="35" t="s">
        <v>676</v>
      </c>
      <c r="E201" s="35" t="s">
        <v>678</v>
      </c>
      <c r="F201" s="40" t="n">
        <v>4.68945564877437</v>
      </c>
      <c r="G201" s="36" t="n">
        <v>1707.835398011</v>
      </c>
      <c r="H201" s="36" t="n">
        <v>258.47404049088</v>
      </c>
      <c r="I201" s="6" t="s">
        <v>23</v>
      </c>
      <c r="J201" s="35" t="s">
        <v>157</v>
      </c>
      <c r="K201" s="35" t="s">
        <v>244</v>
      </c>
      <c r="L201" s="35" t="n">
        <v>36</v>
      </c>
      <c r="M201" s="35" t="s">
        <v>43</v>
      </c>
      <c r="N201" s="35" t="s">
        <v>866</v>
      </c>
      <c r="O201" s="35" t="s">
        <v>121</v>
      </c>
      <c r="P201" s="35" t="s">
        <v>133</v>
      </c>
      <c r="Q201" s="35" t="n">
        <v>1</v>
      </c>
      <c r="R201" s="35"/>
      <c r="S201" s="35" t="s">
        <v>42</v>
      </c>
      <c r="T201" s="35" t="s">
        <v>43</v>
      </c>
      <c r="U201" s="35"/>
      <c r="V201" s="35"/>
      <c r="W201" s="35"/>
      <c r="X201" s="35" t="s">
        <v>868</v>
      </c>
      <c r="Y201" s="35" t="n">
        <v>-9.564921</v>
      </c>
      <c r="Z201" s="35" t="n">
        <v>-48.3910915</v>
      </c>
      <c r="AA201" s="49" t="s">
        <v>838</v>
      </c>
      <c r="AB201" s="35" t="s">
        <v>869</v>
      </c>
    </row>
    <row r="202" customFormat="false" ht="15" hidden="false" customHeight="false" outlineLevel="0" collapsed="false">
      <c r="A202" s="35" t="n">
        <v>201</v>
      </c>
      <c r="B202" s="35" t="s">
        <v>679</v>
      </c>
      <c r="C202" s="35" t="s">
        <v>1109</v>
      </c>
      <c r="D202" s="35" t="s">
        <v>672</v>
      </c>
      <c r="E202" s="35" t="s">
        <v>680</v>
      </c>
      <c r="F202" s="40" t="n">
        <v>127.167627972434</v>
      </c>
      <c r="G202" s="36" t="n">
        <v>1828.44303908302</v>
      </c>
      <c r="H202" s="36" t="n">
        <v>127.167627972435</v>
      </c>
      <c r="I202" s="7" t="s">
        <v>24</v>
      </c>
      <c r="J202" s="35" t="s">
        <v>157</v>
      </c>
      <c r="K202" s="35" t="s">
        <v>244</v>
      </c>
      <c r="L202" s="35" t="n">
        <v>37</v>
      </c>
      <c r="M202" s="35" t="s">
        <v>122</v>
      </c>
      <c r="N202" s="35" t="s">
        <v>892</v>
      </c>
      <c r="O202" s="35" t="s">
        <v>123</v>
      </c>
      <c r="P202" s="35" t="s">
        <v>1110</v>
      </c>
      <c r="Q202" s="35" t="n">
        <v>4</v>
      </c>
      <c r="R202" s="35"/>
      <c r="S202" s="35" t="s">
        <v>42</v>
      </c>
      <c r="T202" s="35" t="s">
        <v>43</v>
      </c>
      <c r="U202" s="35" t="s">
        <v>122</v>
      </c>
      <c r="V202" s="35"/>
      <c r="W202" s="35"/>
      <c r="X202" s="35" t="s">
        <v>1111</v>
      </c>
      <c r="Y202" s="35" t="n">
        <v>-9.564249</v>
      </c>
      <c r="Z202" s="35" t="n">
        <v>-48.390628</v>
      </c>
      <c r="AA202" s="49" t="s">
        <v>838</v>
      </c>
      <c r="AB202" s="35" t="s">
        <v>1112</v>
      </c>
    </row>
    <row r="203" customFormat="false" ht="15" hidden="false" customHeight="false" outlineLevel="0" collapsed="false">
      <c r="A203" s="35" t="n">
        <v>202</v>
      </c>
      <c r="B203" s="35" t="s">
        <v>681</v>
      </c>
      <c r="C203" s="35" t="s">
        <v>1113</v>
      </c>
      <c r="D203" s="35" t="s">
        <v>680</v>
      </c>
      <c r="E203" s="35" t="s">
        <v>682</v>
      </c>
      <c r="F203" s="40" t="n">
        <v>49.1913786034873</v>
      </c>
      <c r="G203" s="36" t="n">
        <v>1877.63441768651</v>
      </c>
      <c r="H203" s="36" t="n">
        <v>176.359006575922</v>
      </c>
      <c r="I203" s="7" t="s">
        <v>24</v>
      </c>
      <c r="J203" s="35" t="s">
        <v>157</v>
      </c>
      <c r="K203" s="35" t="s">
        <v>244</v>
      </c>
      <c r="L203" s="35" t="n">
        <v>37</v>
      </c>
      <c r="M203" s="35" t="s">
        <v>122</v>
      </c>
      <c r="N203" s="35" t="s">
        <v>892</v>
      </c>
      <c r="O203" s="35" t="s">
        <v>123</v>
      </c>
      <c r="P203" s="35" t="s">
        <v>1110</v>
      </c>
      <c r="Q203" s="35" t="n">
        <v>4</v>
      </c>
      <c r="R203" s="35"/>
      <c r="S203" s="35" t="s">
        <v>42</v>
      </c>
      <c r="T203" s="35" t="s">
        <v>43</v>
      </c>
      <c r="U203" s="35" t="s">
        <v>122</v>
      </c>
      <c r="V203" s="35"/>
      <c r="W203" s="35"/>
      <c r="X203" s="35" t="s">
        <v>1111</v>
      </c>
      <c r="Y203" s="35" t="n">
        <v>-9.56349</v>
      </c>
      <c r="Z203" s="35" t="n">
        <v>-48.390395</v>
      </c>
      <c r="AA203" s="49" t="s">
        <v>838</v>
      </c>
      <c r="AB203" s="35" t="s">
        <v>1112</v>
      </c>
    </row>
    <row r="204" customFormat="false" ht="15" hidden="false" customHeight="false" outlineLevel="0" collapsed="false">
      <c r="A204" s="35" t="n">
        <v>203</v>
      </c>
      <c r="B204" s="35" t="s">
        <v>683</v>
      </c>
      <c r="C204" s="35" t="s">
        <v>1114</v>
      </c>
      <c r="D204" s="35" t="s">
        <v>682</v>
      </c>
      <c r="E204" s="35" t="s">
        <v>684</v>
      </c>
      <c r="F204" s="40" t="n">
        <v>194.319207343503</v>
      </c>
      <c r="G204" s="36" t="n">
        <v>2071.95362503001</v>
      </c>
      <c r="H204" s="36" t="n">
        <v>370.678213919425</v>
      </c>
      <c r="I204" s="7" t="s">
        <v>24</v>
      </c>
      <c r="J204" s="35" t="s">
        <v>157</v>
      </c>
      <c r="K204" s="35" t="s">
        <v>244</v>
      </c>
      <c r="L204" s="35" t="n">
        <v>37</v>
      </c>
      <c r="M204" s="35" t="s">
        <v>122</v>
      </c>
      <c r="N204" s="35" t="s">
        <v>892</v>
      </c>
      <c r="O204" s="35" t="s">
        <v>123</v>
      </c>
      <c r="P204" s="35" t="s">
        <v>1115</v>
      </c>
      <c r="Q204" s="35" t="n">
        <v>3</v>
      </c>
      <c r="R204" s="35"/>
      <c r="S204" s="35" t="s">
        <v>42</v>
      </c>
      <c r="T204" s="35" t="s">
        <v>43</v>
      </c>
      <c r="U204" s="35" t="s">
        <v>122</v>
      </c>
      <c r="V204" s="35"/>
      <c r="W204" s="35"/>
      <c r="X204" s="35" t="s">
        <v>1111</v>
      </c>
      <c r="Y204" s="35" t="n">
        <v>-9.562439</v>
      </c>
      <c r="Z204" s="35" t="n">
        <v>-48.3900835</v>
      </c>
      <c r="AA204" s="49" t="s">
        <v>838</v>
      </c>
      <c r="AB204" s="35" t="s">
        <v>1112</v>
      </c>
    </row>
    <row r="205" customFormat="false" ht="15" hidden="false" customHeight="false" outlineLevel="0" collapsed="false">
      <c r="A205" s="35" t="n">
        <v>204</v>
      </c>
      <c r="B205" s="35" t="s">
        <v>685</v>
      </c>
      <c r="C205" s="35" t="s">
        <v>1116</v>
      </c>
      <c r="D205" s="35" t="s">
        <v>684</v>
      </c>
      <c r="E205" s="35" t="s">
        <v>686</v>
      </c>
      <c r="F205" s="40" t="n">
        <v>110.495207687469</v>
      </c>
      <c r="G205" s="36" t="n">
        <v>2182.44883271748</v>
      </c>
      <c r="H205" s="36" t="n">
        <v>481.173421606894</v>
      </c>
      <c r="I205" s="7" t="s">
        <v>24</v>
      </c>
      <c r="J205" s="35" t="s">
        <v>157</v>
      </c>
      <c r="K205" s="35" t="s">
        <v>244</v>
      </c>
      <c r="L205" s="35" t="n">
        <v>37</v>
      </c>
      <c r="M205" s="35" t="s">
        <v>122</v>
      </c>
      <c r="N205" s="35" t="s">
        <v>892</v>
      </c>
      <c r="O205" s="35" t="s">
        <v>123</v>
      </c>
      <c r="P205" s="35" t="s">
        <v>1115</v>
      </c>
      <c r="Q205" s="35" t="n">
        <v>3</v>
      </c>
      <c r="R205" s="35"/>
      <c r="S205" s="35" t="s">
        <v>42</v>
      </c>
      <c r="T205" s="35" t="s">
        <v>43</v>
      </c>
      <c r="U205" s="35" t="s">
        <v>122</v>
      </c>
      <c r="V205" s="35"/>
      <c r="W205" s="35"/>
      <c r="X205" s="35" t="s">
        <v>1111</v>
      </c>
      <c r="Y205" s="35" t="n">
        <v>-9.5611205</v>
      </c>
      <c r="Z205" s="35" t="n">
        <v>-48.389704</v>
      </c>
      <c r="AA205" s="49" t="s">
        <v>838</v>
      </c>
      <c r="AB205" s="35" t="s">
        <v>1112</v>
      </c>
    </row>
    <row r="206" customFormat="false" ht="15" hidden="false" customHeight="false" outlineLevel="0" collapsed="false">
      <c r="A206" s="35" t="n">
        <v>205</v>
      </c>
      <c r="B206" s="35" t="s">
        <v>687</v>
      </c>
      <c r="C206" s="35" t="s">
        <v>1117</v>
      </c>
      <c r="D206" s="35" t="s">
        <v>686</v>
      </c>
      <c r="E206" s="35" t="s">
        <v>688</v>
      </c>
      <c r="F206" s="40" t="n">
        <v>87.1994358702956</v>
      </c>
      <c r="G206" s="36" t="n">
        <v>2269.64826858778</v>
      </c>
      <c r="H206" s="36" t="n">
        <v>568.37285747719</v>
      </c>
      <c r="I206" s="7" t="s">
        <v>24</v>
      </c>
      <c r="J206" s="35" t="s">
        <v>157</v>
      </c>
      <c r="K206" s="35" t="s">
        <v>244</v>
      </c>
      <c r="L206" s="35" t="n">
        <v>37</v>
      </c>
      <c r="M206" s="35" t="s">
        <v>122</v>
      </c>
      <c r="N206" s="35" t="s">
        <v>892</v>
      </c>
      <c r="O206" s="35" t="s">
        <v>123</v>
      </c>
      <c r="P206" s="35" t="s">
        <v>1118</v>
      </c>
      <c r="Q206" s="35" t="n">
        <v>2</v>
      </c>
      <c r="R206" s="35"/>
      <c r="S206" s="35" t="s">
        <v>42</v>
      </c>
      <c r="T206" s="35" t="s">
        <v>43</v>
      </c>
      <c r="U206" s="35" t="s">
        <v>122</v>
      </c>
      <c r="V206" s="35"/>
      <c r="W206" s="35"/>
      <c r="X206" s="35" t="s">
        <v>1111</v>
      </c>
      <c r="Y206" s="35" t="n">
        <v>-9.5602635</v>
      </c>
      <c r="Z206" s="35" t="n">
        <v>-48.3894645</v>
      </c>
      <c r="AA206" s="49" t="s">
        <v>838</v>
      </c>
      <c r="AB206" s="35" t="s">
        <v>1112</v>
      </c>
    </row>
    <row r="207" customFormat="false" ht="15" hidden="false" customHeight="false" outlineLevel="0" collapsed="false">
      <c r="A207" s="35" t="n">
        <v>206</v>
      </c>
      <c r="B207" s="35" t="s">
        <v>689</v>
      </c>
      <c r="C207" s="35" t="s">
        <v>1119</v>
      </c>
      <c r="D207" s="35" t="s">
        <v>688</v>
      </c>
      <c r="E207" s="35" t="s">
        <v>690</v>
      </c>
      <c r="F207" s="40" t="n">
        <v>9.55676208629375</v>
      </c>
      <c r="G207" s="36" t="n">
        <v>2279.20503067407</v>
      </c>
      <c r="H207" s="36" t="n">
        <v>577.929619563484</v>
      </c>
      <c r="I207" s="7" t="s">
        <v>24</v>
      </c>
      <c r="J207" s="35" t="s">
        <v>157</v>
      </c>
      <c r="K207" s="35" t="s">
        <v>244</v>
      </c>
      <c r="L207" s="35" t="n">
        <v>37</v>
      </c>
      <c r="M207" s="35" t="s">
        <v>122</v>
      </c>
      <c r="N207" s="35" t="s">
        <v>892</v>
      </c>
      <c r="O207" s="35" t="s">
        <v>123</v>
      </c>
      <c r="P207" s="35" t="s">
        <v>49</v>
      </c>
      <c r="Q207" s="35" t="n">
        <v>0</v>
      </c>
      <c r="R207" s="35"/>
      <c r="S207" s="35" t="s">
        <v>42</v>
      </c>
      <c r="T207" s="35" t="s">
        <v>43</v>
      </c>
      <c r="U207" s="35" t="s">
        <v>122</v>
      </c>
      <c r="V207" s="35"/>
      <c r="W207" s="35"/>
      <c r="X207" s="35" t="s">
        <v>1111</v>
      </c>
      <c r="Y207" s="35" t="n">
        <v>-9.5598955</v>
      </c>
      <c r="Z207" s="35" t="n">
        <v>-48.3893145</v>
      </c>
      <c r="AA207" s="49" t="s">
        <v>838</v>
      </c>
      <c r="AB207" s="35" t="s">
        <v>1112</v>
      </c>
    </row>
    <row r="208" customFormat="false" ht="15" hidden="false" customHeight="false" outlineLevel="0" collapsed="false">
      <c r="A208" s="35" t="n">
        <v>207</v>
      </c>
      <c r="B208" s="35" t="s">
        <v>691</v>
      </c>
      <c r="C208" s="35" t="s">
        <v>1120</v>
      </c>
      <c r="D208" s="35" t="s">
        <v>688</v>
      </c>
      <c r="E208" s="35" t="s">
        <v>692</v>
      </c>
      <c r="F208" s="40" t="n">
        <v>61.8847207380486</v>
      </c>
      <c r="G208" s="36" t="n">
        <v>2331.53298932582</v>
      </c>
      <c r="H208" s="36" t="n">
        <v>630.257578215238</v>
      </c>
      <c r="I208" s="7" t="s">
        <v>24</v>
      </c>
      <c r="J208" s="35" t="s">
        <v>157</v>
      </c>
      <c r="K208" s="35" t="s">
        <v>244</v>
      </c>
      <c r="L208" s="35" t="n">
        <v>37</v>
      </c>
      <c r="M208" s="35" t="s">
        <v>122</v>
      </c>
      <c r="N208" s="35" t="s">
        <v>892</v>
      </c>
      <c r="O208" s="35" t="s">
        <v>123</v>
      </c>
      <c r="P208" s="35" t="s">
        <v>1118</v>
      </c>
      <c r="Q208" s="35" t="n">
        <v>2</v>
      </c>
      <c r="R208" s="35"/>
      <c r="S208" s="35" t="s">
        <v>42</v>
      </c>
      <c r="T208" s="35" t="s">
        <v>43</v>
      </c>
      <c r="U208" s="35" t="s">
        <v>122</v>
      </c>
      <c r="V208" s="35"/>
      <c r="W208" s="35"/>
      <c r="X208" s="35" t="s">
        <v>1111</v>
      </c>
      <c r="Y208" s="35" t="n">
        <v>-9.559619</v>
      </c>
      <c r="Z208" s="35" t="n">
        <v>-48.3892775</v>
      </c>
      <c r="AA208" s="49" t="s">
        <v>838</v>
      </c>
      <c r="AB208" s="35" t="s">
        <v>1112</v>
      </c>
    </row>
    <row r="209" customFormat="false" ht="15" hidden="false" customHeight="false" outlineLevel="0" collapsed="false">
      <c r="A209" s="35" t="n">
        <v>208</v>
      </c>
      <c r="B209" s="35" t="s">
        <v>693</v>
      </c>
      <c r="C209" s="35" t="s">
        <v>1121</v>
      </c>
      <c r="D209" s="35" t="s">
        <v>692</v>
      </c>
      <c r="E209" s="35" t="s">
        <v>694</v>
      </c>
      <c r="F209" s="40" t="n">
        <v>125.019790751856</v>
      </c>
      <c r="G209" s="36" t="n">
        <v>2456.55278007768</v>
      </c>
      <c r="H209" s="36" t="n">
        <v>755.277368967094</v>
      </c>
      <c r="I209" s="7" t="s">
        <v>24</v>
      </c>
      <c r="J209" s="35" t="s">
        <v>157</v>
      </c>
      <c r="K209" s="35" t="s">
        <v>244</v>
      </c>
      <c r="L209" s="35" t="n">
        <v>37</v>
      </c>
      <c r="M209" s="35" t="s">
        <v>122</v>
      </c>
      <c r="N209" s="35" t="s">
        <v>892</v>
      </c>
      <c r="O209" s="35" t="s">
        <v>123</v>
      </c>
      <c r="P209" s="35" t="s">
        <v>1118</v>
      </c>
      <c r="Q209" s="35" t="n">
        <v>2</v>
      </c>
      <c r="R209" s="35"/>
      <c r="S209" s="35" t="s">
        <v>42</v>
      </c>
      <c r="T209" s="35" t="s">
        <v>43</v>
      </c>
      <c r="U209" s="35" t="s">
        <v>122</v>
      </c>
      <c r="V209" s="35"/>
      <c r="W209" s="35"/>
      <c r="X209" s="35" t="s">
        <v>1111</v>
      </c>
      <c r="Y209" s="35" t="n">
        <v>-9.558812</v>
      </c>
      <c r="Z209" s="35" t="n">
        <v>-48.3890395</v>
      </c>
      <c r="AA209" s="49" t="s">
        <v>838</v>
      </c>
      <c r="AB209" s="35" t="s">
        <v>1112</v>
      </c>
    </row>
    <row r="210" customFormat="false" ht="15" hidden="false" customHeight="false" outlineLevel="0" collapsed="false">
      <c r="A210" s="35" t="n">
        <v>209</v>
      </c>
      <c r="B210" s="35" t="s">
        <v>695</v>
      </c>
      <c r="C210" s="35" t="s">
        <v>1122</v>
      </c>
      <c r="D210" s="35" t="s">
        <v>694</v>
      </c>
      <c r="E210" s="35" t="s">
        <v>696</v>
      </c>
      <c r="F210" s="40" t="n">
        <v>17.8539669234972</v>
      </c>
      <c r="G210" s="36" t="n">
        <v>2474.40674700118</v>
      </c>
      <c r="H210" s="36" t="n">
        <v>773.131335890591</v>
      </c>
      <c r="I210" s="7" t="s">
        <v>24</v>
      </c>
      <c r="J210" s="35" t="s">
        <v>157</v>
      </c>
      <c r="K210" s="35" t="s">
        <v>244</v>
      </c>
      <c r="L210" s="35" t="n">
        <v>37</v>
      </c>
      <c r="M210" s="35" t="s">
        <v>122</v>
      </c>
      <c r="N210" s="35" t="s">
        <v>892</v>
      </c>
      <c r="O210" s="35" t="s">
        <v>123</v>
      </c>
      <c r="P210" s="35" t="s">
        <v>124</v>
      </c>
      <c r="Q210" s="35" t="n">
        <v>1</v>
      </c>
      <c r="R210" s="35"/>
      <c r="S210" s="35" t="s">
        <v>42</v>
      </c>
      <c r="T210" s="35" t="s">
        <v>43</v>
      </c>
      <c r="U210" s="35" t="s">
        <v>122</v>
      </c>
      <c r="V210" s="35"/>
      <c r="W210" s="35"/>
      <c r="X210" s="35" t="s">
        <v>1111</v>
      </c>
      <c r="Y210" s="35" t="n">
        <v>-9.558295</v>
      </c>
      <c r="Z210" s="35" t="n">
        <v>-48.388803</v>
      </c>
      <c r="AA210" s="49" t="s">
        <v>838</v>
      </c>
      <c r="AB210" s="35" t="s">
        <v>1112</v>
      </c>
    </row>
    <row r="211" customFormat="false" ht="15" hidden="false" customHeight="false" outlineLevel="0" collapsed="false">
      <c r="A211" s="35" t="n">
        <v>210</v>
      </c>
      <c r="B211" s="35" t="s">
        <v>697</v>
      </c>
      <c r="C211" s="35" t="s">
        <v>1123</v>
      </c>
      <c r="D211" s="35" t="s">
        <v>696</v>
      </c>
      <c r="E211" s="35" t="s">
        <v>698</v>
      </c>
      <c r="F211" s="40" t="n">
        <v>1.59825323295863</v>
      </c>
      <c r="G211" s="36" t="n">
        <v>2476.00500023414</v>
      </c>
      <c r="H211" s="36" t="n">
        <v>774.72958912355</v>
      </c>
      <c r="I211" s="7" t="s">
        <v>24</v>
      </c>
      <c r="J211" s="35" t="s">
        <v>157</v>
      </c>
      <c r="K211" s="35" t="s">
        <v>244</v>
      </c>
      <c r="L211" s="35" t="n">
        <v>37</v>
      </c>
      <c r="M211" s="35" t="s">
        <v>122</v>
      </c>
      <c r="N211" s="35" t="s">
        <v>892</v>
      </c>
      <c r="O211" s="35" t="s">
        <v>123</v>
      </c>
      <c r="P211" s="35" t="s">
        <v>124</v>
      </c>
      <c r="Q211" s="35" t="n">
        <v>1</v>
      </c>
      <c r="R211" s="35"/>
      <c r="S211" s="35" t="s">
        <v>42</v>
      </c>
      <c r="T211" s="35" t="s">
        <v>43</v>
      </c>
      <c r="U211" s="35" t="s">
        <v>122</v>
      </c>
      <c r="V211" s="35"/>
      <c r="W211" s="35"/>
      <c r="X211" s="35" t="s">
        <v>1111</v>
      </c>
      <c r="Y211" s="35" t="n">
        <v>-9.558316</v>
      </c>
      <c r="Z211" s="35" t="n">
        <v>-48.388732</v>
      </c>
      <c r="AA211" s="49" t="s">
        <v>838</v>
      </c>
      <c r="AB211" s="35" t="s">
        <v>1112</v>
      </c>
    </row>
    <row r="212" customFormat="false" ht="15" hidden="false" customHeight="false" outlineLevel="0" collapsed="false">
      <c r="A212" s="35" t="n">
        <v>211</v>
      </c>
      <c r="B212" s="35" t="s">
        <v>699</v>
      </c>
      <c r="C212" s="35" t="s">
        <v>1124</v>
      </c>
      <c r="D212" s="35" t="s">
        <v>694</v>
      </c>
      <c r="E212" s="35" t="s">
        <v>700</v>
      </c>
      <c r="F212" s="40" t="n">
        <v>18.6851889415873</v>
      </c>
      <c r="G212" s="36" t="n">
        <v>2475.23796901927</v>
      </c>
      <c r="H212" s="36" t="n">
        <v>773.962557908681</v>
      </c>
      <c r="I212" s="7" t="s">
        <v>24</v>
      </c>
      <c r="J212" s="35" t="s">
        <v>157</v>
      </c>
      <c r="K212" s="35" t="s">
        <v>244</v>
      </c>
      <c r="L212" s="35" t="n">
        <v>37</v>
      </c>
      <c r="M212" s="35" t="s">
        <v>122</v>
      </c>
      <c r="N212" s="35" t="s">
        <v>892</v>
      </c>
      <c r="O212" s="35" t="s">
        <v>123</v>
      </c>
      <c r="P212" s="35" t="s">
        <v>49</v>
      </c>
      <c r="Q212" s="35" t="n">
        <v>0</v>
      </c>
      <c r="R212" s="35"/>
      <c r="S212" s="35" t="s">
        <v>42</v>
      </c>
      <c r="T212" s="35" t="s">
        <v>43</v>
      </c>
      <c r="U212" s="35" t="s">
        <v>122</v>
      </c>
      <c r="V212" s="35"/>
      <c r="W212" s="35"/>
      <c r="X212" s="35" t="s">
        <v>1111</v>
      </c>
      <c r="Y212" s="35" t="n">
        <v>-9.5582475</v>
      </c>
      <c r="Z212" s="35" t="n">
        <v>-48.3889625</v>
      </c>
      <c r="AA212" s="49" t="s">
        <v>838</v>
      </c>
      <c r="AB212" s="35" t="s">
        <v>1112</v>
      </c>
    </row>
    <row r="213" customFormat="false" ht="15" hidden="false" customHeight="false" outlineLevel="0" collapsed="false">
      <c r="A213" s="35" t="n">
        <v>212</v>
      </c>
      <c r="B213" s="35" t="s">
        <v>701</v>
      </c>
      <c r="C213" s="35" t="s">
        <v>1125</v>
      </c>
      <c r="D213" s="35" t="s">
        <v>694</v>
      </c>
      <c r="E213" s="35" t="s">
        <v>702</v>
      </c>
      <c r="F213" s="40" t="n">
        <v>104.239253298166</v>
      </c>
      <c r="G213" s="36" t="n">
        <v>2560.79203337585</v>
      </c>
      <c r="H213" s="36" t="n">
        <v>859.51662226526</v>
      </c>
      <c r="I213" s="7" t="s">
        <v>24</v>
      </c>
      <c r="J213" s="35" t="s">
        <v>157</v>
      </c>
      <c r="K213" s="35" t="s">
        <v>244</v>
      </c>
      <c r="L213" s="35" t="n">
        <v>37</v>
      </c>
      <c r="M213" s="35" t="s">
        <v>122</v>
      </c>
      <c r="N213" s="35" t="s">
        <v>892</v>
      </c>
      <c r="O213" s="35" t="s">
        <v>123</v>
      </c>
      <c r="P213" s="35" t="s">
        <v>127</v>
      </c>
      <c r="Q213" s="35" t="n">
        <v>1</v>
      </c>
      <c r="R213" s="35"/>
      <c r="S213" s="35" t="s">
        <v>42</v>
      </c>
      <c r="T213" s="35" t="s">
        <v>43</v>
      </c>
      <c r="U213" s="35" t="s">
        <v>122</v>
      </c>
      <c r="V213" s="35"/>
      <c r="W213" s="35"/>
      <c r="X213" s="35" t="s">
        <v>1111</v>
      </c>
      <c r="Y213" s="35" t="n">
        <v>-9.557822</v>
      </c>
      <c r="Z213" s="35" t="n">
        <v>-48.388748</v>
      </c>
      <c r="AA213" s="49" t="s">
        <v>838</v>
      </c>
      <c r="AB213" s="35" t="s">
        <v>1112</v>
      </c>
    </row>
    <row r="214" customFormat="false" ht="15" hidden="false" customHeight="false" outlineLevel="0" collapsed="false">
      <c r="A214" s="35" t="n">
        <v>213</v>
      </c>
      <c r="B214" s="35" t="s">
        <v>703</v>
      </c>
      <c r="C214" s="35" t="s">
        <v>1126</v>
      </c>
      <c r="D214" s="35" t="s">
        <v>702</v>
      </c>
      <c r="E214" s="35" t="s">
        <v>704</v>
      </c>
      <c r="F214" s="40" t="n">
        <v>4.07444723132601</v>
      </c>
      <c r="G214" s="36" t="n">
        <v>2564.86648060717</v>
      </c>
      <c r="H214" s="36" t="n">
        <v>863.591069496586</v>
      </c>
      <c r="I214" s="7" t="s">
        <v>24</v>
      </c>
      <c r="J214" s="35" t="s">
        <v>157</v>
      </c>
      <c r="K214" s="35" t="s">
        <v>244</v>
      </c>
      <c r="L214" s="35" t="n">
        <v>37</v>
      </c>
      <c r="M214" s="35" t="s">
        <v>122</v>
      </c>
      <c r="N214" s="35" t="s">
        <v>892</v>
      </c>
      <c r="O214" s="35" t="s">
        <v>123</v>
      </c>
      <c r="P214" s="35" t="s">
        <v>127</v>
      </c>
      <c r="Q214" s="35" t="n">
        <v>1</v>
      </c>
      <c r="R214" s="35"/>
      <c r="S214" s="35" t="s">
        <v>42</v>
      </c>
      <c r="T214" s="35" t="s">
        <v>43</v>
      </c>
      <c r="U214" s="35" t="s">
        <v>122</v>
      </c>
      <c r="V214" s="35"/>
      <c r="W214" s="35"/>
      <c r="X214" s="35" t="s">
        <v>1111</v>
      </c>
      <c r="Y214" s="35" t="n">
        <v>-9.5573545</v>
      </c>
      <c r="Z214" s="35" t="n">
        <v>-48.3886095</v>
      </c>
      <c r="AA214" s="49" t="s">
        <v>838</v>
      </c>
      <c r="AB214" s="35" t="s">
        <v>1112</v>
      </c>
    </row>
    <row r="215" customFormat="false" ht="15" hidden="false" customHeight="false" outlineLevel="0" collapsed="false">
      <c r="A215" s="35" t="n">
        <v>214</v>
      </c>
      <c r="B215" s="35" t="s">
        <v>705</v>
      </c>
      <c r="C215" s="35" t="s">
        <v>1127</v>
      </c>
      <c r="D215" s="35" t="s">
        <v>704</v>
      </c>
      <c r="E215" s="35" t="s">
        <v>706</v>
      </c>
      <c r="F215" s="40" t="n">
        <v>1.19532695158792</v>
      </c>
      <c r="G215" s="36" t="n">
        <v>2566.06180755876</v>
      </c>
      <c r="H215" s="36" t="n">
        <v>864.786396448174</v>
      </c>
      <c r="I215" s="7" t="s">
        <v>24</v>
      </c>
      <c r="J215" s="35" t="s">
        <v>157</v>
      </c>
      <c r="K215" s="35" t="s">
        <v>244</v>
      </c>
      <c r="L215" s="35" t="n">
        <v>37</v>
      </c>
      <c r="M215" s="35" t="s">
        <v>122</v>
      </c>
      <c r="N215" s="35" t="s">
        <v>892</v>
      </c>
      <c r="O215" s="35" t="s">
        <v>123</v>
      </c>
      <c r="P215" s="35" t="s">
        <v>127</v>
      </c>
      <c r="Q215" s="35" t="n">
        <v>1</v>
      </c>
      <c r="R215" s="35"/>
      <c r="S215" s="35" t="s">
        <v>42</v>
      </c>
      <c r="T215" s="35" t="s">
        <v>43</v>
      </c>
      <c r="U215" s="35" t="s">
        <v>122</v>
      </c>
      <c r="V215" s="35"/>
      <c r="W215" s="35"/>
      <c r="X215" s="35" t="s">
        <v>1111</v>
      </c>
      <c r="Y215" s="35" t="n">
        <v>-9.557332</v>
      </c>
      <c r="Z215" s="35" t="n">
        <v>-48.388602</v>
      </c>
      <c r="AA215" s="49" t="s">
        <v>838</v>
      </c>
      <c r="AB215" s="35" t="s">
        <v>1112</v>
      </c>
    </row>
    <row r="216" customFormat="false" ht="15" hidden="false" customHeight="false" outlineLevel="0" collapsed="false">
      <c r="A216" s="35" t="n">
        <v>215</v>
      </c>
      <c r="B216" s="35" t="s">
        <v>707</v>
      </c>
      <c r="C216" s="35" t="s">
        <v>1128</v>
      </c>
      <c r="D216" s="35" t="s">
        <v>688</v>
      </c>
      <c r="E216" s="35" t="s">
        <v>708</v>
      </c>
      <c r="F216" s="40" t="n">
        <v>86.0919650074432</v>
      </c>
      <c r="G216" s="36" t="n">
        <v>2355.74023359522</v>
      </c>
      <c r="H216" s="36" t="n">
        <v>654.464822484633</v>
      </c>
      <c r="I216" s="7" t="s">
        <v>24</v>
      </c>
      <c r="J216" s="35" t="s">
        <v>157</v>
      </c>
      <c r="K216" s="35" t="s">
        <v>244</v>
      </c>
      <c r="L216" s="35" t="n">
        <v>37</v>
      </c>
      <c r="M216" s="35" t="s">
        <v>122</v>
      </c>
      <c r="N216" s="35" t="s">
        <v>892</v>
      </c>
      <c r="O216" s="35" t="s">
        <v>123</v>
      </c>
      <c r="P216" s="35" t="s">
        <v>49</v>
      </c>
      <c r="Q216" s="35" t="n">
        <v>0</v>
      </c>
      <c r="R216" s="35"/>
      <c r="S216" s="35" t="s">
        <v>42</v>
      </c>
      <c r="T216" s="35" t="s">
        <v>43</v>
      </c>
      <c r="U216" s="35" t="s">
        <v>122</v>
      </c>
      <c r="V216" s="35"/>
      <c r="W216" s="35"/>
      <c r="X216" s="35" t="s">
        <v>1111</v>
      </c>
      <c r="Y216" s="35" t="n">
        <v>-9.5597815</v>
      </c>
      <c r="Z216" s="35" t="n">
        <v>-48.389735</v>
      </c>
      <c r="AA216" s="49" t="s">
        <v>838</v>
      </c>
      <c r="AB216" s="35" t="s">
        <v>1112</v>
      </c>
    </row>
    <row r="217" customFormat="false" ht="15" hidden="false" customHeight="false" outlineLevel="0" collapsed="false">
      <c r="A217" s="35" t="n">
        <v>216</v>
      </c>
      <c r="B217" s="35" t="s">
        <v>709</v>
      </c>
      <c r="C217" s="35" t="s">
        <v>1129</v>
      </c>
      <c r="D217" s="35" t="s">
        <v>708</v>
      </c>
      <c r="E217" s="35" t="s">
        <v>710</v>
      </c>
      <c r="F217" s="40" t="n">
        <v>38.4488714920295</v>
      </c>
      <c r="G217" s="36" t="n">
        <v>2394.18910508725</v>
      </c>
      <c r="H217" s="36" t="n">
        <v>692.913693976662</v>
      </c>
      <c r="I217" s="7" t="s">
        <v>24</v>
      </c>
      <c r="J217" s="35" t="s">
        <v>157</v>
      </c>
      <c r="K217" s="35" t="s">
        <v>244</v>
      </c>
      <c r="L217" s="35" t="n">
        <v>37</v>
      </c>
      <c r="M217" s="35" t="s">
        <v>122</v>
      </c>
      <c r="N217" s="35" t="s">
        <v>892</v>
      </c>
      <c r="O217" s="35" t="s">
        <v>123</v>
      </c>
      <c r="P217" s="35" t="s">
        <v>49</v>
      </c>
      <c r="Q217" s="35" t="n">
        <v>0</v>
      </c>
      <c r="R217" s="35"/>
      <c r="S217" s="35" t="s">
        <v>42</v>
      </c>
      <c r="T217" s="35" t="s">
        <v>43</v>
      </c>
      <c r="U217" s="35" t="s">
        <v>122</v>
      </c>
      <c r="V217" s="35"/>
      <c r="W217" s="35"/>
      <c r="X217" s="35" t="s">
        <v>1111</v>
      </c>
      <c r="Y217" s="35" t="n">
        <v>-9.559511</v>
      </c>
      <c r="Z217" s="35" t="n">
        <v>-48.390064</v>
      </c>
      <c r="AA217" s="49" t="s">
        <v>838</v>
      </c>
      <c r="AB217" s="35" t="s">
        <v>1112</v>
      </c>
    </row>
    <row r="218" customFormat="false" ht="15" hidden="false" customHeight="false" outlineLevel="0" collapsed="false">
      <c r="A218" s="35" t="n">
        <v>217</v>
      </c>
      <c r="B218" s="35" t="s">
        <v>711</v>
      </c>
      <c r="C218" s="35" t="s">
        <v>1130</v>
      </c>
      <c r="D218" s="35" t="s">
        <v>708</v>
      </c>
      <c r="E218" s="35" t="s">
        <v>712</v>
      </c>
      <c r="F218" s="40" t="n">
        <v>17.7139304375329</v>
      </c>
      <c r="G218" s="36" t="n">
        <v>2373.45416403275</v>
      </c>
      <c r="H218" s="36" t="n">
        <v>672.178752922165</v>
      </c>
      <c r="I218" s="7" t="s">
        <v>24</v>
      </c>
      <c r="J218" s="35" t="s">
        <v>157</v>
      </c>
      <c r="K218" s="35" t="s">
        <v>244</v>
      </c>
      <c r="L218" s="35" t="n">
        <v>37</v>
      </c>
      <c r="M218" s="35" t="s">
        <v>122</v>
      </c>
      <c r="N218" s="35" t="s">
        <v>892</v>
      </c>
      <c r="O218" s="35" t="s">
        <v>123</v>
      </c>
      <c r="P218" s="35" t="s">
        <v>49</v>
      </c>
      <c r="Q218" s="35" t="n">
        <v>0</v>
      </c>
      <c r="R218" s="35"/>
      <c r="S218" s="35" t="s">
        <v>42</v>
      </c>
      <c r="T218" s="35" t="s">
        <v>43</v>
      </c>
      <c r="U218" s="35" t="s">
        <v>122</v>
      </c>
      <c r="V218" s="35"/>
      <c r="W218" s="35"/>
      <c r="X218" s="35" t="s">
        <v>1111</v>
      </c>
      <c r="Y218" s="35" t="n">
        <v>-9.5597535</v>
      </c>
      <c r="Z218" s="35" t="n">
        <v>-48.3901355</v>
      </c>
      <c r="AA218" s="49" t="s">
        <v>838</v>
      </c>
      <c r="AB218" s="35" t="s">
        <v>1112</v>
      </c>
    </row>
    <row r="219" customFormat="false" ht="15" hidden="false" customHeight="false" outlineLevel="0" collapsed="false">
      <c r="A219" s="35" t="n">
        <v>218</v>
      </c>
      <c r="B219" s="35" t="s">
        <v>713</v>
      </c>
      <c r="C219" s="35" t="s">
        <v>1131</v>
      </c>
      <c r="D219" s="35" t="s">
        <v>712</v>
      </c>
      <c r="E219" s="35" t="s">
        <v>714</v>
      </c>
      <c r="F219" s="40" t="n">
        <v>37.0814493963708</v>
      </c>
      <c r="G219" s="36" t="n">
        <v>2410.53561342912</v>
      </c>
      <c r="H219" s="36" t="n">
        <v>709.260202318536</v>
      </c>
      <c r="I219" s="7" t="s">
        <v>24</v>
      </c>
      <c r="J219" s="35" t="s">
        <v>157</v>
      </c>
      <c r="K219" s="35" t="s">
        <v>244</v>
      </c>
      <c r="L219" s="35" t="n">
        <v>37</v>
      </c>
      <c r="M219" s="35" t="s">
        <v>122</v>
      </c>
      <c r="N219" s="35" t="s">
        <v>892</v>
      </c>
      <c r="O219" s="35" t="s">
        <v>123</v>
      </c>
      <c r="P219" s="35" t="s">
        <v>49</v>
      </c>
      <c r="Q219" s="35" t="n">
        <v>0</v>
      </c>
      <c r="R219" s="35"/>
      <c r="S219" s="35" t="s">
        <v>42</v>
      </c>
      <c r="T219" s="35" t="s">
        <v>43</v>
      </c>
      <c r="U219" s="35" t="s">
        <v>122</v>
      </c>
      <c r="V219" s="35"/>
      <c r="W219" s="35"/>
      <c r="X219" s="35" t="s">
        <v>1111</v>
      </c>
      <c r="Y219" s="35" t="n">
        <v>-9.5599885</v>
      </c>
      <c r="Z219" s="35" t="n">
        <v>-48.3902105</v>
      </c>
      <c r="AA219" s="49" t="s">
        <v>838</v>
      </c>
      <c r="AB219" s="35" t="s">
        <v>1112</v>
      </c>
    </row>
    <row r="220" customFormat="false" ht="15" hidden="false" customHeight="false" outlineLevel="0" collapsed="false">
      <c r="A220" s="35" t="n">
        <v>219</v>
      </c>
      <c r="B220" s="35" t="s">
        <v>715</v>
      </c>
      <c r="C220" s="35" t="s">
        <v>1132</v>
      </c>
      <c r="D220" s="35" t="s">
        <v>714</v>
      </c>
      <c r="E220" s="35" t="s">
        <v>716</v>
      </c>
      <c r="F220" s="40" t="n">
        <v>2.85320274106996</v>
      </c>
      <c r="G220" s="36" t="n">
        <v>2413.38881617019</v>
      </c>
      <c r="H220" s="36" t="n">
        <v>712.113405059606</v>
      </c>
      <c r="I220" s="7" t="s">
        <v>24</v>
      </c>
      <c r="J220" s="35" t="s">
        <v>157</v>
      </c>
      <c r="K220" s="35" t="s">
        <v>244</v>
      </c>
      <c r="L220" s="35" t="n">
        <v>37</v>
      </c>
      <c r="M220" s="35" t="s">
        <v>122</v>
      </c>
      <c r="N220" s="35" t="s">
        <v>892</v>
      </c>
      <c r="O220" s="35" t="s">
        <v>123</v>
      </c>
      <c r="P220" s="35" t="s">
        <v>49</v>
      </c>
      <c r="Q220" s="35" t="n">
        <v>0</v>
      </c>
      <c r="R220" s="35"/>
      <c r="S220" s="35" t="s">
        <v>42</v>
      </c>
      <c r="T220" s="35" t="s">
        <v>43</v>
      </c>
      <c r="U220" s="35" t="s">
        <v>122</v>
      </c>
      <c r="V220" s="35"/>
      <c r="W220" s="35"/>
      <c r="X220" s="35" t="s">
        <v>1111</v>
      </c>
      <c r="Y220" s="35" t="n">
        <v>-9.560141</v>
      </c>
      <c r="Z220" s="35" t="n">
        <v>-48.3902745</v>
      </c>
      <c r="AA220" s="49" t="s">
        <v>838</v>
      </c>
      <c r="AB220" s="35" t="s">
        <v>1112</v>
      </c>
    </row>
    <row r="221" customFormat="false" ht="15" hidden="false" customHeight="false" outlineLevel="0" collapsed="false">
      <c r="A221" s="35" t="n">
        <v>220</v>
      </c>
      <c r="B221" s="35" t="s">
        <v>717</v>
      </c>
      <c r="C221" s="35" t="s">
        <v>1133</v>
      </c>
      <c r="D221" s="35" t="s">
        <v>716</v>
      </c>
      <c r="E221" s="35" t="s">
        <v>718</v>
      </c>
      <c r="F221" s="40" t="n">
        <v>32.5709830600777</v>
      </c>
      <c r="G221" s="36" t="n">
        <v>2445.95979923027</v>
      </c>
      <c r="H221" s="36" t="n">
        <v>744.684388119684</v>
      </c>
      <c r="I221" s="7" t="s">
        <v>24</v>
      </c>
      <c r="J221" s="35" t="s">
        <v>157</v>
      </c>
      <c r="K221" s="35" t="s">
        <v>244</v>
      </c>
      <c r="L221" s="35" t="n">
        <v>37</v>
      </c>
      <c r="M221" s="35" t="s">
        <v>122</v>
      </c>
      <c r="N221" s="35" t="s">
        <v>892</v>
      </c>
      <c r="O221" s="35" t="s">
        <v>123</v>
      </c>
      <c r="P221" s="35" t="s">
        <v>49</v>
      </c>
      <c r="Q221" s="35" t="n">
        <v>0</v>
      </c>
      <c r="R221" s="35"/>
      <c r="S221" s="35" t="s">
        <v>42</v>
      </c>
      <c r="T221" s="35" t="s">
        <v>43</v>
      </c>
      <c r="U221" s="35" t="s">
        <v>122</v>
      </c>
      <c r="V221" s="35"/>
      <c r="W221" s="35"/>
      <c r="X221" s="35" t="s">
        <v>1111</v>
      </c>
      <c r="Y221" s="35" t="n">
        <v>-9.5600905</v>
      </c>
      <c r="Z221" s="35" t="n">
        <v>-48.3904275</v>
      </c>
      <c r="AA221" s="49" t="s">
        <v>838</v>
      </c>
      <c r="AB221" s="35" t="s">
        <v>1112</v>
      </c>
    </row>
    <row r="222" customFormat="false" ht="15" hidden="false" customHeight="false" outlineLevel="0" collapsed="false">
      <c r="A222" s="35" t="n">
        <v>221</v>
      </c>
      <c r="B222" s="35" t="s">
        <v>719</v>
      </c>
      <c r="C222" s="35" t="s">
        <v>1134</v>
      </c>
      <c r="D222" s="35" t="s">
        <v>718</v>
      </c>
      <c r="E222" s="35" t="s">
        <v>720</v>
      </c>
      <c r="F222" s="40" t="n">
        <v>4.27805892013893</v>
      </c>
      <c r="G222" s="36" t="n">
        <v>2450.23785815041</v>
      </c>
      <c r="H222" s="36" t="n">
        <v>748.962447039823</v>
      </c>
      <c r="I222" s="7" t="s">
        <v>24</v>
      </c>
      <c r="J222" s="35" t="s">
        <v>157</v>
      </c>
      <c r="K222" s="35" t="s">
        <v>244</v>
      </c>
      <c r="L222" s="35" t="n">
        <v>37</v>
      </c>
      <c r="M222" s="35" t="s">
        <v>122</v>
      </c>
      <c r="N222" s="35" t="s">
        <v>892</v>
      </c>
      <c r="O222" s="35" t="s">
        <v>123</v>
      </c>
      <c r="P222" s="35" t="s">
        <v>49</v>
      </c>
      <c r="Q222" s="35" t="n">
        <v>0</v>
      </c>
      <c r="R222" s="35"/>
      <c r="S222" s="35" t="s">
        <v>42</v>
      </c>
      <c r="T222" s="35" t="s">
        <v>43</v>
      </c>
      <c r="U222" s="35" t="s">
        <v>122</v>
      </c>
      <c r="V222" s="35"/>
      <c r="W222" s="35"/>
      <c r="X222" s="35" t="s">
        <v>1111</v>
      </c>
      <c r="Y222" s="35" t="n">
        <v>-9.5600545</v>
      </c>
      <c r="Z222" s="35" t="n">
        <v>-48.3905865</v>
      </c>
      <c r="AA222" s="49" t="s">
        <v>838</v>
      </c>
      <c r="AB222" s="35" t="s">
        <v>1112</v>
      </c>
    </row>
    <row r="223" customFormat="false" ht="15" hidden="false" customHeight="false" outlineLevel="0" collapsed="false">
      <c r="A223" s="35" t="n">
        <v>222</v>
      </c>
      <c r="B223" s="35" t="s">
        <v>721</v>
      </c>
      <c r="C223" s="35" t="s">
        <v>1135</v>
      </c>
      <c r="D223" s="35" t="s">
        <v>718</v>
      </c>
      <c r="E223" s="35" t="s">
        <v>722</v>
      </c>
      <c r="F223" s="40" t="n">
        <v>0.245880829284591</v>
      </c>
      <c r="G223" s="36" t="n">
        <v>2446.20568005955</v>
      </c>
      <c r="H223" s="36" t="n">
        <v>744.930268948968</v>
      </c>
      <c r="I223" s="7" t="s">
        <v>24</v>
      </c>
      <c r="J223" s="35" t="s">
        <v>157</v>
      </c>
      <c r="K223" s="35" t="s">
        <v>244</v>
      </c>
      <c r="L223" s="35" t="n">
        <v>37</v>
      </c>
      <c r="M223" s="35" t="s">
        <v>122</v>
      </c>
      <c r="N223" s="35" t="s">
        <v>892</v>
      </c>
      <c r="O223" s="35" t="s">
        <v>123</v>
      </c>
      <c r="P223" s="35" t="s">
        <v>49</v>
      </c>
      <c r="Q223" s="35" t="n">
        <v>0</v>
      </c>
      <c r="R223" s="35"/>
      <c r="S223" s="35" t="s">
        <v>42</v>
      </c>
      <c r="T223" s="35" t="s">
        <v>43</v>
      </c>
      <c r="U223" s="35" t="s">
        <v>122</v>
      </c>
      <c r="V223" s="35"/>
      <c r="W223" s="35"/>
      <c r="X223" s="35" t="s">
        <v>1111</v>
      </c>
      <c r="Y223" s="35" t="n">
        <v>-9.5600455</v>
      </c>
      <c r="Z223" s="35" t="n">
        <v>-48.39057</v>
      </c>
      <c r="AA223" s="49" t="s">
        <v>838</v>
      </c>
      <c r="AB223" s="35" t="s">
        <v>1112</v>
      </c>
    </row>
    <row r="224" customFormat="false" ht="15" hidden="false" customHeight="false" outlineLevel="0" collapsed="false">
      <c r="A224" s="35" t="n">
        <v>223</v>
      </c>
      <c r="B224" s="35" t="s">
        <v>723</v>
      </c>
      <c r="C224" s="35" t="s">
        <v>1136</v>
      </c>
      <c r="D224" s="35" t="s">
        <v>722</v>
      </c>
      <c r="E224" s="35" t="s">
        <v>724</v>
      </c>
      <c r="F224" s="40" t="n">
        <v>4.85609906264146</v>
      </c>
      <c r="G224" s="36" t="n">
        <v>2451.0617791222</v>
      </c>
      <c r="H224" s="36" t="n">
        <v>749.78636801161</v>
      </c>
      <c r="I224" s="7" t="s">
        <v>24</v>
      </c>
      <c r="J224" s="35" t="s">
        <v>157</v>
      </c>
      <c r="K224" s="35" t="s">
        <v>244</v>
      </c>
      <c r="L224" s="35" t="n">
        <v>37</v>
      </c>
      <c r="M224" s="35" t="s">
        <v>122</v>
      </c>
      <c r="N224" s="35" t="s">
        <v>892</v>
      </c>
      <c r="O224" s="35" t="s">
        <v>123</v>
      </c>
      <c r="P224" s="35" t="s">
        <v>49</v>
      </c>
      <c r="Q224" s="35" t="n">
        <v>0</v>
      </c>
      <c r="R224" s="35"/>
      <c r="S224" s="35" t="s">
        <v>42</v>
      </c>
      <c r="T224" s="35" t="s">
        <v>43</v>
      </c>
      <c r="U224" s="35" t="s">
        <v>122</v>
      </c>
      <c r="V224" s="35"/>
      <c r="W224" s="35"/>
      <c r="X224" s="35" t="s">
        <v>1111</v>
      </c>
      <c r="Y224" s="35" t="n">
        <v>-9.560033</v>
      </c>
      <c r="Z224" s="35" t="n">
        <v>-48.3905895</v>
      </c>
      <c r="AA224" s="49" t="s">
        <v>838</v>
      </c>
      <c r="AB224" s="35" t="s">
        <v>1112</v>
      </c>
    </row>
    <row r="225" customFormat="false" ht="15" hidden="false" customHeight="false" outlineLevel="0" collapsed="false">
      <c r="A225" s="35" t="n">
        <v>224</v>
      </c>
      <c r="B225" s="35" t="s">
        <v>725</v>
      </c>
      <c r="C225" s="35" t="s">
        <v>1137</v>
      </c>
      <c r="D225" s="35" t="s">
        <v>714</v>
      </c>
      <c r="E225" s="35" t="s">
        <v>726</v>
      </c>
      <c r="F225" s="40" t="n">
        <v>29.3746115278238</v>
      </c>
      <c r="G225" s="36" t="n">
        <v>2439.91022495695</v>
      </c>
      <c r="H225" s="36" t="n">
        <v>738.63481384636</v>
      </c>
      <c r="I225" s="7" t="s">
        <v>24</v>
      </c>
      <c r="J225" s="35" t="s">
        <v>157</v>
      </c>
      <c r="K225" s="35" t="s">
        <v>244</v>
      </c>
      <c r="L225" s="35" t="n">
        <v>37</v>
      </c>
      <c r="M225" s="35" t="s">
        <v>122</v>
      </c>
      <c r="N225" s="35" t="s">
        <v>892</v>
      </c>
      <c r="O225" s="35" t="s">
        <v>123</v>
      </c>
      <c r="P225" s="35" t="s">
        <v>49</v>
      </c>
      <c r="Q225" s="35" t="n">
        <v>0</v>
      </c>
      <c r="R225" s="35"/>
      <c r="S225" s="35" t="s">
        <v>42</v>
      </c>
      <c r="T225" s="35" t="s">
        <v>43</v>
      </c>
      <c r="U225" s="35" t="s">
        <v>122</v>
      </c>
      <c r="V225" s="35"/>
      <c r="W225" s="35"/>
      <c r="X225" s="35" t="s">
        <v>1111</v>
      </c>
      <c r="Y225" s="35" t="n">
        <v>-9.5602755</v>
      </c>
      <c r="Z225" s="35" t="n">
        <v>-48.390294</v>
      </c>
      <c r="AA225" s="49" t="s">
        <v>838</v>
      </c>
      <c r="AB225" s="35" t="s">
        <v>1112</v>
      </c>
    </row>
    <row r="226" customFormat="false" ht="15" hidden="false" customHeight="false" outlineLevel="0" collapsed="false">
      <c r="A226" s="35" t="n">
        <v>225</v>
      </c>
      <c r="B226" s="35" t="s">
        <v>727</v>
      </c>
      <c r="C226" s="35" t="s">
        <v>1138</v>
      </c>
      <c r="D226" s="35" t="s">
        <v>708</v>
      </c>
      <c r="E226" s="35" t="s">
        <v>728</v>
      </c>
      <c r="F226" s="40" t="n">
        <v>10.4171285730412</v>
      </c>
      <c r="G226" s="36" t="n">
        <v>2366.15736216826</v>
      </c>
      <c r="H226" s="36" t="n">
        <v>664.881951057674</v>
      </c>
      <c r="I226" s="7" t="s">
        <v>24</v>
      </c>
      <c r="J226" s="35" t="s">
        <v>157</v>
      </c>
      <c r="K226" s="35" t="s">
        <v>244</v>
      </c>
      <c r="L226" s="35" t="n">
        <v>37</v>
      </c>
      <c r="M226" s="35" t="s">
        <v>122</v>
      </c>
      <c r="N226" s="35" t="s">
        <v>892</v>
      </c>
      <c r="O226" s="35" t="s">
        <v>123</v>
      </c>
      <c r="P226" s="35" t="s">
        <v>49</v>
      </c>
      <c r="Q226" s="35" t="n">
        <v>0</v>
      </c>
      <c r="R226" s="35"/>
      <c r="S226" s="35" t="s">
        <v>42</v>
      </c>
      <c r="T226" s="35" t="s">
        <v>43</v>
      </c>
      <c r="U226" s="35" t="s">
        <v>122</v>
      </c>
      <c r="V226" s="35"/>
      <c r="W226" s="35"/>
      <c r="X226" s="35" t="s">
        <v>1111</v>
      </c>
      <c r="Y226" s="35" t="n">
        <v>-9.559662</v>
      </c>
      <c r="Z226" s="35" t="n">
        <v>-48.390158</v>
      </c>
      <c r="AA226" s="49" t="s">
        <v>838</v>
      </c>
      <c r="AB226" s="35" t="s">
        <v>1112</v>
      </c>
    </row>
    <row r="227" customFormat="false" ht="15" hidden="false" customHeight="false" outlineLevel="0" collapsed="false">
      <c r="A227" s="35" t="n">
        <v>226</v>
      </c>
      <c r="B227" s="35" t="s">
        <v>729</v>
      </c>
      <c r="C227" s="35" t="s">
        <v>1139</v>
      </c>
      <c r="D227" s="35" t="s">
        <v>686</v>
      </c>
      <c r="E227" s="35" t="s">
        <v>730</v>
      </c>
      <c r="F227" s="40" t="n">
        <v>2.13030827498473</v>
      </c>
      <c r="G227" s="36" t="n">
        <v>2184.57914099247</v>
      </c>
      <c r="H227" s="36" t="n">
        <v>483.303729881879</v>
      </c>
      <c r="I227" s="7" t="s">
        <v>24</v>
      </c>
      <c r="J227" s="35" t="s">
        <v>157</v>
      </c>
      <c r="K227" s="35" t="s">
        <v>244</v>
      </c>
      <c r="L227" s="35" t="n">
        <v>37</v>
      </c>
      <c r="M227" s="35" t="s">
        <v>122</v>
      </c>
      <c r="N227" s="35" t="s">
        <v>892</v>
      </c>
      <c r="O227" s="35" t="s">
        <v>123</v>
      </c>
      <c r="P227" s="35" t="s">
        <v>129</v>
      </c>
      <c r="Q227" s="35" t="n">
        <v>1</v>
      </c>
      <c r="R227" s="35"/>
      <c r="S227" s="35" t="s">
        <v>42</v>
      </c>
      <c r="T227" s="35" t="s">
        <v>43</v>
      </c>
      <c r="U227" s="35" t="s">
        <v>122</v>
      </c>
      <c r="V227" s="35"/>
      <c r="W227" s="35"/>
      <c r="X227" s="35" t="s">
        <v>1111</v>
      </c>
      <c r="Y227" s="35" t="n">
        <v>-9.560643</v>
      </c>
      <c r="Z227" s="35" t="n">
        <v>-48.3895625</v>
      </c>
      <c r="AA227" s="49" t="s">
        <v>838</v>
      </c>
      <c r="AB227" s="35" t="s">
        <v>1112</v>
      </c>
    </row>
    <row r="228" customFormat="false" ht="15" hidden="false" customHeight="false" outlineLevel="0" collapsed="false">
      <c r="A228" s="35" t="n">
        <v>227</v>
      </c>
      <c r="B228" s="35" t="s">
        <v>731</v>
      </c>
      <c r="C228" s="35" t="s">
        <v>1140</v>
      </c>
      <c r="D228" s="35" t="s">
        <v>682</v>
      </c>
      <c r="E228" s="35" t="s">
        <v>732</v>
      </c>
      <c r="F228" s="40" t="n">
        <v>15.1443808561888</v>
      </c>
      <c r="G228" s="36" t="n">
        <v>1892.7787985427</v>
      </c>
      <c r="H228" s="36" t="n">
        <v>191.503387432111</v>
      </c>
      <c r="I228" s="7" t="s">
        <v>24</v>
      </c>
      <c r="J228" s="35" t="s">
        <v>157</v>
      </c>
      <c r="K228" s="35" t="s">
        <v>244</v>
      </c>
      <c r="L228" s="35" t="n">
        <v>37</v>
      </c>
      <c r="M228" s="35" t="s">
        <v>122</v>
      </c>
      <c r="N228" s="35" t="s">
        <v>892</v>
      </c>
      <c r="O228" s="35" t="s">
        <v>123</v>
      </c>
      <c r="P228" s="35" t="s">
        <v>49</v>
      </c>
      <c r="Q228" s="35" t="n">
        <v>0</v>
      </c>
      <c r="R228" s="35"/>
      <c r="S228" s="35" t="s">
        <v>42</v>
      </c>
      <c r="T228" s="35" t="s">
        <v>43</v>
      </c>
      <c r="U228" s="35" t="s">
        <v>122</v>
      </c>
      <c r="V228" s="35"/>
      <c r="W228" s="35"/>
      <c r="X228" s="35" t="s">
        <v>1111</v>
      </c>
      <c r="Y228" s="35" t="n">
        <v>-9.563255</v>
      </c>
      <c r="Z228" s="35" t="n">
        <v>-48.390396</v>
      </c>
      <c r="AA228" s="49" t="s">
        <v>838</v>
      </c>
      <c r="AB228" s="35" t="s">
        <v>1112</v>
      </c>
    </row>
    <row r="229" customFormat="false" ht="15" hidden="false" customHeight="false" outlineLevel="0" collapsed="false">
      <c r="A229" s="35" t="n">
        <v>228</v>
      </c>
      <c r="B229" s="35" t="s">
        <v>733</v>
      </c>
      <c r="C229" s="35" t="s">
        <v>1141</v>
      </c>
      <c r="D229" s="35" t="s">
        <v>732</v>
      </c>
      <c r="E229" s="35" t="s">
        <v>734</v>
      </c>
      <c r="F229" s="40" t="n">
        <v>3.36865107554104</v>
      </c>
      <c r="G229" s="36" t="n">
        <v>1896.14744961824</v>
      </c>
      <c r="H229" s="36" t="n">
        <v>194.872038507652</v>
      </c>
      <c r="I229" s="7" t="s">
        <v>24</v>
      </c>
      <c r="J229" s="35" t="s">
        <v>157</v>
      </c>
      <c r="K229" s="35" t="s">
        <v>244</v>
      </c>
      <c r="L229" s="35" t="n">
        <v>37</v>
      </c>
      <c r="M229" s="35" t="s">
        <v>122</v>
      </c>
      <c r="N229" s="35" t="s">
        <v>892</v>
      </c>
      <c r="O229" s="35" t="s">
        <v>123</v>
      </c>
      <c r="P229" s="35" t="s">
        <v>49</v>
      </c>
      <c r="Q229" s="35" t="n">
        <v>0</v>
      </c>
      <c r="R229" s="35"/>
      <c r="S229" s="35" t="s">
        <v>42</v>
      </c>
      <c r="T229" s="35" t="s">
        <v>43</v>
      </c>
      <c r="U229" s="35" t="s">
        <v>122</v>
      </c>
      <c r="V229" s="35"/>
      <c r="W229" s="35"/>
      <c r="X229" s="35" t="s">
        <v>1111</v>
      </c>
      <c r="Y229" s="35" t="n">
        <v>-9.563227</v>
      </c>
      <c r="Z229" s="35" t="n">
        <v>-48.3904755</v>
      </c>
      <c r="AA229" s="49" t="s">
        <v>838</v>
      </c>
      <c r="AB229" s="35" t="s">
        <v>1112</v>
      </c>
    </row>
    <row r="230" customFormat="false" ht="15" hidden="false" customHeight="false" outlineLevel="0" collapsed="false">
      <c r="A230" s="35" t="n">
        <v>229</v>
      </c>
      <c r="B230" s="35" t="s">
        <v>735</v>
      </c>
      <c r="C230" s="35" t="s">
        <v>1142</v>
      </c>
      <c r="D230" s="35" t="s">
        <v>734</v>
      </c>
      <c r="E230" s="35" t="s">
        <v>736</v>
      </c>
      <c r="F230" s="40" t="n">
        <v>27.1534711510087</v>
      </c>
      <c r="G230" s="36" t="n">
        <v>1923.30092076925</v>
      </c>
      <c r="H230" s="36" t="n">
        <v>222.02550965866</v>
      </c>
      <c r="I230" s="7" t="s">
        <v>24</v>
      </c>
      <c r="J230" s="35" t="s">
        <v>157</v>
      </c>
      <c r="K230" s="35" t="s">
        <v>244</v>
      </c>
      <c r="L230" s="35" t="n">
        <v>37</v>
      </c>
      <c r="M230" s="35" t="s">
        <v>122</v>
      </c>
      <c r="N230" s="35" t="s">
        <v>892</v>
      </c>
      <c r="O230" s="35" t="s">
        <v>123</v>
      </c>
      <c r="P230" s="35" t="s">
        <v>49</v>
      </c>
      <c r="Q230" s="35" t="n">
        <v>0</v>
      </c>
      <c r="R230" s="35"/>
      <c r="S230" s="35" t="s">
        <v>42</v>
      </c>
      <c r="T230" s="35" t="s">
        <v>43</v>
      </c>
      <c r="U230" s="35" t="s">
        <v>122</v>
      </c>
      <c r="V230" s="35"/>
      <c r="W230" s="35"/>
      <c r="X230" s="35" t="s">
        <v>1111</v>
      </c>
      <c r="Y230" s="35" t="n">
        <v>-9.563178</v>
      </c>
      <c r="Z230" s="35" t="n">
        <v>-48.3906055</v>
      </c>
      <c r="AA230" s="49" t="s">
        <v>838</v>
      </c>
      <c r="AB230" s="35" t="s">
        <v>1112</v>
      </c>
    </row>
    <row r="231" customFormat="false" ht="15" hidden="false" customHeight="false" outlineLevel="0" collapsed="false">
      <c r="A231" s="35" t="n">
        <v>230</v>
      </c>
      <c r="B231" s="35" t="s">
        <v>737</v>
      </c>
      <c r="C231" s="35" t="s">
        <v>1143</v>
      </c>
      <c r="D231" s="35" t="s">
        <v>736</v>
      </c>
      <c r="E231" s="35" t="s">
        <v>738</v>
      </c>
      <c r="F231" s="40" t="n">
        <v>3.48711942045308</v>
      </c>
      <c r="G231" s="36" t="n">
        <v>1926.7880401897</v>
      </c>
      <c r="H231" s="36" t="n">
        <v>225.512629079113</v>
      </c>
      <c r="I231" s="7" t="s">
        <v>24</v>
      </c>
      <c r="J231" s="35" t="s">
        <v>157</v>
      </c>
      <c r="K231" s="35" t="s">
        <v>244</v>
      </c>
      <c r="L231" s="35" t="n">
        <v>37</v>
      </c>
      <c r="M231" s="35" t="s">
        <v>122</v>
      </c>
      <c r="N231" s="35" t="s">
        <v>892</v>
      </c>
      <c r="O231" s="35" t="s">
        <v>123</v>
      </c>
      <c r="P231" s="35" t="s">
        <v>49</v>
      </c>
      <c r="Q231" s="35" t="n">
        <v>0</v>
      </c>
      <c r="R231" s="35"/>
      <c r="S231" s="35" t="s">
        <v>42</v>
      </c>
      <c r="T231" s="35" t="s">
        <v>43</v>
      </c>
      <c r="U231" s="35" t="s">
        <v>122</v>
      </c>
      <c r="V231" s="35"/>
      <c r="W231" s="35"/>
      <c r="X231" s="35" t="s">
        <v>1111</v>
      </c>
      <c r="Y231" s="35" t="n">
        <v>-9.5631305</v>
      </c>
      <c r="Z231" s="35" t="n">
        <v>-48.3907365</v>
      </c>
      <c r="AA231" s="49" t="s">
        <v>838</v>
      </c>
      <c r="AB231" s="35" t="s">
        <v>1112</v>
      </c>
    </row>
    <row r="232" customFormat="false" ht="15" hidden="false" customHeight="false" outlineLevel="0" collapsed="false">
      <c r="A232" s="35" t="n">
        <v>231</v>
      </c>
      <c r="B232" s="35" t="s">
        <v>739</v>
      </c>
      <c r="C232" s="35" t="s">
        <v>1144</v>
      </c>
      <c r="D232" s="35" t="s">
        <v>738</v>
      </c>
      <c r="E232" s="35" t="s">
        <v>740</v>
      </c>
      <c r="F232" s="40" t="n">
        <v>112.824114698425</v>
      </c>
      <c r="G232" s="36" t="n">
        <v>2039.61215488812</v>
      </c>
      <c r="H232" s="36" t="n">
        <v>338.336743777538</v>
      </c>
      <c r="I232" s="7" t="s">
        <v>24</v>
      </c>
      <c r="J232" s="35" t="s">
        <v>157</v>
      </c>
      <c r="K232" s="35" t="s">
        <v>244</v>
      </c>
      <c r="L232" s="35" t="n">
        <v>37</v>
      </c>
      <c r="M232" s="35" t="s">
        <v>122</v>
      </c>
      <c r="N232" s="35" t="s">
        <v>892</v>
      </c>
      <c r="O232" s="35" t="s">
        <v>123</v>
      </c>
      <c r="P232" s="35" t="s">
        <v>49</v>
      </c>
      <c r="Q232" s="35" t="n">
        <v>0</v>
      </c>
      <c r="R232" s="35"/>
      <c r="S232" s="35" t="s">
        <v>42</v>
      </c>
      <c r="T232" s="35" t="s">
        <v>43</v>
      </c>
      <c r="U232" s="35" t="s">
        <v>122</v>
      </c>
      <c r="V232" s="35"/>
      <c r="W232" s="35"/>
      <c r="X232" s="35" t="s">
        <v>1111</v>
      </c>
      <c r="Y232" s="35" t="n">
        <v>-9.5629755</v>
      </c>
      <c r="Z232" s="35" t="n">
        <v>-48.391243</v>
      </c>
      <c r="AA232" s="49" t="s">
        <v>838</v>
      </c>
      <c r="AB232" s="35" t="s">
        <v>1112</v>
      </c>
    </row>
    <row r="233" customFormat="false" ht="15" hidden="false" customHeight="false" outlineLevel="0" collapsed="false">
      <c r="A233" s="35" t="n">
        <v>232</v>
      </c>
      <c r="B233" s="35" t="s">
        <v>741</v>
      </c>
      <c r="C233" s="35" t="s">
        <v>1145</v>
      </c>
      <c r="D233" s="35" t="s">
        <v>740</v>
      </c>
      <c r="E233" s="35" t="s">
        <v>742</v>
      </c>
      <c r="F233" s="40" t="n">
        <v>24.7917943305319</v>
      </c>
      <c r="G233" s="36" t="n">
        <v>2064.40394921866</v>
      </c>
      <c r="H233" s="36" t="n">
        <v>363.12853810807</v>
      </c>
      <c r="I233" s="7" t="s">
        <v>24</v>
      </c>
      <c r="J233" s="35" t="s">
        <v>157</v>
      </c>
      <c r="K233" s="35" t="s">
        <v>244</v>
      </c>
      <c r="L233" s="35" t="n">
        <v>37</v>
      </c>
      <c r="M233" s="35" t="s">
        <v>122</v>
      </c>
      <c r="N233" s="35" t="s">
        <v>892</v>
      </c>
      <c r="O233" s="35" t="s">
        <v>123</v>
      </c>
      <c r="P233" s="35" t="s">
        <v>49</v>
      </c>
      <c r="Q233" s="35" t="n">
        <v>0</v>
      </c>
      <c r="R233" s="35"/>
      <c r="S233" s="35" t="s">
        <v>42</v>
      </c>
      <c r="T233" s="35" t="s">
        <v>43</v>
      </c>
      <c r="U233" s="35" t="s">
        <v>122</v>
      </c>
      <c r="V233" s="35"/>
      <c r="W233" s="35"/>
      <c r="X233" s="35" t="s">
        <v>1111</v>
      </c>
      <c r="Y233" s="35" t="n">
        <v>-9.5627895</v>
      </c>
      <c r="Z233" s="35" t="n">
        <v>-48.3918415</v>
      </c>
      <c r="AA233" s="49" t="s">
        <v>838</v>
      </c>
      <c r="AB233" s="35" t="s">
        <v>1112</v>
      </c>
    </row>
    <row r="234" customFormat="false" ht="15" hidden="false" customHeight="false" outlineLevel="0" collapsed="false">
      <c r="A234" s="35" t="n">
        <v>233</v>
      </c>
      <c r="B234" s="35" t="s">
        <v>743</v>
      </c>
      <c r="C234" s="35" t="s">
        <v>1146</v>
      </c>
      <c r="D234" s="35" t="s">
        <v>682</v>
      </c>
      <c r="E234" s="35" t="s">
        <v>744</v>
      </c>
      <c r="F234" s="40" t="n">
        <v>22.3272618459425</v>
      </c>
      <c r="G234" s="36" t="n">
        <v>1899.96167953245</v>
      </c>
      <c r="H234" s="36" t="n">
        <v>198.686268421864</v>
      </c>
      <c r="I234" s="7" t="s">
        <v>24</v>
      </c>
      <c r="J234" s="35" t="s">
        <v>157</v>
      </c>
      <c r="K234" s="35" t="s">
        <v>244</v>
      </c>
      <c r="L234" s="35" t="n">
        <v>37</v>
      </c>
      <c r="M234" s="35" t="s">
        <v>122</v>
      </c>
      <c r="N234" s="35" t="s">
        <v>892</v>
      </c>
      <c r="O234" s="35" t="s">
        <v>123</v>
      </c>
      <c r="P234" s="35" t="s">
        <v>131</v>
      </c>
      <c r="Q234" s="35" t="n">
        <v>1</v>
      </c>
      <c r="R234" s="35"/>
      <c r="S234" s="35" t="s">
        <v>42</v>
      </c>
      <c r="T234" s="35" t="s">
        <v>43</v>
      </c>
      <c r="U234" s="35" t="s">
        <v>122</v>
      </c>
      <c r="V234" s="35"/>
      <c r="W234" s="35"/>
      <c r="X234" s="35" t="s">
        <v>1111</v>
      </c>
      <c r="Y234" s="35" t="n">
        <v>-9.5633085</v>
      </c>
      <c r="Z234" s="35" t="n">
        <v>-48.390234</v>
      </c>
      <c r="AA234" s="49" t="s">
        <v>838</v>
      </c>
      <c r="AB234" s="35" t="s">
        <v>1112</v>
      </c>
    </row>
    <row r="235" customFormat="false" ht="15" hidden="false" customHeight="false" outlineLevel="0" collapsed="false">
      <c r="A235" s="35" t="n">
        <v>234</v>
      </c>
      <c r="B235" s="35" t="s">
        <v>745</v>
      </c>
      <c r="C235" s="35" t="s">
        <v>1147</v>
      </c>
      <c r="D235" s="35" t="s">
        <v>744</v>
      </c>
      <c r="E235" s="35" t="s">
        <v>746</v>
      </c>
      <c r="F235" s="40" t="n">
        <v>3.92360923868606</v>
      </c>
      <c r="G235" s="36" t="n">
        <v>1903.88528877114</v>
      </c>
      <c r="H235" s="36" t="n">
        <v>202.60987766055</v>
      </c>
      <c r="I235" s="7" t="s">
        <v>24</v>
      </c>
      <c r="J235" s="35" t="s">
        <v>157</v>
      </c>
      <c r="K235" s="35" t="s">
        <v>244</v>
      </c>
      <c r="L235" s="35" t="n">
        <v>37</v>
      </c>
      <c r="M235" s="35" t="s">
        <v>122</v>
      </c>
      <c r="N235" s="35" t="s">
        <v>892</v>
      </c>
      <c r="O235" s="35" t="s">
        <v>123</v>
      </c>
      <c r="P235" s="35" t="s">
        <v>131</v>
      </c>
      <c r="Q235" s="35" t="n">
        <v>1</v>
      </c>
      <c r="R235" s="35"/>
      <c r="S235" s="35" t="s">
        <v>42</v>
      </c>
      <c r="T235" s="35" t="s">
        <v>43</v>
      </c>
      <c r="U235" s="35" t="s">
        <v>122</v>
      </c>
      <c r="V235" s="35"/>
      <c r="W235" s="35"/>
      <c r="X235" s="35" t="s">
        <v>1111</v>
      </c>
      <c r="Y235" s="35" t="n">
        <v>-9.5633445</v>
      </c>
      <c r="Z235" s="35" t="n">
        <v>-48.39012</v>
      </c>
      <c r="AA235" s="49" t="s">
        <v>838</v>
      </c>
      <c r="AB235" s="35" t="s">
        <v>1112</v>
      </c>
    </row>
    <row r="236" customFormat="false" ht="15" hidden="false" customHeight="false" outlineLevel="0" collapsed="false">
      <c r="A236" s="35" t="n">
        <v>235</v>
      </c>
      <c r="B236" s="35" t="s">
        <v>747</v>
      </c>
      <c r="C236" s="35" t="s">
        <v>1148</v>
      </c>
      <c r="D236" s="35" t="s">
        <v>698</v>
      </c>
      <c r="E236" s="35" t="s">
        <v>748</v>
      </c>
      <c r="F236" s="40" t="n">
        <v>190.904901113402</v>
      </c>
      <c r="G236" s="36" t="n">
        <v>2666.90990134754</v>
      </c>
      <c r="H236" s="36" t="n">
        <v>190.904901113402</v>
      </c>
      <c r="I236" s="8" t="s">
        <v>25</v>
      </c>
      <c r="J236" s="35" t="s">
        <v>157</v>
      </c>
      <c r="K236" s="35" t="s">
        <v>244</v>
      </c>
      <c r="L236" s="35" t="n">
        <v>38</v>
      </c>
      <c r="M236" s="35" t="s">
        <v>124</v>
      </c>
      <c r="N236" s="35" t="s">
        <v>892</v>
      </c>
      <c r="O236" s="35" t="s">
        <v>125</v>
      </c>
      <c r="P236" s="35" t="s">
        <v>49</v>
      </c>
      <c r="Q236" s="35" t="n">
        <v>0</v>
      </c>
      <c r="R236" s="35"/>
      <c r="S236" s="35" t="s">
        <v>42</v>
      </c>
      <c r="T236" s="35" t="s">
        <v>43</v>
      </c>
      <c r="U236" s="35" t="s">
        <v>122</v>
      </c>
      <c r="V236" s="35" t="s">
        <v>124</v>
      </c>
      <c r="W236" s="35"/>
      <c r="X236" s="35" t="s">
        <v>1149</v>
      </c>
      <c r="Y236" s="35" t="n">
        <v>-9.558555</v>
      </c>
      <c r="Z236" s="35" t="n">
        <v>-48.3879035</v>
      </c>
      <c r="AA236" s="49" t="s">
        <v>838</v>
      </c>
      <c r="AB236" s="35" t="s">
        <v>1150</v>
      </c>
    </row>
    <row r="237" customFormat="false" ht="15" hidden="false" customHeight="false" outlineLevel="0" collapsed="false">
      <c r="A237" s="35" t="n">
        <v>236</v>
      </c>
      <c r="B237" s="35" t="s">
        <v>749</v>
      </c>
      <c r="C237" s="35" t="s">
        <v>1151</v>
      </c>
      <c r="D237" s="35" t="s">
        <v>748</v>
      </c>
      <c r="E237" s="35" t="s">
        <v>750</v>
      </c>
      <c r="F237" s="40" t="n">
        <v>37.4847739121398</v>
      </c>
      <c r="G237" s="36" t="n">
        <v>2704.39467525968</v>
      </c>
      <c r="H237" s="36" t="n">
        <v>228.389675025542</v>
      </c>
      <c r="I237" s="8" t="s">
        <v>25</v>
      </c>
      <c r="J237" s="35" t="s">
        <v>157</v>
      </c>
      <c r="K237" s="35" t="s">
        <v>244</v>
      </c>
      <c r="L237" s="35" t="n">
        <v>38</v>
      </c>
      <c r="M237" s="35" t="s">
        <v>124</v>
      </c>
      <c r="N237" s="35" t="s">
        <v>892</v>
      </c>
      <c r="O237" s="35" t="s">
        <v>125</v>
      </c>
      <c r="P237" s="35" t="s">
        <v>49</v>
      </c>
      <c r="Q237" s="35" t="n">
        <v>0</v>
      </c>
      <c r="R237" s="35"/>
      <c r="S237" s="35" t="s">
        <v>42</v>
      </c>
      <c r="T237" s="35" t="s">
        <v>43</v>
      </c>
      <c r="U237" s="35" t="s">
        <v>122</v>
      </c>
      <c r="V237" s="35" t="s">
        <v>124</v>
      </c>
      <c r="W237" s="35"/>
      <c r="X237" s="35" t="s">
        <v>1149</v>
      </c>
      <c r="Y237" s="35" t="n">
        <v>-9.5588435</v>
      </c>
      <c r="Z237" s="35" t="n">
        <v>-48.386904</v>
      </c>
      <c r="AA237" s="49" t="s">
        <v>838</v>
      </c>
      <c r="AB237" s="35" t="s">
        <v>1150</v>
      </c>
    </row>
    <row r="238" customFormat="false" ht="15" hidden="false" customHeight="false" outlineLevel="0" collapsed="false">
      <c r="A238" s="35" t="n">
        <v>237</v>
      </c>
      <c r="B238" s="35" t="s">
        <v>751</v>
      </c>
      <c r="C238" s="35" t="s">
        <v>1152</v>
      </c>
      <c r="D238" s="35" t="s">
        <v>750</v>
      </c>
      <c r="E238" s="35" t="s">
        <v>752</v>
      </c>
      <c r="F238" s="40" t="n">
        <v>2.88199740231633</v>
      </c>
      <c r="G238" s="36" t="n">
        <v>2707.27667266199</v>
      </c>
      <c r="H238" s="36" t="n">
        <v>231.271672427858</v>
      </c>
      <c r="I238" s="8" t="s">
        <v>25</v>
      </c>
      <c r="J238" s="35" t="s">
        <v>157</v>
      </c>
      <c r="K238" s="35" t="s">
        <v>244</v>
      </c>
      <c r="L238" s="35" t="n">
        <v>38</v>
      </c>
      <c r="M238" s="35" t="s">
        <v>124</v>
      </c>
      <c r="N238" s="35" t="s">
        <v>892</v>
      </c>
      <c r="O238" s="35" t="s">
        <v>125</v>
      </c>
      <c r="P238" s="35" t="s">
        <v>49</v>
      </c>
      <c r="Q238" s="35" t="n">
        <v>0</v>
      </c>
      <c r="R238" s="35"/>
      <c r="S238" s="35" t="s">
        <v>42</v>
      </c>
      <c r="T238" s="35" t="s">
        <v>43</v>
      </c>
      <c r="U238" s="35" t="s">
        <v>122</v>
      </c>
      <c r="V238" s="35" t="s">
        <v>124</v>
      </c>
      <c r="W238" s="35"/>
      <c r="X238" s="35" t="s">
        <v>1149</v>
      </c>
      <c r="Y238" s="35" t="n">
        <v>-9.558895</v>
      </c>
      <c r="Z238" s="35" t="n">
        <v>-48.3867275</v>
      </c>
      <c r="AA238" s="49" t="s">
        <v>838</v>
      </c>
      <c r="AB238" s="35" t="s">
        <v>1150</v>
      </c>
    </row>
    <row r="239" customFormat="false" ht="15" hidden="false" customHeight="false" outlineLevel="0" collapsed="false">
      <c r="A239" s="35" t="n">
        <v>238</v>
      </c>
      <c r="B239" s="35" t="s">
        <v>753</v>
      </c>
      <c r="C239" s="35" t="s">
        <v>1153</v>
      </c>
      <c r="D239" s="35" t="s">
        <v>752</v>
      </c>
      <c r="E239" s="35" t="s">
        <v>754</v>
      </c>
      <c r="F239" s="40" t="n">
        <v>118.721728219984</v>
      </c>
      <c r="G239" s="36" t="n">
        <v>2825.99840088198</v>
      </c>
      <c r="H239" s="36" t="n">
        <v>349.993400647842</v>
      </c>
      <c r="I239" s="8" t="s">
        <v>25</v>
      </c>
      <c r="J239" s="35" t="s">
        <v>157</v>
      </c>
      <c r="K239" s="35" t="s">
        <v>244</v>
      </c>
      <c r="L239" s="35" t="n">
        <v>38</v>
      </c>
      <c r="M239" s="35" t="s">
        <v>124</v>
      </c>
      <c r="N239" s="35" t="s">
        <v>892</v>
      </c>
      <c r="O239" s="35" t="s">
        <v>125</v>
      </c>
      <c r="P239" s="35" t="s">
        <v>49</v>
      </c>
      <c r="Q239" s="35" t="n">
        <v>0</v>
      </c>
      <c r="R239" s="35"/>
      <c r="S239" s="35" t="s">
        <v>42</v>
      </c>
      <c r="T239" s="35" t="s">
        <v>43</v>
      </c>
      <c r="U239" s="35" t="s">
        <v>122</v>
      </c>
      <c r="V239" s="35" t="s">
        <v>124</v>
      </c>
      <c r="W239" s="35"/>
      <c r="X239" s="35" t="s">
        <v>1149</v>
      </c>
      <c r="Y239" s="35" t="n">
        <v>-9.5590525</v>
      </c>
      <c r="Z239" s="35" t="n">
        <v>-48.3861965</v>
      </c>
      <c r="AA239" s="49" t="s">
        <v>838</v>
      </c>
      <c r="AB239" s="35" t="s">
        <v>1150</v>
      </c>
    </row>
    <row r="240" customFormat="false" ht="15" hidden="false" customHeight="false" outlineLevel="0" collapsed="false">
      <c r="A240" s="35" t="n">
        <v>239</v>
      </c>
      <c r="B240" s="35" t="s">
        <v>755</v>
      </c>
      <c r="C240" s="35" t="s">
        <v>1154</v>
      </c>
      <c r="D240" s="35" t="s">
        <v>754</v>
      </c>
      <c r="E240" s="35" t="s">
        <v>756</v>
      </c>
      <c r="F240" s="40" t="n">
        <v>3.14773404394584</v>
      </c>
      <c r="G240" s="36" t="n">
        <v>2829.14613492592</v>
      </c>
      <c r="H240" s="36" t="n">
        <v>353.141134691788</v>
      </c>
      <c r="I240" s="8" t="s">
        <v>25</v>
      </c>
      <c r="J240" s="35" t="s">
        <v>157</v>
      </c>
      <c r="K240" s="35" t="s">
        <v>244</v>
      </c>
      <c r="L240" s="35" t="n">
        <v>38</v>
      </c>
      <c r="M240" s="35" t="s">
        <v>124</v>
      </c>
      <c r="N240" s="35" t="s">
        <v>892</v>
      </c>
      <c r="O240" s="35" t="s">
        <v>125</v>
      </c>
      <c r="P240" s="35" t="s">
        <v>49</v>
      </c>
      <c r="Q240" s="35" t="n">
        <v>0</v>
      </c>
      <c r="R240" s="35"/>
      <c r="S240" s="35" t="s">
        <v>42</v>
      </c>
      <c r="T240" s="35" t="s">
        <v>43</v>
      </c>
      <c r="U240" s="35" t="s">
        <v>122</v>
      </c>
      <c r="V240" s="35" t="s">
        <v>124</v>
      </c>
      <c r="W240" s="35"/>
      <c r="X240" s="35" t="s">
        <v>1149</v>
      </c>
      <c r="Y240" s="35" t="n">
        <v>-9.559212</v>
      </c>
      <c r="Z240" s="35" t="n">
        <v>-48.385665</v>
      </c>
      <c r="AA240" s="49" t="s">
        <v>838</v>
      </c>
      <c r="AB240" s="35" t="s">
        <v>1150</v>
      </c>
    </row>
    <row r="241" customFormat="false" ht="15" hidden="false" customHeight="false" outlineLevel="0" collapsed="false">
      <c r="A241" s="35" t="n">
        <v>240</v>
      </c>
      <c r="B241" s="35" t="s">
        <v>757</v>
      </c>
      <c r="C241" s="35" t="s">
        <v>1155</v>
      </c>
      <c r="D241" s="35" t="s">
        <v>756</v>
      </c>
      <c r="E241" s="35" t="s">
        <v>758</v>
      </c>
      <c r="F241" s="40" t="n">
        <v>4.93160194818971</v>
      </c>
      <c r="G241" s="36" t="n">
        <v>2834.07773687411</v>
      </c>
      <c r="H241" s="36" t="n">
        <v>358.072736639977</v>
      </c>
      <c r="I241" s="8" t="s">
        <v>25</v>
      </c>
      <c r="J241" s="35" t="s">
        <v>157</v>
      </c>
      <c r="K241" s="35" t="s">
        <v>244</v>
      </c>
      <c r="L241" s="35" t="n">
        <v>38</v>
      </c>
      <c r="M241" s="35" t="s">
        <v>124</v>
      </c>
      <c r="N241" s="35" t="s">
        <v>892</v>
      </c>
      <c r="O241" s="35" t="s">
        <v>125</v>
      </c>
      <c r="P241" s="35" t="s">
        <v>49</v>
      </c>
      <c r="Q241" s="35" t="n">
        <v>0</v>
      </c>
      <c r="R241" s="35"/>
      <c r="S241" s="35" t="s">
        <v>42</v>
      </c>
      <c r="T241" s="35" t="s">
        <v>43</v>
      </c>
      <c r="U241" s="35" t="s">
        <v>122</v>
      </c>
      <c r="V241" s="35" t="s">
        <v>124</v>
      </c>
      <c r="W241" s="35"/>
      <c r="X241" s="35" t="s">
        <v>1149</v>
      </c>
      <c r="Y241" s="35" t="n">
        <v>-9.5592245</v>
      </c>
      <c r="Z241" s="35" t="n">
        <v>-48.3856305</v>
      </c>
      <c r="AA241" s="49" t="s">
        <v>838</v>
      </c>
      <c r="AB241" s="35" t="s">
        <v>1150</v>
      </c>
    </row>
    <row r="242" customFormat="false" ht="15" hidden="false" customHeight="false" outlineLevel="0" collapsed="false">
      <c r="A242" s="35" t="n">
        <v>241</v>
      </c>
      <c r="B242" s="35" t="s">
        <v>759</v>
      </c>
      <c r="C242" s="35" t="s">
        <v>1156</v>
      </c>
      <c r="D242" s="35" t="s">
        <v>758</v>
      </c>
      <c r="E242" s="35" t="s">
        <v>760</v>
      </c>
      <c r="F242" s="40" t="n">
        <v>16.8712630748769</v>
      </c>
      <c r="G242" s="36" t="n">
        <v>2850.94899994899</v>
      </c>
      <c r="H242" s="36" t="n">
        <v>374.943999714854</v>
      </c>
      <c r="I242" s="8" t="s">
        <v>25</v>
      </c>
      <c r="J242" s="35" t="s">
        <v>157</v>
      </c>
      <c r="K242" s="35" t="s">
        <v>244</v>
      </c>
      <c r="L242" s="35" t="n">
        <v>38</v>
      </c>
      <c r="M242" s="35" t="s">
        <v>124</v>
      </c>
      <c r="N242" s="35" t="s">
        <v>892</v>
      </c>
      <c r="O242" s="35" t="s">
        <v>125</v>
      </c>
      <c r="P242" s="35" t="s">
        <v>49</v>
      </c>
      <c r="Q242" s="35" t="n">
        <v>0</v>
      </c>
      <c r="R242" s="35"/>
      <c r="S242" s="35" t="s">
        <v>42</v>
      </c>
      <c r="T242" s="35" t="s">
        <v>43</v>
      </c>
      <c r="U242" s="35" t="s">
        <v>122</v>
      </c>
      <c r="V242" s="35" t="s">
        <v>124</v>
      </c>
      <c r="W242" s="35"/>
      <c r="X242" s="35" t="s">
        <v>1149</v>
      </c>
      <c r="Y242" s="35" t="n">
        <v>-9.5592955</v>
      </c>
      <c r="Z242" s="35" t="n">
        <v>-48.3856495</v>
      </c>
      <c r="AA242" s="49" t="s">
        <v>838</v>
      </c>
      <c r="AB242" s="35" t="s">
        <v>1150</v>
      </c>
    </row>
    <row r="243" customFormat="false" ht="15" hidden="false" customHeight="false" outlineLevel="0" collapsed="false">
      <c r="A243" s="35" t="n">
        <v>242</v>
      </c>
      <c r="B243" s="35" t="s">
        <v>761</v>
      </c>
      <c r="C243" s="35" t="s">
        <v>1157</v>
      </c>
      <c r="D243" s="35" t="s">
        <v>760</v>
      </c>
      <c r="E243" s="35" t="s">
        <v>762</v>
      </c>
      <c r="F243" s="40" t="n">
        <v>4.31666086247555</v>
      </c>
      <c r="G243" s="36" t="n">
        <v>2855.26566081147</v>
      </c>
      <c r="H243" s="36" t="n">
        <v>379.26066057733</v>
      </c>
      <c r="I243" s="8" t="s">
        <v>25</v>
      </c>
      <c r="J243" s="35" t="s">
        <v>157</v>
      </c>
      <c r="K243" s="35" t="s">
        <v>244</v>
      </c>
      <c r="L243" s="35" t="n">
        <v>38</v>
      </c>
      <c r="M243" s="35" t="s">
        <v>124</v>
      </c>
      <c r="N243" s="35" t="s">
        <v>892</v>
      </c>
      <c r="O243" s="35" t="s">
        <v>125</v>
      </c>
      <c r="P243" s="35" t="s">
        <v>49</v>
      </c>
      <c r="Q243" s="35" t="n">
        <v>0</v>
      </c>
      <c r="R243" s="35" t="s">
        <v>126</v>
      </c>
      <c r="S243" s="35" t="s">
        <v>42</v>
      </c>
      <c r="T243" s="35" t="s">
        <v>43</v>
      </c>
      <c r="U243" s="35" t="s">
        <v>122</v>
      </c>
      <c r="V243" s="35" t="s">
        <v>124</v>
      </c>
      <c r="W243" s="35"/>
      <c r="X243" s="35" t="s">
        <v>1149</v>
      </c>
      <c r="Y243" s="35" t="n">
        <v>-9.559377</v>
      </c>
      <c r="Z243" s="35" t="n">
        <v>-48.3856995</v>
      </c>
      <c r="AA243" s="49" t="s">
        <v>838</v>
      </c>
      <c r="AB243" s="35" t="s">
        <v>1150</v>
      </c>
    </row>
    <row r="244" customFormat="false" ht="15" hidden="false" customHeight="false" outlineLevel="0" collapsed="false">
      <c r="A244" s="35" t="n">
        <v>243</v>
      </c>
      <c r="B244" s="35" t="s">
        <v>763</v>
      </c>
      <c r="C244" s="35" t="s">
        <v>1158</v>
      </c>
      <c r="D244" s="35" t="s">
        <v>762</v>
      </c>
      <c r="E244" s="35" t="s">
        <v>764</v>
      </c>
      <c r="F244" s="40" t="n">
        <v>222.066647896529</v>
      </c>
      <c r="G244" s="36" t="n">
        <v>3077.332308708</v>
      </c>
      <c r="H244" s="36" t="n">
        <v>601.327308473859</v>
      </c>
      <c r="I244" s="8" t="s">
        <v>25</v>
      </c>
      <c r="J244" s="35" t="s">
        <v>157</v>
      </c>
      <c r="K244" s="35" t="s">
        <v>244</v>
      </c>
      <c r="L244" s="35" t="n">
        <v>38</v>
      </c>
      <c r="M244" s="35" t="s">
        <v>124</v>
      </c>
      <c r="N244" s="35" t="s">
        <v>892</v>
      </c>
      <c r="O244" s="35" t="s">
        <v>125</v>
      </c>
      <c r="P244" s="35" t="s">
        <v>49</v>
      </c>
      <c r="Q244" s="35" t="n">
        <v>0</v>
      </c>
      <c r="R244" s="35"/>
      <c r="S244" s="35" t="s">
        <v>42</v>
      </c>
      <c r="T244" s="35" t="s">
        <v>43</v>
      </c>
      <c r="U244" s="35" t="s">
        <v>122</v>
      </c>
      <c r="V244" s="35" t="s">
        <v>124</v>
      </c>
      <c r="W244" s="35"/>
      <c r="X244" s="35" t="s">
        <v>1149</v>
      </c>
      <c r="Y244" s="35" t="n">
        <v>-9.560264</v>
      </c>
      <c r="Z244" s="35" t="n">
        <v>-48.386206</v>
      </c>
      <c r="AA244" s="49" t="s">
        <v>838</v>
      </c>
      <c r="AB244" s="35" t="s">
        <v>1150</v>
      </c>
    </row>
    <row r="245" customFormat="false" ht="15" hidden="false" customHeight="false" outlineLevel="0" collapsed="false">
      <c r="A245" s="35" t="n">
        <v>244</v>
      </c>
      <c r="B245" s="35" t="s">
        <v>765</v>
      </c>
      <c r="C245" s="35" t="s">
        <v>1159</v>
      </c>
      <c r="D245" s="35" t="s">
        <v>764</v>
      </c>
      <c r="E245" s="35" t="s">
        <v>766</v>
      </c>
      <c r="F245" s="40" t="n">
        <v>2.29241420015553</v>
      </c>
      <c r="G245" s="36" t="n">
        <v>3079.62472290815</v>
      </c>
      <c r="H245" s="36" t="n">
        <v>603.619722674015</v>
      </c>
      <c r="I245" s="8" t="s">
        <v>25</v>
      </c>
      <c r="J245" s="35" t="s">
        <v>157</v>
      </c>
      <c r="K245" s="35" t="s">
        <v>244</v>
      </c>
      <c r="L245" s="35" t="n">
        <v>38</v>
      </c>
      <c r="M245" s="35" t="s">
        <v>124</v>
      </c>
      <c r="N245" s="35" t="s">
        <v>892</v>
      </c>
      <c r="O245" s="35" t="s">
        <v>125</v>
      </c>
      <c r="P245" s="35" t="s">
        <v>49</v>
      </c>
      <c r="Q245" s="35" t="n">
        <v>0</v>
      </c>
      <c r="R245" s="35"/>
      <c r="S245" s="35" t="s">
        <v>42</v>
      </c>
      <c r="T245" s="35" t="s">
        <v>43</v>
      </c>
      <c r="U245" s="35" t="s">
        <v>122</v>
      </c>
      <c r="V245" s="35" t="s">
        <v>124</v>
      </c>
      <c r="W245" s="35"/>
      <c r="X245" s="35" t="s">
        <v>1149</v>
      </c>
      <c r="Y245" s="35" t="n">
        <v>-9.56114</v>
      </c>
      <c r="Z245" s="35" t="n">
        <v>-48.3866945</v>
      </c>
      <c r="AA245" s="49" t="s">
        <v>838</v>
      </c>
      <c r="AB245" s="35" t="s">
        <v>1150</v>
      </c>
    </row>
    <row r="246" customFormat="false" ht="15" hidden="false" customHeight="false" outlineLevel="0" collapsed="false">
      <c r="A246" s="35" t="n">
        <v>245</v>
      </c>
      <c r="B246" s="35" t="s">
        <v>767</v>
      </c>
      <c r="C246" s="35" t="s">
        <v>1160</v>
      </c>
      <c r="D246" s="35" t="s">
        <v>766</v>
      </c>
      <c r="E246" s="35" t="s">
        <v>768</v>
      </c>
      <c r="F246" s="40" t="n">
        <v>11.1200521007884</v>
      </c>
      <c r="G246" s="36" t="n">
        <v>3090.74477500894</v>
      </c>
      <c r="H246" s="36" t="n">
        <v>614.739774774804</v>
      </c>
      <c r="I246" s="8" t="s">
        <v>25</v>
      </c>
      <c r="J246" s="35" t="s">
        <v>157</v>
      </c>
      <c r="K246" s="35" t="s">
        <v>244</v>
      </c>
      <c r="L246" s="35" t="n">
        <v>38</v>
      </c>
      <c r="M246" s="35" t="s">
        <v>124</v>
      </c>
      <c r="N246" s="35" t="s">
        <v>892</v>
      </c>
      <c r="O246" s="35" t="s">
        <v>125</v>
      </c>
      <c r="P246" s="35" t="s">
        <v>49</v>
      </c>
      <c r="Q246" s="35" t="n">
        <v>0</v>
      </c>
      <c r="R246" s="35"/>
      <c r="S246" s="35" t="s">
        <v>42</v>
      </c>
      <c r="T246" s="35" t="s">
        <v>43</v>
      </c>
      <c r="U246" s="35" t="s">
        <v>122</v>
      </c>
      <c r="V246" s="35" t="s">
        <v>124</v>
      </c>
      <c r="W246" s="35"/>
      <c r="X246" s="35" t="s">
        <v>1149</v>
      </c>
      <c r="Y246" s="35" t="n">
        <v>-9.5611635</v>
      </c>
      <c r="Z246" s="35" t="n">
        <v>-48.3866385</v>
      </c>
      <c r="AA246" s="49" t="s">
        <v>838</v>
      </c>
      <c r="AB246" s="35" t="s">
        <v>1150</v>
      </c>
    </row>
    <row r="247" customFormat="false" ht="15" hidden="false" customHeight="false" outlineLevel="0" collapsed="false">
      <c r="A247" s="35" t="n">
        <v>246</v>
      </c>
      <c r="B247" s="35" t="s">
        <v>769</v>
      </c>
      <c r="C247" s="35" t="s">
        <v>1161</v>
      </c>
      <c r="D247" s="35" t="s">
        <v>768</v>
      </c>
      <c r="E247" s="35" t="s">
        <v>770</v>
      </c>
      <c r="F247" s="40" t="n">
        <v>2.96889891487272</v>
      </c>
      <c r="G247" s="36" t="n">
        <v>3093.71367392381</v>
      </c>
      <c r="H247" s="36" t="n">
        <v>617.708673689676</v>
      </c>
      <c r="I247" s="8" t="s">
        <v>25</v>
      </c>
      <c r="J247" s="35" t="s">
        <v>157</v>
      </c>
      <c r="K247" s="35" t="s">
        <v>244</v>
      </c>
      <c r="L247" s="35" t="n">
        <v>38</v>
      </c>
      <c r="M247" s="35" t="s">
        <v>124</v>
      </c>
      <c r="N247" s="35" t="s">
        <v>892</v>
      </c>
      <c r="O247" s="35" t="s">
        <v>125</v>
      </c>
      <c r="P247" s="35" t="s">
        <v>49</v>
      </c>
      <c r="Q247" s="35" t="n">
        <v>0</v>
      </c>
      <c r="R247" s="35"/>
      <c r="S247" s="35" t="s">
        <v>42</v>
      </c>
      <c r="T247" s="35" t="s">
        <v>43</v>
      </c>
      <c r="U247" s="35" t="s">
        <v>122</v>
      </c>
      <c r="V247" s="35" t="s">
        <v>124</v>
      </c>
      <c r="W247" s="35"/>
      <c r="X247" s="35" t="s">
        <v>1149</v>
      </c>
      <c r="Y247" s="35" t="n">
        <v>-9.561182</v>
      </c>
      <c r="Z247" s="35" t="n">
        <v>-48.3865775</v>
      </c>
      <c r="AA247" s="49" t="s">
        <v>838</v>
      </c>
      <c r="AB247" s="35" t="s">
        <v>1150</v>
      </c>
    </row>
    <row r="248" customFormat="false" ht="15" hidden="false" customHeight="false" outlineLevel="0" collapsed="false">
      <c r="A248" s="35" t="n">
        <v>247</v>
      </c>
      <c r="B248" s="35" t="s">
        <v>771</v>
      </c>
      <c r="C248" s="35" t="s">
        <v>1162</v>
      </c>
      <c r="D248" s="35" t="s">
        <v>770</v>
      </c>
      <c r="E248" s="35" t="s">
        <v>772</v>
      </c>
      <c r="F248" s="40" t="n">
        <v>190.603844916451</v>
      </c>
      <c r="G248" s="36" t="n">
        <v>3284.31751884026</v>
      </c>
      <c r="H248" s="36" t="n">
        <v>808.312518606128</v>
      </c>
      <c r="I248" s="8" t="s">
        <v>25</v>
      </c>
      <c r="J248" s="35" t="s">
        <v>157</v>
      </c>
      <c r="K248" s="35" t="s">
        <v>244</v>
      </c>
      <c r="L248" s="35" t="n">
        <v>38</v>
      </c>
      <c r="M248" s="35" t="s">
        <v>124</v>
      </c>
      <c r="N248" s="35" t="s">
        <v>892</v>
      </c>
      <c r="O248" s="35" t="s">
        <v>125</v>
      </c>
      <c r="P248" s="35" t="s">
        <v>49</v>
      </c>
      <c r="Q248" s="35" t="n">
        <v>0</v>
      </c>
      <c r="R248" s="35"/>
      <c r="S248" s="35" t="s">
        <v>42</v>
      </c>
      <c r="T248" s="35" t="s">
        <v>43</v>
      </c>
      <c r="U248" s="35" t="s">
        <v>122</v>
      </c>
      <c r="V248" s="35" t="s">
        <v>124</v>
      </c>
      <c r="W248" s="35"/>
      <c r="X248" s="35" t="s">
        <v>1149</v>
      </c>
      <c r="Y248" s="35" t="n">
        <v>-9.561307</v>
      </c>
      <c r="Z248" s="35" t="n">
        <v>-48.385704</v>
      </c>
      <c r="AA248" s="49" t="s">
        <v>838</v>
      </c>
      <c r="AB248" s="35" t="s">
        <v>1150</v>
      </c>
    </row>
    <row r="249" customFormat="false" ht="15" hidden="false" customHeight="false" outlineLevel="0" collapsed="false">
      <c r="A249" s="35" t="n">
        <v>248</v>
      </c>
      <c r="B249" s="35" t="s">
        <v>773</v>
      </c>
      <c r="C249" s="35" t="s">
        <v>1163</v>
      </c>
      <c r="D249" s="35" t="s">
        <v>764</v>
      </c>
      <c r="E249" s="35" t="s">
        <v>774</v>
      </c>
      <c r="F249" s="40" t="n">
        <v>37.4243147480761</v>
      </c>
      <c r="G249" s="36" t="n">
        <v>3114.75662345607</v>
      </c>
      <c r="H249" s="36" t="n">
        <v>638.751623221936</v>
      </c>
      <c r="I249" s="8" t="s">
        <v>25</v>
      </c>
      <c r="J249" s="35" t="s">
        <v>157</v>
      </c>
      <c r="K249" s="35" t="s">
        <v>244</v>
      </c>
      <c r="L249" s="35" t="n">
        <v>38</v>
      </c>
      <c r="M249" s="35" t="s">
        <v>124</v>
      </c>
      <c r="N249" s="35" t="s">
        <v>892</v>
      </c>
      <c r="O249" s="35" t="s">
        <v>125</v>
      </c>
      <c r="P249" s="35" t="s">
        <v>49</v>
      </c>
      <c r="Q249" s="35" t="n">
        <v>0</v>
      </c>
      <c r="R249" s="35"/>
      <c r="S249" s="35" t="s">
        <v>42</v>
      </c>
      <c r="T249" s="35" t="s">
        <v>43</v>
      </c>
      <c r="U249" s="35" t="s">
        <v>122</v>
      </c>
      <c r="V249" s="35" t="s">
        <v>124</v>
      </c>
      <c r="W249" s="35"/>
      <c r="X249" s="35" t="s">
        <v>1149</v>
      </c>
      <c r="Y249" s="35" t="n">
        <v>-9.56129</v>
      </c>
      <c r="Z249" s="35" t="n">
        <v>-48.386767</v>
      </c>
      <c r="AA249" s="49" t="s">
        <v>838</v>
      </c>
      <c r="AB249" s="35" t="s">
        <v>1150</v>
      </c>
    </row>
    <row r="250" customFormat="false" ht="15" hidden="false" customHeight="false" outlineLevel="0" collapsed="false">
      <c r="A250" s="35" t="n">
        <v>249</v>
      </c>
      <c r="B250" s="35" t="s">
        <v>775</v>
      </c>
      <c r="C250" s="35" t="s">
        <v>1164</v>
      </c>
      <c r="D250" s="35" t="s">
        <v>758</v>
      </c>
      <c r="E250" s="35" t="s">
        <v>776</v>
      </c>
      <c r="F250" s="40" t="n">
        <v>31.0442067428336</v>
      </c>
      <c r="G250" s="36" t="n">
        <v>2865.12194361695</v>
      </c>
      <c r="H250" s="36" t="n">
        <v>389.116943382811</v>
      </c>
      <c r="I250" s="8" t="s">
        <v>25</v>
      </c>
      <c r="J250" s="35" t="s">
        <v>157</v>
      </c>
      <c r="K250" s="35" t="s">
        <v>244</v>
      </c>
      <c r="L250" s="35" t="n">
        <v>38</v>
      </c>
      <c r="M250" s="35" t="s">
        <v>124</v>
      </c>
      <c r="N250" s="35" t="s">
        <v>892</v>
      </c>
      <c r="O250" s="35" t="s">
        <v>125</v>
      </c>
      <c r="P250" s="35" t="s">
        <v>49</v>
      </c>
      <c r="Q250" s="35" t="n">
        <v>0</v>
      </c>
      <c r="R250" s="35"/>
      <c r="S250" s="35" t="s">
        <v>42</v>
      </c>
      <c r="T250" s="35" t="s">
        <v>43</v>
      </c>
      <c r="U250" s="35" t="s">
        <v>122</v>
      </c>
      <c r="V250" s="35" t="s">
        <v>124</v>
      </c>
      <c r="W250" s="35"/>
      <c r="X250" s="35" t="s">
        <v>1149</v>
      </c>
      <c r="Y250" s="35" t="n">
        <v>-9.559273</v>
      </c>
      <c r="Z250" s="35" t="n">
        <v>-48.385474</v>
      </c>
      <c r="AA250" s="49" t="s">
        <v>838</v>
      </c>
      <c r="AB250" s="35" t="s">
        <v>1150</v>
      </c>
    </row>
    <row r="251" customFormat="false" ht="15" hidden="false" customHeight="false" outlineLevel="0" collapsed="false">
      <c r="A251" s="35" t="n">
        <v>250</v>
      </c>
      <c r="B251" s="35" t="s">
        <v>777</v>
      </c>
      <c r="C251" s="35" t="s">
        <v>1165</v>
      </c>
      <c r="D251" s="35" t="s">
        <v>758</v>
      </c>
      <c r="E251" s="35" t="s">
        <v>778</v>
      </c>
      <c r="F251" s="40" t="n">
        <v>26.2541297660633</v>
      </c>
      <c r="G251" s="36" t="n">
        <v>2860.33186664018</v>
      </c>
      <c r="H251" s="36" t="n">
        <v>384.326866406041</v>
      </c>
      <c r="I251" s="8" t="s">
        <v>25</v>
      </c>
      <c r="J251" s="35" t="s">
        <v>157</v>
      </c>
      <c r="K251" s="35" t="s">
        <v>244</v>
      </c>
      <c r="L251" s="35" t="n">
        <v>38</v>
      </c>
      <c r="M251" s="35" t="s">
        <v>124</v>
      </c>
      <c r="N251" s="35" t="s">
        <v>892</v>
      </c>
      <c r="O251" s="35" t="s">
        <v>125</v>
      </c>
      <c r="P251" s="35" t="s">
        <v>49</v>
      </c>
      <c r="Q251" s="35" t="n">
        <v>0</v>
      </c>
      <c r="R251" s="35"/>
      <c r="S251" s="35" t="s">
        <v>42</v>
      </c>
      <c r="T251" s="35" t="s">
        <v>43</v>
      </c>
      <c r="U251" s="35" t="s">
        <v>122</v>
      </c>
      <c r="V251" s="35" t="s">
        <v>124</v>
      </c>
      <c r="W251" s="35"/>
      <c r="X251" s="35" t="s">
        <v>1149</v>
      </c>
      <c r="Y251" s="35" t="n">
        <v>-9.559128</v>
      </c>
      <c r="Z251" s="35" t="n">
        <v>-48.3855505</v>
      </c>
      <c r="AA251" s="49" t="s">
        <v>838</v>
      </c>
      <c r="AB251" s="35" t="s">
        <v>1150</v>
      </c>
    </row>
    <row r="252" customFormat="false" ht="15" hidden="false" customHeight="false" outlineLevel="0" collapsed="false">
      <c r="A252" s="35" t="n">
        <v>251</v>
      </c>
      <c r="B252" s="35" t="s">
        <v>779</v>
      </c>
      <c r="C252" s="35" t="s">
        <v>1166</v>
      </c>
      <c r="D252" s="35" t="s">
        <v>706</v>
      </c>
      <c r="E252" s="35" t="s">
        <v>780</v>
      </c>
      <c r="F252" s="40" t="n">
        <v>11.7466757338847</v>
      </c>
      <c r="G252" s="36" t="n">
        <v>2577.80848329265</v>
      </c>
      <c r="H252" s="36" t="n">
        <v>11.7466757338848</v>
      </c>
      <c r="I252" s="8" t="s">
        <v>25</v>
      </c>
      <c r="J252" s="35" t="s">
        <v>157</v>
      </c>
      <c r="K252" s="35" t="s">
        <v>244</v>
      </c>
      <c r="L252" s="35" t="n">
        <v>39</v>
      </c>
      <c r="M252" s="35" t="s">
        <v>127</v>
      </c>
      <c r="N252" s="35" t="s">
        <v>892</v>
      </c>
      <c r="O252" s="35" t="s">
        <v>128</v>
      </c>
      <c r="P252" s="35" t="s">
        <v>49</v>
      </c>
      <c r="Q252" s="35" t="n">
        <v>0</v>
      </c>
      <c r="R252" s="35"/>
      <c r="S252" s="35" t="s">
        <v>42</v>
      </c>
      <c r="T252" s="35" t="s">
        <v>43</v>
      </c>
      <c r="U252" s="35" t="s">
        <v>122</v>
      </c>
      <c r="V252" s="35" t="s">
        <v>127</v>
      </c>
      <c r="W252" s="35"/>
      <c r="X252" s="35" t="s">
        <v>1167</v>
      </c>
      <c r="Y252" s="35" t="n">
        <v>-9.557278</v>
      </c>
      <c r="Z252" s="35" t="n">
        <v>-48.38858</v>
      </c>
      <c r="AA252" s="49" t="s">
        <v>838</v>
      </c>
      <c r="AB252" s="35" t="s">
        <v>1168</v>
      </c>
    </row>
    <row r="253" customFormat="false" ht="15" hidden="false" customHeight="false" outlineLevel="0" collapsed="false">
      <c r="A253" s="35" t="n">
        <v>252</v>
      </c>
      <c r="B253" s="35" t="s">
        <v>781</v>
      </c>
      <c r="C253" s="35" t="s">
        <v>1169</v>
      </c>
      <c r="D253" s="35" t="s">
        <v>780</v>
      </c>
      <c r="E253" s="35" t="s">
        <v>782</v>
      </c>
      <c r="F253" s="40" t="n">
        <v>2.31917431613862</v>
      </c>
      <c r="G253" s="36" t="n">
        <v>2580.12765760878</v>
      </c>
      <c r="H253" s="36" t="n">
        <v>14.0658500500235</v>
      </c>
      <c r="I253" s="8" t="s">
        <v>25</v>
      </c>
      <c r="J253" s="35" t="s">
        <v>157</v>
      </c>
      <c r="K253" s="35" t="s">
        <v>244</v>
      </c>
      <c r="L253" s="35" t="n">
        <v>39</v>
      </c>
      <c r="M253" s="35" t="s">
        <v>127</v>
      </c>
      <c r="N253" s="35" t="s">
        <v>892</v>
      </c>
      <c r="O253" s="35" t="s">
        <v>128</v>
      </c>
      <c r="P253" s="35" t="s">
        <v>49</v>
      </c>
      <c r="Q253" s="35" t="n">
        <v>0</v>
      </c>
      <c r="R253" s="35"/>
      <c r="S253" s="35" t="s">
        <v>42</v>
      </c>
      <c r="T253" s="35" t="s">
        <v>43</v>
      </c>
      <c r="U253" s="35" t="s">
        <v>122</v>
      </c>
      <c r="V253" s="35" t="s">
        <v>127</v>
      </c>
      <c r="W253" s="35"/>
      <c r="X253" s="35" t="s">
        <v>1167</v>
      </c>
      <c r="Y253" s="35" t="n">
        <v>-9.557219</v>
      </c>
      <c r="Z253" s="35" t="n">
        <v>-48.388563</v>
      </c>
      <c r="AA253" s="49" t="s">
        <v>838</v>
      </c>
      <c r="AB253" s="35" t="s">
        <v>1168</v>
      </c>
    </row>
    <row r="254" customFormat="false" ht="15" hidden="false" customHeight="false" outlineLevel="0" collapsed="false">
      <c r="A254" s="35" t="n">
        <v>253</v>
      </c>
      <c r="B254" s="35" t="s">
        <v>783</v>
      </c>
      <c r="C254" s="35" t="s">
        <v>1170</v>
      </c>
      <c r="D254" s="35" t="s">
        <v>782</v>
      </c>
      <c r="E254" s="35" t="s">
        <v>784</v>
      </c>
      <c r="F254" s="40" t="n">
        <v>90.2702865226727</v>
      </c>
      <c r="G254" s="36" t="n">
        <v>2670.39794413146</v>
      </c>
      <c r="H254" s="36" t="n">
        <v>104.336136572696</v>
      </c>
      <c r="I254" s="8" t="s">
        <v>25</v>
      </c>
      <c r="J254" s="35" t="s">
        <v>157</v>
      </c>
      <c r="K254" s="35" t="s">
        <v>244</v>
      </c>
      <c r="L254" s="35" t="n">
        <v>39</v>
      </c>
      <c r="M254" s="35" t="s">
        <v>127</v>
      </c>
      <c r="N254" s="35" t="s">
        <v>892</v>
      </c>
      <c r="O254" s="35" t="s">
        <v>128</v>
      </c>
      <c r="P254" s="35" t="s">
        <v>49</v>
      </c>
      <c r="Q254" s="35" t="n">
        <v>0</v>
      </c>
      <c r="R254" s="35"/>
      <c r="S254" s="35" t="s">
        <v>42</v>
      </c>
      <c r="T254" s="35" t="s">
        <v>43</v>
      </c>
      <c r="U254" s="35" t="s">
        <v>122</v>
      </c>
      <c r="V254" s="35" t="s">
        <v>127</v>
      </c>
      <c r="W254" s="35"/>
      <c r="X254" s="35" t="s">
        <v>1167</v>
      </c>
      <c r="Y254" s="35" t="n">
        <v>-9.5570915</v>
      </c>
      <c r="Z254" s="35" t="n">
        <v>-48.38896</v>
      </c>
      <c r="AA254" s="49" t="s">
        <v>838</v>
      </c>
      <c r="AB254" s="35" t="s">
        <v>1168</v>
      </c>
    </row>
    <row r="255" customFormat="false" ht="15" hidden="false" customHeight="false" outlineLevel="0" collapsed="false">
      <c r="A255" s="35" t="n">
        <v>254</v>
      </c>
      <c r="B255" s="35" t="s">
        <v>785</v>
      </c>
      <c r="C255" s="35" t="s">
        <v>1171</v>
      </c>
      <c r="D255" s="35" t="s">
        <v>784</v>
      </c>
      <c r="E255" s="35" t="s">
        <v>786</v>
      </c>
      <c r="F255" s="40" t="n">
        <v>36.2044846650489</v>
      </c>
      <c r="G255" s="36" t="n">
        <v>2706.60242879651</v>
      </c>
      <c r="H255" s="36" t="n">
        <v>140.540621237745</v>
      </c>
      <c r="I255" s="8" t="s">
        <v>25</v>
      </c>
      <c r="J255" s="35" t="s">
        <v>157</v>
      </c>
      <c r="K255" s="35" t="s">
        <v>244</v>
      </c>
      <c r="L255" s="35" t="n">
        <v>39</v>
      </c>
      <c r="M255" s="35" t="s">
        <v>127</v>
      </c>
      <c r="N255" s="35" t="s">
        <v>892</v>
      </c>
      <c r="O255" s="35" t="s">
        <v>128</v>
      </c>
      <c r="P255" s="35" t="s">
        <v>49</v>
      </c>
      <c r="Q255" s="35" t="n">
        <v>0</v>
      </c>
      <c r="R255" s="35"/>
      <c r="S255" s="35" t="s">
        <v>42</v>
      </c>
      <c r="T255" s="35" t="s">
        <v>43</v>
      </c>
      <c r="U255" s="35" t="s">
        <v>122</v>
      </c>
      <c r="V255" s="35" t="s">
        <v>127</v>
      </c>
      <c r="W255" s="35"/>
      <c r="X255" s="35" t="s">
        <v>1167</v>
      </c>
      <c r="Y255" s="35" t="n">
        <v>-9.556932</v>
      </c>
      <c r="Z255" s="35" t="n">
        <v>-48.3895135</v>
      </c>
      <c r="AA255" s="49" t="s">
        <v>838</v>
      </c>
      <c r="AB255" s="35" t="s">
        <v>1168</v>
      </c>
    </row>
    <row r="256" customFormat="false" ht="15" hidden="false" customHeight="false" outlineLevel="0" collapsed="false">
      <c r="A256" s="35" t="n">
        <v>255</v>
      </c>
      <c r="B256" s="35" t="s">
        <v>787</v>
      </c>
      <c r="C256" s="35" t="s">
        <v>1172</v>
      </c>
      <c r="D256" s="35" t="s">
        <v>784</v>
      </c>
      <c r="E256" s="35" t="s">
        <v>788</v>
      </c>
      <c r="F256" s="40" t="n">
        <v>11.7135469215741</v>
      </c>
      <c r="G256" s="36" t="n">
        <v>2682.11149105303</v>
      </c>
      <c r="H256" s="36" t="n">
        <v>116.04968349427</v>
      </c>
      <c r="I256" s="8" t="s">
        <v>25</v>
      </c>
      <c r="J256" s="35" t="s">
        <v>157</v>
      </c>
      <c r="K256" s="35" t="s">
        <v>244</v>
      </c>
      <c r="L256" s="35" t="n">
        <v>39</v>
      </c>
      <c r="M256" s="35" t="s">
        <v>127</v>
      </c>
      <c r="N256" s="35" t="s">
        <v>892</v>
      </c>
      <c r="O256" s="35" t="s">
        <v>128</v>
      </c>
      <c r="P256" s="35" t="s">
        <v>49</v>
      </c>
      <c r="Q256" s="35" t="n">
        <v>0</v>
      </c>
      <c r="R256" s="35"/>
      <c r="S256" s="35" t="s">
        <v>42</v>
      </c>
      <c r="T256" s="35" t="s">
        <v>43</v>
      </c>
      <c r="U256" s="35" t="s">
        <v>122</v>
      </c>
      <c r="V256" s="35" t="s">
        <v>127</v>
      </c>
      <c r="W256" s="35"/>
      <c r="X256" s="35" t="s">
        <v>1167</v>
      </c>
      <c r="Y256" s="35" t="n">
        <v>-9.557026</v>
      </c>
      <c r="Z256" s="35" t="n">
        <v>-48.3893455</v>
      </c>
      <c r="AA256" s="49" t="s">
        <v>838</v>
      </c>
      <c r="AB256" s="35" t="s">
        <v>1168</v>
      </c>
    </row>
    <row r="257" customFormat="false" ht="15" hidden="false" customHeight="false" outlineLevel="0" collapsed="false">
      <c r="A257" s="35" t="n">
        <v>256</v>
      </c>
      <c r="B257" s="35" t="s">
        <v>789</v>
      </c>
      <c r="C257" s="35" t="s">
        <v>1173</v>
      </c>
      <c r="D257" s="35" t="s">
        <v>784</v>
      </c>
      <c r="E257" s="35" t="s">
        <v>790</v>
      </c>
      <c r="F257" s="40" t="n">
        <v>73.6772730821337</v>
      </c>
      <c r="G257" s="36" t="n">
        <v>2744.07521721359</v>
      </c>
      <c r="H257" s="36" t="n">
        <v>178.01340965483</v>
      </c>
      <c r="I257" s="8" t="s">
        <v>25</v>
      </c>
      <c r="J257" s="35" t="s">
        <v>157</v>
      </c>
      <c r="K257" s="35" t="s">
        <v>244</v>
      </c>
      <c r="L257" s="35" t="n">
        <v>39</v>
      </c>
      <c r="M257" s="35" t="s">
        <v>127</v>
      </c>
      <c r="N257" s="35" t="s">
        <v>892</v>
      </c>
      <c r="O257" s="35" t="s">
        <v>128</v>
      </c>
      <c r="P257" s="35" t="s">
        <v>49</v>
      </c>
      <c r="Q257" s="35" t="n">
        <v>0</v>
      </c>
      <c r="R257" s="35"/>
      <c r="S257" s="35" t="s">
        <v>42</v>
      </c>
      <c r="T257" s="35" t="s">
        <v>43</v>
      </c>
      <c r="U257" s="35" t="s">
        <v>122</v>
      </c>
      <c r="V257" s="35" t="s">
        <v>127</v>
      </c>
      <c r="W257" s="35"/>
      <c r="X257" s="35" t="s">
        <v>1167</v>
      </c>
      <c r="Y257" s="35" t="n">
        <v>-9.556645</v>
      </c>
      <c r="Z257" s="35" t="n">
        <v>-48.3893935</v>
      </c>
      <c r="AA257" s="49" t="s">
        <v>838</v>
      </c>
      <c r="AB257" s="35" t="s">
        <v>1168</v>
      </c>
    </row>
    <row r="258" customFormat="false" ht="15" hidden="false" customHeight="false" outlineLevel="0" collapsed="false">
      <c r="A258" s="35" t="n">
        <v>257</v>
      </c>
      <c r="B258" s="35" t="s">
        <v>791</v>
      </c>
      <c r="C258" s="35" t="s">
        <v>1174</v>
      </c>
      <c r="D258" s="35" t="s">
        <v>790</v>
      </c>
      <c r="E258" s="35" t="s">
        <v>792</v>
      </c>
      <c r="F258" s="40" t="n">
        <v>40.2818256604369</v>
      </c>
      <c r="G258" s="36" t="n">
        <v>2784.35704287403</v>
      </c>
      <c r="H258" s="36" t="n">
        <v>218.295235315266</v>
      </c>
      <c r="I258" s="8" t="s">
        <v>25</v>
      </c>
      <c r="J258" s="35" t="s">
        <v>157</v>
      </c>
      <c r="K258" s="35" t="s">
        <v>244</v>
      </c>
      <c r="L258" s="35" t="n">
        <v>39</v>
      </c>
      <c r="M258" s="35" t="s">
        <v>127</v>
      </c>
      <c r="N258" s="35" t="s">
        <v>892</v>
      </c>
      <c r="O258" s="35" t="s">
        <v>128</v>
      </c>
      <c r="P258" s="35" t="s">
        <v>49</v>
      </c>
      <c r="Q258" s="35" t="n">
        <v>0</v>
      </c>
      <c r="R258" s="35"/>
      <c r="S258" s="35" t="s">
        <v>42</v>
      </c>
      <c r="T258" s="35" t="s">
        <v>43</v>
      </c>
      <c r="U258" s="35" t="s">
        <v>122</v>
      </c>
      <c r="V258" s="35" t="s">
        <v>127</v>
      </c>
      <c r="W258" s="35"/>
      <c r="X258" s="35" t="s">
        <v>1167</v>
      </c>
      <c r="Y258" s="35" t="n">
        <v>-9.556135</v>
      </c>
      <c r="Z258" s="35" t="n">
        <v>-48.389426</v>
      </c>
      <c r="AA258" s="49" t="s">
        <v>838</v>
      </c>
      <c r="AB258" s="35" t="s">
        <v>1168</v>
      </c>
    </row>
    <row r="259" customFormat="false" ht="15" hidden="false" customHeight="false" outlineLevel="0" collapsed="false">
      <c r="A259" s="35" t="n">
        <v>258</v>
      </c>
      <c r="B259" s="35" t="s">
        <v>793</v>
      </c>
      <c r="C259" s="35" t="s">
        <v>1175</v>
      </c>
      <c r="D259" s="35" t="s">
        <v>780</v>
      </c>
      <c r="E259" s="35" t="s">
        <v>794</v>
      </c>
      <c r="F259" s="40" t="n">
        <v>3.26611715353685</v>
      </c>
      <c r="G259" s="36" t="n">
        <v>2581.07460044618</v>
      </c>
      <c r="H259" s="36" t="n">
        <v>15.0127928874217</v>
      </c>
      <c r="I259" s="8" t="s">
        <v>25</v>
      </c>
      <c r="J259" s="35" t="s">
        <v>157</v>
      </c>
      <c r="K259" s="35" t="s">
        <v>244</v>
      </c>
      <c r="L259" s="35" t="n">
        <v>39</v>
      </c>
      <c r="M259" s="35" t="s">
        <v>127</v>
      </c>
      <c r="N259" s="35" t="s">
        <v>892</v>
      </c>
      <c r="O259" s="35" t="s">
        <v>128</v>
      </c>
      <c r="P259" s="35" t="s">
        <v>49</v>
      </c>
      <c r="Q259" s="35" t="n">
        <v>0</v>
      </c>
      <c r="R259" s="35"/>
      <c r="S259" s="35" t="s">
        <v>42</v>
      </c>
      <c r="T259" s="35" t="s">
        <v>43</v>
      </c>
      <c r="U259" s="35" t="s">
        <v>122</v>
      </c>
      <c r="V259" s="35" t="s">
        <v>127</v>
      </c>
      <c r="W259" s="35"/>
      <c r="X259" s="35" t="s">
        <v>1167</v>
      </c>
      <c r="Y259" s="35" t="n">
        <v>-9.557215</v>
      </c>
      <c r="Z259" s="35" t="n">
        <v>-48.3885555</v>
      </c>
      <c r="AA259" s="49" t="s">
        <v>838</v>
      </c>
      <c r="AB259" s="35" t="s">
        <v>1168</v>
      </c>
    </row>
    <row r="260" customFormat="false" ht="15" hidden="false" customHeight="false" outlineLevel="0" collapsed="false">
      <c r="A260" s="35" t="n">
        <v>259</v>
      </c>
      <c r="B260" s="35" t="s">
        <v>795</v>
      </c>
      <c r="C260" s="35" t="s">
        <v>1176</v>
      </c>
      <c r="D260" s="35" t="s">
        <v>794</v>
      </c>
      <c r="E260" s="35" t="s">
        <v>796</v>
      </c>
      <c r="F260" s="40" t="n">
        <v>48.8137898375669</v>
      </c>
      <c r="G260" s="36" t="n">
        <v>2629.88839028375</v>
      </c>
      <c r="H260" s="36" t="n">
        <v>63.8265827249884</v>
      </c>
      <c r="I260" s="8" t="s">
        <v>25</v>
      </c>
      <c r="J260" s="35" t="s">
        <v>157</v>
      </c>
      <c r="K260" s="35" t="s">
        <v>244</v>
      </c>
      <c r="L260" s="35" t="n">
        <v>39</v>
      </c>
      <c r="M260" s="35" t="s">
        <v>127</v>
      </c>
      <c r="N260" s="35" t="s">
        <v>892</v>
      </c>
      <c r="O260" s="35" t="s">
        <v>128</v>
      </c>
      <c r="P260" s="35" t="s">
        <v>49</v>
      </c>
      <c r="Q260" s="35" t="n">
        <v>0</v>
      </c>
      <c r="R260" s="35"/>
      <c r="S260" s="35" t="s">
        <v>42</v>
      </c>
      <c r="T260" s="35" t="s">
        <v>43</v>
      </c>
      <c r="U260" s="35" t="s">
        <v>122</v>
      </c>
      <c r="V260" s="35" t="s">
        <v>127</v>
      </c>
      <c r="W260" s="35"/>
      <c r="X260" s="35" t="s">
        <v>1167</v>
      </c>
      <c r="Y260" s="35" t="n">
        <v>-9.5570635</v>
      </c>
      <c r="Z260" s="35" t="n">
        <v>-48.3883775</v>
      </c>
      <c r="AA260" s="49" t="s">
        <v>838</v>
      </c>
      <c r="AB260" s="35" t="s">
        <v>1168</v>
      </c>
    </row>
    <row r="261" customFormat="false" ht="15" hidden="false" customHeight="false" outlineLevel="0" collapsed="false">
      <c r="A261" s="35" t="n">
        <v>260</v>
      </c>
      <c r="B261" s="35" t="s">
        <v>797</v>
      </c>
      <c r="C261" s="35" t="s">
        <v>1177</v>
      </c>
      <c r="D261" s="35" t="s">
        <v>730</v>
      </c>
      <c r="E261" s="35" t="s">
        <v>798</v>
      </c>
      <c r="F261" s="40" t="n">
        <v>18.9248405028871</v>
      </c>
      <c r="G261" s="36" t="n">
        <v>2203.50398149535</v>
      </c>
      <c r="H261" s="36" t="n">
        <v>18.924840502887</v>
      </c>
      <c r="I261" s="8" t="s">
        <v>25</v>
      </c>
      <c r="J261" s="35" t="s">
        <v>157</v>
      </c>
      <c r="K261" s="35" t="s">
        <v>244</v>
      </c>
      <c r="L261" s="35" t="n">
        <v>40</v>
      </c>
      <c r="M261" s="35" t="s">
        <v>129</v>
      </c>
      <c r="N261" s="35" t="s">
        <v>961</v>
      </c>
      <c r="O261" s="35" t="s">
        <v>130</v>
      </c>
      <c r="P261" s="35" t="s">
        <v>49</v>
      </c>
      <c r="Q261" s="35" t="n">
        <v>0</v>
      </c>
      <c r="R261" s="35"/>
      <c r="S261" s="35" t="s">
        <v>42</v>
      </c>
      <c r="T261" s="35" t="s">
        <v>43</v>
      </c>
      <c r="U261" s="35" t="s">
        <v>122</v>
      </c>
      <c r="V261" s="35" t="s">
        <v>129</v>
      </c>
      <c r="W261" s="35"/>
      <c r="X261" s="35" t="s">
        <v>1178</v>
      </c>
      <c r="Y261" s="35" t="n">
        <v>-9.5606645</v>
      </c>
      <c r="Z261" s="35" t="n">
        <v>-48.389469</v>
      </c>
      <c r="AA261" s="49" t="s">
        <v>838</v>
      </c>
      <c r="AB261" s="35" t="s">
        <v>1179</v>
      </c>
    </row>
    <row r="262" customFormat="false" ht="15" hidden="false" customHeight="false" outlineLevel="0" collapsed="false">
      <c r="A262" s="35" t="n">
        <v>261</v>
      </c>
      <c r="B262" s="35" t="s">
        <v>799</v>
      </c>
      <c r="C262" s="35" t="s">
        <v>1180</v>
      </c>
      <c r="D262" s="35" t="s">
        <v>798</v>
      </c>
      <c r="E262" s="35" t="s">
        <v>800</v>
      </c>
      <c r="F262" s="40" t="n">
        <v>22.9236882031987</v>
      </c>
      <c r="G262" s="36" t="n">
        <v>2226.42766969855</v>
      </c>
      <c r="H262" s="36" t="n">
        <v>41.8485287060857</v>
      </c>
      <c r="I262" s="8" t="s">
        <v>25</v>
      </c>
      <c r="J262" s="35" t="s">
        <v>157</v>
      </c>
      <c r="K262" s="35" t="s">
        <v>244</v>
      </c>
      <c r="L262" s="35" t="n">
        <v>40</v>
      </c>
      <c r="M262" s="35" t="s">
        <v>129</v>
      </c>
      <c r="N262" s="35" t="s">
        <v>961</v>
      </c>
      <c r="O262" s="35" t="s">
        <v>130</v>
      </c>
      <c r="P262" s="35" t="s">
        <v>49</v>
      </c>
      <c r="Q262" s="35" t="n">
        <v>0</v>
      </c>
      <c r="R262" s="35"/>
      <c r="S262" s="35" t="s">
        <v>42</v>
      </c>
      <c r="T262" s="35" t="s">
        <v>43</v>
      </c>
      <c r="U262" s="35" t="s">
        <v>122</v>
      </c>
      <c r="V262" s="35" t="s">
        <v>129</v>
      </c>
      <c r="W262" s="35"/>
      <c r="X262" s="35" t="s">
        <v>1178</v>
      </c>
      <c r="Y262" s="35" t="n">
        <v>-9.5606865</v>
      </c>
      <c r="Z262" s="35" t="n">
        <v>-48.3892805</v>
      </c>
      <c r="AA262" s="49" t="s">
        <v>838</v>
      </c>
      <c r="AB262" s="35" t="s">
        <v>1179</v>
      </c>
    </row>
    <row r="263" customFormat="false" ht="15" hidden="false" customHeight="false" outlineLevel="0" collapsed="false">
      <c r="A263" s="35" t="n">
        <v>262</v>
      </c>
      <c r="B263" s="35" t="s">
        <v>801</v>
      </c>
      <c r="C263" s="35" t="s">
        <v>1181</v>
      </c>
      <c r="D263" s="35" t="s">
        <v>746</v>
      </c>
      <c r="E263" s="35" t="s">
        <v>802</v>
      </c>
      <c r="F263" s="40" t="n">
        <v>168.75017634512</v>
      </c>
      <c r="G263" s="36" t="n">
        <v>2072.63546511626</v>
      </c>
      <c r="H263" s="36" t="n">
        <v>168.75017634512</v>
      </c>
      <c r="I263" s="8" t="s">
        <v>25</v>
      </c>
      <c r="J263" s="35" t="s">
        <v>157</v>
      </c>
      <c r="K263" s="35" t="s">
        <v>244</v>
      </c>
      <c r="L263" s="35" t="n">
        <v>41</v>
      </c>
      <c r="M263" s="35" t="s">
        <v>131</v>
      </c>
      <c r="N263" s="35" t="s">
        <v>892</v>
      </c>
      <c r="O263" s="35" t="s">
        <v>132</v>
      </c>
      <c r="P263" s="35" t="s">
        <v>49</v>
      </c>
      <c r="Q263" s="35" t="n">
        <v>0</v>
      </c>
      <c r="R263" s="35"/>
      <c r="S263" s="35" t="s">
        <v>42</v>
      </c>
      <c r="T263" s="35" t="s">
        <v>43</v>
      </c>
      <c r="U263" s="35" t="s">
        <v>122</v>
      </c>
      <c r="V263" s="35" t="s">
        <v>131</v>
      </c>
      <c r="W263" s="35"/>
      <c r="X263" s="35" t="s">
        <v>1182</v>
      </c>
      <c r="Y263" s="35" t="n">
        <v>-9.5635885</v>
      </c>
      <c r="Z263" s="35" t="n">
        <v>-48.3893725</v>
      </c>
      <c r="AA263" s="49" t="s">
        <v>838</v>
      </c>
      <c r="AB263" s="35" t="s">
        <v>1183</v>
      </c>
    </row>
    <row r="264" customFormat="false" ht="15" hidden="false" customHeight="false" outlineLevel="0" collapsed="false">
      <c r="A264" s="35" t="n">
        <v>263</v>
      </c>
      <c r="B264" s="35" t="s">
        <v>803</v>
      </c>
      <c r="C264" s="35" t="s">
        <v>1184</v>
      </c>
      <c r="D264" s="35" t="s">
        <v>802</v>
      </c>
      <c r="E264" s="35" t="s">
        <v>804</v>
      </c>
      <c r="F264" s="40" t="n">
        <v>242.667832350555</v>
      </c>
      <c r="G264" s="36" t="n">
        <v>2315.30329746681</v>
      </c>
      <c r="H264" s="36" t="n">
        <v>411.418008695676</v>
      </c>
      <c r="I264" s="8" t="s">
        <v>25</v>
      </c>
      <c r="J264" s="35" t="s">
        <v>157</v>
      </c>
      <c r="K264" s="35" t="s">
        <v>244</v>
      </c>
      <c r="L264" s="35" t="n">
        <v>41</v>
      </c>
      <c r="M264" s="35" t="s">
        <v>131</v>
      </c>
      <c r="N264" s="35" t="s">
        <v>892</v>
      </c>
      <c r="O264" s="35" t="s">
        <v>132</v>
      </c>
      <c r="P264" s="35" t="s">
        <v>49</v>
      </c>
      <c r="Q264" s="35" t="n">
        <v>0</v>
      </c>
      <c r="R264" s="35"/>
      <c r="S264" s="35" t="s">
        <v>42</v>
      </c>
      <c r="T264" s="35" t="s">
        <v>43</v>
      </c>
      <c r="U264" s="35" t="s">
        <v>122</v>
      </c>
      <c r="V264" s="35" t="s">
        <v>131</v>
      </c>
      <c r="W264" s="35"/>
      <c r="X264" s="35" t="s">
        <v>1182</v>
      </c>
      <c r="Y264" s="35" t="n">
        <v>-9.5641515</v>
      </c>
      <c r="Z264" s="35" t="n">
        <v>-48.3875855</v>
      </c>
      <c r="AA264" s="49" t="s">
        <v>838</v>
      </c>
      <c r="AB264" s="35" t="s">
        <v>1183</v>
      </c>
    </row>
    <row r="265" customFormat="false" ht="15" hidden="false" customHeight="false" outlineLevel="0" collapsed="false">
      <c r="A265" s="35" t="n">
        <v>264</v>
      </c>
      <c r="B265" s="35" t="s">
        <v>805</v>
      </c>
      <c r="C265" s="35" t="s">
        <v>1185</v>
      </c>
      <c r="D265" s="35" t="s">
        <v>804</v>
      </c>
      <c r="E265" s="35" t="s">
        <v>806</v>
      </c>
      <c r="F265" s="40" t="n">
        <v>30.3558469447134</v>
      </c>
      <c r="G265" s="36" t="n">
        <v>2345.65914441153</v>
      </c>
      <c r="H265" s="36" t="n">
        <v>441.773855640389</v>
      </c>
      <c r="I265" s="8" t="s">
        <v>25</v>
      </c>
      <c r="J265" s="35" t="s">
        <v>157</v>
      </c>
      <c r="K265" s="35" t="s">
        <v>244</v>
      </c>
      <c r="L265" s="35" t="n">
        <v>41</v>
      </c>
      <c r="M265" s="35" t="s">
        <v>131</v>
      </c>
      <c r="N265" s="35" t="s">
        <v>892</v>
      </c>
      <c r="O265" s="35" t="s">
        <v>132</v>
      </c>
      <c r="P265" s="35" t="s">
        <v>49</v>
      </c>
      <c r="Q265" s="35" t="n">
        <v>0</v>
      </c>
      <c r="R265" s="35"/>
      <c r="S265" s="35" t="s">
        <v>42</v>
      </c>
      <c r="T265" s="35" t="s">
        <v>43</v>
      </c>
      <c r="U265" s="35" t="s">
        <v>122</v>
      </c>
      <c r="V265" s="35" t="s">
        <v>131</v>
      </c>
      <c r="W265" s="35"/>
      <c r="X265" s="35" t="s">
        <v>1182</v>
      </c>
      <c r="Y265" s="35" t="n">
        <v>-9.5645155</v>
      </c>
      <c r="Z265" s="35" t="n">
        <v>-48.3863965</v>
      </c>
      <c r="AA265" s="49" t="s">
        <v>838</v>
      </c>
      <c r="AB265" s="35" t="s">
        <v>1183</v>
      </c>
    </row>
    <row r="266" customFormat="false" ht="15" hidden="false" customHeight="false" outlineLevel="0" collapsed="false">
      <c r="A266" s="35" t="n">
        <v>265</v>
      </c>
      <c r="B266" s="35" t="s">
        <v>807</v>
      </c>
      <c r="C266" s="35" t="s">
        <v>1186</v>
      </c>
      <c r="D266" s="35" t="s">
        <v>678</v>
      </c>
      <c r="E266" s="35" t="s">
        <v>808</v>
      </c>
      <c r="F266" s="40" t="n">
        <v>42.0371060138566</v>
      </c>
      <c r="G266" s="36" t="n">
        <v>1749.87250402485</v>
      </c>
      <c r="H266" s="36" t="n">
        <v>42.0371060138566</v>
      </c>
      <c r="I266" s="7" t="s">
        <v>24</v>
      </c>
      <c r="J266" s="35" t="s">
        <v>157</v>
      </c>
      <c r="K266" s="35" t="s">
        <v>244</v>
      </c>
      <c r="L266" s="35" t="n">
        <v>42</v>
      </c>
      <c r="M266" s="35" t="s">
        <v>133</v>
      </c>
      <c r="N266" s="35" t="s">
        <v>892</v>
      </c>
      <c r="O266" s="35" t="s">
        <v>134</v>
      </c>
      <c r="P266" s="35" t="s">
        <v>49</v>
      </c>
      <c r="Q266" s="35" t="n">
        <v>0</v>
      </c>
      <c r="R266" s="35"/>
      <c r="S266" s="35" t="s">
        <v>42</v>
      </c>
      <c r="T266" s="35" t="s">
        <v>43</v>
      </c>
      <c r="U266" s="35" t="s">
        <v>133</v>
      </c>
      <c r="V266" s="35"/>
      <c r="W266" s="35"/>
      <c r="X266" s="35" t="s">
        <v>1187</v>
      </c>
      <c r="Y266" s="35" t="n">
        <v>-9.564862</v>
      </c>
      <c r="Z266" s="35" t="n">
        <v>-48.391296</v>
      </c>
      <c r="AA266" s="49" t="s">
        <v>838</v>
      </c>
      <c r="AB266" s="35" t="s">
        <v>1188</v>
      </c>
    </row>
    <row r="267" customFormat="false" ht="15" hidden="false" customHeight="false" outlineLevel="0" collapsed="false">
      <c r="A267" s="35" t="n">
        <v>266</v>
      </c>
      <c r="B267" s="35" t="s">
        <v>809</v>
      </c>
      <c r="C267" s="35" t="s">
        <v>1189</v>
      </c>
      <c r="D267" s="35" t="s">
        <v>338</v>
      </c>
      <c r="E267" s="35" t="s">
        <v>810</v>
      </c>
      <c r="F267" s="40" t="n">
        <v>2.85618918731252</v>
      </c>
      <c r="G267" s="36" t="n">
        <v>1941.29479258952</v>
      </c>
      <c r="H267" s="36" t="n">
        <v>491.933435069408</v>
      </c>
      <c r="I267" s="6" t="s">
        <v>23</v>
      </c>
      <c r="J267" s="35" t="s">
        <v>157</v>
      </c>
      <c r="K267" s="35" t="s">
        <v>263</v>
      </c>
      <c r="L267" s="35" t="n">
        <v>43</v>
      </c>
      <c r="M267" s="35" t="s">
        <v>43</v>
      </c>
      <c r="N267" s="35" t="s">
        <v>866</v>
      </c>
      <c r="O267" s="35" t="s">
        <v>137</v>
      </c>
      <c r="P267" s="35" t="s">
        <v>137</v>
      </c>
      <c r="Q267" s="35" t="n">
        <v>1</v>
      </c>
      <c r="R267" s="35"/>
      <c r="S267" s="35" t="s">
        <v>42</v>
      </c>
      <c r="T267" s="35" t="s">
        <v>43</v>
      </c>
      <c r="U267" s="35"/>
      <c r="V267" s="35"/>
      <c r="W267" s="35"/>
      <c r="X267" s="35" t="s">
        <v>868</v>
      </c>
      <c r="Y267" s="35" t="n">
        <v>-9.5650745</v>
      </c>
      <c r="Z267" s="35" t="n">
        <v>-48.3947445</v>
      </c>
      <c r="AA267" s="49" t="s">
        <v>838</v>
      </c>
      <c r="AB267" s="35" t="s">
        <v>869</v>
      </c>
    </row>
    <row r="268" customFormat="false" ht="15" hidden="false" customHeight="false" outlineLevel="0" collapsed="false">
      <c r="A268" s="35" t="n">
        <v>267</v>
      </c>
      <c r="B268" s="35" t="s">
        <v>811</v>
      </c>
      <c r="C268" s="35" t="s">
        <v>1190</v>
      </c>
      <c r="D268" s="35" t="s">
        <v>810</v>
      </c>
      <c r="E268" s="35" t="s">
        <v>812</v>
      </c>
      <c r="F268" s="40" t="n">
        <v>26.0659621071185</v>
      </c>
      <c r="G268" s="36" t="n">
        <v>1967.36075469664</v>
      </c>
      <c r="H268" s="36" t="n">
        <v>26.0659621071186</v>
      </c>
      <c r="I268" s="7" t="s">
        <v>24</v>
      </c>
      <c r="J268" s="35" t="s">
        <v>157</v>
      </c>
      <c r="K268" s="35" t="s">
        <v>263</v>
      </c>
      <c r="L268" s="35" t="n">
        <v>44</v>
      </c>
      <c r="M268" s="35" t="s">
        <v>137</v>
      </c>
      <c r="N268" s="35" t="s">
        <v>961</v>
      </c>
      <c r="O268" s="35" t="s">
        <v>138</v>
      </c>
      <c r="P268" s="35" t="s">
        <v>49</v>
      </c>
      <c r="Q268" s="35" t="n">
        <v>0</v>
      </c>
      <c r="R268" s="35"/>
      <c r="S268" s="35" t="s">
        <v>42</v>
      </c>
      <c r="T268" s="35" t="s">
        <v>43</v>
      </c>
      <c r="U268" s="35" t="s">
        <v>137</v>
      </c>
      <c r="V268" s="35"/>
      <c r="W268" s="35"/>
      <c r="X268" s="35" t="s">
        <v>1191</v>
      </c>
      <c r="Y268" s="35" t="n">
        <v>-9.56497</v>
      </c>
      <c r="Z268" s="35" t="n">
        <v>-48.394666</v>
      </c>
      <c r="AA268" s="49" t="s">
        <v>838</v>
      </c>
      <c r="AB268" s="35" t="s">
        <v>1192</v>
      </c>
    </row>
    <row r="269" customFormat="false" ht="15" hidden="false" customHeight="false" outlineLevel="0" collapsed="false">
      <c r="A269" s="35" t="n">
        <v>268</v>
      </c>
      <c r="B269" s="35" t="s">
        <v>813</v>
      </c>
      <c r="C269" s="35" t="s">
        <v>1193</v>
      </c>
      <c r="D269" s="35" t="s">
        <v>340</v>
      </c>
      <c r="E269" s="35" t="s">
        <v>814</v>
      </c>
      <c r="F269" s="40" t="n">
        <v>93.3127146548961</v>
      </c>
      <c r="G269" s="36" t="n">
        <v>2038.52315631908</v>
      </c>
      <c r="H269" s="36" t="n">
        <v>589.161798798965</v>
      </c>
      <c r="I269" s="6" t="s">
        <v>23</v>
      </c>
      <c r="J269" s="35" t="s">
        <v>157</v>
      </c>
      <c r="K269" s="35" t="s">
        <v>264</v>
      </c>
      <c r="L269" s="35" t="n">
        <v>45</v>
      </c>
      <c r="M269" s="35" t="s">
        <v>43</v>
      </c>
      <c r="N269" s="35" t="s">
        <v>866</v>
      </c>
      <c r="O269" s="35" t="s">
        <v>141</v>
      </c>
      <c r="P269" s="35" t="s">
        <v>49</v>
      </c>
      <c r="Q269" s="35" t="n">
        <v>0</v>
      </c>
      <c r="R269" s="35"/>
      <c r="S269" s="35" t="s">
        <v>42</v>
      </c>
      <c r="T269" s="35" t="s">
        <v>43</v>
      </c>
      <c r="U269" s="35"/>
      <c r="V269" s="35"/>
      <c r="W269" s="35"/>
      <c r="X269" s="35" t="s">
        <v>868</v>
      </c>
      <c r="Y269" s="35" t="n">
        <v>-9.564667</v>
      </c>
      <c r="Z269" s="35" t="n">
        <v>-48.3946825</v>
      </c>
      <c r="AA269" s="49" t="s">
        <v>838</v>
      </c>
      <c r="AB269" s="35" t="s">
        <v>869</v>
      </c>
    </row>
    <row r="270" customFormat="false" ht="15" hidden="false" customHeight="false" outlineLevel="0" collapsed="false">
      <c r="A270" s="35" t="n">
        <v>269</v>
      </c>
      <c r="B270" s="35" t="s">
        <v>815</v>
      </c>
      <c r="C270" s="35" t="s">
        <v>1194</v>
      </c>
      <c r="D270" s="35" t="s">
        <v>814</v>
      </c>
      <c r="E270" s="35" t="s">
        <v>816</v>
      </c>
      <c r="F270" s="40" t="n">
        <v>26.5471253581071</v>
      </c>
      <c r="G270" s="36" t="n">
        <v>2065.07028167719</v>
      </c>
      <c r="H270" s="36" t="n">
        <v>615.708924157072</v>
      </c>
      <c r="I270" s="6" t="s">
        <v>23</v>
      </c>
      <c r="J270" s="35" t="s">
        <v>157</v>
      </c>
      <c r="K270" s="35" t="s">
        <v>264</v>
      </c>
      <c r="L270" s="35" t="n">
        <v>45</v>
      </c>
      <c r="M270" s="35" t="s">
        <v>43</v>
      </c>
      <c r="N270" s="35" t="s">
        <v>866</v>
      </c>
      <c r="O270" s="35" t="s">
        <v>141</v>
      </c>
      <c r="P270" s="35" t="s">
        <v>49</v>
      </c>
      <c r="Q270" s="35" t="n">
        <v>0</v>
      </c>
      <c r="R270" s="35"/>
      <c r="S270" s="35" t="s">
        <v>42</v>
      </c>
      <c r="T270" s="35" t="s">
        <v>43</v>
      </c>
      <c r="U270" s="35"/>
      <c r="V270" s="35"/>
      <c r="W270" s="35"/>
      <c r="X270" s="35" t="s">
        <v>868</v>
      </c>
      <c r="Y270" s="35" t="n">
        <v>-9.5641535</v>
      </c>
      <c r="Z270" s="35" t="n">
        <v>-48.3945165</v>
      </c>
      <c r="AA270" s="49" t="s">
        <v>838</v>
      </c>
      <c r="AB270" s="35" t="s">
        <v>869</v>
      </c>
    </row>
    <row r="271" customFormat="false" ht="15" hidden="false" customHeight="false" outlineLevel="0" collapsed="false">
      <c r="A271" s="35" t="n">
        <v>270</v>
      </c>
      <c r="B271" s="35" t="s">
        <v>817</v>
      </c>
      <c r="C271" s="35" t="s">
        <v>1195</v>
      </c>
      <c r="D271" s="35" t="s">
        <v>340</v>
      </c>
      <c r="E271" s="35" t="s">
        <v>818</v>
      </c>
      <c r="F271" s="40" t="n">
        <v>21.5779799335257</v>
      </c>
      <c r="G271" s="36" t="n">
        <v>1966.78842159771</v>
      </c>
      <c r="H271" s="36" t="n">
        <v>517.427064077595</v>
      </c>
      <c r="I271" s="6" t="s">
        <v>23</v>
      </c>
      <c r="J271" s="35" t="s">
        <v>157</v>
      </c>
      <c r="K271" s="35" t="s">
        <v>264</v>
      </c>
      <c r="L271" s="35" t="n">
        <v>45</v>
      </c>
      <c r="M271" s="35" t="s">
        <v>43</v>
      </c>
      <c r="N271" s="35" t="s">
        <v>866</v>
      </c>
      <c r="O271" s="35" t="s">
        <v>141</v>
      </c>
      <c r="P271" s="35" t="s">
        <v>49</v>
      </c>
      <c r="Q271" s="35" t="n">
        <v>0</v>
      </c>
      <c r="R271" s="35"/>
      <c r="S271" s="35" t="s">
        <v>42</v>
      </c>
      <c r="T271" s="35" t="s">
        <v>43</v>
      </c>
      <c r="U271" s="35"/>
      <c r="V271" s="35"/>
      <c r="W271" s="35"/>
      <c r="X271" s="35" t="s">
        <v>868</v>
      </c>
      <c r="Y271" s="35" t="n">
        <v>-9.5651565</v>
      </c>
      <c r="Z271" s="35" t="n">
        <v>-48.394849</v>
      </c>
      <c r="AA271" s="49" t="s">
        <v>838</v>
      </c>
      <c r="AB271" s="35" t="s">
        <v>869</v>
      </c>
    </row>
    <row r="272" customFormat="false" ht="15" hidden="false" customHeight="false" outlineLevel="0" collapsed="false">
      <c r="A272" s="35" t="n">
        <v>271</v>
      </c>
      <c r="B272" s="35" t="s">
        <v>819</v>
      </c>
      <c r="C272" s="35" t="s">
        <v>1196</v>
      </c>
      <c r="D272" s="35" t="s">
        <v>346</v>
      </c>
      <c r="E272" s="35" t="s">
        <v>820</v>
      </c>
      <c r="F272" s="40" t="n">
        <v>0.351143556282875</v>
      </c>
      <c r="G272" s="36" t="n">
        <v>2341.8968376554</v>
      </c>
      <c r="H272" s="36" t="n">
        <v>892.535480135285</v>
      </c>
      <c r="I272" s="6" t="s">
        <v>23</v>
      </c>
      <c r="J272" s="35" t="s">
        <v>157</v>
      </c>
      <c r="K272" s="35" t="s">
        <v>267</v>
      </c>
      <c r="L272" s="35" t="n">
        <v>46</v>
      </c>
      <c r="M272" s="35" t="s">
        <v>43</v>
      </c>
      <c r="N272" s="35" t="s">
        <v>866</v>
      </c>
      <c r="O272" s="35" t="s">
        <v>144</v>
      </c>
      <c r="P272" s="35" t="s">
        <v>144</v>
      </c>
      <c r="Q272" s="35" t="n">
        <v>1</v>
      </c>
      <c r="R272" s="35"/>
      <c r="S272" s="35" t="s">
        <v>42</v>
      </c>
      <c r="T272" s="35" t="s">
        <v>43</v>
      </c>
      <c r="U272" s="35"/>
      <c r="V272" s="35"/>
      <c r="W272" s="35"/>
      <c r="X272" s="35" t="s">
        <v>868</v>
      </c>
      <c r="Y272" s="35" t="n">
        <v>-9.5639485</v>
      </c>
      <c r="Z272" s="35" t="n">
        <v>-48.3982415</v>
      </c>
      <c r="AA272" s="49" t="s">
        <v>838</v>
      </c>
      <c r="AB272" s="35" t="s">
        <v>869</v>
      </c>
    </row>
    <row r="273" customFormat="false" ht="15" hidden="false" customHeight="false" outlineLevel="0" collapsed="false">
      <c r="A273" s="35" t="n">
        <v>272</v>
      </c>
      <c r="B273" s="35" t="s">
        <v>821</v>
      </c>
      <c r="C273" s="35" t="s">
        <v>1197</v>
      </c>
      <c r="D273" s="35" t="s">
        <v>820</v>
      </c>
      <c r="E273" s="35" t="s">
        <v>822</v>
      </c>
      <c r="F273" s="40" t="n">
        <v>3.05485468158191</v>
      </c>
      <c r="G273" s="36" t="n">
        <v>2344.95169233698</v>
      </c>
      <c r="H273" s="36" t="n">
        <v>3.05485468158213</v>
      </c>
      <c r="I273" s="7" t="s">
        <v>24</v>
      </c>
      <c r="J273" s="35" t="s">
        <v>157</v>
      </c>
      <c r="K273" s="35" t="s">
        <v>267</v>
      </c>
      <c r="L273" s="35" t="n">
        <v>47</v>
      </c>
      <c r="M273" s="35" t="s">
        <v>144</v>
      </c>
      <c r="N273" s="35" t="s">
        <v>892</v>
      </c>
      <c r="O273" s="35" t="s">
        <v>145</v>
      </c>
      <c r="P273" s="35" t="s">
        <v>49</v>
      </c>
      <c r="Q273" s="35" t="n">
        <v>0</v>
      </c>
      <c r="R273" s="35"/>
      <c r="S273" s="35" t="s">
        <v>42</v>
      </c>
      <c r="T273" s="35" t="s">
        <v>43</v>
      </c>
      <c r="U273" s="35" t="s">
        <v>144</v>
      </c>
      <c r="V273" s="35"/>
      <c r="W273" s="35"/>
      <c r="X273" s="35" t="s">
        <v>1198</v>
      </c>
      <c r="Y273" s="35" t="n">
        <v>-9.563934</v>
      </c>
      <c r="Z273" s="35" t="n">
        <v>-48.3982365</v>
      </c>
      <c r="AA273" s="49" t="s">
        <v>838</v>
      </c>
      <c r="AB273" s="35" t="s">
        <v>1199</v>
      </c>
    </row>
    <row r="274" customFormat="false" ht="15" hidden="false" customHeight="false" outlineLevel="0" collapsed="false">
      <c r="A274" s="35" t="n">
        <v>273</v>
      </c>
      <c r="B274" s="35" t="s">
        <v>823</v>
      </c>
      <c r="C274" s="35" t="s">
        <v>1200</v>
      </c>
      <c r="D274" s="35" t="s">
        <v>348</v>
      </c>
      <c r="E274" s="35" t="s">
        <v>824</v>
      </c>
      <c r="F274" s="40" t="n">
        <v>0.312328820270645</v>
      </c>
      <c r="G274" s="36" t="n">
        <v>2405.52081332204</v>
      </c>
      <c r="H274" s="36" t="n">
        <v>956.159455801925</v>
      </c>
      <c r="I274" s="6" t="s">
        <v>23</v>
      </c>
      <c r="J274" s="35" t="s">
        <v>157</v>
      </c>
      <c r="K274" s="35" t="s">
        <v>268</v>
      </c>
      <c r="L274" s="35" t="n">
        <v>48</v>
      </c>
      <c r="M274" s="35" t="s">
        <v>43</v>
      </c>
      <c r="N274" s="35" t="s">
        <v>866</v>
      </c>
      <c r="O274" s="35" t="s">
        <v>148</v>
      </c>
      <c r="P274" s="35" t="s">
        <v>49</v>
      </c>
      <c r="Q274" s="35" t="n">
        <v>0</v>
      </c>
      <c r="R274" s="35"/>
      <c r="S274" s="35" t="s">
        <v>42</v>
      </c>
      <c r="T274" s="35" t="s">
        <v>43</v>
      </c>
      <c r="U274" s="35"/>
      <c r="V274" s="35"/>
      <c r="W274" s="35"/>
      <c r="X274" s="35" t="s">
        <v>868</v>
      </c>
      <c r="Y274" s="35" t="n">
        <v>-9.56367</v>
      </c>
      <c r="Z274" s="35" t="n">
        <v>-48.39875</v>
      </c>
      <c r="AA274" s="49" t="s">
        <v>838</v>
      </c>
      <c r="AB274" s="35" t="s">
        <v>869</v>
      </c>
    </row>
    <row r="275" customFormat="false" ht="15" hidden="false" customHeight="false" outlineLevel="0" collapsed="false">
      <c r="A275" s="35" t="n">
        <v>274</v>
      </c>
      <c r="B275" s="35" t="s">
        <v>825</v>
      </c>
      <c r="C275" s="35" t="s">
        <v>1201</v>
      </c>
      <c r="D275" s="35" t="s">
        <v>824</v>
      </c>
      <c r="E275" s="35" t="s">
        <v>152</v>
      </c>
      <c r="F275" s="40" t="n">
        <v>2.53505926013414</v>
      </c>
      <c r="G275" s="36" t="n">
        <v>2408.05587258218</v>
      </c>
      <c r="H275" s="36" t="n">
        <v>958.694515062059</v>
      </c>
      <c r="I275" s="6" t="s">
        <v>23</v>
      </c>
      <c r="J275" s="35" t="s">
        <v>157</v>
      </c>
      <c r="K275" s="35" t="s">
        <v>268</v>
      </c>
      <c r="L275" s="35" t="n">
        <v>48</v>
      </c>
      <c r="M275" s="35" t="s">
        <v>43</v>
      </c>
      <c r="N275" s="35" t="s">
        <v>866</v>
      </c>
      <c r="O275" s="35" t="s">
        <v>148</v>
      </c>
      <c r="P275" s="35" t="s">
        <v>49</v>
      </c>
      <c r="Q275" s="35" t="n">
        <v>0</v>
      </c>
      <c r="R275" s="35"/>
      <c r="S275" s="35" t="s">
        <v>42</v>
      </c>
      <c r="T275" s="35" t="s">
        <v>43</v>
      </c>
      <c r="U275" s="35"/>
      <c r="V275" s="35"/>
      <c r="W275" s="35"/>
      <c r="X275" s="35" t="s">
        <v>868</v>
      </c>
      <c r="Y275" s="35" t="n">
        <v>-9.5636585</v>
      </c>
      <c r="Z275" s="35" t="n">
        <v>-48.3987555</v>
      </c>
      <c r="AA275" s="49" t="s">
        <v>838</v>
      </c>
      <c r="AB275" s="35" t="s">
        <v>869</v>
      </c>
    </row>
  </sheetData>
  <hyperlinks>
    <hyperlink ref="AA2" r:id="rId2" display="abrir"/>
    <hyperlink ref="AA3" r:id="rId3" display="abrir"/>
    <hyperlink ref="AA4" r:id="rId4" display="abrir"/>
    <hyperlink ref="AA5" r:id="rId5" display="abrir"/>
    <hyperlink ref="AA6" r:id="rId6" display="abrir"/>
    <hyperlink ref="AA7" r:id="rId7" display="abrir"/>
    <hyperlink ref="AA8" r:id="rId8" display="abrir"/>
    <hyperlink ref="AA9" r:id="rId9" display="abrir"/>
    <hyperlink ref="AA10" r:id="rId10" display="abrir"/>
    <hyperlink ref="AA11" r:id="rId11" display="abrir"/>
    <hyperlink ref="AA12" r:id="rId12" display="abrir"/>
    <hyperlink ref="AA13" r:id="rId13" display="abrir"/>
    <hyperlink ref="AA14" r:id="rId14" display="abrir"/>
    <hyperlink ref="AA15" r:id="rId15" display="abrir"/>
    <hyperlink ref="AA16" r:id="rId16" display="abrir"/>
    <hyperlink ref="AA17" r:id="rId17" display="abrir"/>
    <hyperlink ref="AA18" r:id="rId18" display="abrir"/>
    <hyperlink ref="AA19" r:id="rId19" display="abrir"/>
    <hyperlink ref="AA20" r:id="rId20" display="abrir"/>
    <hyperlink ref="AA21" r:id="rId21" display="abrir"/>
    <hyperlink ref="AA22" r:id="rId22" display="abrir"/>
    <hyperlink ref="AA23" r:id="rId23" display="abrir"/>
    <hyperlink ref="AA24" r:id="rId24" display="abrir"/>
    <hyperlink ref="AA25" r:id="rId25" display="abrir"/>
    <hyperlink ref="AA26" r:id="rId26" display="abrir"/>
    <hyperlink ref="AA27" r:id="rId27" display="abrir"/>
    <hyperlink ref="AA28" r:id="rId28" display="abrir"/>
    <hyperlink ref="AA29" r:id="rId29" display="abrir"/>
    <hyperlink ref="AA30" r:id="rId30" display="abrir"/>
    <hyperlink ref="AA31" r:id="rId31" display="abrir"/>
    <hyperlink ref="AA32" r:id="rId32" display="abrir"/>
    <hyperlink ref="AA33" r:id="rId33" display="abrir"/>
    <hyperlink ref="AA34" r:id="rId34" display="abrir"/>
    <hyperlink ref="AA35" r:id="rId35" display="abrir"/>
    <hyperlink ref="AA36" r:id="rId36" display="abrir"/>
    <hyperlink ref="AA37" r:id="rId37" display="abrir"/>
    <hyperlink ref="AA38" r:id="rId38" display="abrir"/>
    <hyperlink ref="AA39" r:id="rId39" display="abrir"/>
    <hyperlink ref="AA40" r:id="rId40" display="abrir"/>
    <hyperlink ref="AA41" r:id="rId41" display="abrir"/>
    <hyperlink ref="AA42" r:id="rId42" display="abrir"/>
    <hyperlink ref="AA43" r:id="rId43" display="abrir"/>
    <hyperlink ref="AA44" r:id="rId44" display="abrir"/>
    <hyperlink ref="AA45" r:id="rId45" display="abrir"/>
    <hyperlink ref="AA46" r:id="rId46" display="abrir"/>
    <hyperlink ref="AA47" r:id="rId47" display="abrir"/>
    <hyperlink ref="AA48" r:id="rId48" display="abrir"/>
    <hyperlink ref="AA49" r:id="rId49" display="abrir"/>
    <hyperlink ref="AA50" r:id="rId50" display="abrir"/>
    <hyperlink ref="AA51" r:id="rId51" display="abrir"/>
    <hyperlink ref="AA52" r:id="rId52" display="abrir"/>
    <hyperlink ref="AA53" r:id="rId53" display="abrir"/>
    <hyperlink ref="AA54" r:id="rId54" display="abrir"/>
    <hyperlink ref="AA55" r:id="rId55" display="abrir"/>
    <hyperlink ref="AA56" r:id="rId56" display="abrir"/>
    <hyperlink ref="AA57" r:id="rId57" display="abrir"/>
    <hyperlink ref="AA58" r:id="rId58" display="abrir"/>
    <hyperlink ref="AA59" r:id="rId59" display="abrir"/>
    <hyperlink ref="AA60" r:id="rId60" display="abrir"/>
    <hyperlink ref="AA61" r:id="rId61" display="abrir"/>
    <hyperlink ref="AA62" r:id="rId62" display="abrir"/>
    <hyperlink ref="AA63" r:id="rId63" display="abrir"/>
    <hyperlink ref="AA64" r:id="rId64" display="abrir"/>
    <hyperlink ref="AA65" r:id="rId65" display="abrir"/>
    <hyperlink ref="AA66" r:id="rId66" display="abrir"/>
    <hyperlink ref="AA67" r:id="rId67" display="abrir"/>
    <hyperlink ref="AA68" r:id="rId68" display="abrir"/>
    <hyperlink ref="AA69" r:id="rId69" display="abrir"/>
    <hyperlink ref="AA70" r:id="rId70" display="abrir"/>
    <hyperlink ref="AA71" r:id="rId71" display="abrir"/>
    <hyperlink ref="AA72" r:id="rId72" display="abrir"/>
    <hyperlink ref="AA73" r:id="rId73" display="abrir"/>
    <hyperlink ref="AA74" r:id="rId74" display="abrir"/>
    <hyperlink ref="AA75" r:id="rId75" display="abrir"/>
    <hyperlink ref="AA76" r:id="rId76" display="abrir"/>
    <hyperlink ref="AA77" r:id="rId77" display="abrir"/>
    <hyperlink ref="AA78" r:id="rId78" display="abrir"/>
    <hyperlink ref="AA79" r:id="rId79" display="abrir"/>
    <hyperlink ref="AA80" r:id="rId80" display="abrir"/>
    <hyperlink ref="AA81" r:id="rId81" display="abrir"/>
    <hyperlink ref="AA82" r:id="rId82" display="abrir"/>
    <hyperlink ref="AA83" r:id="rId83" display="abrir"/>
    <hyperlink ref="AA84" r:id="rId84" display="abrir"/>
    <hyperlink ref="AA85" r:id="rId85" display="abrir"/>
    <hyperlink ref="AA86" r:id="rId86" display="abrir"/>
    <hyperlink ref="AA87" r:id="rId87" display="abrir"/>
    <hyperlink ref="AA88" r:id="rId88" display="abrir"/>
    <hyperlink ref="AA89" r:id="rId89" display="abrir"/>
    <hyperlink ref="AA90" r:id="rId90" display="abrir"/>
    <hyperlink ref="AA91" r:id="rId91" display="abrir"/>
    <hyperlink ref="AA92" r:id="rId92" display="abrir"/>
    <hyperlink ref="AA93" r:id="rId93" display="abrir"/>
    <hyperlink ref="AA94" r:id="rId94" display="abrir"/>
    <hyperlink ref="AA95" r:id="rId95" display="abrir"/>
    <hyperlink ref="AA96" r:id="rId96" display="abrir"/>
    <hyperlink ref="AA97" r:id="rId97" display="abrir"/>
    <hyperlink ref="AA98" r:id="rId98" display="abrir"/>
    <hyperlink ref="AA99" r:id="rId99" display="abrir"/>
    <hyperlink ref="AA100" r:id="rId100" display="abrir"/>
    <hyperlink ref="AA101" r:id="rId101" display="abrir"/>
    <hyperlink ref="AA102" r:id="rId102" display="abrir"/>
    <hyperlink ref="AA103" r:id="rId103" display="abrir"/>
    <hyperlink ref="AA104" r:id="rId104" display="abrir"/>
    <hyperlink ref="AA105" r:id="rId105" display="abrir"/>
    <hyperlink ref="AA106" r:id="rId106" display="abrir"/>
    <hyperlink ref="AA107" r:id="rId107" display="abrir"/>
    <hyperlink ref="AA108" r:id="rId108" display="abrir"/>
    <hyperlink ref="AA109" r:id="rId109" display="abrir"/>
    <hyperlink ref="AA110" r:id="rId110" display="abrir"/>
    <hyperlink ref="AA111" r:id="rId111" display="abrir"/>
    <hyperlink ref="AA112" r:id="rId112" display="abrir"/>
    <hyperlink ref="AA113" r:id="rId113" display="abrir"/>
    <hyperlink ref="AA114" r:id="rId114" display="abrir"/>
    <hyperlink ref="AA115" r:id="rId115" display="abrir"/>
    <hyperlink ref="AA116" r:id="rId116" display="abrir"/>
    <hyperlink ref="AA117" r:id="rId117" display="abrir"/>
    <hyperlink ref="AA118" r:id="rId118" display="abrir"/>
    <hyperlink ref="AA119" r:id="rId119" display="abrir"/>
    <hyperlink ref="AA120" r:id="rId120" display="abrir"/>
    <hyperlink ref="AA121" r:id="rId121" display="abrir"/>
    <hyperlink ref="AA122" r:id="rId122" display="abrir"/>
    <hyperlink ref="AA123" r:id="rId123" display="abrir"/>
    <hyperlink ref="AA124" r:id="rId124" display="abrir"/>
    <hyperlink ref="AA125" r:id="rId125" display="abrir"/>
    <hyperlink ref="AA126" r:id="rId126" display="abrir"/>
    <hyperlink ref="AA127" r:id="rId127" display="abrir"/>
    <hyperlink ref="AA128" r:id="rId128" display="abrir"/>
    <hyperlink ref="AA129" r:id="rId129" display="abrir"/>
    <hyperlink ref="AA130" r:id="rId130" display="abrir"/>
    <hyperlink ref="AA131" r:id="rId131" display="abrir"/>
    <hyperlink ref="AA132" r:id="rId132" display="abrir"/>
    <hyperlink ref="AA133" r:id="rId133" display="abrir"/>
    <hyperlink ref="AA134" r:id="rId134" display="abrir"/>
    <hyperlink ref="AA135" r:id="rId135" display="abrir"/>
    <hyperlink ref="AA136" r:id="rId136" display="abrir"/>
    <hyperlink ref="AA137" r:id="rId137" display="abrir"/>
    <hyperlink ref="AA138" r:id="rId138" display="abrir"/>
    <hyperlink ref="AA139" r:id="rId139" display="abrir"/>
    <hyperlink ref="AA140" r:id="rId140" display="abrir"/>
    <hyperlink ref="AA141" r:id="rId141" display="abrir"/>
    <hyperlink ref="AA142" r:id="rId142" display="abrir"/>
    <hyperlink ref="AA143" r:id="rId143" display="abrir"/>
    <hyperlink ref="AA144" r:id="rId144" display="abrir"/>
    <hyperlink ref="AA145" r:id="rId145" display="abrir"/>
    <hyperlink ref="AA146" r:id="rId146" display="abrir"/>
    <hyperlink ref="AA147" r:id="rId147" display="abrir"/>
    <hyperlink ref="AA148" r:id="rId148" display="abrir"/>
    <hyperlink ref="AA149" r:id="rId149" display="abrir"/>
    <hyperlink ref="AA150" r:id="rId150" display="abrir"/>
    <hyperlink ref="AA151" r:id="rId151" display="abrir"/>
    <hyperlink ref="AA152" r:id="rId152" display="abrir"/>
    <hyperlink ref="AA153" r:id="rId153" display="abrir"/>
    <hyperlink ref="AA154" r:id="rId154" display="abrir"/>
    <hyperlink ref="AA155" r:id="rId155" display="abrir"/>
    <hyperlink ref="AA156" r:id="rId156" display="abrir"/>
    <hyperlink ref="AA157" r:id="rId157" display="abrir"/>
    <hyperlink ref="AA158" r:id="rId158" display="abrir"/>
    <hyperlink ref="AA159" r:id="rId159" display="abrir"/>
    <hyperlink ref="AA160" r:id="rId160" display="abrir"/>
    <hyperlink ref="AA161" r:id="rId161" display="abrir"/>
    <hyperlink ref="AA162" r:id="rId162" display="abrir"/>
    <hyperlink ref="AA163" r:id="rId163" display="abrir"/>
    <hyperlink ref="AA164" r:id="rId164" display="abrir"/>
    <hyperlink ref="AA165" r:id="rId165" display="abrir"/>
    <hyperlink ref="AA166" r:id="rId166" display="abrir"/>
    <hyperlink ref="AA167" r:id="rId167" display="abrir"/>
    <hyperlink ref="AA168" r:id="rId168" display="abrir"/>
    <hyperlink ref="AA169" r:id="rId169" display="abrir"/>
    <hyperlink ref="AA170" r:id="rId170" display="abrir"/>
    <hyperlink ref="AA171" r:id="rId171" display="abrir"/>
    <hyperlink ref="AA172" r:id="rId172" display="abrir"/>
    <hyperlink ref="AA173" r:id="rId173" display="abrir"/>
    <hyperlink ref="AA174" r:id="rId174" display="abrir"/>
    <hyperlink ref="AA175" r:id="rId175" display="abrir"/>
    <hyperlink ref="AA176" r:id="rId176" display="abrir"/>
    <hyperlink ref="AA177" r:id="rId177" display="abrir"/>
    <hyperlink ref="AA178" r:id="rId178" display="abrir"/>
    <hyperlink ref="AA179" r:id="rId179" display="abrir"/>
    <hyperlink ref="AA180" r:id="rId180" display="abrir"/>
    <hyperlink ref="AA181" r:id="rId181" display="abrir"/>
    <hyperlink ref="AA182" r:id="rId182" display="abrir"/>
    <hyperlink ref="AA183" r:id="rId183" display="abrir"/>
    <hyperlink ref="AA184" r:id="rId184" display="abrir"/>
    <hyperlink ref="AA185" r:id="rId185" display="abrir"/>
    <hyperlink ref="AA186" r:id="rId186" display="abrir"/>
    <hyperlink ref="AA187" r:id="rId187" display="abrir"/>
    <hyperlink ref="AA188" r:id="rId188" display="abrir"/>
    <hyperlink ref="AA189" r:id="rId189" display="abrir"/>
    <hyperlink ref="AA190" r:id="rId190" display="abrir"/>
    <hyperlink ref="AA191" r:id="rId191" display="abrir"/>
    <hyperlink ref="AA192" r:id="rId192" display="abrir"/>
    <hyperlink ref="AA193" r:id="rId193" display="abrir"/>
    <hyperlink ref="AA194" r:id="rId194" display="abrir"/>
    <hyperlink ref="AA195" r:id="rId195" display="abrir"/>
    <hyperlink ref="AA196" r:id="rId196" display="abrir"/>
    <hyperlink ref="AA197" r:id="rId197" display="abrir"/>
    <hyperlink ref="AA198" r:id="rId198" display="abrir"/>
    <hyperlink ref="AA199" r:id="rId199" display="abrir"/>
    <hyperlink ref="AA200" r:id="rId200" display="abrir"/>
    <hyperlink ref="AA201" r:id="rId201" display="abrir"/>
    <hyperlink ref="AA202" r:id="rId202" display="abrir"/>
    <hyperlink ref="AA203" r:id="rId203" display="abrir"/>
    <hyperlink ref="AA204" r:id="rId204" display="abrir"/>
    <hyperlink ref="AA205" r:id="rId205" display="abrir"/>
    <hyperlink ref="AA206" r:id="rId206" display="abrir"/>
    <hyperlink ref="AA207" r:id="rId207" display="abrir"/>
    <hyperlink ref="AA208" r:id="rId208" display="abrir"/>
    <hyperlink ref="AA209" r:id="rId209" display="abrir"/>
    <hyperlink ref="AA210" r:id="rId210" display="abrir"/>
    <hyperlink ref="AA211" r:id="rId211" display="abrir"/>
    <hyperlink ref="AA212" r:id="rId212" display="abrir"/>
    <hyperlink ref="AA213" r:id="rId213" display="abrir"/>
    <hyperlink ref="AA214" r:id="rId214" display="abrir"/>
    <hyperlink ref="AA215" r:id="rId215" display="abrir"/>
    <hyperlink ref="AA216" r:id="rId216" display="abrir"/>
    <hyperlink ref="AA217" r:id="rId217" display="abrir"/>
    <hyperlink ref="AA218" r:id="rId218" display="abrir"/>
    <hyperlink ref="AA219" r:id="rId219" display="abrir"/>
    <hyperlink ref="AA220" r:id="rId220" display="abrir"/>
    <hyperlink ref="AA221" r:id="rId221" display="abrir"/>
    <hyperlink ref="AA222" r:id="rId222" display="abrir"/>
    <hyperlink ref="AA223" r:id="rId223" display="abrir"/>
    <hyperlink ref="AA224" r:id="rId224" display="abrir"/>
    <hyperlink ref="AA225" r:id="rId225" display="abrir"/>
    <hyperlink ref="AA226" r:id="rId226" display="abrir"/>
    <hyperlink ref="AA227" r:id="rId227" display="abrir"/>
    <hyperlink ref="AA228" r:id="rId228" display="abrir"/>
    <hyperlink ref="AA229" r:id="rId229" display="abrir"/>
    <hyperlink ref="AA230" r:id="rId230" display="abrir"/>
    <hyperlink ref="AA231" r:id="rId231" display="abrir"/>
    <hyperlink ref="AA232" r:id="rId232" display="abrir"/>
    <hyperlink ref="AA233" r:id="rId233" display="abrir"/>
    <hyperlink ref="AA234" r:id="rId234" display="abrir"/>
    <hyperlink ref="AA235" r:id="rId235" display="abrir"/>
    <hyperlink ref="AA236" r:id="rId236" display="abrir"/>
    <hyperlink ref="AA237" r:id="rId237" display="abrir"/>
    <hyperlink ref="AA238" r:id="rId238" display="abrir"/>
    <hyperlink ref="AA239" r:id="rId239" display="abrir"/>
    <hyperlink ref="AA240" r:id="rId240" display="abrir"/>
    <hyperlink ref="AA241" r:id="rId241" display="abrir"/>
    <hyperlink ref="AA242" r:id="rId242" display="abrir"/>
    <hyperlink ref="AA243" r:id="rId243" display="abrir"/>
    <hyperlink ref="AA244" r:id="rId244" display="abrir"/>
    <hyperlink ref="AA245" r:id="rId245" display="abrir"/>
    <hyperlink ref="AA246" r:id="rId246" display="abrir"/>
    <hyperlink ref="AA247" r:id="rId247" display="abrir"/>
    <hyperlink ref="AA248" r:id="rId248" display="abrir"/>
    <hyperlink ref="AA249" r:id="rId249" display="abrir"/>
    <hyperlink ref="AA250" r:id="rId250" display="abrir"/>
    <hyperlink ref="AA251" r:id="rId251" display="abrir"/>
    <hyperlink ref="AA252" r:id="rId252" display="abrir"/>
    <hyperlink ref="AA253" r:id="rId253" display="abrir"/>
    <hyperlink ref="AA254" r:id="rId254" display="abrir"/>
    <hyperlink ref="AA255" r:id="rId255" display="abrir"/>
    <hyperlink ref="AA256" r:id="rId256" display="abrir"/>
    <hyperlink ref="AA257" r:id="rId257" display="abrir"/>
    <hyperlink ref="AA258" r:id="rId258" display="abrir"/>
    <hyperlink ref="AA259" r:id="rId259" display="abrir"/>
    <hyperlink ref="AA260" r:id="rId260" display="abrir"/>
    <hyperlink ref="AA261" r:id="rId261" display="abrir"/>
    <hyperlink ref="AA262" r:id="rId262" display="abrir"/>
    <hyperlink ref="AA263" r:id="rId263" display="abrir"/>
    <hyperlink ref="AA264" r:id="rId264" display="abrir"/>
    <hyperlink ref="AA265" r:id="rId265" display="abrir"/>
    <hyperlink ref="AA266" r:id="rId266" display="abrir"/>
    <hyperlink ref="AA267" r:id="rId267" display="abrir"/>
    <hyperlink ref="AA268" r:id="rId268" display="abrir"/>
    <hyperlink ref="AA269" r:id="rId269" display="abrir"/>
    <hyperlink ref="AA270" r:id="rId270" display="abrir"/>
    <hyperlink ref="AA271" r:id="rId271" display="abrir"/>
    <hyperlink ref="AA272" r:id="rId272" display="abrir"/>
    <hyperlink ref="AA273" r:id="rId273" display="abrir"/>
    <hyperlink ref="AA274" r:id="rId274" display="abrir"/>
    <hyperlink ref="AA275" r:id="rId275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76"/>
  <tableParts>
    <tablePart r:id="rId277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3" min="11" style="0" width="14"/>
    <col collapsed="false" customWidth="true" hidden="false" outlineLevel="0" max="14" min="14" style="0" width="40"/>
    <col collapsed="false" customWidth="true" hidden="false" outlineLevel="0" max="16" min="15" style="0" width="12"/>
    <col collapsed="false" customWidth="true" hidden="false" outlineLevel="0" max="17" min="17" style="0" width="8"/>
  </cols>
  <sheetData>
    <row r="1" customFormat="false" ht="31.5" hidden="false" customHeight="true" outlineLevel="0" collapsed="false">
      <c r="A1" s="16" t="s">
        <v>1202</v>
      </c>
      <c r="B1" s="16" t="s">
        <v>1203</v>
      </c>
      <c r="C1" s="16" t="s">
        <v>151</v>
      </c>
      <c r="D1" s="16" t="s">
        <v>1204</v>
      </c>
      <c r="E1" s="16" t="s">
        <v>1205</v>
      </c>
      <c r="F1" s="16" t="s">
        <v>1206</v>
      </c>
      <c r="G1" s="16" t="s">
        <v>1207</v>
      </c>
      <c r="H1" s="16" t="s">
        <v>1208</v>
      </c>
      <c r="I1" s="16" t="s">
        <v>161</v>
      </c>
      <c r="J1" s="16" t="s">
        <v>1209</v>
      </c>
      <c r="K1" s="16" t="s">
        <v>1210</v>
      </c>
      <c r="L1" s="16" t="s">
        <v>1211</v>
      </c>
      <c r="M1" s="16" t="s">
        <v>1212</v>
      </c>
      <c r="N1" s="16" t="s">
        <v>9</v>
      </c>
      <c r="O1" s="16" t="s">
        <v>162</v>
      </c>
      <c r="P1" s="16" t="s">
        <v>163</v>
      </c>
      <c r="Q1" s="16" t="s">
        <v>833</v>
      </c>
    </row>
    <row r="2" customFormat="false" ht="15" hidden="false" customHeight="false" outlineLevel="0" collapsed="false">
      <c r="A2" s="35" t="s">
        <v>42</v>
      </c>
      <c r="B2" s="35" t="s">
        <v>836</v>
      </c>
      <c r="C2" s="35" t="s">
        <v>276</v>
      </c>
      <c r="D2" s="35" t="s">
        <v>1213</v>
      </c>
      <c r="E2" s="35" t="s">
        <v>49</v>
      </c>
      <c r="F2" s="35" t="s">
        <v>22</v>
      </c>
      <c r="G2" s="35" t="s">
        <v>49</v>
      </c>
      <c r="H2" s="35" t="s">
        <v>1214</v>
      </c>
      <c r="I2" s="35" t="s">
        <v>42</v>
      </c>
      <c r="J2" s="35" t="n">
        <f aca="false">COUNTIFS(Trechos!$M$2:$M$275,A2)</f>
        <v>53</v>
      </c>
      <c r="K2" s="36" t="n">
        <f aca="false">SUMIFS(Trechos!$F$2:$F$275,Trechos!$M$2:$M$275,A2)</f>
        <v>2635.00002354111</v>
      </c>
      <c r="L2" s="35" t="n">
        <f aca="false">SUMPRODUCT(--ISNUMBER(SEARCH("|"&amp;A2&amp;"|",Trechos!$AB$2:$AB$275)))</f>
        <v>274</v>
      </c>
      <c r="M2" s="36" t="n">
        <f aca="false">SUMPRODUCT(ISNUMBER(SEARCH("|"&amp;A2&amp;"|",Trechos!$AB$2:$AB$275))*Trechos!$F$2:$F$275)</f>
        <v>15315.7661542166</v>
      </c>
      <c r="N2" s="35" t="s">
        <v>1215</v>
      </c>
      <c r="O2" s="35" t="n">
        <v>-9.576847</v>
      </c>
      <c r="P2" s="35" t="n">
        <v>-48.395496</v>
      </c>
      <c r="Q2" s="49" t="s">
        <v>838</v>
      </c>
    </row>
    <row r="3" customFormat="false" ht="15" hidden="false" customHeight="false" outlineLevel="0" collapsed="false">
      <c r="A3" s="35" t="s">
        <v>280</v>
      </c>
      <c r="B3" s="35" t="s">
        <v>1216</v>
      </c>
      <c r="C3" s="35" t="s">
        <v>279</v>
      </c>
      <c r="D3" s="35" t="s">
        <v>1213</v>
      </c>
      <c r="E3" s="35" t="s">
        <v>22</v>
      </c>
      <c r="F3" s="35" t="s">
        <v>22</v>
      </c>
      <c r="G3" s="35" t="n">
        <v>1</v>
      </c>
      <c r="H3" s="35" t="s">
        <v>49</v>
      </c>
      <c r="I3" s="35" t="s">
        <v>42</v>
      </c>
      <c r="J3" s="35"/>
      <c r="K3" s="35"/>
      <c r="L3" s="35"/>
      <c r="M3" s="35"/>
      <c r="N3" s="35" t="s">
        <v>837</v>
      </c>
      <c r="O3" s="35" t="n">
        <v>-9.576559</v>
      </c>
      <c r="P3" s="35" t="n">
        <v>-48.395753</v>
      </c>
      <c r="Q3" s="49" t="s">
        <v>838</v>
      </c>
    </row>
    <row r="4" customFormat="false" ht="15" hidden="false" customHeight="false" outlineLevel="0" collapsed="false">
      <c r="A4" s="35" t="s">
        <v>285</v>
      </c>
      <c r="B4" s="35" t="s">
        <v>1216</v>
      </c>
      <c r="C4" s="35" t="s">
        <v>284</v>
      </c>
      <c r="D4" s="35" t="s">
        <v>1213</v>
      </c>
      <c r="E4" s="35" t="s">
        <v>22</v>
      </c>
      <c r="F4" s="35" t="s">
        <v>22</v>
      </c>
      <c r="G4" s="35" t="n">
        <v>1</v>
      </c>
      <c r="H4" s="35" t="s">
        <v>49</v>
      </c>
      <c r="I4" s="35" t="s">
        <v>42</v>
      </c>
      <c r="J4" s="35"/>
      <c r="K4" s="35"/>
      <c r="L4" s="35"/>
      <c r="M4" s="35"/>
      <c r="N4" s="35" t="s">
        <v>837</v>
      </c>
      <c r="O4" s="35" t="n">
        <v>-9.574105</v>
      </c>
      <c r="P4" s="35" t="n">
        <v>-48.395115</v>
      </c>
      <c r="Q4" s="49" t="s">
        <v>838</v>
      </c>
    </row>
    <row r="5" customFormat="false" ht="15" hidden="false" customHeight="false" outlineLevel="0" collapsed="false">
      <c r="A5" s="35" t="s">
        <v>298</v>
      </c>
      <c r="B5" s="35" t="s">
        <v>1216</v>
      </c>
      <c r="C5" s="35" t="s">
        <v>297</v>
      </c>
      <c r="D5" s="35" t="s">
        <v>1213</v>
      </c>
      <c r="E5" s="35" t="s">
        <v>22</v>
      </c>
      <c r="F5" s="35" t="s">
        <v>22</v>
      </c>
      <c r="G5" s="35" t="n">
        <v>1</v>
      </c>
      <c r="H5" s="35" t="s">
        <v>49</v>
      </c>
      <c r="I5" s="35" t="s">
        <v>42</v>
      </c>
      <c r="J5" s="35"/>
      <c r="K5" s="35"/>
      <c r="L5" s="35"/>
      <c r="M5" s="35"/>
      <c r="N5" s="35" t="s">
        <v>847</v>
      </c>
      <c r="O5" s="35" t="n">
        <v>-9.569659</v>
      </c>
      <c r="P5" s="35" t="n">
        <v>-48.393076</v>
      </c>
      <c r="Q5" s="49" t="s">
        <v>838</v>
      </c>
    </row>
    <row r="6" customFormat="false" ht="15" hidden="false" customHeight="false" outlineLevel="0" collapsed="false">
      <c r="A6" s="35" t="s">
        <v>43</v>
      </c>
      <c r="B6" s="35" t="s">
        <v>866</v>
      </c>
      <c r="C6" s="35" t="s">
        <v>316</v>
      </c>
      <c r="D6" s="35" t="s">
        <v>1213</v>
      </c>
      <c r="E6" s="35" t="s">
        <v>22</v>
      </c>
      <c r="F6" s="35" t="s">
        <v>23</v>
      </c>
      <c r="G6" s="35" t="n">
        <v>1</v>
      </c>
      <c r="H6" s="35" t="s">
        <v>1217</v>
      </c>
      <c r="I6" s="35" t="s">
        <v>868</v>
      </c>
      <c r="J6" s="35" t="n">
        <f aca="false">COUNTIFS(Trechos!$M$2:$M$275,A6)</f>
        <v>34</v>
      </c>
      <c r="K6" s="36" t="n">
        <f aca="false">SUMIFS(Trechos!$F$2:$F$275,Trechos!$M$2:$M$275,A6)</f>
        <v>1413.25932639707</v>
      </c>
      <c r="L6" s="35" t="n">
        <f aca="false">SUMPRODUCT(--ISNUMBER(SEARCH("|"&amp;A6&amp;"|",Trechos!$AB$2:$AB$275)))</f>
        <v>125</v>
      </c>
      <c r="M6" s="36" t="n">
        <f aca="false">SUMPRODUCT(ISNUMBER(SEARCH("|"&amp;A6&amp;"|",Trechos!$AB$2:$AB$275))*Trechos!$F$2:$F$275)</f>
        <v>5659.77088146044</v>
      </c>
      <c r="N6" s="35" t="s">
        <v>867</v>
      </c>
      <c r="O6" s="35" t="n">
        <v>-9.566829</v>
      </c>
      <c r="P6" s="35" t="n">
        <v>-48.390953</v>
      </c>
      <c r="Q6" s="49" t="s">
        <v>838</v>
      </c>
    </row>
    <row r="7" customFormat="false" ht="15" hidden="false" customHeight="false" outlineLevel="0" collapsed="false">
      <c r="A7" s="35" t="s">
        <v>46</v>
      </c>
      <c r="B7" s="35" t="s">
        <v>1216</v>
      </c>
      <c r="C7" s="35" t="s">
        <v>334</v>
      </c>
      <c r="D7" s="35" t="s">
        <v>1213</v>
      </c>
      <c r="E7" s="35" t="s">
        <v>23</v>
      </c>
      <c r="F7" s="35" t="s">
        <v>23</v>
      </c>
      <c r="G7" s="35" t="n">
        <v>2</v>
      </c>
      <c r="H7" s="35" t="s">
        <v>49</v>
      </c>
      <c r="I7" s="35" t="s">
        <v>868</v>
      </c>
      <c r="J7" s="35"/>
      <c r="K7" s="35"/>
      <c r="L7" s="35"/>
      <c r="M7" s="35"/>
      <c r="N7" s="35" t="s">
        <v>876</v>
      </c>
      <c r="O7" s="35" t="n">
        <v>-9.565625</v>
      </c>
      <c r="P7" s="35" t="n">
        <v>-48.393142</v>
      </c>
      <c r="Q7" s="49" t="s">
        <v>838</v>
      </c>
    </row>
    <row r="8" customFormat="false" ht="15" hidden="false" customHeight="false" outlineLevel="0" collapsed="false">
      <c r="A8" s="35" t="s">
        <v>48</v>
      </c>
      <c r="B8" s="35" t="s">
        <v>892</v>
      </c>
      <c r="C8" s="35" t="s">
        <v>354</v>
      </c>
      <c r="D8" s="35" t="s">
        <v>1218</v>
      </c>
      <c r="E8" s="35" t="s">
        <v>22</v>
      </c>
      <c r="F8" s="35" t="s">
        <v>24</v>
      </c>
      <c r="G8" s="35" t="n">
        <v>3</v>
      </c>
      <c r="H8" s="35" t="s">
        <v>1219</v>
      </c>
      <c r="I8" s="35" t="s">
        <v>894</v>
      </c>
      <c r="J8" s="35" t="n">
        <f aca="false">COUNTIFS(Trechos!$M$2:$M$275,A8)</f>
        <v>15</v>
      </c>
      <c r="K8" s="36" t="n">
        <f aca="false">SUMIFS(Trechos!$F$2:$F$275,Trechos!$M$2:$M$275,A8)</f>
        <v>2457.95327920558</v>
      </c>
      <c r="L8" s="35" t="n">
        <f aca="false">SUMPRODUCT(--ISNUMBER(SEARCH("|"&amp;A8&amp;"|",Trechos!$AB$2:$AB$275)))</f>
        <v>75</v>
      </c>
      <c r="M8" s="36" t="n">
        <f aca="false">SUMPRODUCT(ISNUMBER(SEARCH("|"&amp;A8&amp;"|",Trechos!$AB$2:$AB$275))*Trechos!$F$2:$F$275)</f>
        <v>6169.49391732537</v>
      </c>
      <c r="N8" s="35" t="s">
        <v>893</v>
      </c>
      <c r="O8" s="35" t="n">
        <v>-9.576824</v>
      </c>
      <c r="P8" s="35" t="n">
        <v>-48.39584</v>
      </c>
      <c r="Q8" s="49" t="s">
        <v>838</v>
      </c>
    </row>
    <row r="9" customFormat="false" ht="15" hidden="false" customHeight="false" outlineLevel="0" collapsed="false">
      <c r="A9" s="35" t="s">
        <v>52</v>
      </c>
      <c r="B9" s="35" t="s">
        <v>892</v>
      </c>
      <c r="C9" s="35" t="s">
        <v>366</v>
      </c>
      <c r="D9" s="35" t="s">
        <v>1218</v>
      </c>
      <c r="E9" s="35" t="s">
        <v>24</v>
      </c>
      <c r="F9" s="35" t="s">
        <v>25</v>
      </c>
      <c r="G9" s="35" t="n">
        <v>4</v>
      </c>
      <c r="H9" s="35" t="s">
        <v>1220</v>
      </c>
      <c r="I9" s="35" t="s">
        <v>914</v>
      </c>
      <c r="J9" s="35" t="n">
        <f aca="false">COUNTIFS(Trechos!$M$2:$M$275,A9)</f>
        <v>2</v>
      </c>
      <c r="K9" s="36" t="n">
        <f aca="false">SUMIFS(Trechos!$F$2:$F$275,Trechos!$M$2:$M$275,A9)</f>
        <v>223.137422642631</v>
      </c>
      <c r="L9" s="35" t="n">
        <f aca="false">SUMPRODUCT(--ISNUMBER(SEARCH("|"&amp;A9&amp;"|",Trechos!$AB$2:$AB$275)))</f>
        <v>3</v>
      </c>
      <c r="M9" s="36" t="n">
        <f aca="false">SUMPRODUCT(ISNUMBER(SEARCH("|"&amp;A9&amp;"|",Trechos!$AB$2:$AB$275))*Trechos!$F$2:$F$275)</f>
        <v>315.611253217767</v>
      </c>
      <c r="N9" s="35" t="s">
        <v>53</v>
      </c>
      <c r="O9" s="35" t="n">
        <v>-9.584617</v>
      </c>
      <c r="P9" s="35" t="n">
        <v>-48.398514</v>
      </c>
      <c r="Q9" s="49" t="s">
        <v>838</v>
      </c>
    </row>
    <row r="10" customFormat="false" ht="15" hidden="false" customHeight="false" outlineLevel="0" collapsed="false">
      <c r="A10" s="35" t="s">
        <v>51</v>
      </c>
      <c r="B10" s="35" t="s">
        <v>1221</v>
      </c>
      <c r="C10" s="35" t="s">
        <v>374</v>
      </c>
      <c r="D10" s="35" t="s">
        <v>1218</v>
      </c>
      <c r="E10" s="35" t="s">
        <v>24</v>
      </c>
      <c r="F10" s="35" t="s">
        <v>24</v>
      </c>
      <c r="G10" s="35" t="n">
        <v>4</v>
      </c>
      <c r="H10" s="35" t="s">
        <v>49</v>
      </c>
      <c r="I10" s="35" t="s">
        <v>894</v>
      </c>
      <c r="J10" s="35"/>
      <c r="K10" s="35"/>
      <c r="L10" s="35"/>
      <c r="M10" s="35"/>
      <c r="N10" s="35" t="s">
        <v>49</v>
      </c>
      <c r="O10" s="35" t="n">
        <v>-9.589356</v>
      </c>
      <c r="P10" s="35" t="n">
        <v>-48.400933</v>
      </c>
      <c r="Q10" s="49" t="s">
        <v>838</v>
      </c>
    </row>
    <row r="11" customFormat="false" ht="15" hidden="false" customHeight="false" outlineLevel="0" collapsed="false">
      <c r="A11" s="35" t="s">
        <v>55</v>
      </c>
      <c r="B11" s="35" t="s">
        <v>892</v>
      </c>
      <c r="C11" s="35" t="s">
        <v>380</v>
      </c>
      <c r="D11" s="35" t="s">
        <v>1218</v>
      </c>
      <c r="E11" s="35" t="s">
        <v>24</v>
      </c>
      <c r="F11" s="35" t="s">
        <v>25</v>
      </c>
      <c r="G11" s="35" t="n">
        <v>4</v>
      </c>
      <c r="H11" s="35" t="s">
        <v>1222</v>
      </c>
      <c r="I11" s="35" t="s">
        <v>922</v>
      </c>
      <c r="J11" s="35" t="n">
        <f aca="false">COUNTIFS(Trechos!$M$2:$M$275,A11)</f>
        <v>37</v>
      </c>
      <c r="K11" s="36" t="n">
        <f aca="false">SUMIFS(Trechos!$F$2:$F$275,Trechos!$M$2:$M$275,A11)</f>
        <v>2136.31044602165</v>
      </c>
      <c r="L11" s="35" t="n">
        <f aca="false">SUMPRODUCT(--ISNUMBER(SEARCH("|"&amp;A11&amp;"|",Trechos!$AB$2:$AB$275)))</f>
        <v>56</v>
      </c>
      <c r="M11" s="36" t="n">
        <f aca="false">SUMPRODUCT(ISNUMBER(SEARCH("|"&amp;A11&amp;"|",Trechos!$AB$2:$AB$275))*Trechos!$F$2:$F$275)</f>
        <v>3312.14300989339</v>
      </c>
      <c r="N11" s="35" t="s">
        <v>921</v>
      </c>
      <c r="O11" s="35" t="n">
        <v>-9.588999</v>
      </c>
      <c r="P11" s="35" t="n">
        <v>-48.401119</v>
      </c>
      <c r="Q11" s="49" t="s">
        <v>838</v>
      </c>
    </row>
    <row r="12" customFormat="false" ht="15" hidden="false" customHeight="false" outlineLevel="0" collapsed="false">
      <c r="A12" s="35" t="s">
        <v>61</v>
      </c>
      <c r="B12" s="35" t="s">
        <v>892</v>
      </c>
      <c r="C12" s="35" t="s">
        <v>384</v>
      </c>
      <c r="D12" s="35" t="s">
        <v>1218</v>
      </c>
      <c r="E12" s="35" t="s">
        <v>24</v>
      </c>
      <c r="F12" s="35" t="s">
        <v>25</v>
      </c>
      <c r="G12" s="35" t="n">
        <v>4</v>
      </c>
      <c r="H12" s="35" t="s">
        <v>1223</v>
      </c>
      <c r="I12" s="35" t="s">
        <v>985</v>
      </c>
      <c r="J12" s="35" t="n">
        <f aca="false">COUNTIFS(Trechos!$M$2:$M$275,A12)</f>
        <v>1</v>
      </c>
      <c r="K12" s="36" t="n">
        <f aca="false">SUMIFS(Trechos!$F$2:$F$275,Trechos!$M$2:$M$275,A12)</f>
        <v>83.7863750086203</v>
      </c>
      <c r="L12" s="35" t="n">
        <f aca="false">SUMPRODUCT(--ISNUMBER(SEARCH("|"&amp;A12&amp;"|",Trechos!$AB$2:$AB$275)))</f>
        <v>1</v>
      </c>
      <c r="M12" s="36" t="n">
        <f aca="false">SUMPRODUCT(ISNUMBER(SEARCH("|"&amp;A12&amp;"|",Trechos!$AB$2:$AB$275))*Trechos!$F$2:$F$275)</f>
        <v>83.7863750086203</v>
      </c>
      <c r="N12" s="35" t="s">
        <v>49</v>
      </c>
      <c r="O12" s="35" t="n">
        <v>-9.580501</v>
      </c>
      <c r="P12" s="35" t="n">
        <v>-48.397134</v>
      </c>
      <c r="Q12" s="49" t="s">
        <v>838</v>
      </c>
    </row>
    <row r="13" customFormat="false" ht="15" hidden="false" customHeight="false" outlineLevel="0" collapsed="false">
      <c r="A13" s="35" t="s">
        <v>53</v>
      </c>
      <c r="B13" s="35" t="s">
        <v>892</v>
      </c>
      <c r="C13" s="35" t="s">
        <v>388</v>
      </c>
      <c r="D13" s="35" t="s">
        <v>1218</v>
      </c>
      <c r="E13" s="35" t="s">
        <v>25</v>
      </c>
      <c r="F13" s="35" t="s">
        <v>26</v>
      </c>
      <c r="G13" s="35" t="n">
        <v>5</v>
      </c>
      <c r="H13" s="35" t="s">
        <v>1224</v>
      </c>
      <c r="I13" s="35" t="s">
        <v>918</v>
      </c>
      <c r="J13" s="35" t="n">
        <f aca="false">COUNTIFS(Trechos!$M$2:$M$275,A13)</f>
        <v>1</v>
      </c>
      <c r="K13" s="36" t="n">
        <f aca="false">SUMIFS(Trechos!$F$2:$F$275,Trechos!$M$2:$M$275,A13)</f>
        <v>92.4738305751356</v>
      </c>
      <c r="L13" s="35" t="n">
        <f aca="false">SUMPRODUCT(--ISNUMBER(SEARCH("|"&amp;A13&amp;"|",Trechos!$AB$2:$AB$275)))</f>
        <v>1</v>
      </c>
      <c r="M13" s="36" t="n">
        <f aca="false">SUMPRODUCT(ISNUMBER(SEARCH("|"&amp;A13&amp;"|",Trechos!$AB$2:$AB$275))*Trechos!$F$2:$F$275)</f>
        <v>92.4738305751356</v>
      </c>
      <c r="N13" s="35" t="s">
        <v>49</v>
      </c>
      <c r="O13" s="35" t="n">
        <v>-9.585986</v>
      </c>
      <c r="P13" s="35" t="n">
        <v>-48.397026</v>
      </c>
      <c r="Q13" s="49" t="s">
        <v>838</v>
      </c>
    </row>
    <row r="14" customFormat="false" ht="15" hidden="false" customHeight="false" outlineLevel="0" collapsed="false">
      <c r="A14" s="35" t="s">
        <v>57</v>
      </c>
      <c r="B14" s="35" t="s">
        <v>961</v>
      </c>
      <c r="C14" s="35" t="s">
        <v>442</v>
      </c>
      <c r="D14" s="35" t="s">
        <v>1218</v>
      </c>
      <c r="E14" s="35" t="s">
        <v>25</v>
      </c>
      <c r="F14" s="35" t="s">
        <v>26</v>
      </c>
      <c r="G14" s="35" t="n">
        <v>7</v>
      </c>
      <c r="H14" s="35" t="s">
        <v>1225</v>
      </c>
      <c r="I14" s="35" t="s">
        <v>962</v>
      </c>
      <c r="J14" s="35" t="n">
        <f aca="false">COUNTIFS(Trechos!$M$2:$M$275,A14)</f>
        <v>1</v>
      </c>
      <c r="K14" s="36" t="n">
        <f aca="false">SUMIFS(Trechos!$F$2:$F$275,Trechos!$M$2:$M$275,A14)</f>
        <v>16.0878124443238</v>
      </c>
      <c r="L14" s="35" t="n">
        <f aca="false">SUMPRODUCT(--ISNUMBER(SEARCH("|"&amp;A14&amp;"|",Trechos!$AB$2:$AB$275)))</f>
        <v>1</v>
      </c>
      <c r="M14" s="36" t="n">
        <f aca="false">SUMPRODUCT(ISNUMBER(SEARCH("|"&amp;A14&amp;"|",Trechos!$AB$2:$AB$275))*Trechos!$F$2:$F$275)</f>
        <v>16.0878124443238</v>
      </c>
      <c r="N14" s="35" t="s">
        <v>49</v>
      </c>
      <c r="O14" s="35" t="n">
        <v>-9.583916</v>
      </c>
      <c r="P14" s="35" t="n">
        <v>-48.410213</v>
      </c>
      <c r="Q14" s="49" t="s">
        <v>838</v>
      </c>
    </row>
    <row r="15" customFormat="false" ht="15" hidden="false" customHeight="false" outlineLevel="0" collapsed="false">
      <c r="A15" s="35" t="s">
        <v>59</v>
      </c>
      <c r="B15" s="35" t="s">
        <v>892</v>
      </c>
      <c r="C15" s="35" t="s">
        <v>446</v>
      </c>
      <c r="D15" s="35" t="s">
        <v>1218</v>
      </c>
      <c r="E15" s="35" t="s">
        <v>25</v>
      </c>
      <c r="F15" s="35" t="s">
        <v>26</v>
      </c>
      <c r="G15" s="35" t="n">
        <v>7</v>
      </c>
      <c r="H15" s="35" t="s">
        <v>1226</v>
      </c>
      <c r="I15" s="35" t="s">
        <v>965</v>
      </c>
      <c r="J15" s="35" t="n">
        <f aca="false">COUNTIFS(Trechos!$M$2:$M$275,A15)</f>
        <v>18</v>
      </c>
      <c r="K15" s="36" t="n">
        <f aca="false">SUMIFS(Trechos!$F$2:$F$275,Trechos!$M$2:$M$275,A15)</f>
        <v>1159.74475142742</v>
      </c>
      <c r="L15" s="35" t="n">
        <f aca="false">SUMPRODUCT(--ISNUMBER(SEARCH("|"&amp;A15&amp;"|",Trechos!$AB$2:$AB$275)))</f>
        <v>18</v>
      </c>
      <c r="M15" s="36" t="n">
        <f aca="false">SUMPRODUCT(ISNUMBER(SEARCH("|"&amp;A15&amp;"|",Trechos!$AB$2:$AB$275))*Trechos!$F$2:$F$275)</f>
        <v>1159.74475142742</v>
      </c>
      <c r="N15" s="35" t="s">
        <v>49</v>
      </c>
      <c r="O15" s="35" t="n">
        <v>-9.583861</v>
      </c>
      <c r="P15" s="35" t="n">
        <v>-48.409553</v>
      </c>
      <c r="Q15" s="49" t="s">
        <v>838</v>
      </c>
    </row>
    <row r="16" customFormat="false" ht="15" hidden="false" customHeight="false" outlineLevel="0" collapsed="false">
      <c r="A16" s="35" t="s">
        <v>66</v>
      </c>
      <c r="B16" s="35" t="s">
        <v>961</v>
      </c>
      <c r="C16" s="35" t="s">
        <v>526</v>
      </c>
      <c r="D16" s="35" t="s">
        <v>1218</v>
      </c>
      <c r="E16" s="35" t="s">
        <v>22</v>
      </c>
      <c r="F16" s="35" t="s">
        <v>24</v>
      </c>
      <c r="G16" s="35" t="n">
        <v>11</v>
      </c>
      <c r="H16" s="35" t="s">
        <v>1227</v>
      </c>
      <c r="I16" s="35" t="s">
        <v>1004</v>
      </c>
      <c r="J16" s="35" t="n">
        <f aca="false">COUNTIFS(Trechos!$M$2:$M$275,A16)</f>
        <v>2</v>
      </c>
      <c r="K16" s="36" t="n">
        <f aca="false">SUMIFS(Trechos!$F$2:$F$275,Trechos!$M$2:$M$275,A16)</f>
        <v>57.0373063357704</v>
      </c>
      <c r="L16" s="35" t="n">
        <f aca="false">SUMPRODUCT(--ISNUMBER(SEARCH("|"&amp;A16&amp;"|",Trechos!$AB$2:$AB$275)))</f>
        <v>2</v>
      </c>
      <c r="M16" s="36" t="n">
        <f aca="false">SUMPRODUCT(ISNUMBER(SEARCH("|"&amp;A16&amp;"|",Trechos!$AB$2:$AB$275))*Trechos!$F$2:$F$275)</f>
        <v>57.0373063357704</v>
      </c>
      <c r="N16" s="35" t="s">
        <v>49</v>
      </c>
      <c r="O16" s="35" t="n">
        <v>-9.576642</v>
      </c>
      <c r="P16" s="35" t="n">
        <v>-48.392846</v>
      </c>
      <c r="Q16" s="49" t="s">
        <v>838</v>
      </c>
    </row>
    <row r="17" customFormat="false" ht="15" hidden="false" customHeight="false" outlineLevel="0" collapsed="false">
      <c r="A17" s="35" t="s">
        <v>68</v>
      </c>
      <c r="B17" s="35" t="s">
        <v>961</v>
      </c>
      <c r="C17" s="35" t="s">
        <v>532</v>
      </c>
      <c r="D17" s="35" t="s">
        <v>1218</v>
      </c>
      <c r="E17" s="35" t="s">
        <v>22</v>
      </c>
      <c r="F17" s="35" t="s">
        <v>24</v>
      </c>
      <c r="G17" s="35" t="n">
        <v>11</v>
      </c>
      <c r="H17" s="35" t="s">
        <v>1228</v>
      </c>
      <c r="I17" s="35" t="s">
        <v>1008</v>
      </c>
      <c r="J17" s="35" t="n">
        <f aca="false">COUNTIFS(Trechos!$M$2:$M$275,A17)</f>
        <v>1</v>
      </c>
      <c r="K17" s="36" t="n">
        <f aca="false">SUMIFS(Trechos!$F$2:$F$275,Trechos!$M$2:$M$275,A17)</f>
        <v>11.0944529514517</v>
      </c>
      <c r="L17" s="35" t="n">
        <f aca="false">SUMPRODUCT(--ISNUMBER(SEARCH("|"&amp;A17&amp;"|",Trechos!$AB$2:$AB$275)))</f>
        <v>1</v>
      </c>
      <c r="M17" s="36" t="n">
        <f aca="false">SUMPRODUCT(ISNUMBER(SEARCH("|"&amp;A17&amp;"|",Trechos!$AB$2:$AB$275))*Trechos!$F$2:$F$275)</f>
        <v>11.0944529514517</v>
      </c>
      <c r="N17" s="35" t="s">
        <v>49</v>
      </c>
      <c r="O17" s="35" t="n">
        <v>-9.574212</v>
      </c>
      <c r="P17" s="35" t="n">
        <v>-48.394389</v>
      </c>
      <c r="Q17" s="49" t="s">
        <v>838</v>
      </c>
    </row>
    <row r="18" customFormat="false" ht="15" hidden="false" customHeight="false" outlineLevel="0" collapsed="false">
      <c r="A18" s="35" t="s">
        <v>73</v>
      </c>
      <c r="B18" s="35" t="s">
        <v>892</v>
      </c>
      <c r="C18" s="35" t="s">
        <v>546</v>
      </c>
      <c r="D18" s="35" t="s">
        <v>1218</v>
      </c>
      <c r="E18" s="35" t="s">
        <v>22</v>
      </c>
      <c r="F18" s="35" t="s">
        <v>24</v>
      </c>
      <c r="G18" s="35" t="n">
        <v>14</v>
      </c>
      <c r="H18" s="35" t="s">
        <v>1229</v>
      </c>
      <c r="I18" s="35" t="s">
        <v>1014</v>
      </c>
      <c r="J18" s="35" t="n">
        <f aca="false">COUNTIFS(Trechos!$M$2:$M$275,A18)</f>
        <v>3</v>
      </c>
      <c r="K18" s="36" t="n">
        <f aca="false">SUMIFS(Trechos!$F$2:$F$275,Trechos!$M$2:$M$275,A18)</f>
        <v>380.996486827352</v>
      </c>
      <c r="L18" s="35" t="n">
        <f aca="false">SUMPRODUCT(--ISNUMBER(SEARCH("|"&amp;A18&amp;"|",Trechos!$AB$2:$AB$275)))</f>
        <v>3</v>
      </c>
      <c r="M18" s="36" t="n">
        <f aca="false">SUMPRODUCT(ISNUMBER(SEARCH("|"&amp;A18&amp;"|",Trechos!$AB$2:$AB$275))*Trechos!$F$2:$F$275)</f>
        <v>380.996486827352</v>
      </c>
      <c r="N18" s="35" t="s">
        <v>49</v>
      </c>
      <c r="O18" s="35" t="n">
        <v>-9.57254</v>
      </c>
      <c r="P18" s="35" t="n">
        <v>-48.39454</v>
      </c>
      <c r="Q18" s="49" t="s">
        <v>838</v>
      </c>
    </row>
    <row r="19" customFormat="false" ht="15" hidden="false" customHeight="false" outlineLevel="0" collapsed="false">
      <c r="A19" s="35" t="s">
        <v>80</v>
      </c>
      <c r="B19" s="35" t="s">
        <v>961</v>
      </c>
      <c r="C19" s="35" t="s">
        <v>558</v>
      </c>
      <c r="D19" s="35" t="s">
        <v>1218</v>
      </c>
      <c r="E19" s="35" t="s">
        <v>22</v>
      </c>
      <c r="F19" s="35" t="s">
        <v>24</v>
      </c>
      <c r="G19" s="35" t="n">
        <v>17</v>
      </c>
      <c r="H19" s="35" t="s">
        <v>1230</v>
      </c>
      <c r="I19" s="35" t="s">
        <v>1022</v>
      </c>
      <c r="J19" s="35" t="n">
        <f aca="false">COUNTIFS(Trechos!$M$2:$M$275,A19)</f>
        <v>2</v>
      </c>
      <c r="K19" s="36" t="n">
        <f aca="false">SUMIFS(Trechos!$F$2:$F$275,Trechos!$M$2:$M$275,A19)</f>
        <v>41.257040528592</v>
      </c>
      <c r="L19" s="35" t="n">
        <f aca="false">SUMPRODUCT(--ISNUMBER(SEARCH("|"&amp;A19&amp;"|",Trechos!$AB$2:$AB$275)))</f>
        <v>2</v>
      </c>
      <c r="M19" s="36" t="n">
        <f aca="false">SUMPRODUCT(ISNUMBER(SEARCH("|"&amp;A19&amp;"|",Trechos!$AB$2:$AB$275))*Trechos!$F$2:$F$275)</f>
        <v>41.257040528592</v>
      </c>
      <c r="N19" s="35" t="s">
        <v>49</v>
      </c>
      <c r="O19" s="35" t="n">
        <v>-9.569942</v>
      </c>
      <c r="P19" s="35" t="n">
        <v>-48.392185</v>
      </c>
      <c r="Q19" s="49" t="s">
        <v>838</v>
      </c>
    </row>
    <row r="20" customFormat="false" ht="15" hidden="false" customHeight="false" outlineLevel="0" collapsed="false">
      <c r="A20" s="35" t="s">
        <v>85</v>
      </c>
      <c r="B20" s="35" t="s">
        <v>892</v>
      </c>
      <c r="C20" s="35" t="s">
        <v>566</v>
      </c>
      <c r="D20" s="35" t="s">
        <v>1218</v>
      </c>
      <c r="E20" s="35" t="s">
        <v>22</v>
      </c>
      <c r="F20" s="35" t="s">
        <v>24</v>
      </c>
      <c r="G20" s="35" t="n">
        <v>19</v>
      </c>
      <c r="H20" s="35" t="s">
        <v>1231</v>
      </c>
      <c r="I20" s="35" t="s">
        <v>1031</v>
      </c>
      <c r="J20" s="35" t="n">
        <f aca="false">COUNTIFS(Trechos!$M$2:$M$275,A20)</f>
        <v>4</v>
      </c>
      <c r="K20" s="36" t="n">
        <f aca="false">SUMIFS(Trechos!$F$2:$F$275,Trechos!$M$2:$M$275,A20)</f>
        <v>188.298210279016</v>
      </c>
      <c r="L20" s="35" t="n">
        <f aca="false">SUMPRODUCT(--ISNUMBER(SEARCH("|"&amp;A20&amp;"|",Trechos!$AB$2:$AB$275)))</f>
        <v>5</v>
      </c>
      <c r="M20" s="36" t="n">
        <f aca="false">SUMPRODUCT(ISNUMBER(SEARCH("|"&amp;A20&amp;"|",Trechos!$AB$2:$AB$275))*Trechos!$F$2:$F$275)</f>
        <v>190.650831964113</v>
      </c>
      <c r="N20" s="35" t="s">
        <v>87</v>
      </c>
      <c r="O20" s="35" t="n">
        <v>-9.570017</v>
      </c>
      <c r="P20" s="35" t="n">
        <v>-48.39181</v>
      </c>
      <c r="Q20" s="49" t="s">
        <v>838</v>
      </c>
    </row>
    <row r="21" customFormat="false" ht="15" hidden="false" customHeight="false" outlineLevel="0" collapsed="false">
      <c r="A21" s="35" t="s">
        <v>89</v>
      </c>
      <c r="B21" s="35" t="s">
        <v>892</v>
      </c>
      <c r="C21" s="35" t="s">
        <v>570</v>
      </c>
      <c r="D21" s="35" t="s">
        <v>1218</v>
      </c>
      <c r="E21" s="35" t="s">
        <v>22</v>
      </c>
      <c r="F21" s="35" t="s">
        <v>24</v>
      </c>
      <c r="G21" s="35" t="n">
        <v>19</v>
      </c>
      <c r="H21" s="35" t="s">
        <v>1232</v>
      </c>
      <c r="I21" s="35" t="s">
        <v>1040</v>
      </c>
      <c r="J21" s="35" t="n">
        <f aca="false">COUNTIFS(Trechos!$M$2:$M$275,A21)</f>
        <v>1</v>
      </c>
      <c r="K21" s="36" t="n">
        <f aca="false">SUMIFS(Trechos!$F$2:$F$275,Trechos!$M$2:$M$275,A21)</f>
        <v>25.7703165866184</v>
      </c>
      <c r="L21" s="35" t="n">
        <f aca="false">SUMPRODUCT(--ISNUMBER(SEARCH("|"&amp;A21&amp;"|",Trechos!$AB$2:$AB$275)))</f>
        <v>1</v>
      </c>
      <c r="M21" s="36" t="n">
        <f aca="false">SUMPRODUCT(ISNUMBER(SEARCH("|"&amp;A21&amp;"|",Trechos!$AB$2:$AB$275))*Trechos!$F$2:$F$275)</f>
        <v>25.7703165866184</v>
      </c>
      <c r="N21" s="35" t="s">
        <v>49</v>
      </c>
      <c r="O21" s="35" t="n">
        <v>-9.570098</v>
      </c>
      <c r="P21" s="35" t="n">
        <v>-48.391947</v>
      </c>
      <c r="Q21" s="49" t="s">
        <v>838</v>
      </c>
    </row>
    <row r="22" customFormat="false" ht="15" hidden="false" customHeight="false" outlineLevel="0" collapsed="false">
      <c r="A22" s="35" t="s">
        <v>87</v>
      </c>
      <c r="B22" s="35" t="s">
        <v>892</v>
      </c>
      <c r="C22" s="35" t="s">
        <v>578</v>
      </c>
      <c r="D22" s="35" t="s">
        <v>1218</v>
      </c>
      <c r="E22" s="35" t="s">
        <v>24</v>
      </c>
      <c r="F22" s="35" t="s">
        <v>25</v>
      </c>
      <c r="G22" s="35" t="n">
        <v>20</v>
      </c>
      <c r="H22" s="35" t="s">
        <v>1233</v>
      </c>
      <c r="I22" s="35" t="s">
        <v>1037</v>
      </c>
      <c r="J22" s="35" t="n">
        <f aca="false">COUNTIFS(Trechos!$M$2:$M$275,A22)</f>
        <v>1</v>
      </c>
      <c r="K22" s="36" t="n">
        <f aca="false">SUMIFS(Trechos!$F$2:$F$275,Trechos!$M$2:$M$275,A22)</f>
        <v>2.35262168509654</v>
      </c>
      <c r="L22" s="35" t="n">
        <f aca="false">SUMPRODUCT(--ISNUMBER(SEARCH("|"&amp;A22&amp;"|",Trechos!$AB$2:$AB$275)))</f>
        <v>1</v>
      </c>
      <c r="M22" s="36" t="n">
        <f aca="false">SUMPRODUCT(ISNUMBER(SEARCH("|"&amp;A22&amp;"|",Trechos!$AB$2:$AB$275))*Trechos!$F$2:$F$275)</f>
        <v>2.35262168509654</v>
      </c>
      <c r="N22" s="35" t="s">
        <v>49</v>
      </c>
      <c r="O22" s="35" t="n">
        <v>-9.570445</v>
      </c>
      <c r="P22" s="35" t="n">
        <v>-48.390266</v>
      </c>
      <c r="Q22" s="49" t="s">
        <v>838</v>
      </c>
    </row>
    <row r="23" customFormat="false" ht="15" hidden="false" customHeight="false" outlineLevel="0" collapsed="false">
      <c r="A23" s="35" t="s">
        <v>93</v>
      </c>
      <c r="B23" s="35" t="s">
        <v>961</v>
      </c>
      <c r="C23" s="35" t="s">
        <v>584</v>
      </c>
      <c r="D23" s="35" t="s">
        <v>1218</v>
      </c>
      <c r="E23" s="35" t="s">
        <v>22</v>
      </c>
      <c r="F23" s="35" t="s">
        <v>24</v>
      </c>
      <c r="G23" s="35" t="n">
        <v>23</v>
      </c>
      <c r="H23" s="35" t="s">
        <v>1234</v>
      </c>
      <c r="I23" s="35" t="s">
        <v>1044</v>
      </c>
      <c r="J23" s="35" t="n">
        <f aca="false">COUNTIFS(Trechos!$M$2:$M$275,A23)</f>
        <v>2</v>
      </c>
      <c r="K23" s="36" t="n">
        <f aca="false">SUMIFS(Trechos!$F$2:$F$275,Trechos!$M$2:$M$275,A23)</f>
        <v>31.66240387166</v>
      </c>
      <c r="L23" s="35" t="n">
        <f aca="false">SUMPRODUCT(--ISNUMBER(SEARCH("|"&amp;A23&amp;"|",Trechos!$AB$2:$AB$275)))</f>
        <v>2</v>
      </c>
      <c r="M23" s="36" t="n">
        <f aca="false">SUMPRODUCT(ISNUMBER(SEARCH("|"&amp;A23&amp;"|",Trechos!$AB$2:$AB$275))*Trechos!$F$2:$F$275)</f>
        <v>31.66240387166</v>
      </c>
      <c r="N23" s="35" t="s">
        <v>49</v>
      </c>
      <c r="O23" s="35" t="n">
        <v>-9.56865</v>
      </c>
      <c r="P23" s="35" t="n">
        <v>-48.391548</v>
      </c>
      <c r="Q23" s="49" t="s">
        <v>838</v>
      </c>
    </row>
    <row r="24" customFormat="false" ht="15" hidden="false" customHeight="false" outlineLevel="0" collapsed="false">
      <c r="A24" s="35" t="s">
        <v>97</v>
      </c>
      <c r="B24" s="35" t="s">
        <v>892</v>
      </c>
      <c r="C24" s="35" t="s">
        <v>590</v>
      </c>
      <c r="D24" s="35" t="s">
        <v>1218</v>
      </c>
      <c r="E24" s="35" t="s">
        <v>22</v>
      </c>
      <c r="F24" s="35" t="s">
        <v>24</v>
      </c>
      <c r="G24" s="35" t="n">
        <v>25</v>
      </c>
      <c r="H24" s="35" t="s">
        <v>1235</v>
      </c>
      <c r="I24" s="35" t="s">
        <v>1049</v>
      </c>
      <c r="J24" s="35" t="n">
        <f aca="false">COUNTIFS(Trechos!$M$2:$M$275,A24)</f>
        <v>4</v>
      </c>
      <c r="K24" s="36" t="n">
        <f aca="false">SUMIFS(Trechos!$F$2:$F$275,Trechos!$M$2:$M$275,A24)</f>
        <v>10.2712756964159</v>
      </c>
      <c r="L24" s="35" t="n">
        <f aca="false">SUMPRODUCT(--ISNUMBER(SEARCH("|"&amp;A24&amp;"|",Trechos!$AB$2:$AB$275)))</f>
        <v>4</v>
      </c>
      <c r="M24" s="36" t="n">
        <f aca="false">SUMPRODUCT(ISNUMBER(SEARCH("|"&amp;A24&amp;"|",Trechos!$AB$2:$AB$275))*Trechos!$F$2:$F$275)</f>
        <v>10.2712756964159</v>
      </c>
      <c r="N24" s="35" t="s">
        <v>49</v>
      </c>
      <c r="O24" s="35" t="n">
        <v>-9.568358</v>
      </c>
      <c r="P24" s="35" t="n">
        <v>-48.391441</v>
      </c>
      <c r="Q24" s="49" t="s">
        <v>838</v>
      </c>
    </row>
    <row r="25" customFormat="false" ht="15" hidden="false" customHeight="false" outlineLevel="0" collapsed="false">
      <c r="A25" s="35" t="s">
        <v>102</v>
      </c>
      <c r="B25" s="35" t="s">
        <v>892</v>
      </c>
      <c r="C25" s="35" t="s">
        <v>602</v>
      </c>
      <c r="D25" s="35" t="s">
        <v>1218</v>
      </c>
      <c r="E25" s="35" t="s">
        <v>22</v>
      </c>
      <c r="F25" s="35" t="s">
        <v>24</v>
      </c>
      <c r="G25" s="35" t="n">
        <v>27</v>
      </c>
      <c r="H25" s="35" t="s">
        <v>1236</v>
      </c>
      <c r="I25" s="35" t="s">
        <v>1059</v>
      </c>
      <c r="J25" s="35" t="n">
        <f aca="false">COUNTIFS(Trechos!$M$2:$M$275,A25)</f>
        <v>1</v>
      </c>
      <c r="K25" s="36" t="n">
        <f aca="false">SUMIFS(Trechos!$F$2:$F$275,Trechos!$M$2:$M$275,A25)</f>
        <v>102.761217127749</v>
      </c>
      <c r="L25" s="35" t="n">
        <f aca="false">SUMPRODUCT(--ISNUMBER(SEARCH("|"&amp;A25&amp;"|",Trechos!$AB$2:$AB$275)))</f>
        <v>1</v>
      </c>
      <c r="M25" s="36" t="n">
        <f aca="false">SUMPRODUCT(ISNUMBER(SEARCH("|"&amp;A25&amp;"|",Trechos!$AB$2:$AB$275))*Trechos!$F$2:$F$275)</f>
        <v>102.761217127749</v>
      </c>
      <c r="N25" s="35" t="s">
        <v>49</v>
      </c>
      <c r="O25" s="35" t="n">
        <v>-9.568226</v>
      </c>
      <c r="P25" s="35" t="n">
        <v>-48.391227</v>
      </c>
      <c r="Q25" s="49" t="s">
        <v>838</v>
      </c>
    </row>
    <row r="26" customFormat="false" ht="15" hidden="false" customHeight="false" outlineLevel="0" collapsed="false">
      <c r="A26" s="35" t="s">
        <v>112</v>
      </c>
      <c r="B26" s="35" t="s">
        <v>892</v>
      </c>
      <c r="C26" s="35" t="s">
        <v>616</v>
      </c>
      <c r="D26" s="35" t="s">
        <v>1218</v>
      </c>
      <c r="E26" s="35" t="s">
        <v>23</v>
      </c>
      <c r="F26" s="35" t="s">
        <v>24</v>
      </c>
      <c r="G26" s="35" t="n">
        <v>31</v>
      </c>
      <c r="H26" s="35" t="s">
        <v>1237</v>
      </c>
      <c r="I26" s="35" t="s">
        <v>1068</v>
      </c>
      <c r="J26" s="35" t="n">
        <f aca="false">COUNTIFS(Trechos!$M$2:$M$275,A26)</f>
        <v>16</v>
      </c>
      <c r="K26" s="36" t="n">
        <f aca="false">SUMIFS(Trechos!$F$2:$F$275,Trechos!$M$2:$M$275,A26)</f>
        <v>618.681172096717</v>
      </c>
      <c r="L26" s="35" t="n">
        <f aca="false">SUMPRODUCT(--ISNUMBER(SEARCH("|"&amp;A26&amp;"|",Trechos!$AB$2:$AB$275)))</f>
        <v>24</v>
      </c>
      <c r="M26" s="36" t="n">
        <f aca="false">SUMPRODUCT(ISNUMBER(SEARCH("|"&amp;A26&amp;"|",Trechos!$AB$2:$AB$275))*Trechos!$F$2:$F$275)</f>
        <v>1078.83944458652</v>
      </c>
      <c r="N26" s="35" t="s">
        <v>1067</v>
      </c>
      <c r="O26" s="35" t="n">
        <v>-9.56639</v>
      </c>
      <c r="P26" s="35" t="n">
        <v>-48.390669</v>
      </c>
      <c r="Q26" s="49" t="s">
        <v>838</v>
      </c>
    </row>
    <row r="27" customFormat="false" ht="15" hidden="false" customHeight="false" outlineLevel="0" collapsed="false">
      <c r="A27" s="35" t="s">
        <v>114</v>
      </c>
      <c r="B27" s="35" t="s">
        <v>892</v>
      </c>
      <c r="C27" s="35" t="s">
        <v>634</v>
      </c>
      <c r="D27" s="35" t="s">
        <v>1218</v>
      </c>
      <c r="E27" s="35" t="s">
        <v>24</v>
      </c>
      <c r="F27" s="35" t="s">
        <v>25</v>
      </c>
      <c r="G27" s="35" t="n">
        <v>32</v>
      </c>
      <c r="H27" s="35" t="s">
        <v>1238</v>
      </c>
      <c r="I27" s="35" t="s">
        <v>1087</v>
      </c>
      <c r="J27" s="35" t="n">
        <f aca="false">COUNTIFS(Trechos!$M$2:$M$275,A27)</f>
        <v>2</v>
      </c>
      <c r="K27" s="36" t="n">
        <f aca="false">SUMIFS(Trechos!$F$2:$F$275,Trechos!$M$2:$M$275,A27)</f>
        <v>174.540618398025</v>
      </c>
      <c r="L27" s="35" t="n">
        <f aca="false">SUMPRODUCT(--ISNUMBER(SEARCH("|"&amp;A27&amp;"|",Trechos!$AB$2:$AB$275)))</f>
        <v>2</v>
      </c>
      <c r="M27" s="36" t="n">
        <f aca="false">SUMPRODUCT(ISNUMBER(SEARCH("|"&amp;A27&amp;"|",Trechos!$AB$2:$AB$275))*Trechos!$F$2:$F$275)</f>
        <v>174.540618398025</v>
      </c>
      <c r="N27" s="35" t="s">
        <v>49</v>
      </c>
      <c r="O27" s="35" t="n">
        <v>-9.566469</v>
      </c>
      <c r="P27" s="35" t="n">
        <v>-48.388795</v>
      </c>
      <c r="Q27" s="49" t="s">
        <v>838</v>
      </c>
    </row>
    <row r="28" customFormat="false" ht="15" hidden="false" customHeight="false" outlineLevel="0" collapsed="false">
      <c r="A28" s="35" t="s">
        <v>116</v>
      </c>
      <c r="B28" s="35" t="s">
        <v>892</v>
      </c>
      <c r="C28" s="35" t="s">
        <v>640</v>
      </c>
      <c r="D28" s="35" t="s">
        <v>1218</v>
      </c>
      <c r="E28" s="35" t="s">
        <v>24</v>
      </c>
      <c r="F28" s="35" t="s">
        <v>25</v>
      </c>
      <c r="G28" s="35" t="n">
        <v>32</v>
      </c>
      <c r="H28" s="35" t="s">
        <v>1239</v>
      </c>
      <c r="I28" s="35" t="s">
        <v>1091</v>
      </c>
      <c r="J28" s="35" t="n">
        <f aca="false">COUNTIFS(Trechos!$M$2:$M$275,A28)</f>
        <v>5</v>
      </c>
      <c r="K28" s="36" t="n">
        <f aca="false">SUMIFS(Trechos!$F$2:$F$275,Trechos!$M$2:$M$275,A28)</f>
        <v>276.328228466191</v>
      </c>
      <c r="L28" s="35" t="n">
        <f aca="false">SUMPRODUCT(--ISNUMBER(SEARCH("|"&amp;A28&amp;"|",Trechos!$AB$2:$AB$275)))</f>
        <v>6</v>
      </c>
      <c r="M28" s="36" t="n">
        <f aca="false">SUMPRODUCT(ISNUMBER(SEARCH("|"&amp;A28&amp;"|",Trechos!$AB$2:$AB$275))*Trechos!$F$2:$F$275)</f>
        <v>285.617654091776</v>
      </c>
      <c r="N28" s="35" t="s">
        <v>117</v>
      </c>
      <c r="O28" s="35" t="n">
        <v>-9.567122</v>
      </c>
      <c r="P28" s="35" t="n">
        <v>-48.388792</v>
      </c>
      <c r="Q28" s="49" t="s">
        <v>838</v>
      </c>
    </row>
    <row r="29" customFormat="false" ht="15" hidden="false" customHeight="false" outlineLevel="0" collapsed="false">
      <c r="A29" s="35" t="s">
        <v>117</v>
      </c>
      <c r="B29" s="35" t="s">
        <v>892</v>
      </c>
      <c r="C29" s="35" t="s">
        <v>662</v>
      </c>
      <c r="D29" s="35" t="s">
        <v>1218</v>
      </c>
      <c r="E29" s="35" t="s">
        <v>25</v>
      </c>
      <c r="F29" s="35" t="s">
        <v>26</v>
      </c>
      <c r="G29" s="35" t="n">
        <v>34</v>
      </c>
      <c r="H29" s="35" t="s">
        <v>1240</v>
      </c>
      <c r="I29" s="35" t="s">
        <v>1098</v>
      </c>
      <c r="J29" s="35" t="n">
        <f aca="false">COUNTIFS(Trechos!$M$2:$M$275,A29)</f>
        <v>1</v>
      </c>
      <c r="K29" s="36" t="n">
        <f aca="false">SUMIFS(Trechos!$F$2:$F$275,Trechos!$M$2:$M$275,A29)</f>
        <v>9.28942562558534</v>
      </c>
      <c r="L29" s="35" t="n">
        <f aca="false">SUMPRODUCT(--ISNUMBER(SEARCH("|"&amp;A29&amp;"|",Trechos!$AB$2:$AB$275)))</f>
        <v>1</v>
      </c>
      <c r="M29" s="36" t="n">
        <f aca="false">SUMPRODUCT(ISNUMBER(SEARCH("|"&amp;A29&amp;"|",Trechos!$AB$2:$AB$275))*Trechos!$F$2:$F$275)</f>
        <v>9.28942562558534</v>
      </c>
      <c r="N29" s="35" t="s">
        <v>49</v>
      </c>
      <c r="O29" s="35" t="n">
        <v>-9.567784</v>
      </c>
      <c r="P29" s="35" t="n">
        <v>-48.386363</v>
      </c>
      <c r="Q29" s="49" t="s">
        <v>838</v>
      </c>
    </row>
    <row r="30" customFormat="false" ht="15" hidden="false" customHeight="false" outlineLevel="0" collapsed="false">
      <c r="A30" s="35" t="s">
        <v>122</v>
      </c>
      <c r="B30" s="35" t="s">
        <v>892</v>
      </c>
      <c r="C30" s="35" t="s">
        <v>672</v>
      </c>
      <c r="D30" s="35" t="s">
        <v>1218</v>
      </c>
      <c r="E30" s="35" t="s">
        <v>23</v>
      </c>
      <c r="F30" s="35" t="s">
        <v>24</v>
      </c>
      <c r="G30" s="35" t="n">
        <v>36</v>
      </c>
      <c r="H30" s="35" t="s">
        <v>1241</v>
      </c>
      <c r="I30" s="35" t="s">
        <v>1111</v>
      </c>
      <c r="J30" s="35" t="n">
        <f aca="false">COUNTIFS(Trechos!$M$2:$M$275,A30)</f>
        <v>34</v>
      </c>
      <c r="K30" s="36" t="n">
        <f aca="false">SUMIFS(Trechos!$F$2:$F$275,Trechos!$M$2:$M$275,A30)</f>
        <v>1391.56345957173</v>
      </c>
      <c r="L30" s="35" t="n">
        <f aca="false">SUMPRODUCT(--ISNUMBER(SEARCH("|"&amp;A30&amp;"|",Trechos!$AB$2:$AB$275)))</f>
        <v>64</v>
      </c>
      <c r="M30" s="36" t="n">
        <f aca="false">SUMPRODUCT(ISNUMBER(SEARCH("|"&amp;A30&amp;"|",Trechos!$AB$2:$AB$275))*Trechos!$F$2:$F$275)</f>
        <v>3096.51418767429</v>
      </c>
      <c r="N30" s="35" t="s">
        <v>1110</v>
      </c>
      <c r="O30" s="35" t="n">
        <v>-9.564796</v>
      </c>
      <c r="P30" s="35" t="n">
        <v>-48.390797</v>
      </c>
      <c r="Q30" s="49" t="s">
        <v>838</v>
      </c>
    </row>
    <row r="31" customFormat="false" ht="15" hidden="false" customHeight="false" outlineLevel="0" collapsed="false">
      <c r="A31" s="35" t="s">
        <v>133</v>
      </c>
      <c r="B31" s="35" t="s">
        <v>892</v>
      </c>
      <c r="C31" s="35" t="s">
        <v>678</v>
      </c>
      <c r="D31" s="35" t="s">
        <v>1218</v>
      </c>
      <c r="E31" s="35" t="s">
        <v>23</v>
      </c>
      <c r="F31" s="35" t="s">
        <v>24</v>
      </c>
      <c r="G31" s="35" t="n">
        <v>36</v>
      </c>
      <c r="H31" s="35" t="s">
        <v>1242</v>
      </c>
      <c r="I31" s="35" t="s">
        <v>1187</v>
      </c>
      <c r="J31" s="35" t="n">
        <f aca="false">COUNTIFS(Trechos!$M$2:$M$275,A31)</f>
        <v>1</v>
      </c>
      <c r="K31" s="36" t="n">
        <f aca="false">SUMIFS(Trechos!$F$2:$F$275,Trechos!$M$2:$M$275,A31)</f>
        <v>42.0371060138566</v>
      </c>
      <c r="L31" s="35" t="n">
        <f aca="false">SUMPRODUCT(--ISNUMBER(SEARCH("|"&amp;A31&amp;"|",Trechos!$AB$2:$AB$275)))</f>
        <v>1</v>
      </c>
      <c r="M31" s="36" t="n">
        <f aca="false">SUMPRODUCT(ISNUMBER(SEARCH("|"&amp;A31&amp;"|",Trechos!$AB$2:$AB$275))*Trechos!$F$2:$F$275)</f>
        <v>42.0371060138566</v>
      </c>
      <c r="N31" s="35" t="s">
        <v>49</v>
      </c>
      <c r="O31" s="35" t="n">
        <v>-9.564915</v>
      </c>
      <c r="P31" s="35" t="n">
        <v>-48.391112</v>
      </c>
      <c r="Q31" s="49" t="s">
        <v>838</v>
      </c>
    </row>
    <row r="32" customFormat="false" ht="15" hidden="false" customHeight="false" outlineLevel="0" collapsed="false">
      <c r="A32" s="35" t="s">
        <v>124</v>
      </c>
      <c r="B32" s="35" t="s">
        <v>892</v>
      </c>
      <c r="C32" s="35" t="s">
        <v>698</v>
      </c>
      <c r="D32" s="35" t="s">
        <v>1218</v>
      </c>
      <c r="E32" s="35" t="s">
        <v>24</v>
      </c>
      <c r="F32" s="35" t="s">
        <v>25</v>
      </c>
      <c r="G32" s="35" t="n">
        <v>37</v>
      </c>
      <c r="H32" s="35" t="s">
        <v>1243</v>
      </c>
      <c r="I32" s="35" t="s">
        <v>1149</v>
      </c>
      <c r="J32" s="35" t="n">
        <f aca="false">COUNTIFS(Trechos!$M$2:$M$275,A32)</f>
        <v>16</v>
      </c>
      <c r="K32" s="36" t="n">
        <f aca="false">SUMIFS(Trechos!$F$2:$F$275,Trechos!$M$2:$M$275,A32)</f>
        <v>903.0351698631</v>
      </c>
      <c r="L32" s="35" t="n">
        <f aca="false">SUMPRODUCT(--ISNUMBER(SEARCH("|"&amp;A32&amp;"|",Trechos!$AB$2:$AB$275)))</f>
        <v>16</v>
      </c>
      <c r="M32" s="36" t="n">
        <f aca="false">SUMPRODUCT(ISNUMBER(SEARCH("|"&amp;A32&amp;"|",Trechos!$AB$2:$AB$275))*Trechos!$F$2:$F$275)</f>
        <v>903.0351698631</v>
      </c>
      <c r="N32" s="35" t="s">
        <v>49</v>
      </c>
      <c r="O32" s="35" t="n">
        <v>-9.558314</v>
      </c>
      <c r="P32" s="35" t="n">
        <v>-48.388739</v>
      </c>
      <c r="Q32" s="49" t="s">
        <v>838</v>
      </c>
    </row>
    <row r="33" customFormat="false" ht="15" hidden="false" customHeight="false" outlineLevel="0" collapsed="false">
      <c r="A33" s="35" t="s">
        <v>127</v>
      </c>
      <c r="B33" s="35" t="s">
        <v>892</v>
      </c>
      <c r="C33" s="35" t="s">
        <v>706</v>
      </c>
      <c r="D33" s="35" t="s">
        <v>1218</v>
      </c>
      <c r="E33" s="35" t="s">
        <v>24</v>
      </c>
      <c r="F33" s="35" t="s">
        <v>25</v>
      </c>
      <c r="G33" s="35" t="n">
        <v>37</v>
      </c>
      <c r="H33" s="35" t="s">
        <v>1244</v>
      </c>
      <c r="I33" s="35" t="s">
        <v>1167</v>
      </c>
      <c r="J33" s="35" t="n">
        <f aca="false">COUNTIFS(Trechos!$M$2:$M$275,A33)</f>
        <v>9</v>
      </c>
      <c r="K33" s="36" t="n">
        <f aca="false">SUMIFS(Trechos!$F$2:$F$275,Trechos!$M$2:$M$275,A33)</f>
        <v>318.293173892993</v>
      </c>
      <c r="L33" s="35" t="n">
        <f aca="false">SUMPRODUCT(--ISNUMBER(SEARCH("|"&amp;A33&amp;"|",Trechos!$AB$2:$AB$275)))</f>
        <v>9</v>
      </c>
      <c r="M33" s="36" t="n">
        <f aca="false">SUMPRODUCT(ISNUMBER(SEARCH("|"&amp;A33&amp;"|",Trechos!$AB$2:$AB$275))*Trechos!$F$2:$F$275)</f>
        <v>318.293173892993</v>
      </c>
      <c r="N33" s="35" t="s">
        <v>49</v>
      </c>
      <c r="O33" s="35" t="n">
        <v>-9.557327</v>
      </c>
      <c r="P33" s="35" t="n">
        <v>-48.3886</v>
      </c>
      <c r="Q33" s="49" t="s">
        <v>838</v>
      </c>
    </row>
    <row r="34" customFormat="false" ht="15" hidden="false" customHeight="false" outlineLevel="0" collapsed="false">
      <c r="A34" s="35" t="s">
        <v>129</v>
      </c>
      <c r="B34" s="35" t="s">
        <v>961</v>
      </c>
      <c r="C34" s="35" t="s">
        <v>730</v>
      </c>
      <c r="D34" s="35" t="s">
        <v>1218</v>
      </c>
      <c r="E34" s="35" t="s">
        <v>24</v>
      </c>
      <c r="F34" s="35" t="s">
        <v>25</v>
      </c>
      <c r="G34" s="35" t="n">
        <v>37</v>
      </c>
      <c r="H34" s="35" t="s">
        <v>1245</v>
      </c>
      <c r="I34" s="35" t="s">
        <v>1178</v>
      </c>
      <c r="J34" s="35" t="n">
        <f aca="false">COUNTIFS(Trechos!$M$2:$M$275,A34)</f>
        <v>2</v>
      </c>
      <c r="K34" s="36" t="n">
        <f aca="false">SUMIFS(Trechos!$F$2:$F$275,Trechos!$M$2:$M$275,A34)</f>
        <v>41.8485287060858</v>
      </c>
      <c r="L34" s="35" t="n">
        <f aca="false">SUMPRODUCT(--ISNUMBER(SEARCH("|"&amp;A34&amp;"|",Trechos!$AB$2:$AB$275)))</f>
        <v>2</v>
      </c>
      <c r="M34" s="36" t="n">
        <f aca="false">SUMPRODUCT(ISNUMBER(SEARCH("|"&amp;A34&amp;"|",Trechos!$AB$2:$AB$275))*Trechos!$F$2:$F$275)</f>
        <v>41.8485287060858</v>
      </c>
      <c r="N34" s="35" t="s">
        <v>49</v>
      </c>
      <c r="O34" s="35" t="n">
        <v>-9.560645</v>
      </c>
      <c r="P34" s="35" t="n">
        <v>-48.389553</v>
      </c>
      <c r="Q34" s="49" t="s">
        <v>838</v>
      </c>
    </row>
    <row r="35" customFormat="false" ht="15" hidden="false" customHeight="false" outlineLevel="0" collapsed="false">
      <c r="A35" s="35" t="s">
        <v>131</v>
      </c>
      <c r="B35" s="35" t="s">
        <v>892</v>
      </c>
      <c r="C35" s="35" t="s">
        <v>746</v>
      </c>
      <c r="D35" s="35" t="s">
        <v>1218</v>
      </c>
      <c r="E35" s="35" t="s">
        <v>24</v>
      </c>
      <c r="F35" s="35" t="s">
        <v>25</v>
      </c>
      <c r="G35" s="35" t="n">
        <v>37</v>
      </c>
      <c r="H35" s="35" t="s">
        <v>1246</v>
      </c>
      <c r="I35" s="35" t="s">
        <v>1182</v>
      </c>
      <c r="J35" s="35" t="n">
        <f aca="false">COUNTIFS(Trechos!$M$2:$M$275,A35)</f>
        <v>3</v>
      </c>
      <c r="K35" s="36" t="n">
        <f aca="false">SUMIFS(Trechos!$F$2:$F$275,Trechos!$M$2:$M$275,A35)</f>
        <v>441.773855640389</v>
      </c>
      <c r="L35" s="35" t="n">
        <f aca="false">SUMPRODUCT(--ISNUMBER(SEARCH("|"&amp;A35&amp;"|",Trechos!$AB$2:$AB$275)))</f>
        <v>3</v>
      </c>
      <c r="M35" s="36" t="n">
        <f aca="false">SUMPRODUCT(ISNUMBER(SEARCH("|"&amp;A35&amp;"|",Trechos!$AB$2:$AB$275))*Trechos!$F$2:$F$275)</f>
        <v>441.773855640389</v>
      </c>
      <c r="N35" s="35" t="s">
        <v>49</v>
      </c>
      <c r="O35" s="35" t="n">
        <v>-9.56335</v>
      </c>
      <c r="P35" s="35" t="n">
        <v>-48.390103</v>
      </c>
      <c r="Q35" s="49" t="s">
        <v>838</v>
      </c>
    </row>
    <row r="36" customFormat="false" ht="15" hidden="false" customHeight="false" outlineLevel="0" collapsed="false">
      <c r="A36" s="35" t="s">
        <v>126</v>
      </c>
      <c r="B36" s="35" t="s">
        <v>1216</v>
      </c>
      <c r="C36" s="35" t="s">
        <v>762</v>
      </c>
      <c r="D36" s="35" t="s">
        <v>1218</v>
      </c>
      <c r="E36" s="35" t="s">
        <v>25</v>
      </c>
      <c r="F36" s="35" t="s">
        <v>25</v>
      </c>
      <c r="G36" s="35" t="n">
        <v>38</v>
      </c>
      <c r="H36" s="35" t="s">
        <v>49</v>
      </c>
      <c r="I36" s="35" t="s">
        <v>1149</v>
      </c>
      <c r="J36" s="35"/>
      <c r="K36" s="35"/>
      <c r="L36" s="35"/>
      <c r="M36" s="35"/>
      <c r="N36" s="35" t="s">
        <v>49</v>
      </c>
      <c r="O36" s="35" t="n">
        <v>-9.559394</v>
      </c>
      <c r="P36" s="35" t="n">
        <v>-48.385709</v>
      </c>
      <c r="Q36" s="49" t="s">
        <v>838</v>
      </c>
    </row>
    <row r="37" customFormat="false" ht="15" hidden="false" customHeight="false" outlineLevel="0" collapsed="false">
      <c r="A37" s="35" t="s">
        <v>137</v>
      </c>
      <c r="B37" s="35" t="s">
        <v>961</v>
      </c>
      <c r="C37" s="35" t="s">
        <v>810</v>
      </c>
      <c r="D37" s="35" t="s">
        <v>1218</v>
      </c>
      <c r="E37" s="35" t="s">
        <v>23</v>
      </c>
      <c r="F37" s="35" t="s">
        <v>24</v>
      </c>
      <c r="G37" s="35" t="n">
        <v>43</v>
      </c>
      <c r="H37" s="35" t="s">
        <v>1247</v>
      </c>
      <c r="I37" s="35" t="s">
        <v>1191</v>
      </c>
      <c r="J37" s="35" t="n">
        <f aca="false">COUNTIFS(Trechos!$M$2:$M$275,A37)</f>
        <v>1</v>
      </c>
      <c r="K37" s="36" t="n">
        <f aca="false">SUMIFS(Trechos!$F$2:$F$275,Trechos!$M$2:$M$275,A37)</f>
        <v>26.0659621071185</v>
      </c>
      <c r="L37" s="35" t="n">
        <f aca="false">SUMPRODUCT(--ISNUMBER(SEARCH("|"&amp;A37&amp;"|",Trechos!$AB$2:$AB$275)))</f>
        <v>1</v>
      </c>
      <c r="M37" s="36" t="n">
        <f aca="false">SUMPRODUCT(ISNUMBER(SEARCH("|"&amp;A37&amp;"|",Trechos!$AB$2:$AB$275))*Trechos!$F$2:$F$275)</f>
        <v>26.0659621071185</v>
      </c>
      <c r="N37" s="35" t="s">
        <v>49</v>
      </c>
      <c r="O37" s="35" t="n">
        <v>-9.565064</v>
      </c>
      <c r="P37" s="35" t="n">
        <v>-48.394737</v>
      </c>
      <c r="Q37" s="49" t="s">
        <v>838</v>
      </c>
    </row>
    <row r="38" customFormat="false" ht="15" hidden="false" customHeight="false" outlineLevel="0" collapsed="false">
      <c r="A38" s="35" t="s">
        <v>144</v>
      </c>
      <c r="B38" s="35" t="s">
        <v>892</v>
      </c>
      <c r="C38" s="35" t="s">
        <v>820</v>
      </c>
      <c r="D38" s="35" t="s">
        <v>1218</v>
      </c>
      <c r="E38" s="35" t="s">
        <v>23</v>
      </c>
      <c r="F38" s="35" t="s">
        <v>24</v>
      </c>
      <c r="G38" s="35" t="n">
        <v>46</v>
      </c>
      <c r="H38" s="35" t="s">
        <v>1248</v>
      </c>
      <c r="I38" s="35" t="s">
        <v>1198</v>
      </c>
      <c r="J38" s="35" t="n">
        <f aca="false">COUNTIFS(Trechos!$M$2:$M$275,A38)</f>
        <v>1</v>
      </c>
      <c r="K38" s="36" t="n">
        <f aca="false">SUMIFS(Trechos!$F$2:$F$275,Trechos!$M$2:$M$275,A38)</f>
        <v>3.05485468158191</v>
      </c>
      <c r="L38" s="35" t="n">
        <f aca="false">SUMPRODUCT(--ISNUMBER(SEARCH("|"&amp;A38&amp;"|",Trechos!$AB$2:$AB$275)))</f>
        <v>1</v>
      </c>
      <c r="M38" s="36" t="n">
        <f aca="false">SUMPRODUCT(ISNUMBER(SEARCH("|"&amp;A38&amp;"|",Trechos!$AB$2:$AB$275))*Trechos!$F$2:$F$275)</f>
        <v>3.05485468158191</v>
      </c>
      <c r="N38" s="35" t="s">
        <v>49</v>
      </c>
      <c r="O38" s="35" t="n">
        <v>-9.563947</v>
      </c>
      <c r="P38" s="35" t="n">
        <v>-48.398241</v>
      </c>
      <c r="Q38" s="49" t="s">
        <v>838</v>
      </c>
    </row>
  </sheetData>
  <hyperlinks>
    <hyperlink ref="Q2" r:id="rId2" display="abrir"/>
    <hyperlink ref="Q3" r:id="rId3" display="abrir"/>
    <hyperlink ref="Q4" r:id="rId4" display="abrir"/>
    <hyperlink ref="Q5" r:id="rId5" display="abrir"/>
    <hyperlink ref="Q6" r:id="rId6" display="abrir"/>
    <hyperlink ref="Q7" r:id="rId7" display="abrir"/>
    <hyperlink ref="Q8" r:id="rId8" display="abrir"/>
    <hyperlink ref="Q9" r:id="rId9" display="abrir"/>
    <hyperlink ref="Q10" r:id="rId10" display="abrir"/>
    <hyperlink ref="Q11" r:id="rId11" display="abrir"/>
    <hyperlink ref="Q12" r:id="rId12" display="abrir"/>
    <hyperlink ref="Q13" r:id="rId13" display="abrir"/>
    <hyperlink ref="Q14" r:id="rId14" display="abrir"/>
    <hyperlink ref="Q15" r:id="rId15" display="abrir"/>
    <hyperlink ref="Q16" r:id="rId16" display="abrir"/>
    <hyperlink ref="Q17" r:id="rId17" display="abrir"/>
    <hyperlink ref="Q18" r:id="rId18" display="abrir"/>
    <hyperlink ref="Q19" r:id="rId19" display="abrir"/>
    <hyperlink ref="Q20" r:id="rId20" display="abrir"/>
    <hyperlink ref="Q21" r:id="rId21" display="abrir"/>
    <hyperlink ref="Q22" r:id="rId22" display="abrir"/>
    <hyperlink ref="Q23" r:id="rId23" display="abrir"/>
    <hyperlink ref="Q24" r:id="rId24" display="abrir"/>
    <hyperlink ref="Q25" r:id="rId25" display="abrir"/>
    <hyperlink ref="Q26" r:id="rId26" display="abrir"/>
    <hyperlink ref="Q27" r:id="rId27" display="abrir"/>
    <hyperlink ref="Q28" r:id="rId28" display="abrir"/>
    <hyperlink ref="Q29" r:id="rId29" display="abrir"/>
    <hyperlink ref="Q30" r:id="rId30" display="abrir"/>
    <hyperlink ref="Q31" r:id="rId31" display="abrir"/>
    <hyperlink ref="Q32" r:id="rId32" display="abrir"/>
    <hyperlink ref="Q33" r:id="rId33" display="abrir"/>
    <hyperlink ref="Q34" r:id="rId34" display="abrir"/>
    <hyperlink ref="Q35" r:id="rId35" display="abrir"/>
    <hyperlink ref="Q36" r:id="rId36" display="abrir"/>
    <hyperlink ref="Q37" r:id="rId37" display="abrir"/>
    <hyperlink ref="Q38" r:id="rId38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9"/>
  <tableParts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2026-09-30T12:06:34Z</dcterms:created>
  <dc:creator>openpyxl</dc:creator>
  <dc:description/>
  <dc:language>en-US</dc:language>
  <cp:lastModifiedBy/>
  <dcterms:modified xsi:type="dcterms:W3CDTF">2026-09-30T12:06:34Z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