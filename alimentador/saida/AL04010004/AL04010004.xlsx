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Árvore de blocos" sheetId="2" state="visible" r:id="rId4"/>
    <sheet name="Consulta" sheetId="3" state="visible" r:id="rId5"/>
    <sheet name="Blocos" sheetId="4" state="visible" r:id="rId6"/>
    <sheet name="Por bloco" sheetId="5" state="visible" r:id="rId7"/>
    <sheet name="Trechos" sheetId="6" state="visible" r:id="rId8"/>
    <sheet name="Ativ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U1" authorId="0">
      <text>
        <r>
          <rPr>
            <sz val="10"/>
            <rFont val="Arial"/>
            <family val="2"/>
          </rPr>
          <t xml:space="preserve">Junta as colunas Posterior 1…N. Edite as colunas e o texto se atualiza.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Quanto andar a partir do ativo de referência, seguindo a rede, até o fim deste vão.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Vãos depois deste ativo, em qualquer bloco. Vazio para chaves 88, que não são ativo de referência.</t>
        </r>
      </text>
    </comment>
  </commentList>
</comments>
</file>

<file path=xl/sharedStrings.xml><?xml version="1.0" encoding="utf-8"?>
<sst xmlns="http://schemas.openxmlformats.org/spreadsheetml/2006/main" count="13910" uniqueCount="2356">
  <si>
    <t xml:space="preserve">Zonas, ramais e blocos — AL04010004</t>
  </si>
  <si>
    <t xml:space="preserve">Zona</t>
  </si>
  <si>
    <t xml:space="preserve">T1 do DJ ao 1º religador (79). Depois de qualquer religador é T2, inclusive religador em ramal: religador nunca cria T3. Depois de uma chave fusível (03) é no mínimo T3; se já estava em T3 ou mais, soma uma.</t>
  </si>
  <si>
    <t xml:space="preserve">Seccionamento</t>
  </si>
  <si>
    <t xml:space="preserve">Chave 03/33/02 com religador depois dela não conta como fusível: não muda a zona e aparece em "Outras chaves no bloco (88…)" como "Chave 03 de seccionamento".</t>
  </si>
  <si>
    <t xml:space="preserve">Tronco</t>
  </si>
  <si>
    <t xml:space="preserve">Caminho DJ → 1º religador → 2º religador e, depois do 2º, até os próximos ativos (religador ou fusível): o trecho entre dois ativos do tronco ainda é tronco. Pontas sem equipamento são ramal. Nunca tem T3. O resto é ramal, com o nome do poste onde sai do tronco.</t>
  </si>
  <si>
    <t xml:space="preserve">Ativo de referência</t>
  </si>
  <si>
    <t xml:space="preserve">Último DJ, 79 ou 03 antes do vão, vindo do DJ. Ele engloba o vão e tudo o que vem depois.</t>
  </si>
  <si>
    <t xml:space="preserve">Ativos posteriores englobados</t>
  </si>
  <si>
    <t xml:space="preserve">Os DJ/79/03 que ficam depois do vão ou do bloco. Se o ativo de referência abrir, todos ficam sem energia.</t>
  </si>
  <si>
    <t xml:space="preserve">Bloco</t>
  </si>
  <si>
    <t xml:space="preserve">Vãos com o mesmo ativo de referência e o mesmo ramal (de um ativo até o próximo). Chaves 88 e outras que não são DJ/79/fusível não dividem bloco: aparecem na coluna "Outras chaves no bloco (88…)". Chaves 02 e 33 contam como fusível.</t>
  </si>
  <si>
    <t xml:space="preserve">Nível 1…N</t>
  </si>
  <si>
    <t xml:space="preserve">Sequência de ativos desde o DJ até o ativo de referência. Filtrar um nível mostra tudo o que fica depois daquele ativo.</t>
  </si>
  <si>
    <t xml:space="preserve">Distâncias</t>
  </si>
  <si>
    <t xml:space="preserve">Calculadas a partir das coordenadas (haversine, raio 6.371 km), seguindo a rede.</t>
  </si>
  <si>
    <t xml:space="preserve">Abas</t>
  </si>
  <si>
    <t xml:space="preserve">Árvore de blocos: visão rápida da sequência, agrupada por tronco e ramal. Consulta: digite um poste e veja onde ele está. Blocos: um bloco por linha, com os ativos posteriores um por coluna e juntos numa coluna só. Por bloco: os vãos agrupados embaixo de cada bloco (botão + à esquerda). Trechos: um vão por linha. Ativos: resumo por ativo.</t>
  </si>
  <si>
    <t xml:space="preserve">Cores das zonas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</si>
  <si>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</si>
  <si>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</si>
  <si>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</si>
  <si>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</si>
  <si>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</si>
  <si>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Árvore de blocos — AL04010004</t>
  </si>
  <si>
    <t xml:space="preserve">Cada linha é um bloco. A célula colorida é o ativo de referência do bloco (cor da zona). As células em cinza à esquerda são os ativos antes dele, desde o DJ.</t>
  </si>
  <si>
    <t xml:space="preserve">Zonas:</t>
  </si>
  <si>
    <t xml:space="preserve">Nível 1</t>
  </si>
  <si>
    <t xml:space="preserve">Nível 2</t>
  </si>
  <si>
    <t xml:space="preserve">Nível 3</t>
  </si>
  <si>
    <t xml:space="preserve">Nível 4</t>
  </si>
  <si>
    <t xml:space="preserve">Nível 5</t>
  </si>
  <si>
    <t xml:space="preserve">De</t>
  </si>
  <si>
    <t xml:space="preserve">Até (próximos ativos)</t>
  </si>
  <si>
    <t xml:space="preserve">Vãos</t>
  </si>
  <si>
    <t xml:space="preserve">Extensão (m)</t>
  </si>
  <si>
    <t xml:space="preserve">Outras chaves no bloco (88…)</t>
  </si>
  <si>
    <t xml:space="preserve">Ativos englobados (depois do bloco)</t>
  </si>
  <si>
    <t xml:space="preserve">TRONCO — do DJ ao 2º religador e até os próximos ativos</t>
  </si>
  <si>
    <t xml:space="preserve">DJ AL04010004</t>
  </si>
  <si>
    <t xml:space="preserve">7903565004</t>
  </si>
  <si>
    <t xml:space="preserve">8800004004, 8804421004, 8802681004, 8847597004, 8802014004, 8800554004, 8801115004</t>
  </si>
  <si>
    <t xml:space="preserve">7935867004</t>
  </si>
  <si>
    <t xml:space="preserve">8841355004</t>
  </si>
  <si>
    <t xml:space="preserve">7902218004 / 0352542004 / 0300603004 / 0203117004 / 0202175004 / 0300600004</t>
  </si>
  <si>
    <t xml:space="preserve">8834608004, 8800606004, 8843255004, 8800599004</t>
  </si>
  <si>
    <t xml:space="preserve">RAMAL 587997 — sai do tronco no poste 587997</t>
  </si>
  <si>
    <t xml:space="preserve">poste 587997</t>
  </si>
  <si>
    <t xml:space="preserve">fim 25524195 / fim 65878548</t>
  </si>
  <si>
    <t xml:space="preserve">—</t>
  </si>
  <si>
    <t xml:space="preserve">RAMAL 122086 — sai do tronco no poste 122086</t>
  </si>
  <si>
    <t xml:space="preserve">poste 122086</t>
  </si>
  <si>
    <t xml:space="preserve">fim N34</t>
  </si>
  <si>
    <t xml:space="preserve">RAMAL 104546 — sai do tronco no poste 104546</t>
  </si>
  <si>
    <t xml:space="preserve">poste 104546</t>
  </si>
  <si>
    <t xml:space="preserve">0201072004</t>
  </si>
  <si>
    <t xml:space="preserve">fim N85</t>
  </si>
  <si>
    <t xml:space="preserve">RAMAL 33261324 — sai do tronco no poste 33261324</t>
  </si>
  <si>
    <t xml:space="preserve">poste 33261324</t>
  </si>
  <si>
    <t xml:space="preserve">0345761004</t>
  </si>
  <si>
    <t xml:space="preserve">fim 33308575</t>
  </si>
  <si>
    <t xml:space="preserve">RAMAL 94069 — sai do tronco no poste 94069</t>
  </si>
  <si>
    <t xml:space="preserve">poste 94069</t>
  </si>
  <si>
    <t xml:space="preserve">0200547004</t>
  </si>
  <si>
    <t xml:space="preserve">fim 94065</t>
  </si>
  <si>
    <t xml:space="preserve">RAMAL 94068 — sai do tronco no poste 94068</t>
  </si>
  <si>
    <t xml:space="preserve">poste 94068</t>
  </si>
  <si>
    <t xml:space="preserve">0200548004</t>
  </si>
  <si>
    <t xml:space="preserve">fim 94064</t>
  </si>
  <si>
    <t xml:space="preserve">RAMAL 20392852 — sai do tronco no poste 20392852</t>
  </si>
  <si>
    <t xml:space="preserve">poste 20392852</t>
  </si>
  <si>
    <t xml:space="preserve">0200549004</t>
  </si>
  <si>
    <t xml:space="preserve">fim 94063</t>
  </si>
  <si>
    <t xml:space="preserve">RAMAL 552519 — sai do tronco no poste 552519</t>
  </si>
  <si>
    <t xml:space="preserve">poste 552519</t>
  </si>
  <si>
    <t xml:space="preserve">fim 832105</t>
  </si>
  <si>
    <t xml:space="preserve">RAMAL 272816 — sai do tronco no poste 272816</t>
  </si>
  <si>
    <t xml:space="preserve">poste 272816</t>
  </si>
  <si>
    <t xml:space="preserve">0201875004</t>
  </si>
  <si>
    <t xml:space="preserve">fim 272817</t>
  </si>
  <si>
    <t xml:space="preserve">RAMAL 94067 — sai do tronco no poste 94067</t>
  </si>
  <si>
    <t xml:space="preserve">poste 94067</t>
  </si>
  <si>
    <t xml:space="preserve">0200550004</t>
  </si>
  <si>
    <t xml:space="preserve">fim N96 / fim N97</t>
  </si>
  <si>
    <t xml:space="preserve">RAMAL 26974937 — sai do tronco no poste 26974937</t>
  </si>
  <si>
    <t xml:space="preserve">poste 26974937</t>
  </si>
  <si>
    <t xml:space="preserve">fim 106594 / fim 538410 / fim 539777 / fim 550142 / fim 539569 / fim 535127 / fim 538391 / fim 536377 / fim N123</t>
  </si>
  <si>
    <t xml:space="preserve">RAMAL 550921 — sai do tronco no poste 550921</t>
  </si>
  <si>
    <t xml:space="preserve">poste 550921</t>
  </si>
  <si>
    <t xml:space="preserve">fim N82 / fim N122</t>
  </si>
  <si>
    <t xml:space="preserve">RAMAL N68 — sai do tronco no poste N68</t>
  </si>
  <si>
    <t xml:space="preserve">poste N68</t>
  </si>
  <si>
    <t xml:space="preserve">fim 308076</t>
  </si>
  <si>
    <t xml:space="preserve">RAMAL N77 — sai do tronco no poste N77</t>
  </si>
  <si>
    <t xml:space="preserve">poste N77</t>
  </si>
  <si>
    <t xml:space="preserve">fim N78</t>
  </si>
  <si>
    <t xml:space="preserve">RAMAL N127 — sai do tronco no poste N127</t>
  </si>
  <si>
    <t xml:space="preserve">poste N127</t>
  </si>
  <si>
    <t xml:space="preserve">fim N128</t>
  </si>
  <si>
    <t xml:space="preserve">RAMAL DO 0303973004 — sai do tronco no poste 0303973004</t>
  </si>
  <si>
    <t xml:space="preserve">poste N130</t>
  </si>
  <si>
    <t xml:space="preserve">fim 30002378 / 0303973004 / fim 30002218</t>
  </si>
  <si>
    <t xml:space="preserve">8845029004</t>
  </si>
  <si>
    <t xml:space="preserve">0303973004</t>
  </si>
  <si>
    <t xml:space="preserve">fim N144</t>
  </si>
  <si>
    <t xml:space="preserve">RAMAL 122229 — sai do tronco no poste 122229</t>
  </si>
  <si>
    <t xml:space="preserve">poste 122229</t>
  </si>
  <si>
    <t xml:space="preserve">0200556004</t>
  </si>
  <si>
    <t xml:space="preserve">fim N260</t>
  </si>
  <si>
    <t xml:space="preserve">RAMAL 550125 — sai do tronco no poste 550125</t>
  </si>
  <si>
    <t xml:space="preserve">poste 550125</t>
  </si>
  <si>
    <t xml:space="preserve">fim 94055</t>
  </si>
  <si>
    <t xml:space="preserve">RAMAL 122230 — sai do tronco no poste 122230</t>
  </si>
  <si>
    <t xml:space="preserve">poste 122230</t>
  </si>
  <si>
    <t xml:space="preserve">0303731004</t>
  </si>
  <si>
    <t xml:space="preserve">fim 553594 / fim 552526 / fim 537929</t>
  </si>
  <si>
    <t xml:space="preserve">RAMAL 1326106 — sai do tronco no poste 1326106</t>
  </si>
  <si>
    <t xml:space="preserve">poste 1326106</t>
  </si>
  <si>
    <t xml:space="preserve">0230252004</t>
  </si>
  <si>
    <t xml:space="preserve">fim N263</t>
  </si>
  <si>
    <t xml:space="preserve">RAMAL DO 0200571004 — sai do tronco no poste 0200571004</t>
  </si>
  <si>
    <t xml:space="preserve">poste N157</t>
  </si>
  <si>
    <t xml:space="preserve">0200571004</t>
  </si>
  <si>
    <t xml:space="preserve">fim 94371</t>
  </si>
  <si>
    <t xml:space="preserve">RAMAL 94187 — sai do tronco no poste 94187</t>
  </si>
  <si>
    <t xml:space="preserve">poste 94187</t>
  </si>
  <si>
    <t xml:space="preserve">fim N162 / 0200573004</t>
  </si>
  <si>
    <t xml:space="preserve">0200573004</t>
  </si>
  <si>
    <t xml:space="preserve">fim 94185</t>
  </si>
  <si>
    <t xml:space="preserve">RAMAL 101058 — sai do tronco no poste 101058</t>
  </si>
  <si>
    <t xml:space="preserve">poste 101058</t>
  </si>
  <si>
    <t xml:space="preserve">0200868004</t>
  </si>
  <si>
    <t xml:space="preserve">fim 101057</t>
  </si>
  <si>
    <t xml:space="preserve">RAMAL 94183 — sai do tronco no poste 94183</t>
  </si>
  <si>
    <t xml:space="preserve">poste 94183</t>
  </si>
  <si>
    <t xml:space="preserve">fim 533113 / 0200583004 / 0300584004 / 0300582004 / 0204195004 / 0300578004 / 0202671004 / 0204249004</t>
  </si>
  <si>
    <t xml:space="preserve">8800577004, 8857503004</t>
  </si>
  <si>
    <t xml:space="preserve">0200583004</t>
  </si>
  <si>
    <t xml:space="preserve">fim N298 / fim N299 / fim 94374</t>
  </si>
  <si>
    <t xml:space="preserve">0300584004</t>
  </si>
  <si>
    <t xml:space="preserve">fim N254 / fim N301 / fim N256 / fim 557529 / fim 557252 / fim 586071 / fim 586061 / 0300585004</t>
  </si>
  <si>
    <t xml:space="preserve">0300585004</t>
  </si>
  <si>
    <t xml:space="preserve">fim 94372</t>
  </si>
  <si>
    <t xml:space="preserve">0300582004</t>
  </si>
  <si>
    <t xml:space="preserve">fim 122056</t>
  </si>
  <si>
    <t xml:space="preserve">0204195004</t>
  </si>
  <si>
    <t xml:space="preserve">fim N279</t>
  </si>
  <si>
    <t xml:space="preserve">0300578004</t>
  </si>
  <si>
    <t xml:space="preserve">fim 1437863 / 0229381004 / fim 553590 / 0200580004</t>
  </si>
  <si>
    <t xml:space="preserve">0229381004</t>
  </si>
  <si>
    <t xml:space="preserve">fim N291</t>
  </si>
  <si>
    <t xml:space="preserve">0200580004</t>
  </si>
  <si>
    <t xml:space="preserve">fim 94180</t>
  </si>
  <si>
    <t xml:space="preserve">0202671004</t>
  </si>
  <si>
    <t xml:space="preserve">fim N275 / fim 539567</t>
  </si>
  <si>
    <t xml:space="preserve">0204249004</t>
  </si>
  <si>
    <t xml:space="preserve">fim 1069064</t>
  </si>
  <si>
    <t xml:space="preserve">RAMAL DO 0300588004 — sai do tronco no poste 0300588004</t>
  </si>
  <si>
    <t xml:space="preserve">poste N170</t>
  </si>
  <si>
    <t xml:space="preserve">fim 42957414 / 0300588004</t>
  </si>
  <si>
    <t xml:space="preserve">8855214004</t>
  </si>
  <si>
    <t xml:space="preserve">0300588004</t>
  </si>
  <si>
    <t xml:space="preserve">0300591004 / fim 94367 / fim 1428201</t>
  </si>
  <si>
    <t xml:space="preserve">0300591004</t>
  </si>
  <si>
    <t xml:space="preserve">fim 552788 / fim N257 / fim 94363 / 0200593004 / fim 538645 / fim 585929 / fim 1107345 / 0224749004 / fim 533105</t>
  </si>
  <si>
    <t xml:space="preserve">0200593004</t>
  </si>
  <si>
    <t xml:space="preserve">fim 94364</t>
  </si>
  <si>
    <t xml:space="preserve">0224749004</t>
  </si>
  <si>
    <t xml:space="preserve">fim N295</t>
  </si>
  <si>
    <t xml:space="preserve">RAMAL 94361 — sai do tronco no poste 94361</t>
  </si>
  <si>
    <t xml:space="preserve">poste 94361</t>
  </si>
  <si>
    <t xml:space="preserve">0300596004</t>
  </si>
  <si>
    <t xml:space="preserve">fim 94360</t>
  </si>
  <si>
    <t xml:space="preserve">RAMAL 553048 — sai do tronco no poste 553048</t>
  </si>
  <si>
    <t xml:space="preserve">poste 553048</t>
  </si>
  <si>
    <t xml:space="preserve">0203661004</t>
  </si>
  <si>
    <t xml:space="preserve">fim 523601</t>
  </si>
  <si>
    <t xml:space="preserve">RAMAL N201 — sai do tronco no poste N201</t>
  </si>
  <si>
    <t xml:space="preserve">poste N201</t>
  </si>
  <si>
    <t xml:space="preserve">fim N202</t>
  </si>
  <si>
    <t xml:space="preserve">RAMAL N303 — sai do tronco no poste N303</t>
  </si>
  <si>
    <t xml:space="preserve">poste N303</t>
  </si>
  <si>
    <t xml:space="preserve">fim N304</t>
  </si>
  <si>
    <t xml:space="preserve">RAMAL N308 — sai do tronco no poste N308</t>
  </si>
  <si>
    <t xml:space="preserve">poste N308</t>
  </si>
  <si>
    <t xml:space="preserve">fim N309</t>
  </si>
  <si>
    <t xml:space="preserve">RAMAL N311 — sai do tronco no poste N311</t>
  </si>
  <si>
    <t xml:space="preserve">poste N311</t>
  </si>
  <si>
    <t xml:space="preserve">fim 536613</t>
  </si>
  <si>
    <t xml:space="preserve">RAMAL APÓS 0300600004 — sai do fim do tronco</t>
  </si>
  <si>
    <t xml:space="preserve">0300600004</t>
  </si>
  <si>
    <t xml:space="preserve">fim N318 / fim N320</t>
  </si>
  <si>
    <t xml:space="preserve">RAMAL N322 — sai do tronco no poste N322</t>
  </si>
  <si>
    <t xml:space="preserve">poste N322</t>
  </si>
  <si>
    <t xml:space="preserve">fim 590541</t>
  </si>
  <si>
    <t xml:space="preserve">RAMAL APÓS 0202175004 — sai do fim do tronco</t>
  </si>
  <si>
    <t xml:space="preserve">0202175004</t>
  </si>
  <si>
    <t xml:space="preserve">fim N395 / fim N394</t>
  </si>
  <si>
    <t xml:space="preserve">RAMAL N325 — sai do tronco no poste N325</t>
  </si>
  <si>
    <t xml:space="preserve">poste N325</t>
  </si>
  <si>
    <t xml:space="preserve">fim 32145035 / fim 585924 / fim 32145115 / fim 590075</t>
  </si>
  <si>
    <t xml:space="preserve">RAMAL APÓS 0203117004 — sai do fim do tronco</t>
  </si>
  <si>
    <t xml:space="preserve">0203117004</t>
  </si>
  <si>
    <t xml:space="preserve">fim 588088 / fim N399</t>
  </si>
  <si>
    <t xml:space="preserve">RAMAL N338 — sai do tronco no poste N338</t>
  </si>
  <si>
    <t xml:space="preserve">poste N338</t>
  </si>
  <si>
    <t xml:space="preserve">fim N341</t>
  </si>
  <si>
    <t xml:space="preserve">RAMAL APÓS 0300603004 — sai do fim do tronco</t>
  </si>
  <si>
    <t xml:space="preserve">0300603004</t>
  </si>
  <si>
    <t xml:space="preserve">fim 555590</t>
  </si>
  <si>
    <t xml:space="preserve">RAMAL N345 — sai do tronco no poste N345</t>
  </si>
  <si>
    <t xml:space="preserve">poste N345</t>
  </si>
  <si>
    <t xml:space="preserve">fim 556748 / fim N346</t>
  </si>
  <si>
    <t xml:space="preserve">RAMAL N348 — sai do tronco no poste N348</t>
  </si>
  <si>
    <t xml:space="preserve">poste N348</t>
  </si>
  <si>
    <t xml:space="preserve">fim 586128 / fim N351</t>
  </si>
  <si>
    <t xml:space="preserve">RAMAL 73775431 — sai do tronco no poste 73775431</t>
  </si>
  <si>
    <t xml:space="preserve">poste 73775431</t>
  </si>
  <si>
    <t xml:space="preserve">fim 94101 / fim 35597260</t>
  </si>
  <si>
    <t xml:space="preserve">RAMAL N357 — sai do tronco no poste N357</t>
  </si>
  <si>
    <t xml:space="preserve">poste N357</t>
  </si>
  <si>
    <t xml:space="preserve">fim 21544541 / fim 21544781</t>
  </si>
  <si>
    <t xml:space="preserve">RAMAL N365 — sai do tronco no poste N365</t>
  </si>
  <si>
    <t xml:space="preserve">poste N365</t>
  </si>
  <si>
    <t xml:space="preserve">fim N366</t>
  </si>
  <si>
    <t xml:space="preserve">RAMAL N369 — sai do tronco no poste N369</t>
  </si>
  <si>
    <t xml:space="preserve">poste N369</t>
  </si>
  <si>
    <t xml:space="preserve">fim N370</t>
  </si>
  <si>
    <t xml:space="preserve">RAMAL APÓS 7902218004 — sai do fim do tronco</t>
  </si>
  <si>
    <t xml:space="preserve">7902218004</t>
  </si>
  <si>
    <t xml:space="preserve">fim 1437310 / fim 122071 / fim N455 / fim 1419545 / 0330915004 / fim 557826 / fim N479 / fim 555904 / fim N469 / 0203711004 / fim N465 / fim N470 / 0202227004 / 0204190004 / 0200482004 / 0200484004 / 0200489004 / 0200490004 / fim 1437314 / 0230938004 / 0200492004 / fim 122066 / 0202676004 / 0303862004 / 0229036004 / fim 94019 / 0200495004 / fim 555594 / fim N417 / fim 586816 / 0201153004 / fim N408</t>
  </si>
  <si>
    <t xml:space="preserve">8842222004, 8800488004, 8842248004, 8842221004</t>
  </si>
  <si>
    <t xml:space="preserve">0330915004</t>
  </si>
  <si>
    <t xml:space="preserve">fim 1427715</t>
  </si>
  <si>
    <t xml:space="preserve">0203711004</t>
  </si>
  <si>
    <t xml:space="preserve">fim N525</t>
  </si>
  <si>
    <t xml:space="preserve">0202227004</t>
  </si>
  <si>
    <t xml:space="preserve">fim N524</t>
  </si>
  <si>
    <t xml:space="preserve">0204190004</t>
  </si>
  <si>
    <t xml:space="preserve">fim N520</t>
  </si>
  <si>
    <t xml:space="preserve">0200482004</t>
  </si>
  <si>
    <t xml:space="preserve">fim N516</t>
  </si>
  <si>
    <t xml:space="preserve">0200484004</t>
  </si>
  <si>
    <t xml:space="preserve">fim 587539 / fim N513</t>
  </si>
  <si>
    <t xml:space="preserve">0200489004</t>
  </si>
  <si>
    <t xml:space="preserve">fim N504</t>
  </si>
  <si>
    <t xml:space="preserve">0200490004</t>
  </si>
  <si>
    <t xml:space="preserve">fim N499</t>
  </si>
  <si>
    <t xml:space="preserve">0230938004</t>
  </si>
  <si>
    <t xml:space="preserve">fim N505</t>
  </si>
  <si>
    <t xml:space="preserve">0200492004</t>
  </si>
  <si>
    <t xml:space="preserve">fim N493</t>
  </si>
  <si>
    <t xml:space="preserve">0202676004</t>
  </si>
  <si>
    <t xml:space="preserve">fim N510 / fim 590492</t>
  </si>
  <si>
    <t xml:space="preserve">0303862004</t>
  </si>
  <si>
    <t xml:space="preserve">fim N438</t>
  </si>
  <si>
    <t xml:space="preserve">0229036004</t>
  </si>
  <si>
    <t xml:space="preserve">fim 556466 / fim N496</t>
  </si>
  <si>
    <t xml:space="preserve">0200495004</t>
  </si>
  <si>
    <t xml:space="preserve">fim N489</t>
  </si>
  <si>
    <t xml:space="preserve">0201153004</t>
  </si>
  <si>
    <t xml:space="preserve">fim N484</t>
  </si>
  <si>
    <t xml:space="preserve">RAMAL N376 — sai do tronco no poste N376</t>
  </si>
  <si>
    <t xml:space="preserve">poste N376</t>
  </si>
  <si>
    <t xml:space="preserve">fim N385 / fim N405 / fim N377</t>
  </si>
  <si>
    <t xml:space="preserve">RAMAL 557582 — sai do tronco no poste 557582</t>
  </si>
  <si>
    <t xml:space="preserve">poste 557582</t>
  </si>
  <si>
    <t xml:space="preserve">fim 93873</t>
  </si>
  <si>
    <t xml:space="preserve">RAMAL 22938813 — sai do tronco no poste 22938813</t>
  </si>
  <si>
    <t xml:space="preserve">poste 22938813</t>
  </si>
  <si>
    <t xml:space="preserve">fim 122073</t>
  </si>
  <si>
    <t xml:space="preserve">RAMAL APÓS 0352542004 — sai do fim do tronco</t>
  </si>
  <si>
    <t xml:space="preserve">0352542004</t>
  </si>
  <si>
    <t xml:space="preserve">fim 22938819</t>
  </si>
  <si>
    <t xml:space="preserve">Onde fica este poste?</t>
  </si>
  <si>
    <t xml:space="preserve">Digite o código do poste na célula amarela (o poste no fim do vão). A planilha mostra o vão e a sequência desde o DJ.</t>
  </si>
  <si>
    <t xml:space="preserve">Poste</t>
  </si>
  <si>
    <t xml:space="preserve">22938819</t>
  </si>
  <si>
    <t xml:space="preserve">← exemplo</t>
  </si>
  <si>
    <t xml:space="preserve">Trecho (vão)</t>
  </si>
  <si>
    <t xml:space="preserve">Poste início</t>
  </si>
  <si>
    <t xml:space="preserve">Tronco/Ramal</t>
  </si>
  <si>
    <t xml:space="preserve">Ramal</t>
  </si>
  <si>
    <t xml:space="preserve">Distância do ativo de referência (m)</t>
  </si>
  <si>
    <t xml:space="preserve">Distância do DJ (m)</t>
  </si>
  <si>
    <t xml:space="preserve">Outra chave no fim do vão (88…)</t>
  </si>
  <si>
    <t xml:space="preserve">Caminho desde o DJ</t>
  </si>
  <si>
    <t xml:space="preserve">Latitude</t>
  </si>
  <si>
    <t xml:space="preserve">Longitude</t>
  </si>
  <si>
    <t xml:space="preserve">Próximo ativo 1</t>
  </si>
  <si>
    <t xml:space="preserve">Próximo ativo 2</t>
  </si>
  <si>
    <t xml:space="preserve">Próximo ativo 3</t>
  </si>
  <si>
    <t xml:space="preserve">Próximo ativo 4</t>
  </si>
  <si>
    <t xml:space="preserve">Próximo ativo 5</t>
  </si>
  <si>
    <t xml:space="preserve">Próximo ativo 6</t>
  </si>
  <si>
    <t xml:space="preserve">Próximo ativo 7</t>
  </si>
  <si>
    <t xml:space="preserve">Próximo ativo 8</t>
  </si>
  <si>
    <t xml:space="preserve">Próximo ativo 9</t>
  </si>
  <si>
    <t xml:space="preserve">Próximo ativo 10</t>
  </si>
  <si>
    <t xml:space="preserve">Próximo ativo 11</t>
  </si>
  <si>
    <t xml:space="preserve">Próximo ativo 12</t>
  </si>
  <si>
    <t xml:space="preserve">Próximo ativo 13</t>
  </si>
  <si>
    <t xml:space="preserve">Próximo ativo 14</t>
  </si>
  <si>
    <t xml:space="preserve">Próximo ativo 15</t>
  </si>
  <si>
    <t xml:space="preserve">Próximo ativo 16</t>
  </si>
  <si>
    <t xml:space="preserve">Próximo ativo 17</t>
  </si>
  <si>
    <t xml:space="preserve">Próximo ativo 18</t>
  </si>
  <si>
    <t xml:space="preserve">Próximo ativo 19</t>
  </si>
  <si>
    <t xml:space="preserve">Próximo ativo 20</t>
  </si>
  <si>
    <t xml:space="preserve">Próximo ativo 21</t>
  </si>
  <si>
    <t xml:space="preserve">Próximo ativo 22</t>
  </si>
  <si>
    <t xml:space="preserve">Próximo ativo 23</t>
  </si>
  <si>
    <t xml:space="preserve">Próximo ativo 24</t>
  </si>
  <si>
    <t xml:space="preserve">Próximo ativo 25</t>
  </si>
  <si>
    <t xml:space="preserve">Próximo ativo 26</t>
  </si>
  <si>
    <t xml:space="preserve">Próximo ativo 27</t>
  </si>
  <si>
    <t xml:space="preserve">Próximo ativo 28</t>
  </si>
  <si>
    <t xml:space="preserve">Próximo ativo 29</t>
  </si>
  <si>
    <t xml:space="preserve">Próximo ativo 30</t>
  </si>
  <si>
    <t xml:space="preserve">Próximo ativo 31</t>
  </si>
  <si>
    <t xml:space="preserve">Próximo ativo 32</t>
  </si>
  <si>
    <t xml:space="preserve">Qtd. vãos</t>
  </si>
  <si>
    <t xml:space="preserve">Extensão do bloco (m)</t>
  </si>
  <si>
    <t xml:space="preserve">Qtd. ativos posteriores</t>
  </si>
  <si>
    <t xml:space="preserve">Ativos posteriores (concatenado)</t>
  </si>
  <si>
    <t xml:space="preserve">Posterior 1</t>
  </si>
  <si>
    <t xml:space="preserve">Posterior 2</t>
  </si>
  <si>
    <t xml:space="preserve">Posterior 3</t>
  </si>
  <si>
    <t xml:space="preserve">Posterior 4</t>
  </si>
  <si>
    <t xml:space="preserve">Posterior 5</t>
  </si>
  <si>
    <t xml:space="preserve">Posterior 6</t>
  </si>
  <si>
    <t xml:space="preserve">Posterior 7</t>
  </si>
  <si>
    <t xml:space="preserve">Posterior 8</t>
  </si>
  <si>
    <t xml:space="preserve">Posterior 9</t>
  </si>
  <si>
    <t xml:space="preserve">Posterior 10</t>
  </si>
  <si>
    <t xml:space="preserve">Posterior 11</t>
  </si>
  <si>
    <t xml:space="preserve">Posterior 12</t>
  </si>
  <si>
    <t xml:space="preserve">Posterior 13</t>
  </si>
  <si>
    <t xml:space="preserve">Posterior 14</t>
  </si>
  <si>
    <t xml:space="preserve">Posterior 15</t>
  </si>
  <si>
    <t xml:space="preserve">Posterior 16</t>
  </si>
  <si>
    <t xml:space="preserve">Posterior 17</t>
  </si>
  <si>
    <t xml:space="preserve">Posterior 18</t>
  </si>
  <si>
    <t xml:space="preserve">Posterior 19</t>
  </si>
  <si>
    <t xml:space="preserve">Posterior 20</t>
  </si>
  <si>
    <t xml:space="preserve">Posterior 21</t>
  </si>
  <si>
    <t xml:space="preserve">Posterior 22</t>
  </si>
  <si>
    <t xml:space="preserve">Posterior 23</t>
  </si>
  <si>
    <t xml:space="preserve">Posterior 24</t>
  </si>
  <si>
    <t xml:space="preserve">Posterior 25</t>
  </si>
  <si>
    <t xml:space="preserve">Posterior 26</t>
  </si>
  <si>
    <t xml:space="preserve">Posterior 27</t>
  </si>
  <si>
    <t xml:space="preserve">Posterior 28</t>
  </si>
  <si>
    <t xml:space="preserve">Posterior 29</t>
  </si>
  <si>
    <t xml:space="preserve">Posterior 30</t>
  </si>
  <si>
    <t xml:space="preserve">Posterior 31</t>
  </si>
  <si>
    <t xml:space="preserve">Posterior 32</t>
  </si>
  <si>
    <t xml:space="preserve">Posterior 33</t>
  </si>
  <si>
    <t xml:space="preserve">Posterior 34</t>
  </si>
  <si>
    <t xml:space="preserve">Posterior 35</t>
  </si>
  <si>
    <t xml:space="preserve">Posterior 36</t>
  </si>
  <si>
    <t xml:space="preserve">Posterior 37</t>
  </si>
  <si>
    <t xml:space="preserve">Posterior 38</t>
  </si>
  <si>
    <t xml:space="preserve">Posterior 39</t>
  </si>
  <si>
    <t xml:space="preserve">Posterior 40</t>
  </si>
  <si>
    <t xml:space="preserve">Posterior 41</t>
  </si>
  <si>
    <t xml:space="preserve">Posterior 42</t>
  </si>
  <si>
    <t xml:space="preserve">Posterior 43</t>
  </si>
  <si>
    <t xml:space="preserve">Posterior 44</t>
  </si>
  <si>
    <t xml:space="preserve">Posterior 45</t>
  </si>
  <si>
    <t xml:space="preserve">Posterior 46</t>
  </si>
  <si>
    <t xml:space="preserve">Posterior 47</t>
  </si>
  <si>
    <t xml:space="preserve">Posterior 48</t>
  </si>
  <si>
    <t xml:space="preserve">Posterior 49</t>
  </si>
  <si>
    <t xml:space="preserve">Posterior 50</t>
  </si>
  <si>
    <t xml:space="preserve">Posterior 51</t>
  </si>
  <si>
    <t xml:space="preserve">Posterior 52</t>
  </si>
  <si>
    <t xml:space="preserve">Posterior 53</t>
  </si>
  <si>
    <t xml:space="preserve">Ramal 587997</t>
  </si>
  <si>
    <t xml:space="preserve">fim 25524195</t>
  </si>
  <si>
    <t xml:space="preserve">fim 65878548</t>
  </si>
  <si>
    <t xml:space="preserve">Ramal 122086</t>
  </si>
  <si>
    <t xml:space="preserve">Ramal 104546</t>
  </si>
  <si>
    <t xml:space="preserve">Ramal 33261324</t>
  </si>
  <si>
    <t xml:space="preserve">Ramal 94069</t>
  </si>
  <si>
    <t xml:space="preserve">Ramal 94068</t>
  </si>
  <si>
    <t xml:space="preserve">Ramal 20392852</t>
  </si>
  <si>
    <t xml:space="preserve">Ramal 552519</t>
  </si>
  <si>
    <t xml:space="preserve">Ramal 272816</t>
  </si>
  <si>
    <t xml:space="preserve">Ramal 94067</t>
  </si>
  <si>
    <t xml:space="preserve">fim N96</t>
  </si>
  <si>
    <t xml:space="preserve">fim N97</t>
  </si>
  <si>
    <t xml:space="preserve">Ramal 26974937</t>
  </si>
  <si>
    <t xml:space="preserve">fim 106594</t>
  </si>
  <si>
    <t xml:space="preserve">fim 538410</t>
  </si>
  <si>
    <t xml:space="preserve">fim 539777</t>
  </si>
  <si>
    <t xml:space="preserve">fim 550142</t>
  </si>
  <si>
    <t xml:space="preserve">fim 539569</t>
  </si>
  <si>
    <t xml:space="preserve">fim 535127</t>
  </si>
  <si>
    <t xml:space="preserve">fim 538391</t>
  </si>
  <si>
    <t xml:space="preserve">fim 536377</t>
  </si>
  <si>
    <t xml:space="preserve">fim N123</t>
  </si>
  <si>
    <t xml:space="preserve">Ramal 550921</t>
  </si>
  <si>
    <t xml:space="preserve">fim N82</t>
  </si>
  <si>
    <t xml:space="preserve">fim N122</t>
  </si>
  <si>
    <t xml:space="preserve">Ramal N68</t>
  </si>
  <si>
    <t xml:space="preserve">Ramal N77</t>
  </si>
  <si>
    <t xml:space="preserve">Ramal N127</t>
  </si>
  <si>
    <t xml:space="preserve">Ramal do 0303973004</t>
  </si>
  <si>
    <t xml:space="preserve">fim 30002378</t>
  </si>
  <si>
    <t xml:space="preserve">fim 30002218</t>
  </si>
  <si>
    <t xml:space="preserve">Ramal 122229</t>
  </si>
  <si>
    <t xml:space="preserve">Ramal 550125</t>
  </si>
  <si>
    <t xml:space="preserve">Ramal 122230</t>
  </si>
  <si>
    <t xml:space="preserve">fim 553594</t>
  </si>
  <si>
    <t xml:space="preserve">fim 552526</t>
  </si>
  <si>
    <t xml:space="preserve">fim 537929</t>
  </si>
  <si>
    <t xml:space="preserve">Ramal 1326106</t>
  </si>
  <si>
    <t xml:space="preserve">Ramal do 0200571004</t>
  </si>
  <si>
    <t xml:space="preserve">Ramal 94187</t>
  </si>
  <si>
    <t xml:space="preserve">fim N162</t>
  </si>
  <si>
    <t xml:space="preserve">Ramal 101058</t>
  </si>
  <si>
    <t xml:space="preserve">Ramal 94183</t>
  </si>
  <si>
    <t xml:space="preserve">fim 533113</t>
  </si>
  <si>
    <t xml:space="preserve">fim N298</t>
  </si>
  <si>
    <t xml:space="preserve">fim N299</t>
  </si>
  <si>
    <t xml:space="preserve">fim 94374</t>
  </si>
  <si>
    <t xml:space="preserve">fim N254</t>
  </si>
  <si>
    <t xml:space="preserve">fim N301</t>
  </si>
  <si>
    <t xml:space="preserve">fim N256</t>
  </si>
  <si>
    <t xml:space="preserve">fim 557529</t>
  </si>
  <si>
    <t xml:space="preserve">fim 557252</t>
  </si>
  <si>
    <t xml:space="preserve">fim 586071</t>
  </si>
  <si>
    <t xml:space="preserve">fim 586061</t>
  </si>
  <si>
    <t xml:space="preserve">fim 1437863</t>
  </si>
  <si>
    <t xml:space="preserve">fim 553590</t>
  </si>
  <si>
    <t xml:space="preserve">fim N275</t>
  </si>
  <si>
    <t xml:space="preserve">fim 539567</t>
  </si>
  <si>
    <t xml:space="preserve">Ramal do 0300588004</t>
  </si>
  <si>
    <t xml:space="preserve">fim 42957414</t>
  </si>
  <si>
    <t xml:space="preserve">fim 94367</t>
  </si>
  <si>
    <t xml:space="preserve">fim 1428201</t>
  </si>
  <si>
    <t xml:space="preserve">fim 552788</t>
  </si>
  <si>
    <t xml:space="preserve">fim N257</t>
  </si>
  <si>
    <t xml:space="preserve">fim 94363</t>
  </si>
  <si>
    <t xml:space="preserve">fim 538645</t>
  </si>
  <si>
    <t xml:space="preserve">fim 585929</t>
  </si>
  <si>
    <t xml:space="preserve">fim 1107345</t>
  </si>
  <si>
    <t xml:space="preserve">fim 533105</t>
  </si>
  <si>
    <t xml:space="preserve">Ramal 94361</t>
  </si>
  <si>
    <t xml:space="preserve">Ramal 553048</t>
  </si>
  <si>
    <t xml:space="preserve">Ramal N201</t>
  </si>
  <si>
    <t xml:space="preserve">Ramal N303</t>
  </si>
  <si>
    <t xml:space="preserve">Ramal N308</t>
  </si>
  <si>
    <t xml:space="preserve">Ramal N311</t>
  </si>
  <si>
    <t xml:space="preserve">Ramal após 0300600004</t>
  </si>
  <si>
    <t xml:space="preserve">fim N318</t>
  </si>
  <si>
    <t xml:space="preserve">fim N320</t>
  </si>
  <si>
    <t xml:space="preserve">Ramal N322</t>
  </si>
  <si>
    <t xml:space="preserve">Ramal após 0202175004</t>
  </si>
  <si>
    <t xml:space="preserve">fim N395</t>
  </si>
  <si>
    <t xml:space="preserve">fim N394</t>
  </si>
  <si>
    <t xml:space="preserve">Ramal N325</t>
  </si>
  <si>
    <t xml:space="preserve">fim 32145035</t>
  </si>
  <si>
    <t xml:space="preserve">fim 585924</t>
  </si>
  <si>
    <t xml:space="preserve">fim 32145115</t>
  </si>
  <si>
    <t xml:space="preserve">fim 590075</t>
  </si>
  <si>
    <t xml:space="preserve">Ramal após 0203117004</t>
  </si>
  <si>
    <t xml:space="preserve">fim 588088</t>
  </si>
  <si>
    <t xml:space="preserve">fim N399</t>
  </si>
  <si>
    <t xml:space="preserve">Ramal N338</t>
  </si>
  <si>
    <t xml:space="preserve">Ramal após 0300603004</t>
  </si>
  <si>
    <t xml:space="preserve">Ramal N345</t>
  </si>
  <si>
    <t xml:space="preserve">fim 556748</t>
  </si>
  <si>
    <t xml:space="preserve">fim N346</t>
  </si>
  <si>
    <t xml:space="preserve">Ramal N348</t>
  </si>
  <si>
    <t xml:space="preserve">fim 586128</t>
  </si>
  <si>
    <t xml:space="preserve">fim N351</t>
  </si>
  <si>
    <t xml:space="preserve">Ramal 73775431</t>
  </si>
  <si>
    <t xml:space="preserve">fim 94101</t>
  </si>
  <si>
    <t xml:space="preserve">fim 35597260</t>
  </si>
  <si>
    <t xml:space="preserve">Ramal N357</t>
  </si>
  <si>
    <t xml:space="preserve">fim 21544541</t>
  </si>
  <si>
    <t xml:space="preserve">fim 21544781</t>
  </si>
  <si>
    <t xml:space="preserve">Ramal N365</t>
  </si>
  <si>
    <t xml:space="preserve">Ramal N369</t>
  </si>
  <si>
    <t xml:space="preserve">Ramal após 7902218004</t>
  </si>
  <si>
    <t xml:space="preserve">fim 1437310</t>
  </si>
  <si>
    <t xml:space="preserve">fim 122071</t>
  </si>
  <si>
    <t xml:space="preserve">fim N455</t>
  </si>
  <si>
    <t xml:space="preserve">fim 1419545</t>
  </si>
  <si>
    <t xml:space="preserve">fim 557826</t>
  </si>
  <si>
    <t xml:space="preserve">fim N479</t>
  </si>
  <si>
    <t xml:space="preserve">fim 555904</t>
  </si>
  <si>
    <t xml:space="preserve">fim N469</t>
  </si>
  <si>
    <t xml:space="preserve">fim N465</t>
  </si>
  <si>
    <t xml:space="preserve">fim N470</t>
  </si>
  <si>
    <t xml:space="preserve">fim 1437314</t>
  </si>
  <si>
    <t xml:space="preserve">fim 122066</t>
  </si>
  <si>
    <t xml:space="preserve">fim 94019</t>
  </si>
  <si>
    <t xml:space="preserve">fim 555594</t>
  </si>
  <si>
    <t xml:space="preserve">fim N417</t>
  </si>
  <si>
    <t xml:space="preserve">fim 586816</t>
  </si>
  <si>
    <t xml:space="preserve">fim N408</t>
  </si>
  <si>
    <t xml:space="preserve">fim 587539</t>
  </si>
  <si>
    <t xml:space="preserve">fim N513</t>
  </si>
  <si>
    <t xml:space="preserve">fim N510</t>
  </si>
  <si>
    <t xml:space="preserve">fim 590492</t>
  </si>
  <si>
    <t xml:space="preserve">fim 556466</t>
  </si>
  <si>
    <t xml:space="preserve">fim N496</t>
  </si>
  <si>
    <t xml:space="preserve">Ramal N376</t>
  </si>
  <si>
    <t xml:space="preserve">fim N385</t>
  </si>
  <si>
    <t xml:space="preserve">fim N405</t>
  </si>
  <si>
    <t xml:space="preserve">fim N377</t>
  </si>
  <si>
    <t xml:space="preserve">Ramal 557582</t>
  </si>
  <si>
    <t xml:space="preserve">Ramal 22938813</t>
  </si>
  <si>
    <t xml:space="preserve">Ramal após 0352542004</t>
  </si>
  <si>
    <t xml:space="preserve">TOTAL</t>
  </si>
  <si>
    <t xml:space="preserve">Trecho</t>
  </si>
  <si>
    <t xml:space="preserve">Poste fim</t>
  </si>
  <si>
    <t xml:space="preserve">Distância do ativo de referência até o fim (m)</t>
  </si>
  <si>
    <t xml:space="preserve">Próximos ativos</t>
  </si>
  <si>
    <t xml:space="preserve">Ativos posteriores</t>
  </si>
  <si>
    <t xml:space="preserve">TR-001</t>
  </si>
  <si>
    <t xml:space="preserve">553218</t>
  </si>
  <si>
    <t xml:space="preserve">535163</t>
  </si>
  <si>
    <t xml:space="preserve">TR-002</t>
  </si>
  <si>
    <t xml:space="preserve">N2</t>
  </si>
  <si>
    <t xml:space="preserve">8800004004</t>
  </si>
  <si>
    <t xml:space="preserve">TR-003</t>
  </si>
  <si>
    <t xml:space="preserve">332180</t>
  </si>
  <si>
    <t xml:space="preserve">TR-004</t>
  </si>
  <si>
    <t xml:space="preserve">N4</t>
  </si>
  <si>
    <t xml:space="preserve">8804421004</t>
  </si>
  <si>
    <t xml:space="preserve">TR-005</t>
  </si>
  <si>
    <t xml:space="preserve">N5</t>
  </si>
  <si>
    <t xml:space="preserve">TR-006</t>
  </si>
  <si>
    <t xml:space="preserve">N6</t>
  </si>
  <si>
    <t xml:space="preserve">TR-007</t>
  </si>
  <si>
    <t xml:space="preserve">N7</t>
  </si>
  <si>
    <t xml:space="preserve">TR-008</t>
  </si>
  <si>
    <t xml:space="preserve">N8</t>
  </si>
  <si>
    <t xml:space="preserve">TR-009</t>
  </si>
  <si>
    <t xml:space="preserve">N9</t>
  </si>
  <si>
    <t xml:space="preserve">TR-010</t>
  </si>
  <si>
    <t xml:space="preserve">N10</t>
  </si>
  <si>
    <t xml:space="preserve">TR-011</t>
  </si>
  <si>
    <t xml:space="preserve">531059</t>
  </si>
  <si>
    <t xml:space="preserve">TR-012</t>
  </si>
  <si>
    <t xml:space="preserve">N12</t>
  </si>
  <si>
    <t xml:space="preserve">TR-013</t>
  </si>
  <si>
    <t xml:space="preserve">N13</t>
  </si>
  <si>
    <t xml:space="preserve">TR-014</t>
  </si>
  <si>
    <t xml:space="preserve">N14</t>
  </si>
  <si>
    <t xml:space="preserve">8802681004</t>
  </si>
  <si>
    <t xml:space="preserve">TR-015</t>
  </si>
  <si>
    <t xml:space="preserve">N15</t>
  </si>
  <si>
    <t xml:space="preserve">TR-016</t>
  </si>
  <si>
    <t xml:space="preserve">N16</t>
  </si>
  <si>
    <t xml:space="preserve">TR-017</t>
  </si>
  <si>
    <t xml:space="preserve">N17</t>
  </si>
  <si>
    <t xml:space="preserve">TR-018</t>
  </si>
  <si>
    <t xml:space="preserve">N18</t>
  </si>
  <si>
    <t xml:space="preserve">TR-019</t>
  </si>
  <si>
    <t xml:space="preserve">N19</t>
  </si>
  <si>
    <t xml:space="preserve">TR-020</t>
  </si>
  <si>
    <t xml:space="preserve">122082</t>
  </si>
  <si>
    <t xml:space="preserve">TR-021</t>
  </si>
  <si>
    <t xml:space="preserve">N21</t>
  </si>
  <si>
    <t xml:space="preserve">TR-022</t>
  </si>
  <si>
    <t xml:space="preserve">550328</t>
  </si>
  <si>
    <t xml:space="preserve">TR-023</t>
  </si>
  <si>
    <t xml:space="preserve">N23</t>
  </si>
  <si>
    <t xml:space="preserve">TR-024</t>
  </si>
  <si>
    <t xml:space="preserve">N24</t>
  </si>
  <si>
    <t xml:space="preserve">TR-025</t>
  </si>
  <si>
    <t xml:space="preserve">587997</t>
  </si>
  <si>
    <t xml:space="preserve">TR-026</t>
  </si>
  <si>
    <t xml:space="preserve">587525</t>
  </si>
  <si>
    <t xml:space="preserve">TR-027</t>
  </si>
  <si>
    <t xml:space="preserve">N28</t>
  </si>
  <si>
    <t xml:space="preserve">8847597004</t>
  </si>
  <si>
    <t xml:space="preserve">TR-028</t>
  </si>
  <si>
    <t xml:space="preserve">536558</t>
  </si>
  <si>
    <t xml:space="preserve">TR-029</t>
  </si>
  <si>
    <t xml:space="preserve">538107</t>
  </si>
  <si>
    <t xml:space="preserve">TR-030</t>
  </si>
  <si>
    <t xml:space="preserve">122086</t>
  </si>
  <si>
    <t xml:space="preserve">TR-031</t>
  </si>
  <si>
    <t xml:space="preserve">122087</t>
  </si>
  <si>
    <t xml:space="preserve">TR-032</t>
  </si>
  <si>
    <t xml:space="preserve">N39</t>
  </si>
  <si>
    <t xml:space="preserve">TR-033</t>
  </si>
  <si>
    <t xml:space="preserve">94070</t>
  </si>
  <si>
    <t xml:space="preserve">8802014004</t>
  </si>
  <si>
    <t xml:space="preserve">TR-034</t>
  </si>
  <si>
    <t xml:space="preserve">104546</t>
  </si>
  <si>
    <t xml:space="preserve">TR-035</t>
  </si>
  <si>
    <t xml:space="preserve">33261324</t>
  </si>
  <si>
    <t xml:space="preserve">TR-036</t>
  </si>
  <si>
    <t xml:space="preserve">94069</t>
  </si>
  <si>
    <t xml:space="preserve">TR-037</t>
  </si>
  <si>
    <t xml:space="preserve">94068</t>
  </si>
  <si>
    <t xml:space="preserve">TR-038</t>
  </si>
  <si>
    <t xml:space="preserve">536379</t>
  </si>
  <si>
    <t xml:space="preserve">TR-039</t>
  </si>
  <si>
    <t xml:space="preserve">N48</t>
  </si>
  <si>
    <t xml:space="preserve">TR-040</t>
  </si>
  <si>
    <t xml:space="preserve">122088</t>
  </si>
  <si>
    <t xml:space="preserve">TR-041</t>
  </si>
  <si>
    <t xml:space="preserve">20392852</t>
  </si>
  <si>
    <t xml:space="preserve">TR-042</t>
  </si>
  <si>
    <t xml:space="preserve">552519</t>
  </si>
  <si>
    <t xml:space="preserve">TR-043</t>
  </si>
  <si>
    <t xml:space="preserve">550421</t>
  </si>
  <si>
    <t xml:space="preserve">TR-044</t>
  </si>
  <si>
    <t xml:space="preserve">N54</t>
  </si>
  <si>
    <t xml:space="preserve">TR-045</t>
  </si>
  <si>
    <t xml:space="preserve">272816</t>
  </si>
  <si>
    <t xml:space="preserve">TR-046</t>
  </si>
  <si>
    <t xml:space="preserve">94067</t>
  </si>
  <si>
    <t xml:space="preserve">TR-047</t>
  </si>
  <si>
    <t xml:space="preserve">94066</t>
  </si>
  <si>
    <t xml:space="preserve">TR-048</t>
  </si>
  <si>
    <t xml:space="preserve">26974937</t>
  </si>
  <si>
    <t xml:space="preserve">TR-049</t>
  </si>
  <si>
    <t xml:space="preserve">N62</t>
  </si>
  <si>
    <t xml:space="preserve">TR-050</t>
  </si>
  <si>
    <t xml:space="preserve">533115</t>
  </si>
  <si>
    <t xml:space="preserve">TR-051</t>
  </si>
  <si>
    <t xml:space="preserve">51777413</t>
  </si>
  <si>
    <t xml:space="preserve">TR-052</t>
  </si>
  <si>
    <t xml:space="preserve">N65</t>
  </si>
  <si>
    <t xml:space="preserve">TR-053</t>
  </si>
  <si>
    <t xml:space="preserve">94060</t>
  </si>
  <si>
    <t xml:space="preserve">8800554004</t>
  </si>
  <si>
    <t xml:space="preserve">TR-054</t>
  </si>
  <si>
    <t xml:space="preserve">550921</t>
  </si>
  <si>
    <t xml:space="preserve">TR-055</t>
  </si>
  <si>
    <t xml:space="preserve">N68</t>
  </si>
  <si>
    <t xml:space="preserve">TR-056</t>
  </si>
  <si>
    <t xml:space="preserve">N69</t>
  </si>
  <si>
    <t xml:space="preserve">TR-057</t>
  </si>
  <si>
    <t xml:space="preserve">94059</t>
  </si>
  <si>
    <t xml:space="preserve">TR-058</t>
  </si>
  <si>
    <t xml:space="preserve">N73</t>
  </si>
  <si>
    <t xml:space="preserve">8801115004</t>
  </si>
  <si>
    <t xml:space="preserve">TR-059</t>
  </si>
  <si>
    <t xml:space="preserve">N77</t>
  </si>
  <si>
    <t xml:space="preserve">TR-060</t>
  </si>
  <si>
    <t xml:space="preserve">N116</t>
  </si>
  <si>
    <t xml:space="preserve">TR-061</t>
  </si>
  <si>
    <t xml:space="preserve">N117</t>
  </si>
  <si>
    <t xml:space="preserve">TR-062</t>
  </si>
  <si>
    <t xml:space="preserve">646207</t>
  </si>
  <si>
    <t xml:space="preserve">TR-063</t>
  </si>
  <si>
    <t xml:space="preserve">N119</t>
  </si>
  <si>
    <t xml:space="preserve">TR-064</t>
  </si>
  <si>
    <t xml:space="preserve">N126</t>
  </si>
  <si>
    <t xml:space="preserve">TR-065</t>
  </si>
  <si>
    <t xml:space="preserve">N127</t>
  </si>
  <si>
    <t xml:space="preserve">TR-066</t>
  </si>
  <si>
    <t xml:space="preserve">94057</t>
  </si>
  <si>
    <t xml:space="preserve">TR-067</t>
  </si>
  <si>
    <t xml:space="preserve">N130</t>
  </si>
  <si>
    <t xml:space="preserve">TR-068</t>
  </si>
  <si>
    <t xml:space="preserve">122229</t>
  </si>
  <si>
    <t xml:space="preserve">TR-069</t>
  </si>
  <si>
    <t xml:space="preserve">550125</t>
  </si>
  <si>
    <t xml:space="preserve">TR-070</t>
  </si>
  <si>
    <t xml:space="preserve">94189</t>
  </si>
  <si>
    <t xml:space="preserve">TR-071</t>
  </si>
  <si>
    <t xml:space="preserve">N146</t>
  </si>
  <si>
    <t xml:space="preserve">TR-072</t>
  </si>
  <si>
    <t xml:space="preserve">122230</t>
  </si>
  <si>
    <t xml:space="preserve">TR-073</t>
  </si>
  <si>
    <t xml:space="preserve">1317022</t>
  </si>
  <si>
    <t xml:space="preserve">TR-074</t>
  </si>
  <si>
    <t xml:space="preserve">1326106</t>
  </si>
  <si>
    <t xml:space="preserve">TR-075</t>
  </si>
  <si>
    <t xml:space="preserve">N157</t>
  </si>
  <si>
    <t xml:space="preserve">TR-076</t>
  </si>
  <si>
    <t xml:space="preserve">94187</t>
  </si>
  <si>
    <t xml:space="preserve">TR-077</t>
  </si>
  <si>
    <t xml:space="preserve">101058</t>
  </si>
  <si>
    <t xml:space="preserve">TR-078</t>
  </si>
  <si>
    <t xml:space="preserve">94184</t>
  </si>
  <si>
    <t xml:space="preserve">TR-079</t>
  </si>
  <si>
    <t xml:space="preserve">94183</t>
  </si>
  <si>
    <t xml:space="preserve">TR-080</t>
  </si>
  <si>
    <t xml:space="preserve">N168</t>
  </si>
  <si>
    <t xml:space="preserve">TR-081</t>
  </si>
  <si>
    <t xml:space="preserve">94370</t>
  </si>
  <si>
    <t xml:space="preserve">TR-082</t>
  </si>
  <si>
    <t xml:space="preserve">N170</t>
  </si>
  <si>
    <t xml:space="preserve">TR-083</t>
  </si>
  <si>
    <t xml:space="preserve">303599</t>
  </si>
  <si>
    <t xml:space="preserve">TR-084</t>
  </si>
  <si>
    <t xml:space="preserve">94361</t>
  </si>
  <si>
    <t xml:space="preserve">TR-085</t>
  </si>
  <si>
    <t xml:space="preserve">94362</t>
  </si>
  <si>
    <t xml:space="preserve">TR-086</t>
  </si>
  <si>
    <t xml:space="preserve">553048</t>
  </si>
  <si>
    <t xml:space="preserve">TR-087</t>
  </si>
  <si>
    <t xml:space="preserve">N201</t>
  </si>
  <si>
    <t xml:space="preserve">TR-088</t>
  </si>
  <si>
    <t xml:space="preserve">N281</t>
  </si>
  <si>
    <t xml:space="preserve">TR-089</t>
  </si>
  <si>
    <t xml:space="preserve">N282</t>
  </si>
  <si>
    <t xml:space="preserve">TR-090</t>
  </si>
  <si>
    <t xml:space="preserve">N283</t>
  </si>
  <si>
    <t xml:space="preserve">TR-091</t>
  </si>
  <si>
    <t xml:space="preserve">N284</t>
  </si>
  <si>
    <t xml:space="preserve">TR-092</t>
  </si>
  <si>
    <t xml:space="preserve">1376608</t>
  </si>
  <si>
    <t xml:space="preserve">TR-093</t>
  </si>
  <si>
    <t xml:space="preserve">N303</t>
  </si>
  <si>
    <t xml:space="preserve">TR-094</t>
  </si>
  <si>
    <t xml:space="preserve">N305</t>
  </si>
  <si>
    <t xml:space="preserve">TR-095</t>
  </si>
  <si>
    <t xml:space="preserve">94139</t>
  </si>
  <si>
    <t xml:space="preserve">TR-096</t>
  </si>
  <si>
    <t xml:space="preserve">N307</t>
  </si>
  <si>
    <t xml:space="preserve">TR-097</t>
  </si>
  <si>
    <t xml:space="preserve">N308</t>
  </si>
  <si>
    <t xml:space="preserve">TR-098</t>
  </si>
  <si>
    <t xml:space="preserve">27816712</t>
  </si>
  <si>
    <t xml:space="preserve">TR-099</t>
  </si>
  <si>
    <t xml:space="preserve">N311</t>
  </si>
  <si>
    <t xml:space="preserve">TR-100</t>
  </si>
  <si>
    <t xml:space="preserve">1082086</t>
  </si>
  <si>
    <t xml:space="preserve">TR-101</t>
  </si>
  <si>
    <t xml:space="preserve">N322</t>
  </si>
  <si>
    <t xml:space="preserve">TR-102</t>
  </si>
  <si>
    <t xml:space="preserve">N325</t>
  </si>
  <si>
    <t xml:space="preserve">TR-103</t>
  </si>
  <si>
    <t xml:space="preserve">369011</t>
  </si>
  <si>
    <t xml:space="preserve">TR-104</t>
  </si>
  <si>
    <t xml:space="preserve">1363489</t>
  </si>
  <si>
    <t xml:space="preserve">TR-105</t>
  </si>
  <si>
    <t xml:space="preserve">533443</t>
  </si>
  <si>
    <t xml:space="preserve">TR-106</t>
  </si>
  <si>
    <t xml:space="preserve">N331</t>
  </si>
  <si>
    <t xml:space="preserve">8834608004</t>
  </si>
  <si>
    <t xml:space="preserve">TR-107</t>
  </si>
  <si>
    <t xml:space="preserve">94356</t>
  </si>
  <si>
    <t xml:space="preserve">TR-108</t>
  </si>
  <si>
    <t xml:space="preserve">N338</t>
  </si>
  <si>
    <t xml:space="preserve">TR-109</t>
  </si>
  <si>
    <t xml:space="preserve">94103</t>
  </si>
  <si>
    <t xml:space="preserve">TR-110</t>
  </si>
  <si>
    <t xml:space="preserve">N345</t>
  </si>
  <si>
    <t xml:space="preserve">TR-111</t>
  </si>
  <si>
    <t xml:space="preserve">N348</t>
  </si>
  <si>
    <t xml:space="preserve">TR-112</t>
  </si>
  <si>
    <t xml:space="preserve">94102</t>
  </si>
  <si>
    <t xml:space="preserve">TR-113</t>
  </si>
  <si>
    <t xml:space="preserve">73775431</t>
  </si>
  <si>
    <t xml:space="preserve">TR-114</t>
  </si>
  <si>
    <t xml:space="preserve">N357</t>
  </si>
  <si>
    <t xml:space="preserve">TR-115</t>
  </si>
  <si>
    <t xml:space="preserve">73775414</t>
  </si>
  <si>
    <t xml:space="preserve">TR-116</t>
  </si>
  <si>
    <t xml:space="preserve">94100</t>
  </si>
  <si>
    <t xml:space="preserve">TR-117</t>
  </si>
  <si>
    <t xml:space="preserve">N364</t>
  </si>
  <si>
    <t xml:space="preserve">8800606004</t>
  </si>
  <si>
    <t xml:space="preserve">TR-118</t>
  </si>
  <si>
    <t xml:space="preserve">N365</t>
  </si>
  <si>
    <t xml:space="preserve">TR-119</t>
  </si>
  <si>
    <t xml:space="preserve">N367</t>
  </si>
  <si>
    <t xml:space="preserve">TR-120</t>
  </si>
  <si>
    <t xml:space="preserve">94012</t>
  </si>
  <si>
    <t xml:space="preserve">TR-121</t>
  </si>
  <si>
    <t xml:space="preserve">N369</t>
  </si>
  <si>
    <t xml:space="preserve">TR-122</t>
  </si>
  <si>
    <t xml:space="preserve">N400</t>
  </si>
  <si>
    <t xml:space="preserve">TR-123</t>
  </si>
  <si>
    <t xml:space="preserve">N401</t>
  </si>
  <si>
    <t xml:space="preserve">TR-124</t>
  </si>
  <si>
    <t xml:space="preserve">585846</t>
  </si>
  <si>
    <t xml:space="preserve">TR-125</t>
  </si>
  <si>
    <t xml:space="preserve">122075</t>
  </si>
  <si>
    <t xml:space="preserve">TR-126</t>
  </si>
  <si>
    <t xml:space="preserve">N372</t>
  </si>
  <si>
    <t xml:space="preserve">TR-127</t>
  </si>
  <si>
    <t xml:space="preserve">94098</t>
  </si>
  <si>
    <t xml:space="preserve">8843255004</t>
  </si>
  <si>
    <t xml:space="preserve">TR-128</t>
  </si>
  <si>
    <t xml:space="preserve">587537</t>
  </si>
  <si>
    <t xml:space="preserve">TR-129</t>
  </si>
  <si>
    <t xml:space="preserve">N375</t>
  </si>
  <si>
    <t xml:space="preserve">TR-130</t>
  </si>
  <si>
    <t xml:space="preserve">N376</t>
  </si>
  <si>
    <t xml:space="preserve">TR-131</t>
  </si>
  <si>
    <t xml:space="preserve">554195</t>
  </si>
  <si>
    <t xml:space="preserve">TR-132</t>
  </si>
  <si>
    <t xml:space="preserve">N379</t>
  </si>
  <si>
    <t xml:space="preserve">TR-133</t>
  </si>
  <si>
    <t xml:space="preserve">557582</t>
  </si>
  <si>
    <t xml:space="preserve">TR-134</t>
  </si>
  <si>
    <t xml:space="preserve">N384</t>
  </si>
  <si>
    <t xml:space="preserve">TR-135</t>
  </si>
  <si>
    <t xml:space="preserve">22938813</t>
  </si>
  <si>
    <t xml:space="preserve">TR-136</t>
  </si>
  <si>
    <t xml:space="preserve">N389</t>
  </si>
  <si>
    <t xml:space="preserve">TR-137</t>
  </si>
  <si>
    <t xml:space="preserve">94355</t>
  </si>
  <si>
    <t xml:space="preserve">TR-138</t>
  </si>
  <si>
    <t xml:space="preserve">N340</t>
  </si>
  <si>
    <t xml:space="preserve">TR-139</t>
  </si>
  <si>
    <t xml:space="preserve">N396</t>
  </si>
  <si>
    <t xml:space="preserve">TR-140</t>
  </si>
  <si>
    <t xml:space="preserve">N324</t>
  </si>
  <si>
    <t xml:space="preserve">TR-141</t>
  </si>
  <si>
    <t xml:space="preserve">N392</t>
  </si>
  <si>
    <t xml:space="preserve">TR-142</t>
  </si>
  <si>
    <t xml:space="preserve">N312</t>
  </si>
  <si>
    <t xml:space="preserve">TR-143</t>
  </si>
  <si>
    <t xml:space="preserve">94359</t>
  </si>
  <si>
    <t xml:space="preserve">8800599004</t>
  </si>
  <si>
    <t xml:space="preserve">TR-144</t>
  </si>
  <si>
    <t xml:space="preserve">94358</t>
  </si>
  <si>
    <t xml:space="preserve">TR-145</t>
  </si>
  <si>
    <t xml:space="preserve">N316</t>
  </si>
  <si>
    <t xml:space="preserve">TR-146</t>
  </si>
  <si>
    <t xml:space="preserve">1428216</t>
  </si>
  <si>
    <t xml:space="preserve">TR-147</t>
  </si>
  <si>
    <t xml:space="preserve">N31</t>
  </si>
  <si>
    <t xml:space="preserve">TR-148</t>
  </si>
  <si>
    <t xml:space="preserve">587294</t>
  </si>
  <si>
    <t xml:space="preserve">TR-149</t>
  </si>
  <si>
    <t xml:space="preserve">N36</t>
  </si>
  <si>
    <t xml:space="preserve">TR-150</t>
  </si>
  <si>
    <t xml:space="preserve">25524195</t>
  </si>
  <si>
    <t xml:space="preserve">TR-151</t>
  </si>
  <si>
    <t xml:space="preserve">65878548</t>
  </si>
  <si>
    <t xml:space="preserve">TR-152</t>
  </si>
  <si>
    <t xml:space="preserve">N34</t>
  </si>
  <si>
    <t xml:space="preserve">TR-153</t>
  </si>
  <si>
    <t xml:space="preserve">N83</t>
  </si>
  <si>
    <t xml:space="preserve">TR-154</t>
  </si>
  <si>
    <t xml:space="preserve">104545</t>
  </si>
  <si>
    <t xml:space="preserve">TR-155</t>
  </si>
  <si>
    <t xml:space="preserve">N85</t>
  </si>
  <si>
    <t xml:space="preserve">TR-156</t>
  </si>
  <si>
    <t xml:space="preserve">N43</t>
  </si>
  <si>
    <t xml:space="preserve">TR-157</t>
  </si>
  <si>
    <t xml:space="preserve">33308575</t>
  </si>
  <si>
    <t xml:space="preserve">TR-158</t>
  </si>
  <si>
    <t xml:space="preserve">N86</t>
  </si>
  <si>
    <t xml:space="preserve">TR-159</t>
  </si>
  <si>
    <t xml:space="preserve">94065</t>
  </si>
  <si>
    <t xml:space="preserve">TR-160</t>
  </si>
  <si>
    <t xml:space="preserve">N88</t>
  </si>
  <si>
    <t xml:space="preserve">TR-161</t>
  </si>
  <si>
    <t xml:space="preserve">94064</t>
  </si>
  <si>
    <t xml:space="preserve">TR-162</t>
  </si>
  <si>
    <t xml:space="preserve">N90</t>
  </si>
  <si>
    <t xml:space="preserve">TR-163</t>
  </si>
  <si>
    <t xml:space="preserve">94063</t>
  </si>
  <si>
    <t xml:space="preserve">TR-164</t>
  </si>
  <si>
    <t xml:space="preserve">N52</t>
  </si>
  <si>
    <t xml:space="preserve">TR-165</t>
  </si>
  <si>
    <t xml:space="preserve">832105</t>
  </si>
  <si>
    <t xml:space="preserve">TR-166</t>
  </si>
  <si>
    <t xml:space="preserve">N92</t>
  </si>
  <si>
    <t xml:space="preserve">TR-167</t>
  </si>
  <si>
    <t xml:space="preserve">272817</t>
  </si>
  <si>
    <t xml:space="preserve">TR-168</t>
  </si>
  <si>
    <t xml:space="preserve">N93</t>
  </si>
  <si>
    <t xml:space="preserve">TR-169</t>
  </si>
  <si>
    <t xml:space="preserve">94062</t>
  </si>
  <si>
    <t xml:space="preserve">TR-170</t>
  </si>
  <si>
    <t xml:space="preserve">N96</t>
  </si>
  <si>
    <t xml:space="preserve">TR-171</t>
  </si>
  <si>
    <t xml:space="preserve">N97</t>
  </si>
  <si>
    <t xml:space="preserve">TR-172</t>
  </si>
  <si>
    <t xml:space="preserve">N60</t>
  </si>
  <si>
    <t xml:space="preserve">TR-173</t>
  </si>
  <si>
    <t xml:space="preserve">N61</t>
  </si>
  <si>
    <t xml:space="preserve">TR-174</t>
  </si>
  <si>
    <t xml:space="preserve">106597</t>
  </si>
  <si>
    <t xml:space="preserve">TR-175</t>
  </si>
  <si>
    <t xml:space="preserve">N99</t>
  </si>
  <si>
    <t xml:space="preserve">TR-176</t>
  </si>
  <si>
    <t xml:space="preserve">N103</t>
  </si>
  <si>
    <t xml:space="preserve">TR-177</t>
  </si>
  <si>
    <t xml:space="preserve">106594</t>
  </si>
  <si>
    <t xml:space="preserve">TR-178</t>
  </si>
  <si>
    <t xml:space="preserve">106595</t>
  </si>
  <si>
    <t xml:space="preserve">TR-179</t>
  </si>
  <si>
    <t xml:space="preserve">538410</t>
  </si>
  <si>
    <t xml:space="preserve">TR-180</t>
  </si>
  <si>
    <t xml:space="preserve">539777</t>
  </si>
  <si>
    <t xml:space="preserve">TR-181</t>
  </si>
  <si>
    <t xml:space="preserve">550142</t>
  </si>
  <si>
    <t xml:space="preserve">TR-182</t>
  </si>
  <si>
    <t xml:space="preserve">N101</t>
  </si>
  <si>
    <t xml:space="preserve">TR-183</t>
  </si>
  <si>
    <t xml:space="preserve">106596</t>
  </si>
  <si>
    <t xml:space="preserve">TR-184</t>
  </si>
  <si>
    <t xml:space="preserve">551194</t>
  </si>
  <si>
    <t xml:space="preserve">TR-185</t>
  </si>
  <si>
    <t xml:space="preserve">N106</t>
  </si>
  <si>
    <t xml:space="preserve">TR-186</t>
  </si>
  <si>
    <t xml:space="preserve">N108</t>
  </si>
  <si>
    <t xml:space="preserve">TR-187</t>
  </si>
  <si>
    <t xml:space="preserve">532382</t>
  </si>
  <si>
    <t xml:space="preserve">TR-188</t>
  </si>
  <si>
    <t xml:space="preserve">122059</t>
  </si>
  <si>
    <t xml:space="preserve">TR-189</t>
  </si>
  <si>
    <t xml:space="preserve">N113</t>
  </si>
  <si>
    <t xml:space="preserve">TR-190</t>
  </si>
  <si>
    <t xml:space="preserve">539569</t>
  </si>
  <si>
    <t xml:space="preserve">TR-191</t>
  </si>
  <si>
    <t xml:space="preserve">535127</t>
  </si>
  <si>
    <t xml:space="preserve">TR-192</t>
  </si>
  <si>
    <t xml:space="preserve">N121</t>
  </si>
  <si>
    <t xml:space="preserve">TR-193</t>
  </si>
  <si>
    <t xml:space="preserve">538391</t>
  </si>
  <si>
    <t xml:space="preserve">TR-194</t>
  </si>
  <si>
    <t xml:space="preserve">536377</t>
  </si>
  <si>
    <t xml:space="preserve">TR-195</t>
  </si>
  <si>
    <t xml:space="preserve">N123</t>
  </si>
  <si>
    <t xml:space="preserve">TR-196</t>
  </si>
  <si>
    <t xml:space="preserve">94058</t>
  </si>
  <si>
    <t xml:space="preserve">TR-197</t>
  </si>
  <si>
    <t xml:space="preserve">N71</t>
  </si>
  <si>
    <t xml:space="preserve">TR-198</t>
  </si>
  <si>
    <t xml:space="preserve">N75</t>
  </si>
  <si>
    <t xml:space="preserve">TR-199</t>
  </si>
  <si>
    <t xml:space="preserve">1347636</t>
  </si>
  <si>
    <t xml:space="preserve">TR-200</t>
  </si>
  <si>
    <t xml:space="preserve">550644</t>
  </si>
  <si>
    <t xml:space="preserve">TR-201</t>
  </si>
  <si>
    <t xml:space="preserve">N80</t>
  </si>
  <si>
    <t xml:space="preserve">TR-202</t>
  </si>
  <si>
    <t xml:space="preserve">N81</t>
  </si>
  <si>
    <t xml:space="preserve">TR-203</t>
  </si>
  <si>
    <t xml:space="preserve">N82</t>
  </si>
  <si>
    <t xml:space="preserve">TR-204</t>
  </si>
  <si>
    <t xml:space="preserve">N120</t>
  </si>
  <si>
    <t xml:space="preserve">TR-205</t>
  </si>
  <si>
    <t xml:space="preserve">N122</t>
  </si>
  <si>
    <t xml:space="preserve">TR-206</t>
  </si>
  <si>
    <t xml:space="preserve">308076</t>
  </si>
  <si>
    <t xml:space="preserve">TR-207</t>
  </si>
  <si>
    <t xml:space="preserve">N78</t>
  </si>
  <si>
    <t xml:space="preserve">TR-208</t>
  </si>
  <si>
    <t xml:space="preserve">N128</t>
  </si>
  <si>
    <t xml:space="preserve">TR-209</t>
  </si>
  <si>
    <t xml:space="preserve">30002378</t>
  </si>
  <si>
    <t xml:space="preserve">TR-210</t>
  </si>
  <si>
    <t xml:space="preserve">30002385</t>
  </si>
  <si>
    <t xml:space="preserve">TR-211</t>
  </si>
  <si>
    <t xml:space="preserve">N133</t>
  </si>
  <si>
    <t xml:space="preserve">TR-212</t>
  </si>
  <si>
    <t xml:space="preserve">30002205</t>
  </si>
  <si>
    <t xml:space="preserve">TR-213</t>
  </si>
  <si>
    <t xml:space="preserve">30002214</t>
  </si>
  <si>
    <t xml:space="preserve">TR-214</t>
  </si>
  <si>
    <t xml:space="preserve">30002209</t>
  </si>
  <si>
    <t xml:space="preserve">TR-215</t>
  </si>
  <si>
    <t xml:space="preserve">N139</t>
  </si>
  <si>
    <t xml:space="preserve">TR-216</t>
  </si>
  <si>
    <t xml:space="preserve">30002218</t>
  </si>
  <si>
    <t xml:space="preserve">TR-217</t>
  </si>
  <si>
    <t xml:space="preserve">22247358</t>
  </si>
  <si>
    <t xml:space="preserve">TR-218</t>
  </si>
  <si>
    <t xml:space="preserve">N144</t>
  </si>
  <si>
    <t xml:space="preserve">TR-219</t>
  </si>
  <si>
    <t xml:space="preserve">N258</t>
  </si>
  <si>
    <t xml:space="preserve">TR-220</t>
  </si>
  <si>
    <t xml:space="preserve">94056</t>
  </si>
  <si>
    <t xml:space="preserve">TR-221</t>
  </si>
  <si>
    <t xml:space="preserve">N260</t>
  </si>
  <si>
    <t xml:space="preserve">TR-222</t>
  </si>
  <si>
    <t xml:space="preserve">N141</t>
  </si>
  <si>
    <t xml:space="preserve">TR-223</t>
  </si>
  <si>
    <t xml:space="preserve">94055</t>
  </si>
  <si>
    <t xml:space="preserve">TR-224</t>
  </si>
  <si>
    <t xml:space="preserve">N148</t>
  </si>
  <si>
    <t xml:space="preserve">TR-225</t>
  </si>
  <si>
    <t xml:space="preserve">N149</t>
  </si>
  <si>
    <t xml:space="preserve">TR-226</t>
  </si>
  <si>
    <t xml:space="preserve">N150</t>
  </si>
  <si>
    <t xml:space="preserve">TR-227</t>
  </si>
  <si>
    <t xml:space="preserve">521484</t>
  </si>
  <si>
    <t xml:space="preserve">TR-228</t>
  </si>
  <si>
    <t xml:space="preserve">553594</t>
  </si>
  <si>
    <t xml:space="preserve">TR-229</t>
  </si>
  <si>
    <t xml:space="preserve">552526</t>
  </si>
  <si>
    <t xml:space="preserve">TR-230</t>
  </si>
  <si>
    <t xml:space="preserve">537929</t>
  </si>
  <si>
    <t xml:space="preserve">TR-231</t>
  </si>
  <si>
    <t xml:space="preserve">N261</t>
  </si>
  <si>
    <t xml:space="preserve">TR-232</t>
  </si>
  <si>
    <t xml:space="preserve">1326105</t>
  </si>
  <si>
    <t xml:space="preserve">TR-233</t>
  </si>
  <si>
    <t xml:space="preserve">N263</t>
  </si>
  <si>
    <t xml:space="preserve">TR-234</t>
  </si>
  <si>
    <t xml:space="preserve">N264</t>
  </si>
  <si>
    <t xml:space="preserve">TR-235</t>
  </si>
  <si>
    <t xml:space="preserve">94371</t>
  </si>
  <si>
    <t xml:space="preserve">TR-236</t>
  </si>
  <si>
    <t xml:space="preserve">94186</t>
  </si>
  <si>
    <t xml:space="preserve">TR-237</t>
  </si>
  <si>
    <t xml:space="preserve">N162</t>
  </si>
  <si>
    <t xml:space="preserve">TR-238</t>
  </si>
  <si>
    <t xml:space="preserve">N266</t>
  </si>
  <si>
    <t xml:space="preserve">TR-239</t>
  </si>
  <si>
    <t xml:space="preserve">94185</t>
  </si>
  <si>
    <t xml:space="preserve">TR-240</t>
  </si>
  <si>
    <t xml:space="preserve">N268</t>
  </si>
  <si>
    <t xml:space="preserve">TR-241</t>
  </si>
  <si>
    <t xml:space="preserve">101057</t>
  </si>
  <si>
    <t xml:space="preserve">TR-242</t>
  </si>
  <si>
    <t xml:space="preserve">N164</t>
  </si>
  <si>
    <t xml:space="preserve">8800577004</t>
  </si>
  <si>
    <t xml:space="preserve">TR-243</t>
  </si>
  <si>
    <t xml:space="preserve">N165</t>
  </si>
  <si>
    <t xml:space="preserve">TR-244</t>
  </si>
  <si>
    <t xml:space="preserve">533110</t>
  </si>
  <si>
    <t xml:space="preserve">TR-245</t>
  </si>
  <si>
    <t xml:space="preserve">1068925</t>
  </si>
  <si>
    <t xml:space="preserve">TR-246</t>
  </si>
  <si>
    <t xml:space="preserve">122196</t>
  </si>
  <si>
    <t xml:space="preserve">TR-247</t>
  </si>
  <si>
    <t xml:space="preserve">533112</t>
  </si>
  <si>
    <t xml:space="preserve">TR-248</t>
  </si>
  <si>
    <t xml:space="preserve">533113</t>
  </si>
  <si>
    <t xml:space="preserve">TR-249</t>
  </si>
  <si>
    <t xml:space="preserve">94181</t>
  </si>
  <si>
    <t xml:space="preserve">TR-250</t>
  </si>
  <si>
    <t xml:space="preserve">1080880</t>
  </si>
  <si>
    <t xml:space="preserve">TR-251</t>
  </si>
  <si>
    <t xml:space="preserve">38333058</t>
  </si>
  <si>
    <t xml:space="preserve">TR-252</t>
  </si>
  <si>
    <t xml:space="preserve">44185401</t>
  </si>
  <si>
    <t xml:space="preserve">TR-253</t>
  </si>
  <si>
    <t xml:space="preserve">N205</t>
  </si>
  <si>
    <t xml:space="preserve">8857503004</t>
  </si>
  <si>
    <t xml:space="preserve">TR-254</t>
  </si>
  <si>
    <t xml:space="preserve">550917</t>
  </si>
  <si>
    <t xml:space="preserve">TR-255</t>
  </si>
  <si>
    <t xml:space="preserve">536395</t>
  </si>
  <si>
    <t xml:space="preserve">TR-256</t>
  </si>
  <si>
    <t xml:space="preserve">N227</t>
  </si>
  <si>
    <t xml:space="preserve">TR-257</t>
  </si>
  <si>
    <t xml:space="preserve">94376</t>
  </si>
  <si>
    <t xml:space="preserve">TR-258</t>
  </si>
  <si>
    <t xml:space="preserve">N223</t>
  </si>
  <si>
    <t xml:space="preserve">TR-259</t>
  </si>
  <si>
    <t xml:space="preserve">94375</t>
  </si>
  <si>
    <t xml:space="preserve">TR-260</t>
  </si>
  <si>
    <t xml:space="preserve">N226</t>
  </si>
  <si>
    <t xml:space="preserve">TR-261</t>
  </si>
  <si>
    <t xml:space="preserve">N215</t>
  </si>
  <si>
    <t xml:space="preserve">TR-262</t>
  </si>
  <si>
    <t xml:space="preserve">94377</t>
  </si>
  <si>
    <t xml:space="preserve">TR-263</t>
  </si>
  <si>
    <t xml:space="preserve">N220</t>
  </si>
  <si>
    <t xml:space="preserve">TR-264</t>
  </si>
  <si>
    <t xml:space="preserve">N277</t>
  </si>
  <si>
    <t xml:space="preserve">TR-265</t>
  </si>
  <si>
    <t xml:space="preserve">N179</t>
  </si>
  <si>
    <t xml:space="preserve">TR-266</t>
  </si>
  <si>
    <t xml:space="preserve">94182</t>
  </si>
  <si>
    <t xml:space="preserve">TR-267</t>
  </si>
  <si>
    <t xml:space="preserve">N272</t>
  </si>
  <si>
    <t xml:space="preserve">TR-268</t>
  </si>
  <si>
    <t xml:space="preserve">N270</t>
  </si>
  <si>
    <t xml:space="preserve">TR-269</t>
  </si>
  <si>
    <t xml:space="preserve">587833</t>
  </si>
  <si>
    <t xml:space="preserve">TR-270</t>
  </si>
  <si>
    <t xml:space="preserve">N298</t>
  </si>
  <si>
    <t xml:space="preserve">TR-271</t>
  </si>
  <si>
    <t xml:space="preserve">N299</t>
  </si>
  <si>
    <t xml:space="preserve">TR-272</t>
  </si>
  <si>
    <t xml:space="preserve">94374</t>
  </si>
  <si>
    <t xml:space="preserve">TR-273</t>
  </si>
  <si>
    <t xml:space="preserve">N230</t>
  </si>
  <si>
    <t xml:space="preserve">TR-274</t>
  </si>
  <si>
    <t xml:space="preserve">122050</t>
  </si>
  <si>
    <t xml:space="preserve">TR-275</t>
  </si>
  <si>
    <t xml:space="preserve">557528</t>
  </si>
  <si>
    <t xml:space="preserve">TR-276</t>
  </si>
  <si>
    <t xml:space="preserve">N241</t>
  </si>
  <si>
    <t xml:space="preserve">TR-277</t>
  </si>
  <si>
    <t xml:space="preserve">N244</t>
  </si>
  <si>
    <t xml:space="preserve">TR-278</t>
  </si>
  <si>
    <t xml:space="preserve">554137</t>
  </si>
  <si>
    <t xml:space="preserve">TR-279</t>
  </si>
  <si>
    <t xml:space="preserve">N250</t>
  </si>
  <si>
    <t xml:space="preserve">TR-280</t>
  </si>
  <si>
    <t xml:space="preserve">N253</t>
  </si>
  <si>
    <t xml:space="preserve">TR-281</t>
  </si>
  <si>
    <t xml:space="preserve">N254</t>
  </si>
  <si>
    <t xml:space="preserve">TR-282</t>
  </si>
  <si>
    <t xml:space="preserve">N300</t>
  </si>
  <si>
    <t xml:space="preserve">TR-283</t>
  </si>
  <si>
    <t xml:space="preserve">N301</t>
  </si>
  <si>
    <t xml:space="preserve">TR-284</t>
  </si>
  <si>
    <t xml:space="preserve">1347913</t>
  </si>
  <si>
    <t xml:space="preserve">TR-285</t>
  </si>
  <si>
    <t xml:space="preserve">N256</t>
  </si>
  <si>
    <t xml:space="preserve">TR-286</t>
  </si>
  <si>
    <t xml:space="preserve">557529</t>
  </si>
  <si>
    <t xml:space="preserve">TR-287</t>
  </si>
  <si>
    <t xml:space="preserve">557252</t>
  </si>
  <si>
    <t xml:space="preserve">TR-288</t>
  </si>
  <si>
    <t xml:space="preserve">586071</t>
  </si>
  <si>
    <t xml:space="preserve">TR-289</t>
  </si>
  <si>
    <t xml:space="preserve">94373</t>
  </si>
  <si>
    <t xml:space="preserve">TR-290</t>
  </si>
  <si>
    <t xml:space="preserve">N238</t>
  </si>
  <si>
    <t xml:space="preserve">TR-291</t>
  </si>
  <si>
    <t xml:space="preserve">1349864</t>
  </si>
  <si>
    <t xml:space="preserve">TR-292</t>
  </si>
  <si>
    <t xml:space="preserve">1349867</t>
  </si>
  <si>
    <t xml:space="preserve">TR-293</t>
  </si>
  <si>
    <t xml:space="preserve">586061</t>
  </si>
  <si>
    <t xml:space="preserve">TR-294</t>
  </si>
  <si>
    <t xml:space="preserve">N233</t>
  </si>
  <si>
    <t xml:space="preserve">TR-295</t>
  </si>
  <si>
    <t xml:space="preserve">94372</t>
  </si>
  <si>
    <t xml:space="preserve">TR-296</t>
  </si>
  <si>
    <t xml:space="preserve">60107416</t>
  </si>
  <si>
    <t xml:space="preserve">TR-297</t>
  </si>
  <si>
    <t xml:space="preserve">122055</t>
  </si>
  <si>
    <t xml:space="preserve">TR-298</t>
  </si>
  <si>
    <t xml:space="preserve">122056</t>
  </si>
  <si>
    <t xml:space="preserve">TR-299</t>
  </si>
  <si>
    <t xml:space="preserve">1080881</t>
  </si>
  <si>
    <t xml:space="preserve">TR-300</t>
  </si>
  <si>
    <t xml:space="preserve">N279</t>
  </si>
  <si>
    <t xml:space="preserve">TR-301</t>
  </si>
  <si>
    <t xml:space="preserve">553589</t>
  </si>
  <si>
    <t xml:space="preserve">TR-302</t>
  </si>
  <si>
    <t xml:space="preserve">N206</t>
  </si>
  <si>
    <t xml:space="preserve">TR-303</t>
  </si>
  <si>
    <t xml:space="preserve">539778</t>
  </si>
  <si>
    <t xml:space="preserve">TR-304</t>
  </si>
  <si>
    <t xml:space="preserve">N210</t>
  </si>
  <si>
    <t xml:space="preserve">TR-305</t>
  </si>
  <si>
    <t xml:space="preserve">1437862</t>
  </si>
  <si>
    <t xml:space="preserve">TR-306</t>
  </si>
  <si>
    <t xml:space="preserve">1437863</t>
  </si>
  <si>
    <t xml:space="preserve">TR-307</t>
  </si>
  <si>
    <t xml:space="preserve">N287</t>
  </si>
  <si>
    <t xml:space="preserve">TR-308</t>
  </si>
  <si>
    <t xml:space="preserve">553590</t>
  </si>
  <si>
    <t xml:space="preserve">TR-309</t>
  </si>
  <si>
    <t xml:space="preserve">N195</t>
  </si>
  <si>
    <t xml:space="preserve">TR-310</t>
  </si>
  <si>
    <t xml:space="preserve">538885</t>
  </si>
  <si>
    <t xml:space="preserve">TR-311</t>
  </si>
  <si>
    <t xml:space="preserve">N203</t>
  </si>
  <si>
    <t xml:space="preserve">TR-312</t>
  </si>
  <si>
    <t xml:space="preserve">94179</t>
  </si>
  <si>
    <t xml:space="preserve">TR-313</t>
  </si>
  <si>
    <t xml:space="preserve">1437861</t>
  </si>
  <si>
    <t xml:space="preserve">TR-314</t>
  </si>
  <si>
    <t xml:space="preserve">N291</t>
  </si>
  <si>
    <t xml:space="preserve">TR-315</t>
  </si>
  <si>
    <t xml:space="preserve">94180</t>
  </si>
  <si>
    <t xml:space="preserve">TR-316</t>
  </si>
  <si>
    <t xml:space="preserve">336503</t>
  </si>
  <si>
    <t xml:space="preserve">TR-317</t>
  </si>
  <si>
    <t xml:space="preserve">N275</t>
  </si>
  <si>
    <t xml:space="preserve">TR-318</t>
  </si>
  <si>
    <t xml:space="preserve">539567</t>
  </si>
  <si>
    <t xml:space="preserve">TR-319</t>
  </si>
  <si>
    <t xml:space="preserve">1069064</t>
  </si>
  <si>
    <t xml:space="preserve">TR-320</t>
  </si>
  <si>
    <t xml:space="preserve">42957376</t>
  </si>
  <si>
    <t xml:space="preserve">TR-321</t>
  </si>
  <si>
    <t xml:space="preserve">N172</t>
  </si>
  <si>
    <t xml:space="preserve">TR-322</t>
  </si>
  <si>
    <t xml:space="preserve">42957464</t>
  </si>
  <si>
    <t xml:space="preserve">TR-323</t>
  </si>
  <si>
    <t xml:space="preserve">42957414</t>
  </si>
  <si>
    <t xml:space="preserve">TR-324</t>
  </si>
  <si>
    <t xml:space="preserve">42957852</t>
  </si>
  <si>
    <t xml:space="preserve">TR-325</t>
  </si>
  <si>
    <t xml:space="preserve">N174</t>
  </si>
  <si>
    <t xml:space="preserve">TR-326</t>
  </si>
  <si>
    <t xml:space="preserve">94368</t>
  </si>
  <si>
    <t xml:space="preserve">TR-327</t>
  </si>
  <si>
    <t xml:space="preserve">N188</t>
  </si>
  <si>
    <t xml:space="preserve">TR-328</t>
  </si>
  <si>
    <t xml:space="preserve">N191</t>
  </si>
  <si>
    <t xml:space="preserve">TR-329</t>
  </si>
  <si>
    <t xml:space="preserve">94366</t>
  </si>
  <si>
    <t xml:space="preserve">TR-330</t>
  </si>
  <si>
    <t xml:space="preserve">94367</t>
  </si>
  <si>
    <t xml:space="preserve">TR-331</t>
  </si>
  <si>
    <t xml:space="preserve">1428201</t>
  </si>
  <si>
    <t xml:space="preserve">TR-332</t>
  </si>
  <si>
    <t xml:space="preserve">N207</t>
  </si>
  <si>
    <t xml:space="preserve">TR-333</t>
  </si>
  <si>
    <t xml:space="preserve">94365</t>
  </si>
  <si>
    <t xml:space="preserve">TR-334</t>
  </si>
  <si>
    <t xml:space="preserve">N231</t>
  </si>
  <si>
    <t xml:space="preserve">TR-335</t>
  </si>
  <si>
    <t xml:space="preserve">552788</t>
  </si>
  <si>
    <t xml:space="preserve">TR-336</t>
  </si>
  <si>
    <t xml:space="preserve">1367361</t>
  </si>
  <si>
    <t xml:space="preserve">TR-337</t>
  </si>
  <si>
    <t xml:space="preserve">N257</t>
  </si>
  <si>
    <t xml:space="preserve">TR-338</t>
  </si>
  <si>
    <t xml:space="preserve">94363</t>
  </si>
  <si>
    <t xml:space="preserve">TR-339</t>
  </si>
  <si>
    <t xml:space="preserve">N288</t>
  </si>
  <si>
    <t xml:space="preserve">TR-340</t>
  </si>
  <si>
    <t xml:space="preserve">1107096</t>
  </si>
  <si>
    <t xml:space="preserve">TR-341</t>
  </si>
  <si>
    <t xml:space="preserve">N217</t>
  </si>
  <si>
    <t xml:space="preserve">TR-342</t>
  </si>
  <si>
    <t xml:space="preserve">538645</t>
  </si>
  <si>
    <t xml:space="preserve">TR-343</t>
  </si>
  <si>
    <t xml:space="preserve">585929</t>
  </si>
  <si>
    <t xml:space="preserve">TR-344</t>
  </si>
  <si>
    <t xml:space="preserve">1107097</t>
  </si>
  <si>
    <t xml:space="preserve">TR-345</t>
  </si>
  <si>
    <t xml:space="preserve">1107345</t>
  </si>
  <si>
    <t xml:space="preserve">TR-346</t>
  </si>
  <si>
    <t xml:space="preserve">N292</t>
  </si>
  <si>
    <t xml:space="preserve">TR-347</t>
  </si>
  <si>
    <t xml:space="preserve">533105</t>
  </si>
  <si>
    <t xml:space="preserve">TR-348</t>
  </si>
  <si>
    <t xml:space="preserve">94364</t>
  </si>
  <si>
    <t xml:space="preserve">TR-349</t>
  </si>
  <si>
    <t xml:space="preserve">N293</t>
  </si>
  <si>
    <t xml:space="preserve">TR-350</t>
  </si>
  <si>
    <t xml:space="preserve">N295</t>
  </si>
  <si>
    <t xml:space="preserve">TR-351</t>
  </si>
  <si>
    <t xml:space="preserve">N186</t>
  </si>
  <si>
    <t xml:space="preserve">TR-352</t>
  </si>
  <si>
    <t xml:space="preserve">94360</t>
  </si>
  <si>
    <t xml:space="preserve">TR-353</t>
  </si>
  <si>
    <t xml:space="preserve">N276</t>
  </si>
  <si>
    <t xml:space="preserve">TR-354</t>
  </si>
  <si>
    <t xml:space="preserve">523601</t>
  </si>
  <si>
    <t xml:space="preserve">TR-355</t>
  </si>
  <si>
    <t xml:space="preserve">N202</t>
  </si>
  <si>
    <t xml:space="preserve">TR-356</t>
  </si>
  <si>
    <t xml:space="preserve">N304</t>
  </si>
  <si>
    <t xml:space="preserve">TR-357</t>
  </si>
  <si>
    <t xml:space="preserve">N309</t>
  </si>
  <si>
    <t xml:space="preserve">TR-358</t>
  </si>
  <si>
    <t xml:space="preserve">536613</t>
  </si>
  <si>
    <t xml:space="preserve">TR-359</t>
  </si>
  <si>
    <t xml:space="preserve">N317</t>
  </si>
  <si>
    <t xml:space="preserve">TR-360</t>
  </si>
  <si>
    <t xml:space="preserve">N318</t>
  </si>
  <si>
    <t xml:space="preserve">TR-361</t>
  </si>
  <si>
    <t xml:space="preserve">N319</t>
  </si>
  <si>
    <t xml:space="preserve">TR-362</t>
  </si>
  <si>
    <t xml:space="preserve">N320</t>
  </si>
  <si>
    <t xml:space="preserve">TR-363</t>
  </si>
  <si>
    <t xml:space="preserve">590541</t>
  </si>
  <si>
    <t xml:space="preserve">TR-364</t>
  </si>
  <si>
    <t xml:space="preserve">306352</t>
  </si>
  <si>
    <t xml:space="preserve">TR-365</t>
  </si>
  <si>
    <t xml:space="preserve">N395</t>
  </si>
  <si>
    <t xml:space="preserve">TR-366</t>
  </si>
  <si>
    <t xml:space="preserve">N394</t>
  </si>
  <si>
    <t xml:space="preserve">TR-367</t>
  </si>
  <si>
    <t xml:space="preserve">N329</t>
  </si>
  <si>
    <t xml:space="preserve">TR-368</t>
  </si>
  <si>
    <t xml:space="preserve">32145000</t>
  </si>
  <si>
    <t xml:space="preserve">TR-369</t>
  </si>
  <si>
    <t xml:space="preserve">32145035</t>
  </si>
  <si>
    <t xml:space="preserve">TR-370</t>
  </si>
  <si>
    <t xml:space="preserve">585924</t>
  </si>
  <si>
    <t xml:space="preserve">TR-371</t>
  </si>
  <si>
    <t xml:space="preserve">32145284</t>
  </si>
  <si>
    <t xml:space="preserve">TR-372</t>
  </si>
  <si>
    <t xml:space="preserve">32145115</t>
  </si>
  <si>
    <t xml:space="preserve">TR-373</t>
  </si>
  <si>
    <t xml:space="preserve">590075</t>
  </si>
  <si>
    <t xml:space="preserve">TR-374</t>
  </si>
  <si>
    <t xml:space="preserve">369010</t>
  </si>
  <si>
    <t xml:space="preserve">TR-375</t>
  </si>
  <si>
    <t xml:space="preserve">588088</t>
  </si>
  <si>
    <t xml:space="preserve">TR-376</t>
  </si>
  <si>
    <t xml:space="preserve">N399</t>
  </si>
  <si>
    <t xml:space="preserve">TR-377</t>
  </si>
  <si>
    <t xml:space="preserve">N341</t>
  </si>
  <si>
    <t xml:space="preserve">TR-378</t>
  </si>
  <si>
    <t xml:space="preserve">94354</t>
  </si>
  <si>
    <t xml:space="preserve">TR-379</t>
  </si>
  <si>
    <t xml:space="preserve">555590</t>
  </si>
  <si>
    <t xml:space="preserve">TR-380</t>
  </si>
  <si>
    <t xml:space="preserve">556748</t>
  </si>
  <si>
    <t xml:space="preserve">TR-381</t>
  </si>
  <si>
    <t xml:space="preserve">N346</t>
  </si>
  <si>
    <t xml:space="preserve">TR-382</t>
  </si>
  <si>
    <t xml:space="preserve">586128</t>
  </si>
  <si>
    <t xml:space="preserve">TR-383</t>
  </si>
  <si>
    <t xml:space="preserve">N351</t>
  </si>
  <si>
    <t xml:space="preserve">TR-384</t>
  </si>
  <si>
    <t xml:space="preserve">N354</t>
  </si>
  <si>
    <t xml:space="preserve">TR-385</t>
  </si>
  <si>
    <t xml:space="preserve">554706</t>
  </si>
  <si>
    <t xml:space="preserve">TR-386</t>
  </si>
  <si>
    <t xml:space="preserve">94101</t>
  </si>
  <si>
    <t xml:space="preserve">TR-387</t>
  </si>
  <si>
    <t xml:space="preserve">35597260</t>
  </si>
  <si>
    <t xml:space="preserve">TR-388</t>
  </si>
  <si>
    <t xml:space="preserve">21544778</t>
  </si>
  <si>
    <t xml:space="preserve">TR-389</t>
  </si>
  <si>
    <t xml:space="preserve">N360</t>
  </si>
  <si>
    <t xml:space="preserve">TR-390</t>
  </si>
  <si>
    <t xml:space="preserve">21544541</t>
  </si>
  <si>
    <t xml:space="preserve">TR-391</t>
  </si>
  <si>
    <t xml:space="preserve">21544781</t>
  </si>
  <si>
    <t xml:space="preserve">TR-392</t>
  </si>
  <si>
    <t xml:space="preserve">N366</t>
  </si>
  <si>
    <t xml:space="preserve">TR-393</t>
  </si>
  <si>
    <t xml:space="preserve">N370</t>
  </si>
  <si>
    <t xml:space="preserve">TR-394</t>
  </si>
  <si>
    <t xml:space="preserve">N403</t>
  </si>
  <si>
    <t xml:space="preserve">TR-395</t>
  </si>
  <si>
    <t xml:space="preserve">N406</t>
  </si>
  <si>
    <t xml:space="preserve">TR-396</t>
  </si>
  <si>
    <t xml:space="preserve">N407</t>
  </si>
  <si>
    <t xml:space="preserve">TR-397</t>
  </si>
  <si>
    <t xml:space="preserve">94013</t>
  </si>
  <si>
    <t xml:space="preserve">TR-398</t>
  </si>
  <si>
    <t xml:space="preserve">N410</t>
  </si>
  <si>
    <t xml:space="preserve">TR-399</t>
  </si>
  <si>
    <t xml:space="preserve">94015</t>
  </si>
  <si>
    <t xml:space="preserve">TR-400</t>
  </si>
  <si>
    <t xml:space="preserve">N419</t>
  </si>
  <si>
    <t xml:space="preserve">TR-401</t>
  </si>
  <si>
    <t xml:space="preserve">1427874</t>
  </si>
  <si>
    <t xml:space="preserve">8842222004</t>
  </si>
  <si>
    <t xml:space="preserve">TR-402</t>
  </si>
  <si>
    <t xml:space="preserve">N421</t>
  </si>
  <si>
    <t xml:space="preserve">TR-403</t>
  </si>
  <si>
    <t xml:space="preserve">94017</t>
  </si>
  <si>
    <t xml:space="preserve">TR-404</t>
  </si>
  <si>
    <t xml:space="preserve">94018</t>
  </si>
  <si>
    <t xml:space="preserve">TR-405</t>
  </si>
  <si>
    <t xml:space="preserve">1437311</t>
  </si>
  <si>
    <t xml:space="preserve">TR-406</t>
  </si>
  <si>
    <t xml:space="preserve">1437310</t>
  </si>
  <si>
    <t xml:space="preserve">TR-407</t>
  </si>
  <si>
    <t xml:space="preserve">94022</t>
  </si>
  <si>
    <t xml:space="preserve">TR-408</t>
  </si>
  <si>
    <t xml:space="preserve">94021</t>
  </si>
  <si>
    <t xml:space="preserve">TR-409</t>
  </si>
  <si>
    <t xml:space="preserve">N439</t>
  </si>
  <si>
    <t xml:space="preserve">TR-410</t>
  </si>
  <si>
    <t xml:space="preserve">94023</t>
  </si>
  <si>
    <t xml:space="preserve">8800488004</t>
  </si>
  <si>
    <t xml:space="preserve">TR-411</t>
  </si>
  <si>
    <t xml:space="preserve">1096327</t>
  </si>
  <si>
    <t xml:space="preserve">TR-412</t>
  </si>
  <si>
    <t xml:space="preserve">N444</t>
  </si>
  <si>
    <t xml:space="preserve">TR-413</t>
  </si>
  <si>
    <t xml:space="preserve">94024</t>
  </si>
  <si>
    <t xml:space="preserve">TR-414</t>
  </si>
  <si>
    <t xml:space="preserve">235195</t>
  </si>
  <si>
    <t xml:space="preserve">TR-415</t>
  </si>
  <si>
    <t xml:space="preserve">316307</t>
  </si>
  <si>
    <t xml:space="preserve">TR-416</t>
  </si>
  <si>
    <t xml:space="preserve">94025</t>
  </si>
  <si>
    <t xml:space="preserve">TR-417</t>
  </si>
  <si>
    <t xml:space="preserve">122071</t>
  </si>
  <si>
    <t xml:space="preserve">TR-418</t>
  </si>
  <si>
    <t xml:space="preserve">N445</t>
  </si>
  <si>
    <t xml:space="preserve">8842248004</t>
  </si>
  <si>
    <t xml:space="preserve">TR-419</t>
  </si>
  <si>
    <t xml:space="preserve">94027</t>
  </si>
  <si>
    <t xml:space="preserve">TR-420</t>
  </si>
  <si>
    <t xml:space="preserve">556747</t>
  </si>
  <si>
    <t xml:space="preserve">TR-421</t>
  </si>
  <si>
    <t xml:space="preserve">N451</t>
  </si>
  <si>
    <t xml:space="preserve">TR-422</t>
  </si>
  <si>
    <t xml:space="preserve">94010</t>
  </si>
  <si>
    <t xml:space="preserve">TR-423</t>
  </si>
  <si>
    <t xml:space="preserve">N455</t>
  </si>
  <si>
    <t xml:space="preserve">TR-424</t>
  </si>
  <si>
    <t xml:space="preserve">94028</t>
  </si>
  <si>
    <t xml:space="preserve">TR-425</t>
  </si>
  <si>
    <t xml:space="preserve">1086796</t>
  </si>
  <si>
    <t xml:space="preserve">TR-426</t>
  </si>
  <si>
    <t xml:space="preserve">N458</t>
  </si>
  <si>
    <t xml:space="preserve">TR-427</t>
  </si>
  <si>
    <t xml:space="preserve">N461</t>
  </si>
  <si>
    <t xml:space="preserve">TR-428</t>
  </si>
  <si>
    <t xml:space="preserve">555906</t>
  </si>
  <si>
    <t xml:space="preserve">TR-429</t>
  </si>
  <si>
    <t xml:space="preserve">N471</t>
  </si>
  <si>
    <t xml:space="preserve">TR-430</t>
  </si>
  <si>
    <t xml:space="preserve">N472</t>
  </si>
  <si>
    <t xml:space="preserve">TR-431</t>
  </si>
  <si>
    <t xml:space="preserve">558158</t>
  </si>
  <si>
    <t xml:space="preserve">TR-432</t>
  </si>
  <si>
    <t xml:space="preserve">558157</t>
  </si>
  <si>
    <t xml:space="preserve">TR-433</t>
  </si>
  <si>
    <t xml:space="preserve">1419545</t>
  </si>
  <si>
    <t xml:space="preserve">TR-434</t>
  </si>
  <si>
    <t xml:space="preserve">N477</t>
  </si>
  <si>
    <t xml:space="preserve">TR-435</t>
  </si>
  <si>
    <t xml:space="preserve">N475</t>
  </si>
  <si>
    <t xml:space="preserve">TR-436</t>
  </si>
  <si>
    <t xml:space="preserve">557826</t>
  </si>
  <si>
    <t xml:space="preserve">TR-437</t>
  </si>
  <si>
    <t xml:space="preserve">N479</t>
  </si>
  <si>
    <t xml:space="preserve">TR-438</t>
  </si>
  <si>
    <t xml:space="preserve">221015</t>
  </si>
  <si>
    <t xml:space="preserve">TR-439</t>
  </si>
  <si>
    <t xml:space="preserve">555904</t>
  </si>
  <si>
    <t xml:space="preserve">TR-440</t>
  </si>
  <si>
    <t xml:space="preserve">N463</t>
  </si>
  <si>
    <t xml:space="preserve">TR-441</t>
  </si>
  <si>
    <t xml:space="preserve">94029</t>
  </si>
  <si>
    <t xml:space="preserve">TR-442</t>
  </si>
  <si>
    <t xml:space="preserve">523272</t>
  </si>
  <si>
    <t xml:space="preserve">TR-443</t>
  </si>
  <si>
    <t xml:space="preserve">N469</t>
  </si>
  <si>
    <t xml:space="preserve">TR-444</t>
  </si>
  <si>
    <t xml:space="preserve">N519</t>
  </si>
  <si>
    <t xml:space="preserve">TR-445</t>
  </si>
  <si>
    <t xml:space="preserve">N465</t>
  </si>
  <si>
    <t xml:space="preserve">TR-446</t>
  </si>
  <si>
    <t xml:space="preserve">N460</t>
  </si>
  <si>
    <t xml:space="preserve">TR-447</t>
  </si>
  <si>
    <t xml:space="preserve">300630</t>
  </si>
  <si>
    <t xml:space="preserve">TR-448</t>
  </si>
  <si>
    <t xml:space="preserve">556480</t>
  </si>
  <si>
    <t xml:space="preserve">TR-449</t>
  </si>
  <si>
    <t xml:space="preserve">N470</t>
  </si>
  <si>
    <t xml:space="preserve">TR-450</t>
  </si>
  <si>
    <t xml:space="preserve">N521</t>
  </si>
  <si>
    <t xml:space="preserve">TR-451</t>
  </si>
  <si>
    <t xml:space="preserve">557016</t>
  </si>
  <si>
    <t xml:space="preserve">TR-452</t>
  </si>
  <si>
    <t xml:space="preserve">N514</t>
  </si>
  <si>
    <t xml:space="preserve">TR-453</t>
  </si>
  <si>
    <t xml:space="preserve">N509</t>
  </si>
  <si>
    <t xml:space="preserve">TR-454</t>
  </si>
  <si>
    <t xml:space="preserve">N500</t>
  </si>
  <si>
    <t xml:space="preserve">TR-455</t>
  </si>
  <si>
    <t xml:space="preserve">N497</t>
  </si>
  <si>
    <t xml:space="preserve">TR-456</t>
  </si>
  <si>
    <t xml:space="preserve">1437313</t>
  </si>
  <si>
    <t xml:space="preserve">TR-457</t>
  </si>
  <si>
    <t xml:space="preserve">1437314</t>
  </si>
  <si>
    <t xml:space="preserve">TR-458</t>
  </si>
  <si>
    <t xml:space="preserve">N501</t>
  </si>
  <si>
    <t xml:space="preserve">TR-459</t>
  </si>
  <si>
    <t xml:space="preserve">N490</t>
  </si>
  <si>
    <t xml:space="preserve">TR-460</t>
  </si>
  <si>
    <t xml:space="preserve">1428200</t>
  </si>
  <si>
    <t xml:space="preserve">TR-461</t>
  </si>
  <si>
    <t xml:space="preserve">N423</t>
  </si>
  <si>
    <t xml:space="preserve">8842221004</t>
  </si>
  <si>
    <t xml:space="preserve">TR-462</t>
  </si>
  <si>
    <t xml:space="preserve">94016</t>
  </si>
  <si>
    <t xml:space="preserve">TR-463</t>
  </si>
  <si>
    <t xml:space="preserve">N428</t>
  </si>
  <si>
    <t xml:space="preserve">TR-464</t>
  </si>
  <si>
    <t xml:space="preserve">136484</t>
  </si>
  <si>
    <t xml:space="preserve">TR-465</t>
  </si>
  <si>
    <t xml:space="preserve">555601</t>
  </si>
  <si>
    <t xml:space="preserve">TR-466</t>
  </si>
  <si>
    <t xml:space="preserve">554698</t>
  </si>
  <si>
    <t xml:space="preserve">TR-467</t>
  </si>
  <si>
    <t xml:space="preserve">122066</t>
  </si>
  <si>
    <t xml:space="preserve">TR-468</t>
  </si>
  <si>
    <t xml:space="preserve">N506</t>
  </si>
  <si>
    <t xml:space="preserve">TR-469</t>
  </si>
  <si>
    <t xml:space="preserve">N437</t>
  </si>
  <si>
    <t xml:space="preserve">TR-470</t>
  </si>
  <si>
    <t xml:space="preserve">N427</t>
  </si>
  <si>
    <t xml:space="preserve">TR-471</t>
  </si>
  <si>
    <t xml:space="preserve">N492</t>
  </si>
  <si>
    <t xml:space="preserve">TR-472</t>
  </si>
  <si>
    <t xml:space="preserve">94019</t>
  </si>
  <si>
    <t xml:space="preserve">TR-473</t>
  </si>
  <si>
    <t xml:space="preserve">N487</t>
  </si>
  <si>
    <t xml:space="preserve">TR-474</t>
  </si>
  <si>
    <t xml:space="preserve">555594</t>
  </si>
  <si>
    <t xml:space="preserve">TR-475</t>
  </si>
  <si>
    <t xml:space="preserve">N411</t>
  </si>
  <si>
    <t xml:space="preserve">TR-476</t>
  </si>
  <si>
    <t xml:space="preserve">586565</t>
  </si>
  <si>
    <t xml:space="preserve">TR-477</t>
  </si>
  <si>
    <t xml:space="preserve">161996</t>
  </si>
  <si>
    <t xml:space="preserve">TR-478</t>
  </si>
  <si>
    <t xml:space="preserve">1096083</t>
  </si>
  <si>
    <t xml:space="preserve">TR-479</t>
  </si>
  <si>
    <t xml:space="preserve">N416</t>
  </si>
  <si>
    <t xml:space="preserve">TR-480</t>
  </si>
  <si>
    <t xml:space="preserve">N417</t>
  </si>
  <si>
    <t xml:space="preserve">TR-481</t>
  </si>
  <si>
    <t xml:space="preserve">N485</t>
  </si>
  <si>
    <t xml:space="preserve">TR-482</t>
  </si>
  <si>
    <t xml:space="preserve">586816</t>
  </si>
  <si>
    <t xml:space="preserve">TR-483</t>
  </si>
  <si>
    <t xml:space="preserve">N483</t>
  </si>
  <si>
    <t xml:space="preserve">TR-484</t>
  </si>
  <si>
    <t xml:space="preserve">N408</t>
  </si>
  <si>
    <t xml:space="preserve">TR-485</t>
  </si>
  <si>
    <t xml:space="preserve">1427715</t>
  </si>
  <si>
    <t xml:space="preserve">TR-486</t>
  </si>
  <si>
    <t xml:space="preserve">523273</t>
  </si>
  <si>
    <t xml:space="preserve">TR-487</t>
  </si>
  <si>
    <t xml:space="preserve">N525</t>
  </si>
  <si>
    <t xml:space="preserve">TR-488</t>
  </si>
  <si>
    <t xml:space="preserve">300631</t>
  </si>
  <si>
    <t xml:space="preserve">TR-489</t>
  </si>
  <si>
    <t xml:space="preserve">N524</t>
  </si>
  <si>
    <t xml:space="preserve">TR-490</t>
  </si>
  <si>
    <t xml:space="preserve">1096571</t>
  </si>
  <si>
    <t xml:space="preserve">TR-491</t>
  </si>
  <si>
    <t xml:space="preserve">N520</t>
  </si>
  <si>
    <t xml:space="preserve">TR-492</t>
  </si>
  <si>
    <t xml:space="preserve">94011</t>
  </si>
  <si>
    <t xml:space="preserve">TR-493</t>
  </si>
  <si>
    <t xml:space="preserve">N516</t>
  </si>
  <si>
    <t xml:space="preserve">TR-494</t>
  </si>
  <si>
    <t xml:space="preserve">94026</t>
  </si>
  <si>
    <t xml:space="preserve">TR-495</t>
  </si>
  <si>
    <t xml:space="preserve">587539</t>
  </si>
  <si>
    <t xml:space="preserve">TR-496</t>
  </si>
  <si>
    <t xml:space="preserve">N513</t>
  </si>
  <si>
    <t xml:space="preserve">TR-497</t>
  </si>
  <si>
    <t xml:space="preserve">94009</t>
  </si>
  <si>
    <t xml:space="preserve">TR-498</t>
  </si>
  <si>
    <t xml:space="preserve">N504</t>
  </si>
  <si>
    <t xml:space="preserve">TR-499</t>
  </si>
  <si>
    <t xml:space="preserve">94020</t>
  </si>
  <si>
    <t xml:space="preserve">TR-500</t>
  </si>
  <si>
    <t xml:space="preserve">N499</t>
  </si>
  <si>
    <t xml:space="preserve">TR-501</t>
  </si>
  <si>
    <t xml:space="preserve">1437312</t>
  </si>
  <si>
    <t xml:space="preserve">TR-502</t>
  </si>
  <si>
    <t xml:space="preserve">N505</t>
  </si>
  <si>
    <t xml:space="preserve">TR-503</t>
  </si>
  <si>
    <t xml:space="preserve">N491</t>
  </si>
  <si>
    <t xml:space="preserve">TR-504</t>
  </si>
  <si>
    <t xml:space="preserve">N493</t>
  </si>
  <si>
    <t xml:space="preserve">TR-505</t>
  </si>
  <si>
    <t xml:space="preserve">590491</t>
  </si>
  <si>
    <t xml:space="preserve">TR-506</t>
  </si>
  <si>
    <t xml:space="preserve">N510</t>
  </si>
  <si>
    <t xml:space="preserve">TR-507</t>
  </si>
  <si>
    <t xml:space="preserve">590492</t>
  </si>
  <si>
    <t xml:space="preserve">TR-508</t>
  </si>
  <si>
    <t xml:space="preserve">N438</t>
  </si>
  <si>
    <t xml:space="preserve">TR-509</t>
  </si>
  <si>
    <t xml:space="preserve">108419</t>
  </si>
  <si>
    <t xml:space="preserve">TR-510</t>
  </si>
  <si>
    <t xml:space="preserve">556466</t>
  </si>
  <si>
    <t xml:space="preserve">TR-511</t>
  </si>
  <si>
    <t xml:space="preserve">N496</t>
  </si>
  <si>
    <t xml:space="preserve">TR-512</t>
  </si>
  <si>
    <t xml:space="preserve">94014</t>
  </si>
  <si>
    <t xml:space="preserve">TR-513</t>
  </si>
  <si>
    <t xml:space="preserve">N489</t>
  </si>
  <si>
    <t xml:space="preserve">TR-514</t>
  </si>
  <si>
    <t xml:space="preserve">N484</t>
  </si>
  <si>
    <t xml:space="preserve">TR-515</t>
  </si>
  <si>
    <t xml:space="preserve">94306</t>
  </si>
  <si>
    <t xml:space="preserve">TR-516</t>
  </si>
  <si>
    <t xml:space="preserve">N381</t>
  </si>
  <si>
    <t xml:space="preserve">TR-517</t>
  </si>
  <si>
    <t xml:space="preserve">N382</t>
  </si>
  <si>
    <t xml:space="preserve">TR-518</t>
  </si>
  <si>
    <t xml:space="preserve">N385</t>
  </si>
  <si>
    <t xml:space="preserve">TR-519</t>
  </si>
  <si>
    <t xml:space="preserve">N404</t>
  </si>
  <si>
    <t xml:space="preserve">TR-520</t>
  </si>
  <si>
    <t xml:space="preserve">N405</t>
  </si>
  <si>
    <t xml:space="preserve">TR-521</t>
  </si>
  <si>
    <t xml:space="preserve">N377</t>
  </si>
  <si>
    <t xml:space="preserve">TR-522</t>
  </si>
  <si>
    <t xml:space="preserve">1086934</t>
  </si>
  <si>
    <t xml:space="preserve">TR-523</t>
  </si>
  <si>
    <t xml:space="preserve">93873</t>
  </si>
  <si>
    <t xml:space="preserve">TR-524</t>
  </si>
  <si>
    <t xml:space="preserve">122073</t>
  </si>
  <si>
    <t xml:space="preserve">TR-525</t>
  </si>
  <si>
    <t xml:space="preserve">Seq</t>
  </si>
  <si>
    <t xml:space="preserve">Trecho no Daimon</t>
  </si>
  <si>
    <t xml:space="preserve">Distância do DJ até o fim (m)</t>
  </si>
  <si>
    <t xml:space="preserve">Tipo do ativo de referência</t>
  </si>
  <si>
    <t xml:space="preserve">Próximo(s) ativo(s)</t>
  </si>
  <si>
    <t xml:space="preserve">Latitude (meio do vão)</t>
  </si>
  <si>
    <t xml:space="preserve">Longitude (meio do vão)</t>
  </si>
  <si>
    <t xml:space="preserve">Mapa</t>
  </si>
  <si>
    <t xml:space="preserve">Chave do caminho (uso das fórmulas)</t>
  </si>
  <si>
    <t xml:space="preserve">2517483</t>
  </si>
  <si>
    <t xml:space="preserve">Disjuntor (DJ)</t>
  </si>
  <si>
    <t xml:space="preserve">7903565004, 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0200571004, 0230252004, 0303731004, 0200556004, 0303973004, 0200550004, 0201875004, 0200549004, 0200548004, 0200547004, 0345761004, 0201072004</t>
  </si>
  <si>
    <t xml:space="preserve">abrir</t>
  </si>
  <si>
    <t xml:space="preserve">|DJ AL04010004|</t>
  </si>
  <si>
    <t xml:space="preserve">Suporte Chave 8800004004</t>
  </si>
  <si>
    <t xml:space="preserve">2520095</t>
  </si>
  <si>
    <t xml:space="preserve">Suporte Chave 8804421004</t>
  </si>
  <si>
    <t xml:space="preserve">2796764</t>
  </si>
  <si>
    <t xml:space="preserve">12074474</t>
  </si>
  <si>
    <t xml:space="preserve">2518799</t>
  </si>
  <si>
    <t xml:space="preserve">12072742</t>
  </si>
  <si>
    <t xml:space="preserve">2794445</t>
  </si>
  <si>
    <t xml:space="preserve">12084027</t>
  </si>
  <si>
    <t xml:space="preserve">3615824</t>
  </si>
  <si>
    <t xml:space="preserve">12072736</t>
  </si>
  <si>
    <t xml:space="preserve">2518888</t>
  </si>
  <si>
    <t xml:space="preserve">Suporte Chave 8802681004</t>
  </si>
  <si>
    <t xml:space="preserve">2518881</t>
  </si>
  <si>
    <t xml:space="preserve">12072735</t>
  </si>
  <si>
    <t xml:space="preserve">2796461</t>
  </si>
  <si>
    <t xml:space="preserve">12072734</t>
  </si>
  <si>
    <t xml:space="preserve">36726625</t>
  </si>
  <si>
    <t xml:space="preserve">12077670</t>
  </si>
  <si>
    <t xml:space="preserve">2751430</t>
  </si>
  <si>
    <t xml:space="preserve">12077436</t>
  </si>
  <si>
    <t xml:space="preserve">2575672</t>
  </si>
  <si>
    <t xml:space="preserve">12071585</t>
  </si>
  <si>
    <t xml:space="preserve">2541355</t>
  </si>
  <si>
    <t xml:space="preserve">2541353</t>
  </si>
  <si>
    <t xml:space="preserve">Suporte Chave 8847597004</t>
  </si>
  <si>
    <t xml:space="preserve">2660033</t>
  </si>
  <si>
    <t xml:space="preserve">2652407</t>
  </si>
  <si>
    <t xml:space="preserve">2755563</t>
  </si>
  <si>
    <t xml:space="preserve">2653750</t>
  </si>
  <si>
    <t xml:space="preserve">2753678</t>
  </si>
  <si>
    <t xml:space="preserve">Suporte Chave 8802014004</t>
  </si>
  <si>
    <t xml:space="preserve">2753680</t>
  </si>
  <si>
    <t xml:space="preserve">2518502</t>
  </si>
  <si>
    <t xml:space="preserve">7903565004, 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0200571004, 0230252004, 0303731004, 0200556004, 0303973004, 0200550004, 0201875004, 0200549004, 0200548004, 0200547004, 0345761004</t>
  </si>
  <si>
    <t xml:space="preserve">2796901</t>
  </si>
  <si>
    <t xml:space="preserve">7903565004, 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0200571004, 0230252004, 0303731004, 0200556004, 0303973004, 0200550004, 0201875004, 0200549004, 0200548004, 0200547004</t>
  </si>
  <si>
    <t xml:space="preserve">2796900</t>
  </si>
  <si>
    <t xml:space="preserve">7903565004, 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0200571004, 0230252004, 0303731004, 0200556004, 0303973004, 0200550004, 0201875004, 0200549004, 0200548004</t>
  </si>
  <si>
    <t xml:space="preserve">2770392</t>
  </si>
  <si>
    <t xml:space="preserve">7903565004, 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0200571004, 0230252004, 0303731004, 0200556004, 0303973004, 0200550004, 0201875004, 0200549004</t>
  </si>
  <si>
    <t xml:space="preserve">12072728</t>
  </si>
  <si>
    <t xml:space="preserve">2773096</t>
  </si>
  <si>
    <t xml:space="preserve">2517551</t>
  </si>
  <si>
    <t xml:space="preserve">2517963</t>
  </si>
  <si>
    <t xml:space="preserve">7903565004, 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0200571004, 0230252004, 0303731004, 0200556004, 0303973004, 0200550004, 0201875004</t>
  </si>
  <si>
    <t xml:space="preserve">2516237</t>
  </si>
  <si>
    <t xml:space="preserve">12072730</t>
  </si>
  <si>
    <t xml:space="preserve">2797286</t>
  </si>
  <si>
    <t xml:space="preserve">2517727</t>
  </si>
  <si>
    <t xml:space="preserve">7903565004, 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0200571004, 0230252004, 0303731004, 0200556004, 0303973004, 0200550004</t>
  </si>
  <si>
    <t xml:space="preserve">2794311</t>
  </si>
  <si>
    <t xml:space="preserve">7903565004, 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0200571004, 0230252004, 0303731004, 0200556004, 0303973004</t>
  </si>
  <si>
    <t xml:space="preserve">2796239</t>
  </si>
  <si>
    <t xml:space="preserve">2518592</t>
  </si>
  <si>
    <t xml:space="preserve">12077655</t>
  </si>
  <si>
    <t xml:space="preserve">2794314</t>
  </si>
  <si>
    <t xml:space="preserve">2516716</t>
  </si>
  <si>
    <t xml:space="preserve">Suporte Chave 8800554004</t>
  </si>
  <si>
    <t xml:space="preserve">2796312</t>
  </si>
  <si>
    <t xml:space="preserve">12077652</t>
  </si>
  <si>
    <t xml:space="preserve">12077653</t>
  </si>
  <si>
    <t xml:space="preserve">2752539</t>
  </si>
  <si>
    <t xml:space="preserve">Suporte Chave 8801115004</t>
  </si>
  <si>
    <t xml:space="preserve">2634513</t>
  </si>
  <si>
    <t xml:space="preserve">Suporte Chave 9003565004</t>
  </si>
  <si>
    <t xml:space="preserve">3662783</t>
  </si>
  <si>
    <t xml:space="preserve">Suporte Chave 7903565004</t>
  </si>
  <si>
    <t xml:space="preserve">3662782</t>
  </si>
  <si>
    <t xml:space="preserve">Religador (79)</t>
  </si>
  <si>
    <t xml:space="preserve">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0200571004, 0230252004, 0303731004, 0200556004, 0303973004</t>
  </si>
  <si>
    <t xml:space="preserve">DJ AL04010004 › 7903565004</t>
  </si>
  <si>
    <t xml:space="preserve">|DJ AL04010004|7903565004|</t>
  </si>
  <si>
    <t xml:space="preserve">Suporte Chave 9004023004</t>
  </si>
  <si>
    <t xml:space="preserve">3662768</t>
  </si>
  <si>
    <t xml:space="preserve">2634514</t>
  </si>
  <si>
    <t xml:space="preserve">2516239</t>
  </si>
  <si>
    <t xml:space="preserve">2516240</t>
  </si>
  <si>
    <t xml:space="preserve">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0200571004, 0230252004, 0303731004, 0200556004</t>
  </si>
  <si>
    <t xml:space="preserve">2797907</t>
  </si>
  <si>
    <t xml:space="preserve">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0200571004, 0230252004, 0303731004</t>
  </si>
  <si>
    <t xml:space="preserve">2794799</t>
  </si>
  <si>
    <t xml:space="preserve">2794801</t>
  </si>
  <si>
    <t xml:space="preserve">12074783</t>
  </si>
  <si>
    <t xml:space="preserve">2795015</t>
  </si>
  <si>
    <t xml:space="preserve">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0200571004, 0230252004</t>
  </si>
  <si>
    <t xml:space="preserve">3638906</t>
  </si>
  <si>
    <t xml:space="preserve">2753475</t>
  </si>
  <si>
    <t xml:space="preserve">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</t>
  </si>
  <si>
    <t xml:space="preserve">2518593</t>
  </si>
  <si>
    <t xml:space="preserve">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</t>
  </si>
  <si>
    <t xml:space="preserve">2796416</t>
  </si>
  <si>
    <t xml:space="preserve">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</t>
  </si>
  <si>
    <t xml:space="preserve">2753021</t>
  </si>
  <si>
    <t xml:space="preserve">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</t>
  </si>
  <si>
    <t xml:space="preserve">2753837</t>
  </si>
  <si>
    <t xml:space="preserve">2756705</t>
  </si>
  <si>
    <t xml:space="preserve">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</t>
  </si>
  <si>
    <t xml:space="preserve">Suporte Chave 8841355004</t>
  </si>
  <si>
    <t xml:space="preserve">42957390</t>
  </si>
  <si>
    <t xml:space="preserve">2756701</t>
  </si>
  <si>
    <t xml:space="preserve">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</t>
  </si>
  <si>
    <t xml:space="preserve">2796862</t>
  </si>
  <si>
    <t xml:space="preserve">2519005</t>
  </si>
  <si>
    <t xml:space="preserve">7935867004, 7902218004, 0330915004, 0203711004, 0202227004, 0204190004, 0200482004, 0200484004, 0200489004, 0200490004, 0230938004, 0200492004, 0202676004, 0303862004, 0229036004, 0200495004, 0201153004, 0352542004, 0300603004, 0203117004, 0202175004, 0300600004, 0203661004</t>
  </si>
  <si>
    <t xml:space="preserve">2519004</t>
  </si>
  <si>
    <t xml:space="preserve">2519003</t>
  </si>
  <si>
    <t xml:space="preserve">7935867004, 7902218004, 0330915004, 0203711004, 0202227004, 0204190004, 0200482004, 0200484004, 0200489004, 0200490004, 0230938004, 0200492004, 0202676004, 0303862004, 0229036004, 0200495004, 0201153004, 0352542004, 0300603004, 0203117004, 0202175004, 0300600004</t>
  </si>
  <si>
    <t xml:space="preserve">Suporte Chave 9004496004</t>
  </si>
  <si>
    <t xml:space="preserve">3663163</t>
  </si>
  <si>
    <t xml:space="preserve">Suporte Chave 7935867004</t>
  </si>
  <si>
    <t xml:space="preserve">3662776</t>
  </si>
  <si>
    <t xml:space="preserve">7902218004, 0330915004, 0203711004, 0202227004, 0204190004, 0200482004, 0200484004, 0200489004, 0200490004, 0230938004, 0200492004, 0202676004, 0303862004, 0229036004, 0200495004, 0201153004, 0352542004, 0300603004, 0203117004, 0202175004, 0300600004</t>
  </si>
  <si>
    <t xml:space="preserve">DJ AL04010004 › 7903565004 › 7935867004</t>
  </si>
  <si>
    <t xml:space="preserve">|DJ AL04010004|7903565004|7935867004|</t>
  </si>
  <si>
    <t xml:space="preserve">Suporte Chave 9035867004</t>
  </si>
  <si>
    <t xml:space="preserve">3663164</t>
  </si>
  <si>
    <t xml:space="preserve">3584640</t>
  </si>
  <si>
    <t xml:space="preserve">12084765</t>
  </si>
  <si>
    <t xml:space="preserve">2516652</t>
  </si>
  <si>
    <t xml:space="preserve">12077777</t>
  </si>
  <si>
    <t xml:space="preserve">27816705</t>
  </si>
  <si>
    <t xml:space="preserve">3035366</t>
  </si>
  <si>
    <t xml:space="preserve">3035369</t>
  </si>
  <si>
    <t xml:space="preserve">7902218004, 0330915004, 0203711004, 0202227004, 0204190004, 0200482004, 0200484004, 0200489004, 0200490004, 0230938004, 0200492004, 0202676004, 0303862004, 0229036004, 0200495004, 0201153004, 0352542004, 0300603004, 0203117004, 0202175004</t>
  </si>
  <si>
    <t xml:space="preserve">2921253</t>
  </si>
  <si>
    <t xml:space="preserve">2921302</t>
  </si>
  <si>
    <t xml:space="preserve">7902218004, 0330915004, 0203711004, 0202227004, 0204190004, 0200482004, 0200484004, 0200489004, 0200490004, 0230938004, 0200492004, 0202676004, 0303862004, 0229036004, 0200495004, 0201153004, 0352542004, 0300603004, 0203117004</t>
  </si>
  <si>
    <t xml:space="preserve">2921303</t>
  </si>
  <si>
    <t xml:space="preserve">3586244</t>
  </si>
  <si>
    <t xml:space="preserve">7902218004, 0330915004, 0203711004, 0202227004, 0204190004, 0200482004, 0200484004, 0200489004, 0200490004, 0230938004, 0200492004, 0202676004, 0303862004, 0229036004, 0200495004, 0201153004, 0352542004, 0300603004</t>
  </si>
  <si>
    <t xml:space="preserve">3622706</t>
  </si>
  <si>
    <t xml:space="preserve">Suporte Chave 8834608004</t>
  </si>
  <si>
    <t xml:space="preserve">2647002</t>
  </si>
  <si>
    <t xml:space="preserve">2542166</t>
  </si>
  <si>
    <t xml:space="preserve">2542165</t>
  </si>
  <si>
    <t xml:space="preserve">7902218004, 0330915004, 0203711004, 0202227004, 0204190004, 0200482004, 0200484004, 0200489004, 0200490004, 0230938004, 0200492004, 0202676004, 0303862004, 0229036004, 0200495004, 0201153004, 0352542004</t>
  </si>
  <si>
    <t xml:space="preserve">2653726</t>
  </si>
  <si>
    <t xml:space="preserve">2657017</t>
  </si>
  <si>
    <t xml:space="preserve">2921368</t>
  </si>
  <si>
    <t xml:space="preserve">2653989</t>
  </si>
  <si>
    <t xml:space="preserve">2541983</t>
  </si>
  <si>
    <t xml:space="preserve">2646251</t>
  </si>
  <si>
    <t xml:space="preserve">2752520</t>
  </si>
  <si>
    <t xml:space="preserve">Suporte Chave 8800606004</t>
  </si>
  <si>
    <t xml:space="preserve">2921140</t>
  </si>
  <si>
    <t xml:space="preserve">2921139</t>
  </si>
  <si>
    <t xml:space="preserve">7902218004, 0330915004, 0203711004, 0202227004, 0204190004, 0200482004, 0200484004, 0200489004, 0200490004, 0230938004, 0200492004, 0202676004, 0303862004, 0229036004, 0200495004, 0201153004</t>
  </si>
  <si>
    <t xml:space="preserve">12078311</t>
  </si>
  <si>
    <t xml:space="preserve">3588101</t>
  </si>
  <si>
    <t xml:space="preserve">Suporte Chave 9002218004</t>
  </si>
  <si>
    <t xml:space="preserve">3662773</t>
  </si>
  <si>
    <t xml:space="preserve">Suporte Chave 7902218004</t>
  </si>
  <si>
    <t xml:space="preserve">2921141</t>
  </si>
  <si>
    <t xml:space="preserve">2650914</t>
  </si>
  <si>
    <t xml:space="preserve">Suporte Chave 8843255004</t>
  </si>
  <si>
    <t xml:space="preserve">2653725</t>
  </si>
  <si>
    <t xml:space="preserve">12071590</t>
  </si>
  <si>
    <t xml:space="preserve">2542369</t>
  </si>
  <si>
    <t xml:space="preserve">2542370</t>
  </si>
  <si>
    <t xml:space="preserve">12071594</t>
  </si>
  <si>
    <t xml:space="preserve">2657263</t>
  </si>
  <si>
    <t xml:space="preserve">12071593</t>
  </si>
  <si>
    <t xml:space="preserve">2795305</t>
  </si>
  <si>
    <t xml:space="preserve">Suporte Chave 0352542004</t>
  </si>
  <si>
    <t xml:space="preserve">2542167</t>
  </si>
  <si>
    <t xml:space="preserve">Suporte Chave 0300603004</t>
  </si>
  <si>
    <t xml:space="preserve">Suporte Chave 0203117004</t>
  </si>
  <si>
    <t xml:space="preserve">2921252</t>
  </si>
  <si>
    <t xml:space="preserve">Suporte Chave 0202175004</t>
  </si>
  <si>
    <t xml:space="preserve">3035368</t>
  </si>
  <si>
    <t xml:space="preserve">Suporte Chave 8800599004</t>
  </si>
  <si>
    <t xml:space="preserve">2647584</t>
  </si>
  <si>
    <t xml:space="preserve">Suporte Chave 0300600004</t>
  </si>
  <si>
    <t xml:space="preserve">2648709</t>
  </si>
  <si>
    <t xml:space="preserve">12084305</t>
  </si>
  <si>
    <t xml:space="preserve">2757714</t>
  </si>
  <si>
    <t xml:space="preserve">12071824</t>
  </si>
  <si>
    <t xml:space="preserve">2757509</t>
  </si>
  <si>
    <t xml:space="preserve">2541356</t>
  </si>
  <si>
    <t xml:space="preserve">6332064</t>
  </si>
  <si>
    <t xml:space="preserve">Suporte Chave 0201072004</t>
  </si>
  <si>
    <t xml:space="preserve">2653532</t>
  </si>
  <si>
    <t xml:space="preserve">Chave 02 (conta como fusível)</t>
  </si>
  <si>
    <t xml:space="preserve">DJ AL04010004 › 0201072004</t>
  </si>
  <si>
    <t xml:space="preserve">|DJ AL04010004|0201072004|</t>
  </si>
  <si>
    <t xml:space="preserve">45217257</t>
  </si>
  <si>
    <t xml:space="preserve">Suporte Chave 0345761004</t>
  </si>
  <si>
    <t xml:space="preserve">33308578</t>
  </si>
  <si>
    <t xml:space="preserve">Chave fusível (03)</t>
  </si>
  <si>
    <t xml:space="preserve">DJ AL04010004 › 0345761004</t>
  </si>
  <si>
    <t xml:space="preserve">|DJ AL04010004|0345761004|</t>
  </si>
  <si>
    <t xml:space="preserve">Suporte Chave 0200547004</t>
  </si>
  <si>
    <t xml:space="preserve">2796902</t>
  </si>
  <si>
    <t xml:space="preserve">DJ AL04010004 › 0200547004</t>
  </si>
  <si>
    <t xml:space="preserve">|DJ AL04010004|0200547004|</t>
  </si>
  <si>
    <t xml:space="preserve">Suporte Chave 0200548004</t>
  </si>
  <si>
    <t xml:space="preserve">2770393</t>
  </si>
  <si>
    <t xml:space="preserve">DJ AL04010004 › 0200548004</t>
  </si>
  <si>
    <t xml:space="preserve">|DJ AL04010004|0200548004|</t>
  </si>
  <si>
    <t xml:space="preserve">Suporte Chave 0200549004</t>
  </si>
  <si>
    <t xml:space="preserve">2517552</t>
  </si>
  <si>
    <t xml:space="preserve">DJ AL04010004 › 0200549004</t>
  </si>
  <si>
    <t xml:space="preserve">|DJ AL04010004|0200549004|</t>
  </si>
  <si>
    <t xml:space="preserve">12072729</t>
  </si>
  <si>
    <t xml:space="preserve">2654243</t>
  </si>
  <si>
    <t xml:space="preserve">Suporte Chave 0201875004</t>
  </si>
  <si>
    <t xml:space="preserve">2797287</t>
  </si>
  <si>
    <t xml:space="preserve">DJ AL04010004 › 0201875004</t>
  </si>
  <si>
    <t xml:space="preserve">|DJ AL04010004|0201875004|</t>
  </si>
  <si>
    <t xml:space="preserve">Suporte Chave 0200550004</t>
  </si>
  <si>
    <t xml:space="preserve">2794312</t>
  </si>
  <si>
    <t xml:space="preserve">DJ AL04010004 › 0200550004</t>
  </si>
  <si>
    <t xml:space="preserve">|DJ AL04010004|0200550004|</t>
  </si>
  <si>
    <t xml:space="preserve">24585133</t>
  </si>
  <si>
    <t xml:space="preserve">24586395</t>
  </si>
  <si>
    <t xml:space="preserve">12071823</t>
  </si>
  <si>
    <t xml:space="preserve">2753636</t>
  </si>
  <si>
    <t xml:space="preserve">Suporte Chave 6800880004</t>
  </si>
  <si>
    <t xml:space="preserve">2753020</t>
  </si>
  <si>
    <t xml:space="preserve">2794355</t>
  </si>
  <si>
    <t xml:space="preserve">2796314</t>
  </si>
  <si>
    <t xml:space="preserve">2923324</t>
  </si>
  <si>
    <t xml:space="preserve">2518090</t>
  </si>
  <si>
    <t xml:space="preserve">2923322</t>
  </si>
  <si>
    <t xml:space="preserve">2921657</t>
  </si>
  <si>
    <t xml:space="preserve">2921655</t>
  </si>
  <si>
    <t xml:space="preserve">12071822</t>
  </si>
  <si>
    <t xml:space="preserve">2753023</t>
  </si>
  <si>
    <t xml:space="preserve">12077668</t>
  </si>
  <si>
    <t xml:space="preserve">2519052</t>
  </si>
  <si>
    <t xml:space="preserve">12074782</t>
  </si>
  <si>
    <t xml:space="preserve">2519053</t>
  </si>
  <si>
    <t xml:space="preserve">2541735</t>
  </si>
  <si>
    <t xml:space="preserve">2541736</t>
  </si>
  <si>
    <t xml:space="preserve">2541733</t>
  </si>
  <si>
    <t xml:space="preserve">2796563</t>
  </si>
  <si>
    <t xml:space="preserve">2541911</t>
  </si>
  <si>
    <t xml:space="preserve">2541910</t>
  </si>
  <si>
    <t xml:space="preserve">2541912</t>
  </si>
  <si>
    <t xml:space="preserve">2796313</t>
  </si>
  <si>
    <t xml:space="preserve">12077654</t>
  </si>
  <si>
    <t xml:space="preserve">2762829</t>
  </si>
  <si>
    <t xml:space="preserve">12084709</t>
  </si>
  <si>
    <t xml:space="preserve">3564301</t>
  </si>
  <si>
    <t xml:space="preserve">12079341</t>
  </si>
  <si>
    <t xml:space="preserve">3561591</t>
  </si>
  <si>
    <t xml:space="preserve">3659756</t>
  </si>
  <si>
    <t xml:space="preserve">Suporte Chave 9004498004</t>
  </si>
  <si>
    <t xml:space="preserve">3660138</t>
  </si>
  <si>
    <t xml:space="preserve">2519266</t>
  </si>
  <si>
    <t xml:space="preserve">3662767</t>
  </si>
  <si>
    <t xml:space="preserve">3662769</t>
  </si>
  <si>
    <t xml:space="preserve">30002260</t>
  </si>
  <si>
    <t xml:space="preserve">30002270</t>
  </si>
  <si>
    <t xml:space="preserve">Suporte Chave 8845029004</t>
  </si>
  <si>
    <t xml:space="preserve">30002291</t>
  </si>
  <si>
    <t xml:space="preserve">30002280</t>
  </si>
  <si>
    <t xml:space="preserve">30002331</t>
  </si>
  <si>
    <t xml:space="preserve">Suporte Chave 0303973004</t>
  </si>
  <si>
    <t xml:space="preserve">30002321</t>
  </si>
  <si>
    <t xml:space="preserve">22247349</t>
  </si>
  <si>
    <t xml:space="preserve">DJ AL04010004 › 7903565004 › 0303973004</t>
  </si>
  <si>
    <t xml:space="preserve">|DJ AL04010004|7903565004|0303973004|</t>
  </si>
  <si>
    <t xml:space="preserve">45217251</t>
  </si>
  <si>
    <t xml:space="preserve">Suporte Chave 0200556004</t>
  </si>
  <si>
    <t xml:space="preserve">2516242</t>
  </si>
  <si>
    <t xml:space="preserve">DJ AL04010004 › 7903565004 › 0200556004</t>
  </si>
  <si>
    <t xml:space="preserve">|DJ AL04010004|7903565004|0200556004|</t>
  </si>
  <si>
    <t xml:space="preserve">24489401</t>
  </si>
  <si>
    <t xml:space="preserve">12072720</t>
  </si>
  <si>
    <t xml:space="preserve">2797915</t>
  </si>
  <si>
    <t xml:space="preserve">3664837</t>
  </si>
  <si>
    <t xml:space="preserve">Suporte Chave 0303731004</t>
  </si>
  <si>
    <t xml:space="preserve">2541435</t>
  </si>
  <si>
    <t xml:space="preserve">DJ AL04010004 › 7903565004 › 0303731004</t>
  </si>
  <si>
    <t xml:space="preserve">|DJ AL04010004|7903565004|0303731004|</t>
  </si>
  <si>
    <t xml:space="preserve">2794313</t>
  </si>
  <si>
    <t xml:space="preserve">2796203</t>
  </si>
  <si>
    <t xml:space="preserve">2541436</t>
  </si>
  <si>
    <t xml:space="preserve">2541438</t>
  </si>
  <si>
    <t xml:space="preserve">Suporte Chave 0230252004</t>
  </si>
  <si>
    <t xml:space="preserve">3639441</t>
  </si>
  <si>
    <t xml:space="preserve">DJ AL04010004 › 7903565004 › 0230252004</t>
  </si>
  <si>
    <t xml:space="preserve">|DJ AL04010004|7903565004|0230252004|</t>
  </si>
  <si>
    <t xml:space="preserve">45217263</t>
  </si>
  <si>
    <t xml:space="preserve">Suporte Chave 0200571004</t>
  </si>
  <si>
    <t xml:space="preserve">2753476</t>
  </si>
  <si>
    <t xml:space="preserve">DJ AL04010004 › 7903565004 › 0200571004</t>
  </si>
  <si>
    <t xml:space="preserve">|DJ AL04010004|7903565004|0200571004|</t>
  </si>
  <si>
    <t xml:space="preserve">2796417</t>
  </si>
  <si>
    <t xml:space="preserve">24586396</t>
  </si>
  <si>
    <t xml:space="preserve">Suporte Chave 0200573004</t>
  </si>
  <si>
    <t xml:space="preserve">2794375</t>
  </si>
  <si>
    <t xml:space="preserve">DJ AL04010004 › 7903565004 › 0200573004</t>
  </si>
  <si>
    <t xml:space="preserve">|DJ AL04010004|7903565004|0200573004|</t>
  </si>
  <si>
    <t xml:space="preserve">Suporte Chave 0200868004</t>
  </si>
  <si>
    <t xml:space="preserve">2795784</t>
  </si>
  <si>
    <t xml:space="preserve">DJ AL04010004 › 7903565004 › 0200868004</t>
  </si>
  <si>
    <t xml:space="preserve">|DJ AL04010004|7903565004|0200868004|</t>
  </si>
  <si>
    <t xml:space="preserve">Suporte Chave 8800577004</t>
  </si>
  <si>
    <t xml:space="preserve">0200583004, 0300584004, 0300585004, 0300582004, 0204195004, 0300578004, 0229381004, 0200580004, 0202671004, 0204249004</t>
  </si>
  <si>
    <t xml:space="preserve">2519335</t>
  </si>
  <si>
    <t xml:space="preserve">12072626</t>
  </si>
  <si>
    <t xml:space="preserve">2517733</t>
  </si>
  <si>
    <t xml:space="preserve">3532173</t>
  </si>
  <si>
    <t xml:space="preserve">0200583004, 0300584004, 0300585004, 0300582004, 0204195004, 0300578004, 0229381004, 0200580004, 0202671004</t>
  </si>
  <si>
    <t xml:space="preserve">2796238</t>
  </si>
  <si>
    <t xml:space="preserve">0200583004, 0300584004, 0300585004, 0300582004, 0204195004, 0300578004, 0229381004, 0200580004</t>
  </si>
  <si>
    <t xml:space="preserve">2541762</t>
  </si>
  <si>
    <t xml:space="preserve">2541765</t>
  </si>
  <si>
    <t xml:space="preserve">0200583004, 0300584004, 0300585004, 0300582004, 0204195004</t>
  </si>
  <si>
    <t xml:space="preserve">3223395</t>
  </si>
  <si>
    <t xml:space="preserve">3223396</t>
  </si>
  <si>
    <t xml:space="preserve">0200583004, 0300584004, 0300585004, 0300582004</t>
  </si>
  <si>
    <t xml:space="preserve">2516243</t>
  </si>
  <si>
    <t xml:space="preserve">Suporte Chave 8857503004</t>
  </si>
  <si>
    <t xml:space="preserve">2516238</t>
  </si>
  <si>
    <t xml:space="preserve">2519050</t>
  </si>
  <si>
    <t xml:space="preserve">0200583004, 0300584004, 0300585004</t>
  </si>
  <si>
    <t xml:space="preserve">2517960</t>
  </si>
  <si>
    <t xml:space="preserve">Suporte Chave 0200583004</t>
  </si>
  <si>
    <t xml:space="preserve">12072723</t>
  </si>
  <si>
    <t xml:space="preserve">0300584004, 0300585004</t>
  </si>
  <si>
    <t xml:space="preserve">2519051</t>
  </si>
  <si>
    <t xml:space="preserve">Suporte Chave 0300584004</t>
  </si>
  <si>
    <t xml:space="preserve">12074468</t>
  </si>
  <si>
    <t xml:space="preserve">2797741</t>
  </si>
  <si>
    <t xml:space="preserve">Suporte Chave 0300582004</t>
  </si>
  <si>
    <t xml:space="preserve">Suporte Chave 0204195004</t>
  </si>
  <si>
    <t xml:space="preserve">2541763</t>
  </si>
  <si>
    <t xml:space="preserve">0300578004, 0229381004, 0200580004</t>
  </si>
  <si>
    <t xml:space="preserve">Suporte Chave 0300578004</t>
  </si>
  <si>
    <t xml:space="preserve">Suporte Chave 0202671004</t>
  </si>
  <si>
    <t xml:space="preserve">Suporte Chave 0204249004</t>
  </si>
  <si>
    <t xml:space="preserve">2647583</t>
  </si>
  <si>
    <t xml:space="preserve">DJ AL04010004 › 7903565004 › 0200583004</t>
  </si>
  <si>
    <t xml:space="preserve">|DJ AL04010004|7903565004|0200583004|</t>
  </si>
  <si>
    <t xml:space="preserve">24584764</t>
  </si>
  <si>
    <t xml:space="preserve">24548421</t>
  </si>
  <si>
    <t xml:space="preserve">2796753</t>
  </si>
  <si>
    <t xml:space="preserve">2795595</t>
  </si>
  <si>
    <t xml:space="preserve">DJ AL04010004 › 7903565004 › 0300584004</t>
  </si>
  <si>
    <t xml:space="preserve">|DJ AL04010004|7903565004|0300584004|</t>
  </si>
  <si>
    <t xml:space="preserve">2541465</t>
  </si>
  <si>
    <t xml:space="preserve">2653491</t>
  </si>
  <si>
    <t xml:space="preserve">12077311</t>
  </si>
  <si>
    <t xml:space="preserve">2541524</t>
  </si>
  <si>
    <t xml:space="preserve">2653493</t>
  </si>
  <si>
    <t xml:space="preserve">12077312</t>
  </si>
  <si>
    <t xml:space="preserve">2653496</t>
  </si>
  <si>
    <t xml:space="preserve">3656974</t>
  </si>
  <si>
    <t xml:space="preserve">Suporte Chave 9004481004</t>
  </si>
  <si>
    <t xml:space="preserve">3656978</t>
  </si>
  <si>
    <t xml:space="preserve">3634799</t>
  </si>
  <si>
    <t xml:space="preserve">3634798</t>
  </si>
  <si>
    <t xml:space="preserve">2541525</t>
  </si>
  <si>
    <t xml:space="preserve">2541526</t>
  </si>
  <si>
    <t xml:space="preserve">2541462</t>
  </si>
  <si>
    <t xml:space="preserve">2541463</t>
  </si>
  <si>
    <t xml:space="preserve">3632568</t>
  </si>
  <si>
    <t xml:space="preserve">12084964</t>
  </si>
  <si>
    <t xml:space="preserve">3632572</t>
  </si>
  <si>
    <t xml:space="preserve">3632569</t>
  </si>
  <si>
    <t xml:space="preserve">Suporte Chave 0300585004</t>
  </si>
  <si>
    <t xml:space="preserve">2650967</t>
  </si>
  <si>
    <t xml:space="preserve">DJ AL04010004 › 7903565004 › 0300584004 › 0300585004</t>
  </si>
  <si>
    <t xml:space="preserve">|DJ AL04010004|7903565004|0300584004|0300585004|</t>
  </si>
  <si>
    <t xml:space="preserve">2753019</t>
  </si>
  <si>
    <t xml:space="preserve">DJ AL04010004 › 7903565004 › 0300582004</t>
  </si>
  <si>
    <t xml:space="preserve">|DJ AL04010004|7903565004|0300582004|</t>
  </si>
  <si>
    <t xml:space="preserve">2752536</t>
  </si>
  <si>
    <t xml:space="preserve">2770390</t>
  </si>
  <si>
    <t xml:space="preserve">3223397</t>
  </si>
  <si>
    <t xml:space="preserve">DJ AL04010004 › 7903565004 › 0204195004</t>
  </si>
  <si>
    <t xml:space="preserve">|DJ AL04010004|7903565004|0204195004|</t>
  </si>
  <si>
    <t xml:space="preserve">3673370</t>
  </si>
  <si>
    <t xml:space="preserve">2516719</t>
  </si>
  <si>
    <t xml:space="preserve">0229381004, 0200580004</t>
  </si>
  <si>
    <t xml:space="preserve">DJ AL04010004 › 7903565004 › 0300578004</t>
  </si>
  <si>
    <t xml:space="preserve">|DJ AL04010004|7903565004|0300578004|</t>
  </si>
  <si>
    <t xml:space="preserve">2542178</t>
  </si>
  <si>
    <t xml:space="preserve">2770387</t>
  </si>
  <si>
    <t xml:space="preserve">12084290</t>
  </si>
  <si>
    <t xml:space="preserve">3644964</t>
  </si>
  <si>
    <t xml:space="preserve">3644777</t>
  </si>
  <si>
    <t xml:space="preserve">Suporte Chave 0229381004</t>
  </si>
  <si>
    <t xml:space="preserve">2542169</t>
  </si>
  <si>
    <t xml:space="preserve">2542179</t>
  </si>
  <si>
    <t xml:space="preserve">12072738</t>
  </si>
  <si>
    <t xml:space="preserve">2753635</t>
  </si>
  <si>
    <t xml:space="preserve">Suporte Chave 0200580004</t>
  </si>
  <si>
    <t xml:space="preserve">3644965</t>
  </si>
  <si>
    <t xml:space="preserve">DJ AL04010004 › 7903565004 › 0300578004 › 0229381004</t>
  </si>
  <si>
    <t xml:space="preserve">|DJ AL04010004|7903565004|0300578004|0229381004|</t>
  </si>
  <si>
    <t xml:space="preserve">24523918</t>
  </si>
  <si>
    <t xml:space="preserve">2518714</t>
  </si>
  <si>
    <t xml:space="preserve">DJ AL04010004 › 7903565004 › 0300578004 › 0200580004</t>
  </si>
  <si>
    <t xml:space="preserve">|DJ AL04010004|7903565004|0300578004|0200580004|</t>
  </si>
  <si>
    <t xml:space="preserve">2796240</t>
  </si>
  <si>
    <t xml:space="preserve">DJ AL04010004 › 7903565004 › 0202671004</t>
  </si>
  <si>
    <t xml:space="preserve">|DJ AL04010004|7903565004|0202671004|</t>
  </si>
  <si>
    <t xml:space="preserve">24566204</t>
  </si>
  <si>
    <t xml:space="preserve">2516207</t>
  </si>
  <si>
    <t xml:space="preserve">3532174</t>
  </si>
  <si>
    <t xml:space="preserve">DJ AL04010004 › 7903565004 › 0204249004</t>
  </si>
  <si>
    <t xml:space="preserve">|DJ AL04010004|7903565004|0204249004|</t>
  </si>
  <si>
    <t xml:space="preserve">42957827</t>
  </si>
  <si>
    <t xml:space="preserve">Suporte Chave 8855214004</t>
  </si>
  <si>
    <t xml:space="preserve">42957432</t>
  </si>
  <si>
    <t xml:space="preserve">42957481</t>
  </si>
  <si>
    <t xml:space="preserve">42957812</t>
  </si>
  <si>
    <t xml:space="preserve">0300588004, 0300591004, 0200593004, 0224749004</t>
  </si>
  <si>
    <t xml:space="preserve">Suporte Chave 0300588004</t>
  </si>
  <si>
    <t xml:space="preserve">2756707</t>
  </si>
  <si>
    <t xml:space="preserve">0300591004, 0200593004, 0224749004</t>
  </si>
  <si>
    <t xml:space="preserve">DJ AL04010004 › 7903565004 › 0300588004</t>
  </si>
  <si>
    <t xml:space="preserve">|DJ AL04010004|7903565004|0300588004|</t>
  </si>
  <si>
    <t xml:space="preserve">2922376</t>
  </si>
  <si>
    <t xml:space="preserve">2922375</t>
  </si>
  <si>
    <t xml:space="preserve">Suporte Chave 0300591004</t>
  </si>
  <si>
    <t xml:space="preserve">2922377</t>
  </si>
  <si>
    <t xml:space="preserve">2922374</t>
  </si>
  <si>
    <t xml:space="preserve">2796201</t>
  </si>
  <si>
    <t xml:space="preserve">0200593004, 0224749004</t>
  </si>
  <si>
    <t xml:space="preserve">DJ AL04010004 › 7903565004 › 0300588004 › 0300591004</t>
  </si>
  <si>
    <t xml:space="preserve">|DJ AL04010004|7903565004|0300588004|0300591004|</t>
  </si>
  <si>
    <t xml:space="preserve">2516726</t>
  </si>
  <si>
    <t xml:space="preserve">2516728</t>
  </si>
  <si>
    <t xml:space="preserve">3593416</t>
  </si>
  <si>
    <t xml:space="preserve">3593415</t>
  </si>
  <si>
    <t xml:space="preserve">3593420</t>
  </si>
  <si>
    <t xml:space="preserve">3593413</t>
  </si>
  <si>
    <t xml:space="preserve">Suporte Chave 0200593004</t>
  </si>
  <si>
    <t xml:space="preserve">3032865</t>
  </si>
  <si>
    <t xml:space="preserve">3236604</t>
  </si>
  <si>
    <t xml:space="preserve">3236809</t>
  </si>
  <si>
    <t xml:space="preserve">3236810</t>
  </si>
  <si>
    <t xml:space="preserve">3236601</t>
  </si>
  <si>
    <t xml:space="preserve">3236603</t>
  </si>
  <si>
    <t xml:space="preserve">Suporte Chave 0224749004</t>
  </si>
  <si>
    <t xml:space="preserve">3032862</t>
  </si>
  <si>
    <t xml:space="preserve">2518591</t>
  </si>
  <si>
    <t xml:space="preserve">DJ AL04010004 › 7903565004 › 0300588004 › 0300591004 › 0200593004</t>
  </si>
  <si>
    <t xml:space="preserve">|DJ AL04010004|7903565004|0300588004|0300591004|0200593004|</t>
  </si>
  <si>
    <t xml:space="preserve">2525658</t>
  </si>
  <si>
    <t xml:space="preserve">DJ AL04010004 › 7903565004 › 0300588004 › 0300591004 › 0224749004</t>
  </si>
  <si>
    <t xml:space="preserve">|DJ AL04010004|7903565004|0300588004|0300591004|0224749004|</t>
  </si>
  <si>
    <t xml:space="preserve">3673028</t>
  </si>
  <si>
    <t xml:space="preserve">Suporte Chave 0300596004</t>
  </si>
  <si>
    <t xml:space="preserve">2762634</t>
  </si>
  <si>
    <t xml:space="preserve">DJ AL04010004 › 7903565004 › 0300596004</t>
  </si>
  <si>
    <t xml:space="preserve">|DJ AL04010004|7903565004|0300596004|</t>
  </si>
  <si>
    <t xml:space="preserve">Suporte Chave 0203661004</t>
  </si>
  <si>
    <t xml:space="preserve">2517566</t>
  </si>
  <si>
    <t xml:space="preserve">DJ AL04010004 › 7903565004 › 0203661004</t>
  </si>
  <si>
    <t xml:space="preserve">|DJ AL04010004|7903565004|0203661004|</t>
  </si>
  <si>
    <t xml:space="preserve">3662778</t>
  </si>
  <si>
    <t xml:space="preserve">3662777</t>
  </si>
  <si>
    <t xml:space="preserve">3665161</t>
  </si>
  <si>
    <t xml:space="preserve">3035367</t>
  </si>
  <si>
    <t xml:space="preserve">3662779</t>
  </si>
  <si>
    <t xml:space="preserve">DJ AL04010004 › 7903565004 › 7935867004 › 0300600004</t>
  </si>
  <si>
    <t xml:space="preserve">|DJ AL04010004|7903565004|7935867004|0300600004|</t>
  </si>
  <si>
    <t xml:space="preserve">65951578</t>
  </si>
  <si>
    <t xml:space="preserve">65951607</t>
  </si>
  <si>
    <t xml:space="preserve">65951585</t>
  </si>
  <si>
    <t xml:space="preserve">2921251</t>
  </si>
  <si>
    <t xml:space="preserve">2517736</t>
  </si>
  <si>
    <t xml:space="preserve">DJ AL04010004 › 7903565004 › 7935867004 › 0202175004</t>
  </si>
  <si>
    <t xml:space="preserve">|DJ AL04010004|7903565004|7935867004|0202175004|</t>
  </si>
  <si>
    <t xml:space="preserve">24571714</t>
  </si>
  <si>
    <t xml:space="preserve">43837690</t>
  </si>
  <si>
    <t xml:space="preserve">2921308</t>
  </si>
  <si>
    <t xml:space="preserve">32144989</t>
  </si>
  <si>
    <t xml:space="preserve">32144979</t>
  </si>
  <si>
    <t xml:space="preserve">2921309</t>
  </si>
  <si>
    <t xml:space="preserve">2761590</t>
  </si>
  <si>
    <t xml:space="preserve">32145269</t>
  </si>
  <si>
    <t xml:space="preserve">2921304</t>
  </si>
  <si>
    <t xml:space="preserve">2519352</t>
  </si>
  <si>
    <t xml:space="preserve">DJ AL04010004 › 7903565004 › 7935867004 › 0203117004</t>
  </si>
  <si>
    <t xml:space="preserve">|DJ AL04010004|7903565004|7935867004|0203117004|</t>
  </si>
  <si>
    <t xml:space="preserve">2796904</t>
  </si>
  <si>
    <t xml:space="preserve">24498651</t>
  </si>
  <si>
    <t xml:space="preserve">2542164</t>
  </si>
  <si>
    <t xml:space="preserve">2646212</t>
  </si>
  <si>
    <t xml:space="preserve">DJ AL04010004 › 7903565004 › 7935867004 › 0300603004</t>
  </si>
  <si>
    <t xml:space="preserve">|DJ AL04010004|7903565004|7935867004|0300603004|</t>
  </si>
  <si>
    <t xml:space="preserve">2652376</t>
  </si>
  <si>
    <t xml:space="preserve">2921314</t>
  </si>
  <si>
    <t xml:space="preserve">2921315</t>
  </si>
  <si>
    <t xml:space="preserve">2921370</t>
  </si>
  <si>
    <t xml:space="preserve">2921369</t>
  </si>
  <si>
    <t xml:space="preserve">2541982</t>
  </si>
  <si>
    <t xml:space="preserve">12071601</t>
  </si>
  <si>
    <t xml:space="preserve">2752525</t>
  </si>
  <si>
    <t xml:space="preserve">2541984</t>
  </si>
  <si>
    <t xml:space="preserve">28778838</t>
  </si>
  <si>
    <t xml:space="preserve">21545733</t>
  </si>
  <si>
    <t xml:space="preserve">21545498</t>
  </si>
  <si>
    <t xml:space="preserve">21545554</t>
  </si>
  <si>
    <t xml:space="preserve">2921138</t>
  </si>
  <si>
    <t xml:space="preserve">3662788</t>
  </si>
  <si>
    <t xml:space="preserve">3662775</t>
  </si>
  <si>
    <t xml:space="preserve">0330915004, 0203711004, 0202227004, 0204190004, 0200482004, 0200484004, 0200489004, 0200490004, 0230938004, 0200492004, 0202676004, 0303862004, 0229036004, 0200495004, 0201153004</t>
  </si>
  <si>
    <t xml:space="preserve">DJ AL04010004 › 7903565004 › 7935867004 › 7902218004</t>
  </si>
  <si>
    <t xml:space="preserve">|DJ AL04010004|7903565004|7935867004|7902218004|</t>
  </si>
  <si>
    <t xml:space="preserve">Suporte Chave 9004479004</t>
  </si>
  <si>
    <t xml:space="preserve">3662774</t>
  </si>
  <si>
    <t xml:space="preserve">2751537</t>
  </si>
  <si>
    <t xml:space="preserve">2920660</t>
  </si>
  <si>
    <t xml:space="preserve">2646211</t>
  </si>
  <si>
    <t xml:space="preserve">0330915004, 0203711004, 0202227004, 0204190004, 0200482004, 0200484004, 0200489004, 0200490004, 0230938004, 0200492004, 0202676004, 0303862004, 0229036004, 0200495004</t>
  </si>
  <si>
    <t xml:space="preserve">3642779</t>
  </si>
  <si>
    <t xml:space="preserve">0330915004, 0203711004, 0202227004, 0204190004, 0200482004, 0200484004, 0200489004, 0200490004, 0230938004, 0200492004, 0202676004, 0303862004, 0229036004</t>
  </si>
  <si>
    <t xml:space="preserve">Suporte Chave 8842222004</t>
  </si>
  <si>
    <t xml:space="preserve">2920684</t>
  </si>
  <si>
    <t xml:space="preserve">2762886</t>
  </si>
  <si>
    <t xml:space="preserve">0330915004, 0203711004, 0202227004, 0204190004, 0200482004, 0200484004, 0200489004, 0200490004, 0230938004, 0200492004</t>
  </si>
  <si>
    <t xml:space="preserve">2762885</t>
  </si>
  <si>
    <t xml:space="preserve">0330915004, 0203711004, 0202227004, 0204190004, 0200482004, 0200484004, 0200489004, 0200490004, 0230938004</t>
  </si>
  <si>
    <t xml:space="preserve">3644112</t>
  </si>
  <si>
    <t xml:space="preserve">3644313</t>
  </si>
  <si>
    <t xml:space="preserve">2647001</t>
  </si>
  <si>
    <t xml:space="preserve">0330915004, 0203711004, 0202227004, 0204190004, 0200482004, 0200484004, 0200489004, 0200490004</t>
  </si>
  <si>
    <t xml:space="preserve">2653735</t>
  </si>
  <si>
    <t xml:space="preserve">0330915004, 0203711004, 0202227004, 0204190004, 0200482004, 0200484004, 0200489004</t>
  </si>
  <si>
    <t xml:space="preserve">2795303</t>
  </si>
  <si>
    <t xml:space="preserve">0330915004, 0203711004, 0202227004, 0204190004, 0200482004, 0200484004</t>
  </si>
  <si>
    <t xml:space="preserve">Suporte Chave 8800488004</t>
  </si>
  <si>
    <t xml:space="preserve">3253769</t>
  </si>
  <si>
    <t xml:space="preserve">3253768</t>
  </si>
  <si>
    <t xml:space="preserve">2768371</t>
  </si>
  <si>
    <t xml:space="preserve">2648230</t>
  </si>
  <si>
    <t xml:space="preserve">2648229</t>
  </si>
  <si>
    <t xml:space="preserve">2759053</t>
  </si>
  <si>
    <t xml:space="preserve">2798010</t>
  </si>
  <si>
    <t xml:space="preserve">Suporte Chave 8842248004</t>
  </si>
  <si>
    <t xml:space="preserve">2756344</t>
  </si>
  <si>
    <t xml:space="preserve">2657715</t>
  </si>
  <si>
    <t xml:space="preserve">0330915004, 0203711004, 0202227004, 0204190004, 0200482004</t>
  </si>
  <si>
    <t xml:space="preserve">12083436</t>
  </si>
  <si>
    <t xml:space="preserve">2646252</t>
  </si>
  <si>
    <t xml:space="preserve">24586387</t>
  </si>
  <si>
    <t xml:space="preserve">2648993</t>
  </si>
  <si>
    <t xml:space="preserve">2657016</t>
  </si>
  <si>
    <t xml:space="preserve">0330915004, 0203711004, 0202227004, 0204190004</t>
  </si>
  <si>
    <t xml:space="preserve">2542041</t>
  </si>
  <si>
    <t xml:space="preserve">2542043</t>
  </si>
  <si>
    <t xml:space="preserve">12071255</t>
  </si>
  <si>
    <t xml:space="preserve">2921832</t>
  </si>
  <si>
    <t xml:space="preserve">2921981</t>
  </si>
  <si>
    <t xml:space="preserve">12084650</t>
  </si>
  <si>
    <t xml:space="preserve">3594478</t>
  </si>
  <si>
    <t xml:space="preserve">3594479</t>
  </si>
  <si>
    <t xml:space="preserve">Suporte Chave 0330915004</t>
  </si>
  <si>
    <t xml:space="preserve">2921982</t>
  </si>
  <si>
    <t xml:space="preserve">2793803</t>
  </si>
  <si>
    <t xml:space="preserve">24580546</t>
  </si>
  <si>
    <t xml:space="preserve">2794181</t>
  </si>
  <si>
    <t xml:space="preserve">2768370</t>
  </si>
  <si>
    <t xml:space="preserve">2542042</t>
  </si>
  <si>
    <t xml:space="preserve">12071595</t>
  </si>
  <si>
    <t xml:space="preserve">2796859</t>
  </si>
  <si>
    <t xml:space="preserve">2760363</t>
  </si>
  <si>
    <t xml:space="preserve">Suporte Chave 0203711004</t>
  </si>
  <si>
    <t xml:space="preserve">4076260</t>
  </si>
  <si>
    <t xml:space="preserve">2811074</t>
  </si>
  <si>
    <t xml:space="preserve">0202227004, 0204190004</t>
  </si>
  <si>
    <t xml:space="preserve">2814820</t>
  </si>
  <si>
    <t xml:space="preserve">2811073</t>
  </si>
  <si>
    <t xml:space="preserve">2811075</t>
  </si>
  <si>
    <t xml:space="preserve">Suporte Chave 0202227004</t>
  </si>
  <si>
    <t xml:space="preserve">Suporte Chave 0204190004</t>
  </si>
  <si>
    <t xml:space="preserve">Suporte Chave 0200482004</t>
  </si>
  <si>
    <t xml:space="preserve">Suporte Chave 0200484004</t>
  </si>
  <si>
    <t xml:space="preserve">Suporte Chave 0200489004</t>
  </si>
  <si>
    <t xml:space="preserve">Suporte Chave 0200490004</t>
  </si>
  <si>
    <t xml:space="preserve">3644114</t>
  </si>
  <si>
    <t xml:space="preserve">3644113</t>
  </si>
  <si>
    <t xml:space="preserve">Suporte Chave 0230938004</t>
  </si>
  <si>
    <t xml:space="preserve">Suporte Chave 0200492004</t>
  </si>
  <si>
    <t xml:space="preserve">2920683</t>
  </si>
  <si>
    <t xml:space="preserve">0202676004, 0303862004, 0229036004</t>
  </si>
  <si>
    <t xml:space="preserve">Suporte Chave 8842221004</t>
  </si>
  <si>
    <t xml:space="preserve">3642778</t>
  </si>
  <si>
    <t xml:space="preserve">12077549</t>
  </si>
  <si>
    <t xml:space="preserve">0202676004, 0303862004</t>
  </si>
  <si>
    <t xml:space="preserve">2769265</t>
  </si>
  <si>
    <t xml:space="preserve">2768369</t>
  </si>
  <si>
    <t xml:space="preserve">2768356</t>
  </si>
  <si>
    <t xml:space="preserve">2653733</t>
  </si>
  <si>
    <t xml:space="preserve">Suporte Chave 0202676004</t>
  </si>
  <si>
    <t xml:space="preserve">Suporte Chave 0303862004</t>
  </si>
  <si>
    <t xml:space="preserve">3664836</t>
  </si>
  <si>
    <t xml:space="preserve">Suporte Chave 0229036004</t>
  </si>
  <si>
    <t xml:space="preserve">2648374</t>
  </si>
  <si>
    <t xml:space="preserve">Suporte Chave 0200495004</t>
  </si>
  <si>
    <t xml:space="preserve">2920663</t>
  </si>
  <si>
    <t xml:space="preserve">2920661</t>
  </si>
  <si>
    <t xml:space="preserve">12074692</t>
  </si>
  <si>
    <t xml:space="preserve">2922688</t>
  </si>
  <si>
    <t xml:space="preserve">2995938</t>
  </si>
  <si>
    <t xml:space="preserve">2996107</t>
  </si>
  <si>
    <t xml:space="preserve">3662770</t>
  </si>
  <si>
    <t xml:space="preserve">Suporte Chave 9023676004</t>
  </si>
  <si>
    <t xml:space="preserve">3662785</t>
  </si>
  <si>
    <t xml:space="preserve">Suporte Chave 0201153004</t>
  </si>
  <si>
    <t xml:space="preserve">3663162</t>
  </si>
  <si>
    <t xml:space="preserve">3589209</t>
  </si>
  <si>
    <t xml:space="preserve">DJ AL04010004 › 7903565004 › 7935867004 › 7902218004 › 0330915004</t>
  </si>
  <si>
    <t xml:space="preserve">|DJ AL04010004|7903565004|7935867004|7902218004|0330915004|</t>
  </si>
  <si>
    <t xml:space="preserve">2760579</t>
  </si>
  <si>
    <t xml:space="preserve">DJ AL04010004 › 7903565004 › 7935867004 › 7902218004 › 0203711004</t>
  </si>
  <si>
    <t xml:space="preserve">|DJ AL04010004|7903565004|7935867004|7902218004|0203711004|</t>
  </si>
  <si>
    <t xml:space="preserve">24537873</t>
  </si>
  <si>
    <t xml:space="preserve">2650912</t>
  </si>
  <si>
    <t xml:space="preserve">DJ AL04010004 › 7903565004 › 7935867004 › 7902218004 › 0202227004</t>
  </si>
  <si>
    <t xml:space="preserve">|DJ AL04010004|7903565004|7935867004|7902218004|0202227004|</t>
  </si>
  <si>
    <t xml:space="preserve">24563478</t>
  </si>
  <si>
    <t xml:space="preserve">2676200</t>
  </si>
  <si>
    <t xml:space="preserve">DJ AL04010004 › 7903565004 › 7935867004 › 7902218004 › 0204190004</t>
  </si>
  <si>
    <t xml:space="preserve">|DJ AL04010004|7903565004|7935867004|7902218004|0204190004|</t>
  </si>
  <si>
    <t xml:space="preserve">24582799</t>
  </si>
  <si>
    <t xml:space="preserve">2793541</t>
  </si>
  <si>
    <t xml:space="preserve">DJ AL04010004 › 7903565004 › 7935867004 › 7902218004 › 0200482004</t>
  </si>
  <si>
    <t xml:space="preserve">|DJ AL04010004|7903565004|7935867004|7902218004|0200482004|</t>
  </si>
  <si>
    <t xml:space="preserve">24582847</t>
  </si>
  <si>
    <t xml:space="preserve">2768165</t>
  </si>
  <si>
    <t xml:space="preserve">DJ AL04010004 › 7903565004 › 7935867004 › 7902218004 › 0200484004</t>
  </si>
  <si>
    <t xml:space="preserve">|DJ AL04010004|7903565004|7935867004|7902218004|0200484004|</t>
  </si>
  <si>
    <t xml:space="preserve">2653718</t>
  </si>
  <si>
    <t xml:space="preserve">24586386</t>
  </si>
  <si>
    <t xml:space="preserve">2653469</t>
  </si>
  <si>
    <t xml:space="preserve">DJ AL04010004 › 7903565004 › 7935867004 › 7902218004 › 0200489004</t>
  </si>
  <si>
    <t xml:space="preserve">|DJ AL04010004|7903565004|7935867004|7902218004|0200489004|</t>
  </si>
  <si>
    <t xml:space="preserve">24586390</t>
  </si>
  <si>
    <t xml:space="preserve">2768166</t>
  </si>
  <si>
    <t xml:space="preserve">DJ AL04010004 › 7903565004 › 7935867004 › 7902218004 › 0200490004</t>
  </si>
  <si>
    <t xml:space="preserve">|DJ AL04010004|7903565004|7935867004|7902218004|0200490004|</t>
  </si>
  <si>
    <t xml:space="preserve">24587368</t>
  </si>
  <si>
    <t xml:space="preserve">3644314</t>
  </si>
  <si>
    <t xml:space="preserve">DJ AL04010004 › 7903565004 › 7935867004 › 7902218004 › 0230938004</t>
  </si>
  <si>
    <t xml:space="preserve">|DJ AL04010004|7903565004|7935867004|7902218004|0230938004|</t>
  </si>
  <si>
    <t xml:space="preserve">24545510</t>
  </si>
  <si>
    <t xml:space="preserve">3661817</t>
  </si>
  <si>
    <t xml:space="preserve">DJ AL04010004 › 7903565004 › 7935867004 › 7902218004 › 0200492004</t>
  </si>
  <si>
    <t xml:space="preserve">|DJ AL04010004|7903565004|7935867004|7902218004|0200492004|</t>
  </si>
  <si>
    <t xml:space="preserve">24582845</t>
  </si>
  <si>
    <t xml:space="preserve">2793804</t>
  </si>
  <si>
    <t xml:space="preserve">DJ AL04010004 › 7903565004 › 7935867004 › 7902218004 › 0202676004</t>
  </si>
  <si>
    <t xml:space="preserve">|DJ AL04010004|7903565004|7935867004|7902218004|0202676004|</t>
  </si>
  <si>
    <t xml:space="preserve">24572323</t>
  </si>
  <si>
    <t xml:space="preserve">2761866</t>
  </si>
  <si>
    <t xml:space="preserve">3662780</t>
  </si>
  <si>
    <t xml:space="preserve">DJ AL04010004 › 7903565004 › 7935867004 › 7902218004 › 0303862004</t>
  </si>
  <si>
    <t xml:space="preserve">|DJ AL04010004|7903565004|7935867004|7902218004|0303862004|</t>
  </si>
  <si>
    <t xml:space="preserve">2769266</t>
  </si>
  <si>
    <t xml:space="preserve">DJ AL04010004 › 7903565004 › 7935867004 › 7902218004 › 0229036004</t>
  </si>
  <si>
    <t xml:space="preserve">|DJ AL04010004|7903565004|7935867004|7902218004|0229036004|</t>
  </si>
  <si>
    <t xml:space="preserve">2653470</t>
  </si>
  <si>
    <t xml:space="preserve">24582849</t>
  </si>
  <si>
    <t xml:space="preserve">2645918</t>
  </si>
  <si>
    <t xml:space="preserve">DJ AL04010004 › 7903565004 › 7935867004 › 7902218004 › 0200495004</t>
  </si>
  <si>
    <t xml:space="preserve">|DJ AL04010004|7903565004|7935867004|7902218004|0200495004|</t>
  </si>
  <si>
    <t xml:space="preserve">24582848</t>
  </si>
  <si>
    <t xml:space="preserve">2649292</t>
  </si>
  <si>
    <t xml:space="preserve">DJ AL04010004 › 7903565004 › 7935867004 › 7902218004 › 0201153004</t>
  </si>
  <si>
    <t xml:space="preserve">|DJ AL04010004|7903565004|7935867004|7902218004|0201153004|</t>
  </si>
  <si>
    <t xml:space="preserve">2542371</t>
  </si>
  <si>
    <t xml:space="preserve">12083855</t>
  </si>
  <si>
    <t xml:space="preserve">2699465</t>
  </si>
  <si>
    <t xml:space="preserve">3662505</t>
  </si>
  <si>
    <t xml:space="preserve">Suporte Chave 9004026004</t>
  </si>
  <si>
    <t xml:space="preserve">3662507</t>
  </si>
  <si>
    <t xml:space="preserve">2542372</t>
  </si>
  <si>
    <t xml:space="preserve">3221545</t>
  </si>
  <si>
    <t xml:space="preserve">3221546</t>
  </si>
  <si>
    <t xml:space="preserve">2793893</t>
  </si>
  <si>
    <t xml:space="preserve">22938833</t>
  </si>
  <si>
    <t xml:space="preserve">DJ AL04010004 › 7903565004 › 7935867004 › 0352542004</t>
  </si>
  <si>
    <t xml:space="preserve">|DJ AL04010004|7903565004|7935867004|0352542004|</t>
  </si>
  <si>
    <t xml:space="preserve">Ativo</t>
  </si>
  <si>
    <t xml:space="preserve">Tipo</t>
  </si>
  <si>
    <t xml:space="preserve">No tronco</t>
  </si>
  <si>
    <t xml:space="preserve">Zona antes</t>
  </si>
  <si>
    <t xml:space="preserve">Zona depois</t>
  </si>
  <si>
    <t xml:space="preserve">Bloco onde está</t>
  </si>
  <si>
    <t xml:space="preserve">Blocos em que é referência</t>
  </si>
  <si>
    <t xml:space="preserve">Vãos em que é a referência</t>
  </si>
  <si>
    <t xml:space="preserve">Extensão em que é a referência (m)</t>
  </si>
  <si>
    <t xml:space="preserve">Vãos englobados (tudo a jusante)</t>
  </si>
  <si>
    <t xml:space="preserve">Extensão englobada (m)</t>
  </si>
  <si>
    <t xml:space="preserve">sim</t>
  </si>
  <si>
    <t xml:space="preserve">1, 4, 5, 6, 8, 10, 12, 14, 16, 17, 19, 21, 22, 23, 24</t>
  </si>
  <si>
    <t xml:space="preserve">Chave 88</t>
  </si>
  <si>
    <t xml:space="preserve">2, 25, 26, 28, 30, 31, 33, 35, 37, 39, 41, 52, 57, 59, 61</t>
  </si>
  <si>
    <t xml:space="preserve">3, 62, 63, 64, 66, 68, 70, 72, 73, 74, 75, 76, 77, 94, 95, 96</t>
  </si>
  <si>
    <t xml:space="preserve">78</t>
  </si>
  <si>
    <t xml:space="preserve">97</t>
  </si>
  <si>
    <t xml:space="preserve">71</t>
  </si>
  <si>
    <t xml:space="preserve">69</t>
  </si>
  <si>
    <t xml:space="preserve">67</t>
  </si>
  <si>
    <t xml:space="preserve">65</t>
  </si>
  <si>
    <t xml:space="preserve">não</t>
  </si>
  <si>
    <t xml:space="preserve">7</t>
  </si>
  <si>
    <t xml:space="preserve">9</t>
  </si>
  <si>
    <t xml:space="preserve">11</t>
  </si>
  <si>
    <t xml:space="preserve">13</t>
  </si>
  <si>
    <t xml:space="preserve">15</t>
  </si>
  <si>
    <t xml:space="preserve">18</t>
  </si>
  <si>
    <t xml:space="preserve">20</t>
  </si>
  <si>
    <t xml:space="preserve">27</t>
  </si>
  <si>
    <t xml:space="preserve">29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</si>
  <si>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</si>
  <si>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</si>
  <si>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</si>
  <si>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</si>
  <si>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</si>
  <si>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</si>
  <si>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43</t>
  </si>
  <si>
    <t xml:space="preserve">45</t>
  </si>
  <si>
    <t xml:space="preserve">46</t>
  </si>
  <si>
    <t xml:space="preserve">47</t>
  </si>
  <si>
    <t xml:space="preserve">50</t>
  </si>
  <si>
    <t xml:space="preserve">51</t>
  </si>
  <si>
    <t xml:space="preserve">44</t>
  </si>
  <si>
    <t xml:space="preserve">48</t>
  </si>
  <si>
    <t xml:space="preserve">49</t>
  </si>
  <si>
    <t xml:space="preserve">53</t>
  </si>
  <si>
    <t xml:space="preserve">54</t>
  </si>
  <si>
    <t xml:space="preserve">55</t>
  </si>
  <si>
    <t xml:space="preserve">56</t>
  </si>
  <si>
    <t xml:space="preserve">58</t>
  </si>
  <si>
    <t xml:space="preserve">60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</si>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</sst>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A9096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2"/>
    </font>
    <font>
      <u val="single"/>
      <sz val="10"/>
      <color rgb="FF1F4E9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BEAFE"/>
        <bgColor rgb="FFF3E8FF"/>
      </patternFill>
    </fill>
    <fill>
      <patternFill patternType="solid">
        <fgColor rgb="FFDCFCE7"/>
        <bgColor rgb="FFDBEAFE"/>
      </patternFill>
    </fill>
    <fill>
      <patternFill patternType="solid">
        <fgColor rgb="FFFEF3C7"/>
        <bgColor rgb="FFFFEDD5"/>
      </patternFill>
    </fill>
    <fill>
      <patternFill patternType="solid">
        <fgColor rgb="FFFFEDD5"/>
        <bgColor rgb="FFFEF3C7"/>
      </patternFill>
    </fill>
    <fill>
      <patternFill patternType="solid">
        <fgColor rgb="FFF3E8FF"/>
        <bgColor rgb="FFDBEAFE"/>
      </patternFill>
    </fill>
    <fill>
      <patternFill patternType="solid">
        <fgColor rgb="FF2B3136"/>
        <bgColor rgb="FF3A4248"/>
      </patternFill>
    </fill>
    <fill>
      <patternFill patternType="solid">
        <fgColor rgb="FF3A4248"/>
        <bgColor rgb="FF2B3136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9D6"/>
      </bottom>
      <diagonal/>
    </border>
    <border diagonalUp="false" diagonalDown="false">
      <left style="thin">
        <color rgb="FF2B3136"/>
      </left>
      <right style="thin">
        <color rgb="FF2B3136"/>
      </right>
      <top style="thin">
        <color rgb="FF2B3136"/>
      </top>
      <bottom style="thin">
        <color rgb="FF2B313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B313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EDD5"/>
          <bgColor rgb="FF000000"/>
        </patternFill>
      </fill>
    </dxf>
    <dxf>
      <fill>
        <patternFill patternType="solid">
          <fgColor rgb="FF1F4E9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5D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3E8FF"/>
      <rgbColor rgb="FFFFEDD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8A9096"/>
      <rgbColor rgb="FF003366"/>
      <rgbColor rgb="FF339966"/>
      <rgbColor rgb="FF003300"/>
      <rgbColor rgb="FF3A4248"/>
      <rgbColor rgb="FF993300"/>
      <rgbColor rgb="FF993366"/>
      <rgbColor rgb="FF1F4E9E"/>
      <rgbColor rgb="FF2B31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tivos" displayName="Ativos" ref="A1:Q75" headerRowCount="1" totalsRowCount="0" totalsRowShown="0">
  <autoFilter ref="A1:Q75"/>
  <tableColumns count="17">
    <tableColumn id="1" name="Ativo"/>
    <tableColumn id="2" name="Tipo"/>
    <tableColumn id="3" name="Poste"/>
    <tableColumn id="4" name="No tronco"/>
    <tableColumn id="5" name="Zona antes"/>
    <tableColumn id="6" name="Zona depois"/>
    <tableColumn id="7" name="Bloco onde está"/>
    <tableColumn id="8" name="Blocos em que é referência"/>
    <tableColumn id="9" name="Caminho desde o DJ"/>
    <tableColumn id="10" name="Vãos em que é a referência"/>
    <tableColumn id="11" name="Extensão em que é a referência (m)"/>
    <tableColumn id="12" name="Vãos englobados (tudo a jusante)"/>
    <tableColumn id="13" name="Extensão englobada (m)"/>
    <tableColumn id="14" name="Ativos posteriores englobados"/>
    <tableColumn id="15" name="Latitude"/>
    <tableColumn id="16" name="Longitude"/>
    <tableColumn id="17" name="Mapa"/>
  </tableColumns>
</table>
</file>

<file path=xl/tables/table2.xml><?xml version="1.0" encoding="utf-8"?>
<table xmlns="http://schemas.openxmlformats.org/spreadsheetml/2006/main" id="2" name="Blocos" displayName="Blocos" ref="A1:CW98" headerRowCount="1" totalsRowCount="0" totalsRowShown="0">
  <autoFilter ref="A1:CW98"/>
  <tableColumns count="101">
    <tableColumn id="1" name="Bloco"/>
    <tableColumn id="2" name="Zona"/>
    <tableColumn id="3" name="Tronco/Ramal"/>
    <tableColumn id="4" name="Ramal"/>
    <tableColumn id="5" name="Ativo de referência"/>
    <tableColumn id="6" name="De"/>
    <tableColumn id="7" name="Próximo ativo 1"/>
    <tableColumn id="8" name="Próximo ativo 2"/>
    <tableColumn id="9" name="Próximo ativo 3"/>
    <tableColumn id="10" name="Próximo ativo 4"/>
    <tableColumn id="11" name="Próximo ativo 5"/>
    <tableColumn id="12" name="Próximo ativo 6"/>
    <tableColumn id="13" name="Próximo ativo 7"/>
    <tableColumn id="14" name="Próximo ativo 8"/>
    <tableColumn id="15" name="Próximo ativo 9"/>
    <tableColumn id="16" name="Próximo ativo 10"/>
    <tableColumn id="17" name="Próximo ativo 11"/>
    <tableColumn id="18" name="Próximo ativo 12"/>
    <tableColumn id="19" name="Próximo ativo 13"/>
    <tableColumn id="20" name="Próximo ativo 14"/>
    <tableColumn id="21" name="Próximo ativo 15"/>
    <tableColumn id="22" name="Próximo ativo 16"/>
    <tableColumn id="23" name="Próximo ativo 17"/>
    <tableColumn id="24" name="Próximo ativo 18"/>
    <tableColumn id="25" name="Próximo ativo 19"/>
    <tableColumn id="26" name="Próximo ativo 20"/>
    <tableColumn id="27" name="Próximo ativo 21"/>
    <tableColumn id="28" name="Próximo ativo 22"/>
    <tableColumn id="29" name="Próximo ativo 23"/>
    <tableColumn id="30" name="Próximo ativo 24"/>
    <tableColumn id="31" name="Próximo ativo 25"/>
    <tableColumn id="32" name="Próximo ativo 26"/>
    <tableColumn id="33" name="Próximo ativo 27"/>
    <tableColumn id="34" name="Próximo ativo 28"/>
    <tableColumn id="35" name="Próximo ativo 29"/>
    <tableColumn id="36" name="Próximo ativo 30"/>
    <tableColumn id="37" name="Próximo ativo 31"/>
    <tableColumn id="38" name="Próximo ativo 32"/>
    <tableColumn id="39" name="Nível 1"/>
    <tableColumn id="40" name="Nível 2"/>
    <tableColumn id="41" name="Nível 3"/>
    <tableColumn id="42" name="Nível 4"/>
    <tableColumn id="43" name="Nível 5"/>
    <tableColumn id="44" name="Qtd. vãos"/>
    <tableColumn id="45" name="Extensão do bloco (m)"/>
    <tableColumn id="46" name="Qtd. ativos posteriores"/>
    <tableColumn id="47" name="Ativos posteriores (concatenado)"/>
    <tableColumn id="48" name="Outras chaves no bloco (88…)"/>
    <tableColumn id="49" name="Posterior 1"/>
    <tableColumn id="50" name="Posterior 2"/>
    <tableColumn id="51" name="Posterior 3"/>
    <tableColumn id="52" name="Posterior 4"/>
    <tableColumn id="53" name="Posterior 5"/>
    <tableColumn id="54" name="Posterior 6"/>
    <tableColumn id="55" name="Posterior 7"/>
    <tableColumn id="56" name="Posterior 8"/>
    <tableColumn id="57" name="Posterior 9"/>
    <tableColumn id="58" name="Posterior 10"/>
    <tableColumn id="59" name="Posterior 11"/>
    <tableColumn id="60" name="Posterior 12"/>
    <tableColumn id="61" name="Posterior 13"/>
    <tableColumn id="62" name="Posterior 14"/>
    <tableColumn id="63" name="Posterior 15"/>
    <tableColumn id="64" name="Posterior 16"/>
    <tableColumn id="65" name="Posterior 17"/>
    <tableColumn id="66" name="Posterior 18"/>
    <tableColumn id="67" name="Posterior 19"/>
    <tableColumn id="68" name="Posterior 20"/>
    <tableColumn id="69" name="Posterior 21"/>
    <tableColumn id="70" name="Posterior 22"/>
    <tableColumn id="71" name="Posterior 23"/>
    <tableColumn id="72" name="Posterior 24"/>
    <tableColumn id="73" name="Posterior 25"/>
    <tableColumn id="74" name="Posterior 26"/>
    <tableColumn id="75" name="Posterior 27"/>
    <tableColumn id="76" name="Posterior 28"/>
    <tableColumn id="77" name="Posterior 29"/>
    <tableColumn id="78" name="Posterior 30"/>
    <tableColumn id="79" name="Posterior 31"/>
    <tableColumn id="80" name="Posterior 32"/>
    <tableColumn id="81" name="Posterior 33"/>
    <tableColumn id="82" name="Posterior 34"/>
    <tableColumn id="83" name="Posterior 35"/>
    <tableColumn id="84" name="Posterior 36"/>
    <tableColumn id="85" name="Posterior 37"/>
    <tableColumn id="86" name="Posterior 38"/>
    <tableColumn id="87" name="Posterior 39"/>
    <tableColumn id="88" name="Posterior 40"/>
    <tableColumn id="89" name="Posterior 41"/>
    <tableColumn id="90" name="Posterior 42"/>
    <tableColumn id="91" name="Posterior 43"/>
    <tableColumn id="92" name="Posterior 44"/>
    <tableColumn id="93" name="Posterior 45"/>
    <tableColumn id="94" name="Posterior 46"/>
    <tableColumn id="95" name="Posterior 47"/>
    <tableColumn id="96" name="Posterior 48"/>
    <tableColumn id="97" name="Posterior 49"/>
    <tableColumn id="98" name="Posterior 50"/>
    <tableColumn id="99" name="Posterior 51"/>
    <tableColumn id="100" name="Posterior 52"/>
    <tableColumn id="101" name="Posterior 53"/>
  </tableColumns>
</table>
</file>

<file path=xl/tables/table3.xml><?xml version="1.0" encoding="utf-8"?>
<table xmlns="http://schemas.openxmlformats.org/spreadsheetml/2006/main" id="3" name="Trechos" displayName="Trechos" ref="A1:AB526" headerRowCount="1" totalsRowCount="0" totalsRowShown="0">
  <autoFilter ref="A1:AB526"/>
  <tableColumns count="28">
    <tableColumn id="1" name="Seq"/>
    <tableColumn id="2" name="Trecho"/>
    <tableColumn id="3" name="Trecho no Daimon"/>
    <tableColumn id="4" name="Poste início"/>
    <tableColumn id="5" name="Poste fim"/>
    <tableColumn id="6" name="Extensão (m)"/>
    <tableColumn id="7" name="Distância do DJ até o fim (m)"/>
    <tableColumn id="8" name="Distância do ativo de referência até o fim (m)"/>
    <tableColumn id="9" name="Zona"/>
    <tableColumn id="10" name="Tronco/Ramal"/>
    <tableColumn id="11" name="Ramal"/>
    <tableColumn id="12" name="Bloco"/>
    <tableColumn id="13" name="Ativo de referência"/>
    <tableColumn id="14" name="Tipo do ativo de referência"/>
    <tableColumn id="15" name="Próximo(s) ativo(s)"/>
    <tableColumn id="16" name="Ativos posteriores englobados"/>
    <tableColumn id="17" name="Qtd. ativos posteriores"/>
    <tableColumn id="18" name="Outra chave no fim do vão (88…)"/>
    <tableColumn id="19" name="Nível 1"/>
    <tableColumn id="20" name="Nível 2"/>
    <tableColumn id="21" name="Nível 3"/>
    <tableColumn id="22" name="Nível 4"/>
    <tableColumn id="23" name="Nível 5"/>
    <tableColumn id="24" name="Caminho desde o DJ"/>
    <tableColumn id="25" name="Latitude (meio do vão)"/>
    <tableColumn id="26" name="Longitude (meio do vão)"/>
    <tableColumn id="27" name="Mapa"/>
    <tableColumn id="28" name="Chave do caminho (uso das fórmula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www.google.com/maps?q=-7.1954430,-48.2380390" TargetMode="External"/><Relationship Id="rId3" Type="http://schemas.openxmlformats.org/officeDocument/2006/relationships/hyperlink" Target="https://www.google.com/maps?q=-7.1955770,-48.2381770" TargetMode="External"/><Relationship Id="rId4" Type="http://schemas.openxmlformats.org/officeDocument/2006/relationships/hyperlink" Target="https://www.google.com/maps?q=-7.1956230,-48.2382060" TargetMode="External"/><Relationship Id="rId5" Type="http://schemas.openxmlformats.org/officeDocument/2006/relationships/hyperlink" Target="https://www.google.com/maps?q=-7.1956735,-48.2382265" TargetMode="External"/><Relationship Id="rId6" Type="http://schemas.openxmlformats.org/officeDocument/2006/relationships/hyperlink" Target="https://www.google.com/maps?q=-7.1957465,-48.2381600" TargetMode="External"/><Relationship Id="rId7" Type="http://schemas.openxmlformats.org/officeDocument/2006/relationships/hyperlink" Target="https://www.google.com/maps?q=-7.1958240,-48.2380880" TargetMode="External"/><Relationship Id="rId8" Type="http://schemas.openxmlformats.org/officeDocument/2006/relationships/hyperlink" Target="https://www.google.com/maps?q=-7.1959095,-48.2379995" TargetMode="External"/><Relationship Id="rId9" Type="http://schemas.openxmlformats.org/officeDocument/2006/relationships/hyperlink" Target="https://www.google.com/maps?q=-7.1959935,-48.2379100" TargetMode="External"/><Relationship Id="rId10" Type="http://schemas.openxmlformats.org/officeDocument/2006/relationships/hyperlink" Target="https://www.google.com/maps?q=-7.1962755,-48.2373355" TargetMode="External"/><Relationship Id="rId11" Type="http://schemas.openxmlformats.org/officeDocument/2006/relationships/hyperlink" Target="https://www.google.com/maps?q=-7.1965340,-48.2367635" TargetMode="External"/><Relationship Id="rId12" Type="http://schemas.openxmlformats.org/officeDocument/2006/relationships/hyperlink" Target="https://www.google.com/maps?q=-7.1964355,-48.2367190" TargetMode="External"/><Relationship Id="rId13" Type="http://schemas.openxmlformats.org/officeDocument/2006/relationships/hyperlink" Target="https://www.google.com/maps?q=-7.1963350,-48.2366780" TargetMode="External"/><Relationship Id="rId14" Type="http://schemas.openxmlformats.org/officeDocument/2006/relationships/hyperlink" Target="https://www.google.com/maps?q=-7.1962680,-48.2366475" TargetMode="External"/><Relationship Id="rId15" Type="http://schemas.openxmlformats.org/officeDocument/2006/relationships/hyperlink" Target="https://www.google.com/maps?q=-7.1962115,-48.2366215" TargetMode="External"/><Relationship Id="rId16" Type="http://schemas.openxmlformats.org/officeDocument/2006/relationships/hyperlink" Target="https://www.google.com/maps?q=-7.1951585,-48.2361345" TargetMode="External"/><Relationship Id="rId17" Type="http://schemas.openxmlformats.org/officeDocument/2006/relationships/hyperlink" Target="https://www.google.com/maps?q=-7.1940945,-48.2356425" TargetMode="External"/><Relationship Id="rId18" Type="http://schemas.openxmlformats.org/officeDocument/2006/relationships/hyperlink" Target="https://www.google.com/maps?q=-7.1937090,-48.2354760" TargetMode="External"/><Relationship Id="rId19" Type="http://schemas.openxmlformats.org/officeDocument/2006/relationships/hyperlink" Target="https://www.google.com/maps?q=-7.1933230,-48.2353110" TargetMode="External"/><Relationship Id="rId20" Type="http://schemas.openxmlformats.org/officeDocument/2006/relationships/hyperlink" Target="https://www.google.com/maps?q=-7.1930645,-48.2352230" TargetMode="External"/><Relationship Id="rId21" Type="http://schemas.openxmlformats.org/officeDocument/2006/relationships/hyperlink" Target="https://www.google.com/maps?q=-7.1928070,-48.2351350" TargetMode="External"/><Relationship Id="rId22" Type="http://schemas.openxmlformats.org/officeDocument/2006/relationships/hyperlink" Target="https://www.google.com/maps?q=-7.1921960,-48.2348255" TargetMode="External"/><Relationship Id="rId23" Type="http://schemas.openxmlformats.org/officeDocument/2006/relationships/hyperlink" Target="https://www.google.com/maps?q=-7.1915855,-48.2345145" TargetMode="External"/><Relationship Id="rId24" Type="http://schemas.openxmlformats.org/officeDocument/2006/relationships/hyperlink" Target="https://www.google.com/maps?q=-7.1909295,-48.2341375" TargetMode="External"/><Relationship Id="rId25" Type="http://schemas.openxmlformats.org/officeDocument/2006/relationships/hyperlink" Target="https://www.google.com/maps?q=-7.1902850,-48.2337570" TargetMode="External"/><Relationship Id="rId26" Type="http://schemas.openxmlformats.org/officeDocument/2006/relationships/hyperlink" Target="https://www.google.com/maps?q=-7.1904285,-48.2334580" TargetMode="External"/><Relationship Id="rId27" Type="http://schemas.openxmlformats.org/officeDocument/2006/relationships/hyperlink" Target="https://www.google.com/maps?q=-7.1904320,-48.2330815" TargetMode="External"/><Relationship Id="rId28" Type="http://schemas.openxmlformats.org/officeDocument/2006/relationships/hyperlink" Target="https://www.google.com/maps?q=-7.1902675,-48.2329770" TargetMode="External"/><Relationship Id="rId29" Type="http://schemas.openxmlformats.org/officeDocument/2006/relationships/hyperlink" Target="https://www.google.com/maps?q=-7.1899195,-48.2327145" TargetMode="External"/><Relationship Id="rId30" Type="http://schemas.openxmlformats.org/officeDocument/2006/relationships/hyperlink" Target="https://www.google.com/maps?q=-7.1893220,-48.2322310" TargetMode="External"/><Relationship Id="rId31" Type="http://schemas.openxmlformats.org/officeDocument/2006/relationships/hyperlink" Target="https://www.google.com/maps?q=-7.1889260,-48.2318655" TargetMode="External"/><Relationship Id="rId32" Type="http://schemas.openxmlformats.org/officeDocument/2006/relationships/hyperlink" Target="https://www.google.com/maps?q=-7.1885170,-48.2314870" TargetMode="External"/><Relationship Id="rId33" Type="http://schemas.openxmlformats.org/officeDocument/2006/relationships/hyperlink" Target="https://www.google.com/maps?q=-7.1880995,-48.2310930" TargetMode="External"/><Relationship Id="rId34" Type="http://schemas.openxmlformats.org/officeDocument/2006/relationships/hyperlink" Target="https://www.google.com/maps?q=-7.1879580,-48.2309395" TargetMode="External"/><Relationship Id="rId35" Type="http://schemas.openxmlformats.org/officeDocument/2006/relationships/hyperlink" Target="https://www.google.com/maps?q=-7.1877300,-48.2306950" TargetMode="External"/><Relationship Id="rId36" Type="http://schemas.openxmlformats.org/officeDocument/2006/relationships/hyperlink" Target="https://www.google.com/maps?q=-7.1871975,-48.2301495" TargetMode="External"/><Relationship Id="rId37" Type="http://schemas.openxmlformats.org/officeDocument/2006/relationships/hyperlink" Target="https://www.google.com/maps?q=-7.1867650,-48.2297245" TargetMode="External"/><Relationship Id="rId38" Type="http://schemas.openxmlformats.org/officeDocument/2006/relationships/hyperlink" Target="https://www.google.com/maps?q=-7.1862925,-48.2292780" TargetMode="External"/><Relationship Id="rId39" Type="http://schemas.openxmlformats.org/officeDocument/2006/relationships/hyperlink" Target="https://www.google.com/maps?q=-7.1858085,-48.2288020" TargetMode="External"/><Relationship Id="rId40" Type="http://schemas.openxmlformats.org/officeDocument/2006/relationships/hyperlink" Target="https://www.google.com/maps?q=-7.1856650,-48.2286450" TargetMode="External"/><Relationship Id="rId41" Type="http://schemas.openxmlformats.org/officeDocument/2006/relationships/hyperlink" Target="https://www.google.com/maps?q=-7.1852425,-48.2282255" TargetMode="External"/><Relationship Id="rId42" Type="http://schemas.openxmlformats.org/officeDocument/2006/relationships/hyperlink" Target="https://www.google.com/maps?q=-7.1843065,-48.2272985" TargetMode="External"/><Relationship Id="rId43" Type="http://schemas.openxmlformats.org/officeDocument/2006/relationships/hyperlink" Target="https://www.google.com/maps?q=-7.1836970,-48.2267000" TargetMode="External"/><Relationship Id="rId44" Type="http://schemas.openxmlformats.org/officeDocument/2006/relationships/hyperlink" Target="https://www.google.com/maps?q=-7.1834570,-48.2264785" TargetMode="External"/><Relationship Id="rId45" Type="http://schemas.openxmlformats.org/officeDocument/2006/relationships/hyperlink" Target="https://www.google.com/maps?q=-7.1832900,-48.2263220" TargetMode="External"/><Relationship Id="rId46" Type="http://schemas.openxmlformats.org/officeDocument/2006/relationships/hyperlink" Target="https://www.google.com/maps?q=-7.1832260,-48.2262605" TargetMode="External"/><Relationship Id="rId47" Type="http://schemas.openxmlformats.org/officeDocument/2006/relationships/hyperlink" Target="https://www.google.com/maps?q=-7.1831455,-48.2261865" TargetMode="External"/><Relationship Id="rId48" Type="http://schemas.openxmlformats.org/officeDocument/2006/relationships/hyperlink" Target="https://www.google.com/maps?q=-7.1827915,-48.2258435" TargetMode="External"/><Relationship Id="rId49" Type="http://schemas.openxmlformats.org/officeDocument/2006/relationships/hyperlink" Target="https://www.google.com/maps?q=-7.1823370,-48.2253990" TargetMode="External"/><Relationship Id="rId50" Type="http://schemas.openxmlformats.org/officeDocument/2006/relationships/hyperlink" Target="https://www.google.com/maps?q=-7.1816555,-48.2247245" TargetMode="External"/><Relationship Id="rId51" Type="http://schemas.openxmlformats.org/officeDocument/2006/relationships/hyperlink" Target="https://www.google.com/maps?q=-7.1810910,-48.2241645" TargetMode="External"/><Relationship Id="rId52" Type="http://schemas.openxmlformats.org/officeDocument/2006/relationships/hyperlink" Target="https://www.google.com/maps?q=-7.1807005,-48.2237780" TargetMode="External"/><Relationship Id="rId53" Type="http://schemas.openxmlformats.org/officeDocument/2006/relationships/hyperlink" Target="https://www.google.com/maps?q=-7.1797810,-48.2228680" TargetMode="External"/><Relationship Id="rId54" Type="http://schemas.openxmlformats.org/officeDocument/2006/relationships/hyperlink" Target="https://www.google.com/maps?q=-7.1792310,-48.2223220" TargetMode="External"/><Relationship Id="rId55" Type="http://schemas.openxmlformats.org/officeDocument/2006/relationships/hyperlink" Target="https://www.google.com/maps?q=-7.1790505,-48.2221440" TargetMode="External"/><Relationship Id="rId56" Type="http://schemas.openxmlformats.org/officeDocument/2006/relationships/hyperlink" Target="https://www.google.com/maps?q=-7.1788735,-48.2219810" TargetMode="External"/><Relationship Id="rId57" Type="http://schemas.openxmlformats.org/officeDocument/2006/relationships/hyperlink" Target="https://www.google.com/maps?q=-7.1788810,-48.2219775" TargetMode="External"/><Relationship Id="rId58" Type="http://schemas.openxmlformats.org/officeDocument/2006/relationships/hyperlink" Target="https://www.google.com/maps?q=-7.1789790,-48.2219285" TargetMode="External"/><Relationship Id="rId59" Type="http://schemas.openxmlformats.org/officeDocument/2006/relationships/hyperlink" Target="https://www.google.com/maps?q=-7.1790795,-48.2218795" TargetMode="External"/><Relationship Id="rId60" Type="http://schemas.openxmlformats.org/officeDocument/2006/relationships/hyperlink" Target="https://www.google.com/maps?q=-7.1793060,-48.2217675" TargetMode="External"/><Relationship Id="rId61" Type="http://schemas.openxmlformats.org/officeDocument/2006/relationships/hyperlink" Target="https://www.google.com/maps?q=-7.1795170,-48.2216625" TargetMode="External"/><Relationship Id="rId62" Type="http://schemas.openxmlformats.org/officeDocument/2006/relationships/hyperlink" Target="https://www.google.com/maps?q=-7.1795245,-48.2216490" TargetMode="External"/><Relationship Id="rId63" Type="http://schemas.openxmlformats.org/officeDocument/2006/relationships/hyperlink" Target="https://www.google.com/maps?q=-7.1795325,-48.2216365" TargetMode="External"/><Relationship Id="rId64" Type="http://schemas.openxmlformats.org/officeDocument/2006/relationships/hyperlink" Target="https://www.google.com/maps?q=-7.1795420,-48.2216310" TargetMode="External"/><Relationship Id="rId65" Type="http://schemas.openxmlformats.org/officeDocument/2006/relationships/hyperlink" Target="https://www.google.com/maps?q=-7.1795515,-48.2216265" TargetMode="External"/><Relationship Id="rId66" Type="http://schemas.openxmlformats.org/officeDocument/2006/relationships/hyperlink" Target="https://www.google.com/maps?q=-7.1795630,-48.2216300" TargetMode="External"/><Relationship Id="rId67" Type="http://schemas.openxmlformats.org/officeDocument/2006/relationships/hyperlink" Target="https://www.google.com/maps?q=-7.1797915,-48.2215220" TargetMode="External"/><Relationship Id="rId68" Type="http://schemas.openxmlformats.org/officeDocument/2006/relationships/hyperlink" Target="https://www.google.com/maps?q=-7.1801865,-48.2213230" TargetMode="External"/><Relationship Id="rId69" Type="http://schemas.openxmlformats.org/officeDocument/2006/relationships/hyperlink" Target="https://www.google.com/maps?q=-7.1804900,-48.2211710" TargetMode="External"/><Relationship Id="rId70" Type="http://schemas.openxmlformats.org/officeDocument/2006/relationships/hyperlink" Target="https://www.google.com/maps?q=-7.1810735,-48.2208790" TargetMode="External"/><Relationship Id="rId71" Type="http://schemas.openxmlformats.org/officeDocument/2006/relationships/hyperlink" Target="https://www.google.com/maps?q=-7.1816915,-48.2205730" TargetMode="External"/><Relationship Id="rId72" Type="http://schemas.openxmlformats.org/officeDocument/2006/relationships/hyperlink" Target="https://www.google.com/maps?q=-7.1820030,-48.2204235" TargetMode="External"/><Relationship Id="rId73" Type="http://schemas.openxmlformats.org/officeDocument/2006/relationships/hyperlink" Target="https://www.google.com/maps?q=-7.1821680,-48.2203440" TargetMode="External"/><Relationship Id="rId74" Type="http://schemas.openxmlformats.org/officeDocument/2006/relationships/hyperlink" Target="https://www.google.com/maps?q=-7.1825635,-48.2201530" TargetMode="External"/><Relationship Id="rId75" Type="http://schemas.openxmlformats.org/officeDocument/2006/relationships/hyperlink" Target="https://www.google.com/maps?q=-7.1830740,-48.2199070" TargetMode="External"/><Relationship Id="rId76" Type="http://schemas.openxmlformats.org/officeDocument/2006/relationships/hyperlink" Target="https://www.google.com/maps?q=-7.1834595,-48.2197230" TargetMode="External"/><Relationship Id="rId77" Type="http://schemas.openxmlformats.org/officeDocument/2006/relationships/hyperlink" Target="https://www.google.com/maps?q=-7.1838570,-48.2195300" TargetMode="External"/><Relationship Id="rId78" Type="http://schemas.openxmlformats.org/officeDocument/2006/relationships/hyperlink" Target="https://www.google.com/maps?q=-7.1841065,-48.2194040" TargetMode="External"/><Relationship Id="rId79" Type="http://schemas.openxmlformats.org/officeDocument/2006/relationships/hyperlink" Target="https://www.google.com/maps?q=-7.1842655,-48.2193235" TargetMode="External"/><Relationship Id="rId80" Type="http://schemas.openxmlformats.org/officeDocument/2006/relationships/hyperlink" Target="https://www.google.com/maps?q=-7.1844710,-48.2192195" TargetMode="External"/><Relationship Id="rId81" Type="http://schemas.openxmlformats.org/officeDocument/2006/relationships/hyperlink" Target="https://www.google.com/maps?q=-7.1850710,-48.2188855" TargetMode="External"/><Relationship Id="rId82" Type="http://schemas.openxmlformats.org/officeDocument/2006/relationships/hyperlink" Target="https://www.google.com/maps?q=-7.1855255,-48.2186230" TargetMode="External"/><Relationship Id="rId83" Type="http://schemas.openxmlformats.org/officeDocument/2006/relationships/hyperlink" Target="https://www.google.com/maps?q=-7.1856075,-48.2185565" TargetMode="External"/><Relationship Id="rId84" Type="http://schemas.openxmlformats.org/officeDocument/2006/relationships/hyperlink" Target="https://www.google.com/maps?q=-7.1861815,-48.2180195" TargetMode="External"/><Relationship Id="rId85" Type="http://schemas.openxmlformats.org/officeDocument/2006/relationships/hyperlink" Target="https://www.google.com/maps?q=-7.1867075,-48.2175170" TargetMode="External"/><Relationship Id="rId86" Type="http://schemas.openxmlformats.org/officeDocument/2006/relationships/hyperlink" Target="https://www.google.com/maps?q=-7.1868410,-48.2173835" TargetMode="External"/><Relationship Id="rId87" Type="http://schemas.openxmlformats.org/officeDocument/2006/relationships/hyperlink" Target="https://www.google.com/maps?q=-7.1871740,-48.2170505" TargetMode="External"/><Relationship Id="rId88" Type="http://schemas.openxmlformats.org/officeDocument/2006/relationships/hyperlink" Target="https://www.google.com/maps?q=-7.1874950,-48.2167285" TargetMode="External"/><Relationship Id="rId89" Type="http://schemas.openxmlformats.org/officeDocument/2006/relationships/hyperlink" Target="https://www.google.com/maps?q=-7.1875915,-48.2166305" TargetMode="External"/><Relationship Id="rId90" Type="http://schemas.openxmlformats.org/officeDocument/2006/relationships/hyperlink" Target="https://www.google.com/maps?q=-7.1875945,-48.2166155" TargetMode="External"/><Relationship Id="rId91" Type="http://schemas.openxmlformats.org/officeDocument/2006/relationships/hyperlink" Target="https://www.google.com/maps?q=-7.1875980,-48.2166015" TargetMode="External"/><Relationship Id="rId92" Type="http://schemas.openxmlformats.org/officeDocument/2006/relationships/hyperlink" Target="https://www.google.com/maps?q=-7.1876070,-48.2165940" TargetMode="External"/><Relationship Id="rId93" Type="http://schemas.openxmlformats.org/officeDocument/2006/relationships/hyperlink" Target="https://www.google.com/maps?q=-7.1876165,-48.2165870" TargetMode="External"/><Relationship Id="rId94" Type="http://schemas.openxmlformats.org/officeDocument/2006/relationships/hyperlink" Target="https://www.google.com/maps?q=-7.1876290,-48.2165850" TargetMode="External"/><Relationship Id="rId95" Type="http://schemas.openxmlformats.org/officeDocument/2006/relationships/hyperlink" Target="https://www.google.com/maps?q=-7.1876820,-48.2165405" TargetMode="External"/><Relationship Id="rId96" Type="http://schemas.openxmlformats.org/officeDocument/2006/relationships/hyperlink" Target="https://www.google.com/maps?q=-7.1877375,-48.2164880" TargetMode="External"/><Relationship Id="rId97" Type="http://schemas.openxmlformats.org/officeDocument/2006/relationships/hyperlink" Target="https://www.google.com/maps?q=-7.1878815,-48.2163620" TargetMode="External"/><Relationship Id="rId98" Type="http://schemas.openxmlformats.org/officeDocument/2006/relationships/hyperlink" Target="https://www.google.com/maps?q=-7.1880115,-48.2162360" TargetMode="External"/><Relationship Id="rId99" Type="http://schemas.openxmlformats.org/officeDocument/2006/relationships/hyperlink" Target="https://www.google.com/maps?q=-7.1878305,-48.2160425" TargetMode="External"/><Relationship Id="rId100" Type="http://schemas.openxmlformats.org/officeDocument/2006/relationships/hyperlink" Target="https://www.google.com/maps?q=-7.1874410,-48.2156475" TargetMode="External"/><Relationship Id="rId101" Type="http://schemas.openxmlformats.org/officeDocument/2006/relationships/hyperlink" Target="https://www.google.com/maps?q=-7.1874210,-48.2152400" TargetMode="External"/><Relationship Id="rId102" Type="http://schemas.openxmlformats.org/officeDocument/2006/relationships/hyperlink" Target="https://www.google.com/maps?q=-7.1876645,-48.2149845" TargetMode="External"/><Relationship Id="rId103" Type="http://schemas.openxmlformats.org/officeDocument/2006/relationships/hyperlink" Target="https://www.google.com/maps?q=-7.1879540,-48.2146510" TargetMode="External"/><Relationship Id="rId104" Type="http://schemas.openxmlformats.org/officeDocument/2006/relationships/hyperlink" Target="https://www.google.com/maps?q=-7.1882635,-48.2142650" TargetMode="External"/><Relationship Id="rId105" Type="http://schemas.openxmlformats.org/officeDocument/2006/relationships/hyperlink" Target="https://www.google.com/maps?q=-7.1883545,-48.2141260" TargetMode="External"/><Relationship Id="rId106" Type="http://schemas.openxmlformats.org/officeDocument/2006/relationships/hyperlink" Target="https://www.google.com/maps?q=-7.1884235,-48.2139355" TargetMode="External"/><Relationship Id="rId107" Type="http://schemas.openxmlformats.org/officeDocument/2006/relationships/hyperlink" Target="https://www.google.com/maps?q=-7.1884805,-48.2137560" TargetMode="External"/><Relationship Id="rId108" Type="http://schemas.openxmlformats.org/officeDocument/2006/relationships/hyperlink" Target="https://www.google.com/maps?q=-7.1885675,-48.2134400" TargetMode="External"/><Relationship Id="rId109" Type="http://schemas.openxmlformats.org/officeDocument/2006/relationships/hyperlink" Target="https://www.google.com/maps?q=-7.1888305,-48.2125340" TargetMode="External"/><Relationship Id="rId110" Type="http://schemas.openxmlformats.org/officeDocument/2006/relationships/hyperlink" Target="https://www.google.com/maps?q=-7.1888730,-48.2117410" TargetMode="External"/><Relationship Id="rId111" Type="http://schemas.openxmlformats.org/officeDocument/2006/relationships/hyperlink" Target="https://www.google.com/maps?q=-7.1885700,-48.2113435" TargetMode="External"/><Relationship Id="rId112" Type="http://schemas.openxmlformats.org/officeDocument/2006/relationships/hyperlink" Target="https://www.google.com/maps?q=-7.1881040,-48.2107475" TargetMode="External"/><Relationship Id="rId113" Type="http://schemas.openxmlformats.org/officeDocument/2006/relationships/hyperlink" Target="https://www.google.com/maps?q=-7.1877240,-48.2102605" TargetMode="External"/><Relationship Id="rId114" Type="http://schemas.openxmlformats.org/officeDocument/2006/relationships/hyperlink" Target="https://www.google.com/maps?q=-7.1874110,-48.2098600" TargetMode="External"/><Relationship Id="rId115" Type="http://schemas.openxmlformats.org/officeDocument/2006/relationships/hyperlink" Target="https://www.google.com/maps?q=-7.1873000,-48.2091830" TargetMode="External"/><Relationship Id="rId116" Type="http://schemas.openxmlformats.org/officeDocument/2006/relationships/hyperlink" Target="https://www.google.com/maps?q=-7.1874490,-48.2087215" TargetMode="External"/><Relationship Id="rId117" Type="http://schemas.openxmlformats.org/officeDocument/2006/relationships/hyperlink" Target="https://www.google.com/maps?q=-7.1875670,-48.2083385" TargetMode="External"/><Relationship Id="rId118" Type="http://schemas.openxmlformats.org/officeDocument/2006/relationships/hyperlink" Target="https://www.google.com/maps?q=-7.1876555,-48.2080495" TargetMode="External"/><Relationship Id="rId119" Type="http://schemas.openxmlformats.org/officeDocument/2006/relationships/hyperlink" Target="https://www.google.com/maps?q=-7.1877160,-48.2078535" TargetMode="External"/><Relationship Id="rId120" Type="http://schemas.openxmlformats.org/officeDocument/2006/relationships/hyperlink" Target="https://www.google.com/maps?q=-7.1878620,-48.2076705" TargetMode="External"/><Relationship Id="rId121" Type="http://schemas.openxmlformats.org/officeDocument/2006/relationships/hyperlink" Target="https://www.google.com/maps?q=-7.1879610,-48.2076985" TargetMode="External"/><Relationship Id="rId122" Type="http://schemas.openxmlformats.org/officeDocument/2006/relationships/hyperlink" Target="https://www.google.com/maps?q=-7.1881165,-48.2077435" TargetMode="External"/><Relationship Id="rId123" Type="http://schemas.openxmlformats.org/officeDocument/2006/relationships/hyperlink" Target="https://www.google.com/maps?q=-7.1882555,-48.2077855" TargetMode="External"/><Relationship Id="rId124" Type="http://schemas.openxmlformats.org/officeDocument/2006/relationships/hyperlink" Target="https://www.google.com/maps?q=-7.1882640,-48.2077985" TargetMode="External"/><Relationship Id="rId125" Type="http://schemas.openxmlformats.org/officeDocument/2006/relationships/hyperlink" Target="https://www.google.com/maps?q=-7.1882735,-48.2078100" TargetMode="External"/><Relationship Id="rId126" Type="http://schemas.openxmlformats.org/officeDocument/2006/relationships/hyperlink" Target="https://www.google.com/maps?q=-7.1878975,-48.2072620" TargetMode="External"/><Relationship Id="rId127" Type="http://schemas.openxmlformats.org/officeDocument/2006/relationships/hyperlink" Target="https://www.google.com/maps?q=-7.1881185,-48.2065415" TargetMode="External"/><Relationship Id="rId128" Type="http://schemas.openxmlformats.org/officeDocument/2006/relationships/hyperlink" Target="https://www.google.com/maps?q=-7.1882175,-48.2062210" TargetMode="External"/><Relationship Id="rId129" Type="http://schemas.openxmlformats.org/officeDocument/2006/relationships/hyperlink" Target="https://www.google.com/maps?q=-7.1883310,-48.2058535" TargetMode="External"/><Relationship Id="rId130" Type="http://schemas.openxmlformats.org/officeDocument/2006/relationships/hyperlink" Target="https://www.google.com/maps?q=-7.1884580,-48.2054670" TargetMode="External"/><Relationship Id="rId131" Type="http://schemas.openxmlformats.org/officeDocument/2006/relationships/hyperlink" Target="https://www.google.com/maps?q=-7.1885275,-48.2054825" TargetMode="External"/><Relationship Id="rId132" Type="http://schemas.openxmlformats.org/officeDocument/2006/relationships/hyperlink" Target="https://www.google.com/maps?q=-7.1886435,-48.2055215" TargetMode="External"/><Relationship Id="rId133" Type="http://schemas.openxmlformats.org/officeDocument/2006/relationships/hyperlink" Target="https://www.google.com/maps?q=-7.1887160,-48.2055455" TargetMode="External"/><Relationship Id="rId134" Type="http://schemas.openxmlformats.org/officeDocument/2006/relationships/hyperlink" Target="https://www.google.com/maps?q=-7.1889360,-48.2056155" TargetMode="External"/><Relationship Id="rId135" Type="http://schemas.openxmlformats.org/officeDocument/2006/relationships/hyperlink" Target="https://www.google.com/maps?q=-7.1891400,-48.2056895" TargetMode="External"/><Relationship Id="rId136" Type="http://schemas.openxmlformats.org/officeDocument/2006/relationships/hyperlink" Target="https://www.google.com/maps?q=-7.1890330,-48.2061115" TargetMode="External"/><Relationship Id="rId137" Type="http://schemas.openxmlformats.org/officeDocument/2006/relationships/hyperlink" Target="https://www.google.com/maps?q=-7.1889320,-48.2065335" TargetMode="External"/><Relationship Id="rId138" Type="http://schemas.openxmlformats.org/officeDocument/2006/relationships/hyperlink" Target="https://www.google.com/maps?q=-7.1890200,-48.2118905" TargetMode="External"/><Relationship Id="rId139" Type="http://schemas.openxmlformats.org/officeDocument/2006/relationships/hyperlink" Target="https://www.google.com/maps?q=-7.1890365,-48.2118535" TargetMode="External"/><Relationship Id="rId140" Type="http://schemas.openxmlformats.org/officeDocument/2006/relationships/hyperlink" Target="https://www.google.com/maps?q=-7.1883425,-48.2141575" TargetMode="External"/><Relationship Id="rId141" Type="http://schemas.openxmlformats.org/officeDocument/2006/relationships/hyperlink" Target="https://www.google.com/maps?q=-7.1879015,-48.2151105" TargetMode="External"/><Relationship Id="rId142" Type="http://schemas.openxmlformats.org/officeDocument/2006/relationships/hyperlink" Target="https://www.google.com/maps?q=-7.1880830,-48.2153020" TargetMode="External"/><Relationship Id="rId143" Type="http://schemas.openxmlformats.org/officeDocument/2006/relationships/hyperlink" Target="https://www.google.com/maps?q=-7.1871770,-48.2154865" TargetMode="External"/><Relationship Id="rId144" Type="http://schemas.openxmlformats.org/officeDocument/2006/relationships/hyperlink" Target="https://www.google.com/maps?q=-7.1871145,-48.2155450" TargetMode="External"/><Relationship Id="rId145" Type="http://schemas.openxmlformats.org/officeDocument/2006/relationships/hyperlink" Target="https://www.google.com/maps?q=-7.1870385,-48.2156190" TargetMode="External"/><Relationship Id="rId146" Type="http://schemas.openxmlformats.org/officeDocument/2006/relationships/hyperlink" Target="https://www.google.com/maps?q=-7.1869715,-48.2156865" TargetMode="External"/><Relationship Id="rId147" Type="http://schemas.openxmlformats.org/officeDocument/2006/relationships/hyperlink" Target="https://www.google.com/maps?q=-7.1913920,-48.2335835" TargetMode="External"/><Relationship Id="rId148" Type="http://schemas.openxmlformats.org/officeDocument/2006/relationships/hyperlink" Target="https://www.google.com/maps?q=-7.1922220,-48.2340025" TargetMode="External"/><Relationship Id="rId149" Type="http://schemas.openxmlformats.org/officeDocument/2006/relationships/hyperlink" Target="https://www.google.com/maps?q=-7.1925600,-48.2341265" TargetMode="External"/><Relationship Id="rId150" Type="http://schemas.openxmlformats.org/officeDocument/2006/relationships/hyperlink" Target="https://www.google.com/maps?q=-7.1929005,-48.2342520" TargetMode="External"/><Relationship Id="rId151" Type="http://schemas.openxmlformats.org/officeDocument/2006/relationships/hyperlink" Target="https://www.google.com/maps?q=-7.1931000,-48.2342725" TargetMode="External"/><Relationship Id="rId152" Type="http://schemas.openxmlformats.org/officeDocument/2006/relationships/hyperlink" Target="https://www.google.com/maps?q=-7.1906065,-48.2331080" TargetMode="External"/><Relationship Id="rId153" Type="http://schemas.openxmlformats.org/officeDocument/2006/relationships/hyperlink" Target="https://www.google.com/maps?q=-7.1887800,-48.2317690" TargetMode="External"/><Relationship Id="rId154" Type="http://schemas.openxmlformats.org/officeDocument/2006/relationships/hyperlink" Target="https://www.google.com/maps?q=-7.1875145,-48.2304605" TargetMode="External"/><Relationship Id="rId155" Type="http://schemas.openxmlformats.org/officeDocument/2006/relationships/hyperlink" Target="https://www.google.com/maps?q=-7.1875525,-48.2304645" TargetMode="External"/><Relationship Id="rId156" Type="http://schemas.openxmlformats.org/officeDocument/2006/relationships/hyperlink" Target="https://www.google.com/maps?q=-7.1875915,-48.2304010" TargetMode="External"/><Relationship Id="rId157" Type="http://schemas.openxmlformats.org/officeDocument/2006/relationships/hyperlink" Target="https://www.google.com/maps?q=-7.1868880,-48.2298355" TargetMode="External"/><Relationship Id="rId158" Type="http://schemas.openxmlformats.org/officeDocument/2006/relationships/hyperlink" Target="https://www.google.com/maps?q=-7.1869165,-48.2298030" TargetMode="External"/><Relationship Id="rId159" Type="http://schemas.openxmlformats.org/officeDocument/2006/relationships/hyperlink" Target="https://www.google.com/maps?q=-7.1866470,-48.2296085" TargetMode="External"/><Relationship Id="rId160" Type="http://schemas.openxmlformats.org/officeDocument/2006/relationships/hyperlink" Target="https://www.google.com/maps?q=-7.1866615,-48.2295950" TargetMode="External"/><Relationship Id="rId161" Type="http://schemas.openxmlformats.org/officeDocument/2006/relationships/hyperlink" Target="https://www.google.com/maps?q=-7.1859435,-48.2289430" TargetMode="External"/><Relationship Id="rId162" Type="http://schemas.openxmlformats.org/officeDocument/2006/relationships/hyperlink" Target="https://www.google.com/maps?q=-7.1859760,-48.2289125" TargetMode="External"/><Relationship Id="rId163" Type="http://schemas.openxmlformats.org/officeDocument/2006/relationships/hyperlink" Target="https://www.google.com/maps?q=-7.1837835,-48.2267740" TargetMode="External"/><Relationship Id="rId164" Type="http://schemas.openxmlformats.org/officeDocument/2006/relationships/hyperlink" Target="https://www.google.com/maps?q=-7.1838065,-48.2267345" TargetMode="External"/><Relationship Id="rId165" Type="http://schemas.openxmlformats.org/officeDocument/2006/relationships/hyperlink" Target="https://www.google.com/maps?q=-7.1836050,-48.2266325" TargetMode="External"/><Relationship Id="rId166" Type="http://schemas.openxmlformats.org/officeDocument/2006/relationships/hyperlink" Target="https://www.google.com/maps?q=-7.1833575,-48.2268910" TargetMode="External"/><Relationship Id="rId167" Type="http://schemas.openxmlformats.org/officeDocument/2006/relationships/hyperlink" Target="https://www.google.com/maps?q=-7.1831755,-48.2262085" TargetMode="External"/><Relationship Id="rId168" Type="http://schemas.openxmlformats.org/officeDocument/2006/relationships/hyperlink" Target="https://www.google.com/maps?q=-7.1831985,-48.2261715" TargetMode="External"/><Relationship Id="rId169" Type="http://schemas.openxmlformats.org/officeDocument/2006/relationships/hyperlink" Target="https://www.google.com/maps?q=-7.1831210,-48.2261585" TargetMode="External"/><Relationship Id="rId170" Type="http://schemas.openxmlformats.org/officeDocument/2006/relationships/hyperlink" Target="https://www.google.com/maps?q=-7.1831480,-48.2261310" TargetMode="External"/><Relationship Id="rId171" Type="http://schemas.openxmlformats.org/officeDocument/2006/relationships/hyperlink" Target="https://www.google.com/maps?q=-7.1831780,-48.2260235" TargetMode="External"/><Relationship Id="rId172" Type="http://schemas.openxmlformats.org/officeDocument/2006/relationships/hyperlink" Target="https://www.google.com/maps?q=-7.1831780,-48.2260120" TargetMode="External"/><Relationship Id="rId173" Type="http://schemas.openxmlformats.org/officeDocument/2006/relationships/hyperlink" Target="https://www.google.com/maps?q=-7.1822145,-48.2252660" TargetMode="External"/><Relationship Id="rId174" Type="http://schemas.openxmlformats.org/officeDocument/2006/relationships/hyperlink" Target="https://www.google.com/maps?q=-7.1822485,-48.2252260" TargetMode="External"/><Relationship Id="rId175" Type="http://schemas.openxmlformats.org/officeDocument/2006/relationships/hyperlink" Target="https://www.google.com/maps?q=-7.1822855,-48.2251835" TargetMode="External"/><Relationship Id="rId176" Type="http://schemas.openxmlformats.org/officeDocument/2006/relationships/hyperlink" Target="https://www.google.com/maps?q=-7.1826745,-48.2247785" TargetMode="External"/><Relationship Id="rId177" Type="http://schemas.openxmlformats.org/officeDocument/2006/relationships/hyperlink" Target="https://www.google.com/maps?q=-7.1823845,-48.2237310" TargetMode="External"/><Relationship Id="rId178" Type="http://schemas.openxmlformats.org/officeDocument/2006/relationships/hyperlink" Target="https://www.google.com/maps?q=-7.1820080,-48.2227455" TargetMode="External"/><Relationship Id="rId179" Type="http://schemas.openxmlformats.org/officeDocument/2006/relationships/hyperlink" Target="https://www.google.com/maps?q=-7.1815785,-48.2232320" TargetMode="External"/><Relationship Id="rId180" Type="http://schemas.openxmlformats.org/officeDocument/2006/relationships/hyperlink" Target="https://www.google.com/maps?q=-7.1813260,-48.2235170" TargetMode="External"/><Relationship Id="rId181" Type="http://schemas.openxmlformats.org/officeDocument/2006/relationships/hyperlink" Target="https://www.google.com/maps?q=-7.1816895,-48.2230560" TargetMode="External"/><Relationship Id="rId182" Type="http://schemas.openxmlformats.org/officeDocument/2006/relationships/hyperlink" Target="https://www.google.com/maps?q=-7.1831220,-48.2243115" TargetMode="External"/><Relationship Id="rId183" Type="http://schemas.openxmlformats.org/officeDocument/2006/relationships/hyperlink" Target="https://www.google.com/maps?q=-7.1832270,-48.2245490" TargetMode="External"/><Relationship Id="rId184" Type="http://schemas.openxmlformats.org/officeDocument/2006/relationships/hyperlink" Target="https://www.google.com/maps?q=-7.1834050,-48.2247210" TargetMode="External"/><Relationship Id="rId185" Type="http://schemas.openxmlformats.org/officeDocument/2006/relationships/hyperlink" Target="https://www.google.com/maps?q=-7.1839970,-48.2251940" TargetMode="External"/><Relationship Id="rId186" Type="http://schemas.openxmlformats.org/officeDocument/2006/relationships/hyperlink" Target="https://www.google.com/maps?q=-7.1845985,-48.2256640" TargetMode="External"/><Relationship Id="rId187" Type="http://schemas.openxmlformats.org/officeDocument/2006/relationships/hyperlink" Target="https://www.google.com/maps?q=-7.1847935,-48.2256275" TargetMode="External"/><Relationship Id="rId188" Type="http://schemas.openxmlformats.org/officeDocument/2006/relationships/hyperlink" Target="https://www.google.com/maps?q=-7.1849885,-48.2255895" TargetMode="External"/><Relationship Id="rId189" Type="http://schemas.openxmlformats.org/officeDocument/2006/relationships/hyperlink" Target="https://www.google.com/maps?q=-7.1851790,-48.2256320" TargetMode="External"/><Relationship Id="rId190" Type="http://schemas.openxmlformats.org/officeDocument/2006/relationships/hyperlink" Target="https://www.google.com/maps?q=-7.1854535,-48.2257005" TargetMode="External"/><Relationship Id="rId191" Type="http://schemas.openxmlformats.org/officeDocument/2006/relationships/hyperlink" Target="https://www.google.com/maps?q=-7.1855950,-48.2257385" TargetMode="External"/><Relationship Id="rId192" Type="http://schemas.openxmlformats.org/officeDocument/2006/relationships/hyperlink" Target="https://www.google.com/maps?q=-7.1855265,-48.2258050" TargetMode="External"/><Relationship Id="rId193" Type="http://schemas.openxmlformats.org/officeDocument/2006/relationships/hyperlink" Target="https://www.google.com/maps?q=-7.1863240,-48.2254970" TargetMode="External"/><Relationship Id="rId194" Type="http://schemas.openxmlformats.org/officeDocument/2006/relationships/hyperlink" Target="https://www.google.com/maps?q=-7.1870745,-48.2253700" TargetMode="External"/><Relationship Id="rId195" Type="http://schemas.openxmlformats.org/officeDocument/2006/relationships/hyperlink" Target="https://www.google.com/maps?q=-7.1871640,-48.2252660" TargetMode="External"/><Relationship Id="rId196" Type="http://schemas.openxmlformats.org/officeDocument/2006/relationships/hyperlink" Target="https://www.google.com/maps?q=-7.1871050,-48.2252220" TargetMode="External"/><Relationship Id="rId197" Type="http://schemas.openxmlformats.org/officeDocument/2006/relationships/hyperlink" Target="https://www.google.com/maps?q=-7.1788180,-48.2219145" TargetMode="External"/><Relationship Id="rId198" Type="http://schemas.openxmlformats.org/officeDocument/2006/relationships/hyperlink" Target="https://www.google.com/maps?q=-7.1787440,-48.2218405" TargetMode="External"/><Relationship Id="rId199" Type="http://schemas.openxmlformats.org/officeDocument/2006/relationships/hyperlink" Target="https://www.google.com/maps?q=-7.1786675,-48.2217610" TargetMode="External"/><Relationship Id="rId200" Type="http://schemas.openxmlformats.org/officeDocument/2006/relationships/hyperlink" Target="https://www.google.com/maps?q=-7.1785905,-48.2216830" TargetMode="External"/><Relationship Id="rId201" Type="http://schemas.openxmlformats.org/officeDocument/2006/relationships/hyperlink" Target="https://www.google.com/maps?q=-7.1784415,-48.2215335" TargetMode="External"/><Relationship Id="rId202" Type="http://schemas.openxmlformats.org/officeDocument/2006/relationships/hyperlink" Target="https://www.google.com/maps?q=-7.1782930,-48.2213830" TargetMode="External"/><Relationship Id="rId203" Type="http://schemas.openxmlformats.org/officeDocument/2006/relationships/hyperlink" Target="https://www.google.com/maps?q=-7.1781900,-48.2212750" TargetMode="External"/><Relationship Id="rId204" Type="http://schemas.openxmlformats.org/officeDocument/2006/relationships/hyperlink" Target="https://www.google.com/maps?q=-7.1780995,-48.2211555" TargetMode="External"/><Relationship Id="rId205" Type="http://schemas.openxmlformats.org/officeDocument/2006/relationships/hyperlink" Target="https://www.google.com/maps?q=-7.1780975,-48.2211790" TargetMode="External"/><Relationship Id="rId206" Type="http://schemas.openxmlformats.org/officeDocument/2006/relationships/hyperlink" Target="https://www.google.com/maps?q=-7.1780750,-48.2211695" TargetMode="External"/><Relationship Id="rId207" Type="http://schemas.openxmlformats.org/officeDocument/2006/relationships/hyperlink" Target="https://www.google.com/maps?q=-7.1787015,-48.2220755" TargetMode="External"/><Relationship Id="rId208" Type="http://schemas.openxmlformats.org/officeDocument/2006/relationships/hyperlink" Target="https://www.google.com/maps?q=-7.1795400,-48.2216695" TargetMode="External"/><Relationship Id="rId209" Type="http://schemas.openxmlformats.org/officeDocument/2006/relationships/hyperlink" Target="https://www.google.com/maps?q=-7.1795695,-48.2216520" TargetMode="External"/><Relationship Id="rId210" Type="http://schemas.openxmlformats.org/officeDocument/2006/relationships/hyperlink" Target="https://www.google.com/maps?q=-7.1803315,-48.2211460" TargetMode="External"/><Relationship Id="rId211" Type="http://schemas.openxmlformats.org/officeDocument/2006/relationships/hyperlink" Target="https://www.google.com/maps?q=-7.1803925,-48.2213295" TargetMode="External"/><Relationship Id="rId212" Type="http://schemas.openxmlformats.org/officeDocument/2006/relationships/hyperlink" Target="https://www.google.com/maps?q=-7.1804280,-48.2214330" TargetMode="External"/><Relationship Id="rId213" Type="http://schemas.openxmlformats.org/officeDocument/2006/relationships/hyperlink" Target="https://www.google.com/maps?q=-7.1804880,-48.2215210" TargetMode="External"/><Relationship Id="rId214" Type="http://schemas.openxmlformats.org/officeDocument/2006/relationships/hyperlink" Target="https://www.google.com/maps?q=-7.1806650,-48.2217975" TargetMode="External"/><Relationship Id="rId215" Type="http://schemas.openxmlformats.org/officeDocument/2006/relationships/hyperlink" Target="https://www.google.com/maps?q=-7.1808965,-48.2218715" TargetMode="External"/><Relationship Id="rId216" Type="http://schemas.openxmlformats.org/officeDocument/2006/relationships/hyperlink" Target="https://www.google.com/maps?q=-7.1810135,-48.2217430" TargetMode="External"/><Relationship Id="rId217" Type="http://schemas.openxmlformats.org/officeDocument/2006/relationships/hyperlink" Target="https://www.google.com/maps?q=-7.1808815,-48.2221330" TargetMode="External"/><Relationship Id="rId218" Type="http://schemas.openxmlformats.org/officeDocument/2006/relationships/hyperlink" Target="https://www.google.com/maps?q=-7.1810945,-48.2216910" TargetMode="External"/><Relationship Id="rId219" Type="http://schemas.openxmlformats.org/officeDocument/2006/relationships/hyperlink" Target="https://www.google.com/maps?q=-7.1811635,-48.2215755" TargetMode="External"/><Relationship Id="rId220" Type="http://schemas.openxmlformats.org/officeDocument/2006/relationships/hyperlink" Target="https://www.google.com/maps?q=-7.1806085,-48.2211170" TargetMode="External"/><Relationship Id="rId221" Type="http://schemas.openxmlformats.org/officeDocument/2006/relationships/hyperlink" Target="https://www.google.com/maps?q=-7.1805240,-48.2212165" TargetMode="External"/><Relationship Id="rId222" Type="http://schemas.openxmlformats.org/officeDocument/2006/relationships/hyperlink" Target="https://www.google.com/maps?q=-7.1804425,-48.2212350" TargetMode="External"/><Relationship Id="rId223" Type="http://schemas.openxmlformats.org/officeDocument/2006/relationships/hyperlink" Target="https://www.google.com/maps?q=-7.1815215,-48.2206505" TargetMode="External"/><Relationship Id="rId224" Type="http://schemas.openxmlformats.org/officeDocument/2006/relationships/hyperlink" Target="https://www.google.com/maps?q=-7.1814225,-48.2206460" TargetMode="External"/><Relationship Id="rId225" Type="http://schemas.openxmlformats.org/officeDocument/2006/relationships/hyperlink" Target="https://www.google.com/maps?q=-7.1821850,-48.2203430" TargetMode="External"/><Relationship Id="rId226" Type="http://schemas.openxmlformats.org/officeDocument/2006/relationships/hyperlink" Target="https://www.google.com/maps?q=-7.1821960,-48.2203645" TargetMode="External"/><Relationship Id="rId227" Type="http://schemas.openxmlformats.org/officeDocument/2006/relationships/hyperlink" Target="https://www.google.com/maps?q=-7.1823245,-48.2205955" TargetMode="External"/><Relationship Id="rId228" Type="http://schemas.openxmlformats.org/officeDocument/2006/relationships/hyperlink" Target="https://www.google.com/maps?q=-7.1827015,-48.2206755" TargetMode="External"/><Relationship Id="rId229" Type="http://schemas.openxmlformats.org/officeDocument/2006/relationships/hyperlink" Target="https://www.google.com/maps?q=-7.1830595,-48.2204900" TargetMode="External"/><Relationship Id="rId230" Type="http://schemas.openxmlformats.org/officeDocument/2006/relationships/hyperlink" Target="https://www.google.com/maps?q=-7.1824810,-48.2208790" TargetMode="External"/><Relationship Id="rId231" Type="http://schemas.openxmlformats.org/officeDocument/2006/relationships/hyperlink" Target="https://www.google.com/maps?q=-7.1824175,-48.2208280" TargetMode="External"/><Relationship Id="rId232" Type="http://schemas.openxmlformats.org/officeDocument/2006/relationships/hyperlink" Target="https://www.google.com/maps?q=-7.1832060,-48.2198485" TargetMode="External"/><Relationship Id="rId233" Type="http://schemas.openxmlformats.org/officeDocument/2006/relationships/hyperlink" Target="https://www.google.com/maps?q=-7.1832285,-48.2198925" TargetMode="External"/><Relationship Id="rId234" Type="http://schemas.openxmlformats.org/officeDocument/2006/relationships/hyperlink" Target="https://www.google.com/maps?q=-7.1832985,-48.2199775" TargetMode="External"/><Relationship Id="rId235" Type="http://schemas.openxmlformats.org/officeDocument/2006/relationships/hyperlink" Target="https://www.google.com/maps?q=-7.1837275,-48.2196025" TargetMode="External"/><Relationship Id="rId236" Type="http://schemas.openxmlformats.org/officeDocument/2006/relationships/hyperlink" Target="https://www.google.com/maps?q=-7.1838525,-48.2196065" TargetMode="External"/><Relationship Id="rId237" Type="http://schemas.openxmlformats.org/officeDocument/2006/relationships/hyperlink" Target="https://www.google.com/maps?q=-7.1839085,-48.2194010" TargetMode="External"/><Relationship Id="rId238" Type="http://schemas.openxmlformats.org/officeDocument/2006/relationships/hyperlink" Target="https://www.google.com/maps?q=-7.1838105,-48.2192625" TargetMode="External"/><Relationship Id="rId239" Type="http://schemas.openxmlformats.org/officeDocument/2006/relationships/hyperlink" Target="https://www.google.com/maps?q=-7.1840110,-48.2194580" TargetMode="External"/><Relationship Id="rId240" Type="http://schemas.openxmlformats.org/officeDocument/2006/relationships/hyperlink" Target="https://www.google.com/maps?q=-7.1841250,-48.2194535" TargetMode="External"/><Relationship Id="rId241" Type="http://schemas.openxmlformats.org/officeDocument/2006/relationships/hyperlink" Target="https://www.google.com/maps?q=-7.1842085,-48.2193470" TargetMode="External"/><Relationship Id="rId242" Type="http://schemas.openxmlformats.org/officeDocument/2006/relationships/hyperlink" Target="https://www.google.com/maps?q=-7.1841530,-48.2193140" TargetMode="External"/><Relationship Id="rId243" Type="http://schemas.openxmlformats.org/officeDocument/2006/relationships/hyperlink" Target="https://www.google.com/maps?q=-7.1846230,-48.2191550" TargetMode="External"/><Relationship Id="rId244" Type="http://schemas.openxmlformats.org/officeDocument/2006/relationships/hyperlink" Target="https://www.google.com/maps?q=-7.1846045,-48.2192790" TargetMode="External"/><Relationship Id="rId245" Type="http://schemas.openxmlformats.org/officeDocument/2006/relationships/hyperlink" Target="https://www.google.com/maps?q=-7.1845860,-48.2194065" TargetMode="External"/><Relationship Id="rId246" Type="http://schemas.openxmlformats.org/officeDocument/2006/relationships/hyperlink" Target="https://www.google.com/maps?q=-7.1846190,-48.2196835" TargetMode="External"/><Relationship Id="rId247" Type="http://schemas.openxmlformats.org/officeDocument/2006/relationships/hyperlink" Target="https://www.google.com/maps?q=-7.1847290,-48.2202940" TargetMode="External"/><Relationship Id="rId248" Type="http://schemas.openxmlformats.org/officeDocument/2006/relationships/hyperlink" Target="https://www.google.com/maps?q=-7.1848790,-48.2209650" TargetMode="External"/><Relationship Id="rId249" Type="http://schemas.openxmlformats.org/officeDocument/2006/relationships/hyperlink" Target="https://www.google.com/maps?q=-7.1850340,-48.2212460" TargetMode="External"/><Relationship Id="rId250" Type="http://schemas.openxmlformats.org/officeDocument/2006/relationships/hyperlink" Target="https://www.google.com/maps?q=-7.1851080,-48.2214860" TargetMode="External"/><Relationship Id="rId251" Type="http://schemas.openxmlformats.org/officeDocument/2006/relationships/hyperlink" Target="https://www.google.com/maps?q=-7.1856565,-48.2219620" TargetMode="External"/><Relationship Id="rId252" Type="http://schemas.openxmlformats.org/officeDocument/2006/relationships/hyperlink" Target="https://www.google.com/maps?q=-7.1861405,-48.2222805" TargetMode="External"/><Relationship Id="rId253" Type="http://schemas.openxmlformats.org/officeDocument/2006/relationships/hyperlink" Target="https://www.google.com/maps?q=-7.1863700,-48.2223995" TargetMode="External"/><Relationship Id="rId254" Type="http://schemas.openxmlformats.org/officeDocument/2006/relationships/hyperlink" Target="https://www.google.com/maps?q=-7.1865245,-48.2224835" TargetMode="External"/><Relationship Id="rId255" Type="http://schemas.openxmlformats.org/officeDocument/2006/relationships/hyperlink" Target="https://www.google.com/maps?q=-7.1868105,-48.2226240" TargetMode="External"/><Relationship Id="rId256" Type="http://schemas.openxmlformats.org/officeDocument/2006/relationships/hyperlink" Target="https://www.google.com/maps?q=-7.1872570,-48.2228730" TargetMode="External"/><Relationship Id="rId257" Type="http://schemas.openxmlformats.org/officeDocument/2006/relationships/hyperlink" Target="https://www.google.com/maps?q=-7.1875750,-48.2230710" TargetMode="External"/><Relationship Id="rId258" Type="http://schemas.openxmlformats.org/officeDocument/2006/relationships/hyperlink" Target="https://www.google.com/maps?q=-7.1877175,-48.2231575" TargetMode="External"/><Relationship Id="rId259" Type="http://schemas.openxmlformats.org/officeDocument/2006/relationships/hyperlink" Target="https://www.google.com/maps?q=-7.1874290,-48.2229810" TargetMode="External"/><Relationship Id="rId260" Type="http://schemas.openxmlformats.org/officeDocument/2006/relationships/hyperlink" Target="https://www.google.com/maps?q=-7.1873980,-48.2228950" TargetMode="External"/><Relationship Id="rId261" Type="http://schemas.openxmlformats.org/officeDocument/2006/relationships/hyperlink" Target="https://www.google.com/maps?q=-7.1873845,-48.2228130" TargetMode="External"/><Relationship Id="rId262" Type="http://schemas.openxmlformats.org/officeDocument/2006/relationships/hyperlink" Target="https://www.google.com/maps?q=-7.1870865,-48.2227645" TargetMode="External"/><Relationship Id="rId263" Type="http://schemas.openxmlformats.org/officeDocument/2006/relationships/hyperlink" Target="https://www.google.com/maps?q=-7.1871580,-48.2228905" TargetMode="External"/><Relationship Id="rId264" Type="http://schemas.openxmlformats.org/officeDocument/2006/relationships/hyperlink" Target="https://www.google.com/maps?q=-7.1872285,-48.2230265" TargetMode="External"/><Relationship Id="rId265" Type="http://schemas.openxmlformats.org/officeDocument/2006/relationships/hyperlink" Target="https://www.google.com/maps?q=-7.1860530,-48.2222345" TargetMode="External"/><Relationship Id="rId266" Type="http://schemas.openxmlformats.org/officeDocument/2006/relationships/hyperlink" Target="https://www.google.com/maps?q=-7.1849280,-48.2212980" TargetMode="External"/><Relationship Id="rId267" Type="http://schemas.openxmlformats.org/officeDocument/2006/relationships/hyperlink" Target="https://www.google.com/maps?q=-7.1848880,-48.2213175" TargetMode="External"/><Relationship Id="rId268" Type="http://schemas.openxmlformats.org/officeDocument/2006/relationships/hyperlink" Target="https://www.google.com/maps?q=-7.1848120,-48.2206360" TargetMode="External"/><Relationship Id="rId269" Type="http://schemas.openxmlformats.org/officeDocument/2006/relationships/hyperlink" Target="https://www.google.com/maps?q=-7.1846670,-48.2199375" TargetMode="External"/><Relationship Id="rId270" Type="http://schemas.openxmlformats.org/officeDocument/2006/relationships/hyperlink" Target="https://www.google.com/maps?q=-7.1877070,-48.2232000" TargetMode="External"/><Relationship Id="rId271" Type="http://schemas.openxmlformats.org/officeDocument/2006/relationships/hyperlink" Target="https://www.google.com/maps?q=-7.1876930,-48.2231770" TargetMode="External"/><Relationship Id="rId272" Type="http://schemas.openxmlformats.org/officeDocument/2006/relationships/hyperlink" Target="https://www.google.com/maps?q=-7.1876930,-48.2231660" TargetMode="External"/><Relationship Id="rId273" Type="http://schemas.openxmlformats.org/officeDocument/2006/relationships/hyperlink" Target="https://www.google.com/maps?q=-7.1877215,-48.2232290" TargetMode="External"/><Relationship Id="rId274" Type="http://schemas.openxmlformats.org/officeDocument/2006/relationships/hyperlink" Target="https://www.google.com/maps?q=-7.1877440,-48.2227145" TargetMode="External"/><Relationship Id="rId275" Type="http://schemas.openxmlformats.org/officeDocument/2006/relationships/hyperlink" Target="https://www.google.com/maps?q=-7.1882520,-48.2225595" TargetMode="External"/><Relationship Id="rId276" Type="http://schemas.openxmlformats.org/officeDocument/2006/relationships/hyperlink" Target="https://www.google.com/maps?q=-7.1885520,-48.2224480" TargetMode="External"/><Relationship Id="rId277" Type="http://schemas.openxmlformats.org/officeDocument/2006/relationships/hyperlink" Target="https://www.google.com/maps?q=-7.1887045,-48.2223915" TargetMode="External"/><Relationship Id="rId278" Type="http://schemas.openxmlformats.org/officeDocument/2006/relationships/hyperlink" Target="https://www.google.com/maps?q=-7.1887820,-48.2223560" TargetMode="External"/><Relationship Id="rId279" Type="http://schemas.openxmlformats.org/officeDocument/2006/relationships/hyperlink" Target="https://www.google.com/maps?q=-7.1889500,-48.2226915" TargetMode="External"/><Relationship Id="rId280" Type="http://schemas.openxmlformats.org/officeDocument/2006/relationships/hyperlink" Target="https://www.google.com/maps?q=-7.1890645,-48.2230550" TargetMode="External"/><Relationship Id="rId281" Type="http://schemas.openxmlformats.org/officeDocument/2006/relationships/hyperlink" Target="https://www.google.com/maps?q=-7.1892060,-48.2230175" TargetMode="External"/><Relationship Id="rId282" Type="http://schemas.openxmlformats.org/officeDocument/2006/relationships/hyperlink" Target="https://www.google.com/maps?q=-7.1893505,-48.2229630" TargetMode="External"/><Relationship Id="rId283" Type="http://schemas.openxmlformats.org/officeDocument/2006/relationships/hyperlink" Target="https://www.google.com/maps?q=-7.1893405,-48.2229830" TargetMode="External"/><Relationship Id="rId284" Type="http://schemas.openxmlformats.org/officeDocument/2006/relationships/hyperlink" Target="https://www.google.com/maps?q=-7.1893640,-48.2229860" TargetMode="External"/><Relationship Id="rId285" Type="http://schemas.openxmlformats.org/officeDocument/2006/relationships/hyperlink" Target="https://www.google.com/maps?q=-7.1890885,-48.2231705" TargetMode="External"/><Relationship Id="rId286" Type="http://schemas.openxmlformats.org/officeDocument/2006/relationships/hyperlink" Target="https://www.google.com/maps?q=-7.1891480,-48.2233785" TargetMode="External"/><Relationship Id="rId287" Type="http://schemas.openxmlformats.org/officeDocument/2006/relationships/hyperlink" Target="https://www.google.com/maps?q=-7.1888760,-48.2223110" TargetMode="External"/><Relationship Id="rId288" Type="http://schemas.openxmlformats.org/officeDocument/2006/relationships/hyperlink" Target="https://www.google.com/maps?q=-7.1888000,-48.2221715" TargetMode="External"/><Relationship Id="rId289" Type="http://schemas.openxmlformats.org/officeDocument/2006/relationships/hyperlink" Target="https://www.google.com/maps?q=-7.1881190,-48.2227210" TargetMode="External"/><Relationship Id="rId290" Type="http://schemas.openxmlformats.org/officeDocument/2006/relationships/hyperlink" Target="https://www.google.com/maps?q=-7.1880725,-48.2225665" TargetMode="External"/><Relationship Id="rId291" Type="http://schemas.openxmlformats.org/officeDocument/2006/relationships/hyperlink" Target="https://www.google.com/maps?q=-7.1880110,-48.2223675" TargetMode="External"/><Relationship Id="rId292" Type="http://schemas.openxmlformats.org/officeDocument/2006/relationships/hyperlink" Target="https://www.google.com/maps?q=-7.1879605,-48.2222070" TargetMode="External"/><Relationship Id="rId293" Type="http://schemas.openxmlformats.org/officeDocument/2006/relationships/hyperlink" Target="https://www.google.com/maps?q=-7.1878045,-48.2216960" TargetMode="External"/><Relationship Id="rId294" Type="http://schemas.openxmlformats.org/officeDocument/2006/relationships/hyperlink" Target="https://www.google.com/maps?q=-7.1876065,-48.2210520" TargetMode="External"/><Relationship Id="rId295" Type="http://schemas.openxmlformats.org/officeDocument/2006/relationships/hyperlink" Target="https://www.google.com/maps?q=-7.1880505,-48.2225140" TargetMode="External"/><Relationship Id="rId296" Type="http://schemas.openxmlformats.org/officeDocument/2006/relationships/hyperlink" Target="https://www.google.com/maps?q=-7.1879950,-48.2225225" TargetMode="External"/><Relationship Id="rId297" Type="http://schemas.openxmlformats.org/officeDocument/2006/relationships/hyperlink" Target="https://www.google.com/maps?q=-7.1872845,-48.2233550" TargetMode="External"/><Relationship Id="rId298" Type="http://schemas.openxmlformats.org/officeDocument/2006/relationships/hyperlink" Target="https://www.google.com/maps?q=-7.1872595,-48.2242635" TargetMode="External"/><Relationship Id="rId299" Type="http://schemas.openxmlformats.org/officeDocument/2006/relationships/hyperlink" Target="https://www.google.com/maps?q=-7.1871520,-48.2250035" TargetMode="External"/><Relationship Id="rId300" Type="http://schemas.openxmlformats.org/officeDocument/2006/relationships/hyperlink" Target="https://www.google.com/maps?q=-7.1860700,-48.2222025" TargetMode="External"/><Relationship Id="rId301" Type="http://schemas.openxmlformats.org/officeDocument/2006/relationships/hyperlink" Target="https://www.google.com/maps?q=-7.1860720,-48.2221610" TargetMode="External"/><Relationship Id="rId302" Type="http://schemas.openxmlformats.org/officeDocument/2006/relationships/hyperlink" Target="https://www.google.com/maps?q=-7.1843225,-48.2215960" TargetMode="External"/><Relationship Id="rId303" Type="http://schemas.openxmlformats.org/officeDocument/2006/relationships/hyperlink" Target="https://www.google.com/maps?q=-7.1835615,-48.2215730" TargetMode="External"/><Relationship Id="rId304" Type="http://schemas.openxmlformats.org/officeDocument/2006/relationships/hyperlink" Target="https://www.google.com/maps?q=-7.1832555,-48.2211430" TargetMode="External"/><Relationship Id="rId305" Type="http://schemas.openxmlformats.org/officeDocument/2006/relationships/hyperlink" Target="https://www.google.com/maps?q=-7.1831495,-48.2209925" TargetMode="External"/><Relationship Id="rId306" Type="http://schemas.openxmlformats.org/officeDocument/2006/relationships/hyperlink" Target="https://www.google.com/maps?q=-7.1830970,-48.2209200" TargetMode="External"/><Relationship Id="rId307" Type="http://schemas.openxmlformats.org/officeDocument/2006/relationships/hyperlink" Target="https://www.google.com/maps?q=-7.1830040,-48.2207905" TargetMode="External"/><Relationship Id="rId308" Type="http://schemas.openxmlformats.org/officeDocument/2006/relationships/hyperlink" Target="https://www.google.com/maps?q=-7.1830580,-48.2208590" TargetMode="External"/><Relationship Id="rId309" Type="http://schemas.openxmlformats.org/officeDocument/2006/relationships/hyperlink" Target="https://www.google.com/maps?q=-7.1837035,-48.2219015" TargetMode="External"/><Relationship Id="rId310" Type="http://schemas.openxmlformats.org/officeDocument/2006/relationships/hyperlink" Target="https://www.google.com/maps?q=-7.1837965,-48.2219020" TargetMode="External"/><Relationship Id="rId311" Type="http://schemas.openxmlformats.org/officeDocument/2006/relationships/hyperlink" Target="https://www.google.com/maps?q=-7.1838300,-48.2219520" TargetMode="External"/><Relationship Id="rId312" Type="http://schemas.openxmlformats.org/officeDocument/2006/relationships/hyperlink" Target="https://www.google.com/maps?q=-7.1839560,-48.2220995" TargetMode="External"/><Relationship Id="rId313" Type="http://schemas.openxmlformats.org/officeDocument/2006/relationships/hyperlink" Target="https://www.google.com/maps?q=-7.1840725,-48.2222390" TargetMode="External"/><Relationship Id="rId314" Type="http://schemas.openxmlformats.org/officeDocument/2006/relationships/hyperlink" Target="https://www.google.com/maps?q=-7.1830950,-48.2208300" TargetMode="External"/><Relationship Id="rId315" Type="http://schemas.openxmlformats.org/officeDocument/2006/relationships/hyperlink" Target="https://www.google.com/maps?q=-7.1831235,-48.2207325" TargetMode="External"/><Relationship Id="rId316" Type="http://schemas.openxmlformats.org/officeDocument/2006/relationships/hyperlink" Target="https://www.google.com/maps?q=-7.1840510,-48.2223075" TargetMode="External"/><Relationship Id="rId317" Type="http://schemas.openxmlformats.org/officeDocument/2006/relationships/hyperlink" Target="https://www.google.com/maps?q=-7.1848895,-48.2205525" TargetMode="External"/><Relationship Id="rId318" Type="http://schemas.openxmlformats.org/officeDocument/2006/relationships/hyperlink" Target="https://www.google.com/maps?q=-7.1849640,-48.2203930" TargetMode="External"/><Relationship Id="rId319" Type="http://schemas.openxmlformats.org/officeDocument/2006/relationships/hyperlink" Target="https://www.google.com/maps?q=-7.1849745,-48.2204910" TargetMode="External"/><Relationship Id="rId320" Type="http://schemas.openxmlformats.org/officeDocument/2006/relationships/hyperlink" Target="https://www.google.com/maps?q=-7.1847935,-48.2198725" TargetMode="External"/><Relationship Id="rId321" Type="http://schemas.openxmlformats.org/officeDocument/2006/relationships/hyperlink" Target="https://www.google.com/maps?q=-7.1857165,-48.2185335" TargetMode="External"/><Relationship Id="rId322" Type="http://schemas.openxmlformats.org/officeDocument/2006/relationships/hyperlink" Target="https://www.google.com/maps?q=-7.1857615,-48.2185805" TargetMode="External"/><Relationship Id="rId323" Type="http://schemas.openxmlformats.org/officeDocument/2006/relationships/hyperlink" Target="https://www.google.com/maps?q=-7.1860620,-48.2188860" TargetMode="External"/><Relationship Id="rId324" Type="http://schemas.openxmlformats.org/officeDocument/2006/relationships/hyperlink" Target="https://www.google.com/maps?q=-7.1863900,-48.2192165" TargetMode="External"/><Relationship Id="rId325" Type="http://schemas.openxmlformats.org/officeDocument/2006/relationships/hyperlink" Target="https://www.google.com/maps?q=-7.1856185,-48.2184305" TargetMode="External"/><Relationship Id="rId326" Type="http://schemas.openxmlformats.org/officeDocument/2006/relationships/hyperlink" Target="https://www.google.com/maps?q=-7.1855485,-48.2183580" TargetMode="External"/><Relationship Id="rId327" Type="http://schemas.openxmlformats.org/officeDocument/2006/relationships/hyperlink" Target="https://www.google.com/maps?q=-7.1853695,-48.2181775" TargetMode="External"/><Relationship Id="rId328" Type="http://schemas.openxmlformats.org/officeDocument/2006/relationships/hyperlink" Target="https://www.google.com/maps?q=-7.1848330,-48.2176320" TargetMode="External"/><Relationship Id="rId329" Type="http://schemas.openxmlformats.org/officeDocument/2006/relationships/hyperlink" Target="https://www.google.com/maps?q=-7.1845480,-48.2171805" TargetMode="External"/><Relationship Id="rId330" Type="http://schemas.openxmlformats.org/officeDocument/2006/relationships/hyperlink" Target="https://www.google.com/maps?q=-7.1846365,-48.2170940" TargetMode="External"/><Relationship Id="rId331" Type="http://schemas.openxmlformats.org/officeDocument/2006/relationships/hyperlink" Target="https://www.google.com/maps?q=-7.1843790,-48.2171690" TargetMode="External"/><Relationship Id="rId332" Type="http://schemas.openxmlformats.org/officeDocument/2006/relationships/hyperlink" Target="https://www.google.com/maps?q=-7.1843990,-48.2173265" TargetMode="External"/><Relationship Id="rId333" Type="http://schemas.openxmlformats.org/officeDocument/2006/relationships/hyperlink" Target="https://www.google.com/maps?q=-7.1850205,-48.2167240" TargetMode="External"/><Relationship Id="rId334" Type="http://schemas.openxmlformats.org/officeDocument/2006/relationships/hyperlink" Target="https://www.google.com/maps?q=-7.1852125,-48.2161615" TargetMode="External"/><Relationship Id="rId335" Type="http://schemas.openxmlformats.org/officeDocument/2006/relationships/hyperlink" Target="https://www.google.com/maps?q=-7.1845120,-48.2154520" TargetMode="External"/><Relationship Id="rId336" Type="http://schemas.openxmlformats.org/officeDocument/2006/relationships/hyperlink" Target="https://www.google.com/maps?q=-7.1839690,-48.2149580" TargetMode="External"/><Relationship Id="rId337" Type="http://schemas.openxmlformats.org/officeDocument/2006/relationships/hyperlink" Target="https://www.google.com/maps?q=-7.1843980,-48.2140995" TargetMode="External"/><Relationship Id="rId338" Type="http://schemas.openxmlformats.org/officeDocument/2006/relationships/hyperlink" Target="https://www.google.com/maps?q=-7.1847310,-48.2129595" TargetMode="External"/><Relationship Id="rId339" Type="http://schemas.openxmlformats.org/officeDocument/2006/relationships/hyperlink" Target="https://www.google.com/maps?q=-7.1837680,-48.2147000" TargetMode="External"/><Relationship Id="rId340" Type="http://schemas.openxmlformats.org/officeDocument/2006/relationships/hyperlink" Target="https://www.google.com/maps?q=-7.1850275,-48.2159580" TargetMode="External"/><Relationship Id="rId341" Type="http://schemas.openxmlformats.org/officeDocument/2006/relationships/hyperlink" Target="https://www.google.com/maps?q=-7.1855130,-48.2162470" TargetMode="External"/><Relationship Id="rId342" Type="http://schemas.openxmlformats.org/officeDocument/2006/relationships/hyperlink" Target="https://www.google.com/maps?q=-7.1857695,-48.2159975" TargetMode="External"/><Relationship Id="rId343" Type="http://schemas.openxmlformats.org/officeDocument/2006/relationships/hyperlink" Target="https://www.google.com/maps?q=-7.1859665,-48.2158065" TargetMode="External"/><Relationship Id="rId344" Type="http://schemas.openxmlformats.org/officeDocument/2006/relationships/hyperlink" Target="https://www.google.com/maps?q=-7.1859640,-48.2159090" TargetMode="External"/><Relationship Id="rId345" Type="http://schemas.openxmlformats.org/officeDocument/2006/relationships/hyperlink" Target="https://www.google.com/maps?q=-7.1857860,-48.2157260" TargetMode="External"/><Relationship Id="rId346" Type="http://schemas.openxmlformats.org/officeDocument/2006/relationships/hyperlink" Target="https://www.google.com/maps?q=-7.1855775,-48.2155010" TargetMode="External"/><Relationship Id="rId347" Type="http://schemas.openxmlformats.org/officeDocument/2006/relationships/hyperlink" Target="https://www.google.com/maps?q=-7.1856705,-48.2155825" TargetMode="External"/><Relationship Id="rId348" Type="http://schemas.openxmlformats.org/officeDocument/2006/relationships/hyperlink" Target="https://www.google.com/maps?q=-7.1854240,-48.2163915" TargetMode="External"/><Relationship Id="rId349" Type="http://schemas.openxmlformats.org/officeDocument/2006/relationships/hyperlink" Target="https://www.google.com/maps?q=-7.1850125,-48.2159200" TargetMode="External"/><Relationship Id="rId350" Type="http://schemas.openxmlformats.org/officeDocument/2006/relationships/hyperlink" Target="https://www.google.com/maps?q=-7.1857455,-48.2155080" TargetMode="External"/><Relationship Id="rId351" Type="http://schemas.openxmlformats.org/officeDocument/2006/relationships/hyperlink" Target="https://www.google.com/maps?q=-7.1858460,-48.2154535" TargetMode="External"/><Relationship Id="rId352" Type="http://schemas.openxmlformats.org/officeDocument/2006/relationships/hyperlink" Target="https://www.google.com/maps?q=-7.1867370,-48.2174935" TargetMode="External"/><Relationship Id="rId353" Type="http://schemas.openxmlformats.org/officeDocument/2006/relationships/hyperlink" Target="https://www.google.com/maps?q=-7.1867705,-48.2175155" TargetMode="External"/><Relationship Id="rId354" Type="http://schemas.openxmlformats.org/officeDocument/2006/relationships/hyperlink" Target="https://www.google.com/maps?q=-7.1874055,-48.2168270" TargetMode="External"/><Relationship Id="rId355" Type="http://schemas.openxmlformats.org/officeDocument/2006/relationships/hyperlink" Target="https://www.google.com/maps?q=-7.1874690,-48.2168460" TargetMode="External"/><Relationship Id="rId356" Type="http://schemas.openxmlformats.org/officeDocument/2006/relationships/hyperlink" Target="https://www.google.com/maps?q=-7.1876145,-48.2166325" TargetMode="External"/><Relationship Id="rId357" Type="http://schemas.openxmlformats.org/officeDocument/2006/relationships/hyperlink" Target="https://www.google.com/maps?q=-7.1876395,-48.2166060" TargetMode="External"/><Relationship Id="rId358" Type="http://schemas.openxmlformats.org/officeDocument/2006/relationships/hyperlink" Target="https://www.google.com/maps?q=-7.1880145,-48.2162225" TargetMode="External"/><Relationship Id="rId359" Type="http://schemas.openxmlformats.org/officeDocument/2006/relationships/hyperlink" Target="https://www.google.com/maps?q=-7.1871665,-48.2153690" TargetMode="External"/><Relationship Id="rId360" Type="http://schemas.openxmlformats.org/officeDocument/2006/relationships/hyperlink" Target="https://www.google.com/maps?q=-7.1869845,-48.2156960" TargetMode="External"/><Relationship Id="rId361" Type="http://schemas.openxmlformats.org/officeDocument/2006/relationships/hyperlink" Target="https://www.google.com/maps?q=-7.1869865,-48.2157080" TargetMode="External"/><Relationship Id="rId362" Type="http://schemas.openxmlformats.org/officeDocument/2006/relationships/hyperlink" Target="https://www.google.com/maps?q=-7.1869850,-48.2157185" TargetMode="External"/><Relationship Id="rId363" Type="http://schemas.openxmlformats.org/officeDocument/2006/relationships/hyperlink" Target="https://www.google.com/maps?q=-7.1869755,-48.2157240" TargetMode="External"/><Relationship Id="rId364" Type="http://schemas.openxmlformats.org/officeDocument/2006/relationships/hyperlink" Target="https://www.google.com/maps?q=-7.1876510,-48.2148575" TargetMode="External"/><Relationship Id="rId365" Type="http://schemas.openxmlformats.org/officeDocument/2006/relationships/hyperlink" Target="https://www.google.com/maps?q=-7.1880690,-48.2153570" TargetMode="External"/><Relationship Id="rId366" Type="http://schemas.openxmlformats.org/officeDocument/2006/relationships/hyperlink" Target="https://www.google.com/maps?q=-7.1880545,-48.2153370" TargetMode="External"/><Relationship Id="rId367" Type="http://schemas.openxmlformats.org/officeDocument/2006/relationships/hyperlink" Target="https://www.google.com/maps?q=-7.1880260,-48.2154280" TargetMode="External"/><Relationship Id="rId368" Type="http://schemas.openxmlformats.org/officeDocument/2006/relationships/hyperlink" Target="https://www.google.com/maps?q=-7.1880165,-48.2141925" TargetMode="External"/><Relationship Id="rId369" Type="http://schemas.openxmlformats.org/officeDocument/2006/relationships/hyperlink" Target="https://www.google.com/maps?q=-7.1879780,-48.2138680" TargetMode="External"/><Relationship Id="rId370" Type="http://schemas.openxmlformats.org/officeDocument/2006/relationships/hyperlink" Target="https://www.google.com/maps?q=-7.1881670,-48.2136780" TargetMode="External"/><Relationship Id="rId371" Type="http://schemas.openxmlformats.org/officeDocument/2006/relationships/hyperlink" Target="https://www.google.com/maps?q=-7.1877380,-48.2138940" TargetMode="External"/><Relationship Id="rId372" Type="http://schemas.openxmlformats.org/officeDocument/2006/relationships/hyperlink" Target="https://www.google.com/maps?q=-7.1873850,-48.2144425" TargetMode="External"/><Relationship Id="rId373" Type="http://schemas.openxmlformats.org/officeDocument/2006/relationships/hyperlink" Target="https://www.google.com/maps?q=-7.1867165,-48.2150800" TargetMode="External"/><Relationship Id="rId374" Type="http://schemas.openxmlformats.org/officeDocument/2006/relationships/hyperlink" Target="https://www.google.com/maps?q=-7.1882525,-48.2144450" TargetMode="External"/><Relationship Id="rId375" Type="http://schemas.openxmlformats.org/officeDocument/2006/relationships/hyperlink" Target="https://www.google.com/maps?q=-7.1883875,-48.2142010" TargetMode="External"/><Relationship Id="rId376" Type="http://schemas.openxmlformats.org/officeDocument/2006/relationships/hyperlink" Target="https://www.google.com/maps?q=-7.1884405,-48.2142035" TargetMode="External"/><Relationship Id="rId377" Type="http://schemas.openxmlformats.org/officeDocument/2006/relationships/hyperlink" Target="https://www.google.com/maps?q=-7.1884335,-48.2141680" TargetMode="External"/><Relationship Id="rId378" Type="http://schemas.openxmlformats.org/officeDocument/2006/relationships/hyperlink" Target="https://www.google.com/maps?q=-7.1890645,-48.2119905" TargetMode="External"/><Relationship Id="rId379" Type="http://schemas.openxmlformats.org/officeDocument/2006/relationships/hyperlink" Target="https://www.google.com/maps?q=-7.1891075,-48.2118570" TargetMode="External"/><Relationship Id="rId380" Type="http://schemas.openxmlformats.org/officeDocument/2006/relationships/hyperlink" Target="https://www.google.com/maps?q=-7.1891720,-48.2118805" TargetMode="External"/><Relationship Id="rId381" Type="http://schemas.openxmlformats.org/officeDocument/2006/relationships/hyperlink" Target="https://www.google.com/maps?q=-7.1883730,-48.2112515" TargetMode="External"/><Relationship Id="rId382" Type="http://schemas.openxmlformats.org/officeDocument/2006/relationships/hyperlink" Target="https://www.google.com/maps?q=-7.1884155,-48.2110955" TargetMode="External"/><Relationship Id="rId383" Type="http://schemas.openxmlformats.org/officeDocument/2006/relationships/hyperlink" Target="https://www.google.com/maps?q=-7.1878275,-48.2102800" TargetMode="External"/><Relationship Id="rId384" Type="http://schemas.openxmlformats.org/officeDocument/2006/relationships/hyperlink" Target="https://www.google.com/maps?q=-7.1877440,-48.2105680" TargetMode="External"/><Relationship Id="rId385" Type="http://schemas.openxmlformats.org/officeDocument/2006/relationships/hyperlink" Target="https://www.google.com/maps?q=-7.1871015,-48.2094650" TargetMode="External"/><Relationship Id="rId386" Type="http://schemas.openxmlformats.org/officeDocument/2006/relationships/hyperlink" Target="https://www.google.com/maps?q=-7.1870155,-48.2093555" TargetMode="External"/><Relationship Id="rId387" Type="http://schemas.openxmlformats.org/officeDocument/2006/relationships/hyperlink" Target="https://www.google.com/maps?q=-7.1869520,-48.2092735" TargetMode="External"/><Relationship Id="rId388" Type="http://schemas.openxmlformats.org/officeDocument/2006/relationships/hyperlink" Target="https://www.google.com/maps?q=-7.1871650,-48.2096240" TargetMode="External"/><Relationship Id="rId389" Type="http://schemas.openxmlformats.org/officeDocument/2006/relationships/hyperlink" Target="https://www.google.com/maps?q=-7.1873635,-48.2087855" TargetMode="External"/><Relationship Id="rId390" Type="http://schemas.openxmlformats.org/officeDocument/2006/relationships/hyperlink" Target="https://www.google.com/maps?q=-7.1872900,-48.2087615" TargetMode="External"/><Relationship Id="rId391" Type="http://schemas.openxmlformats.org/officeDocument/2006/relationships/hyperlink" Target="https://www.google.com/maps?q=-7.1870485,-48.2086890" TargetMode="External"/><Relationship Id="rId392" Type="http://schemas.openxmlformats.org/officeDocument/2006/relationships/hyperlink" Target="https://www.google.com/maps?q=-7.1874820,-48.2088240" TargetMode="External"/><Relationship Id="rId393" Type="http://schemas.openxmlformats.org/officeDocument/2006/relationships/hyperlink" Target="https://www.google.com/maps?q=-7.1877205,-48.2076300" TargetMode="External"/><Relationship Id="rId394" Type="http://schemas.openxmlformats.org/officeDocument/2006/relationships/hyperlink" Target="https://www.google.com/maps?q=-7.1882755,-48.2077735" TargetMode="External"/><Relationship Id="rId395" Type="http://schemas.openxmlformats.org/officeDocument/2006/relationships/hyperlink" Target="https://www.google.com/maps?q=-7.1882835,-48.2078135" TargetMode="External"/><Relationship Id="rId396" Type="http://schemas.openxmlformats.org/officeDocument/2006/relationships/hyperlink" Target="https://www.google.com/maps?q=-7.1882935,-48.2078165" TargetMode="External"/><Relationship Id="rId397" Type="http://schemas.openxmlformats.org/officeDocument/2006/relationships/hyperlink" Target="https://www.google.com/maps?q=-7.1883055,-48.2078085" TargetMode="External"/><Relationship Id="rId398" Type="http://schemas.openxmlformats.org/officeDocument/2006/relationships/hyperlink" Target="https://www.google.com/maps?q=-7.1887485,-48.2079265" TargetMode="External"/><Relationship Id="rId399" Type="http://schemas.openxmlformats.org/officeDocument/2006/relationships/hyperlink" Target="https://www.google.com/maps?q=-7.1892800,-48.2080805" TargetMode="External"/><Relationship Id="rId400" Type="http://schemas.openxmlformats.org/officeDocument/2006/relationships/hyperlink" Target="https://www.google.com/maps?q=-7.1892405,-48.2085645" TargetMode="External"/><Relationship Id="rId401" Type="http://schemas.openxmlformats.org/officeDocument/2006/relationships/hyperlink" Target="https://www.google.com/maps?q=-7.1890830,-48.2090770" TargetMode="External"/><Relationship Id="rId402" Type="http://schemas.openxmlformats.org/officeDocument/2006/relationships/hyperlink" Target="https://www.google.com/maps?q=-7.1890620,-48.2091415" TargetMode="External"/><Relationship Id="rId403" Type="http://schemas.openxmlformats.org/officeDocument/2006/relationships/hyperlink" Target="https://www.google.com/maps?q=-7.1890375,-48.2092150" TargetMode="External"/><Relationship Id="rId404" Type="http://schemas.openxmlformats.org/officeDocument/2006/relationships/hyperlink" Target="https://www.google.com/maps?q=-7.1891470,-48.2093195" TargetMode="External"/><Relationship Id="rId405" Type="http://schemas.openxmlformats.org/officeDocument/2006/relationships/hyperlink" Target="https://www.google.com/maps?q=-7.1894075,-48.2093965" TargetMode="External"/><Relationship Id="rId406" Type="http://schemas.openxmlformats.org/officeDocument/2006/relationships/hyperlink" Target="https://www.google.com/maps?q=-7.1896640,-48.2094735" TargetMode="External"/><Relationship Id="rId407" Type="http://schemas.openxmlformats.org/officeDocument/2006/relationships/hyperlink" Target="https://www.google.com/maps?q=-7.1897380,-48.2096730" TargetMode="External"/><Relationship Id="rId408" Type="http://schemas.openxmlformats.org/officeDocument/2006/relationships/hyperlink" Target="https://www.google.com/maps?q=-7.1898325,-48.2095240" TargetMode="External"/><Relationship Id="rId409" Type="http://schemas.openxmlformats.org/officeDocument/2006/relationships/hyperlink" Target="https://www.google.com/maps?q=-7.1900085,-48.2095770" TargetMode="External"/><Relationship Id="rId410" Type="http://schemas.openxmlformats.org/officeDocument/2006/relationships/hyperlink" Target="https://www.google.com/maps?q=-7.1902775,-48.2096575" TargetMode="External"/><Relationship Id="rId411" Type="http://schemas.openxmlformats.org/officeDocument/2006/relationships/hyperlink" Target="https://www.google.com/maps?q=-7.1904165,-48.2096990" TargetMode="External"/><Relationship Id="rId412" Type="http://schemas.openxmlformats.org/officeDocument/2006/relationships/hyperlink" Target="https://www.google.com/maps?q=-7.1904690,-48.2097145" TargetMode="External"/><Relationship Id="rId413" Type="http://schemas.openxmlformats.org/officeDocument/2006/relationships/hyperlink" Target="https://www.google.com/maps?q=-7.1905805,-48.2097475" TargetMode="External"/><Relationship Id="rId414" Type="http://schemas.openxmlformats.org/officeDocument/2006/relationships/hyperlink" Target="https://www.google.com/maps?q=-7.1907810,-48.2098080" TargetMode="External"/><Relationship Id="rId415" Type="http://schemas.openxmlformats.org/officeDocument/2006/relationships/hyperlink" Target="https://www.google.com/maps?q=-7.1910650,-48.2099035" TargetMode="External"/><Relationship Id="rId416" Type="http://schemas.openxmlformats.org/officeDocument/2006/relationships/hyperlink" Target="https://www.google.com/maps?q=-7.1912405,-48.2099660" TargetMode="External"/><Relationship Id="rId417" Type="http://schemas.openxmlformats.org/officeDocument/2006/relationships/hyperlink" Target="https://www.google.com/maps?q=-7.1914845,-48.2100380" TargetMode="External"/><Relationship Id="rId418" Type="http://schemas.openxmlformats.org/officeDocument/2006/relationships/hyperlink" Target="https://www.google.com/maps?q=-7.1918670,-48.2101505" TargetMode="External"/><Relationship Id="rId419" Type="http://schemas.openxmlformats.org/officeDocument/2006/relationships/hyperlink" Target="https://www.google.com/maps?q=-7.1906430,-48.2097740" TargetMode="External"/><Relationship Id="rId420" Type="http://schemas.openxmlformats.org/officeDocument/2006/relationships/hyperlink" Target="https://www.google.com/maps?q=-7.1906220,-48.2098415" TargetMode="External"/><Relationship Id="rId421" Type="http://schemas.openxmlformats.org/officeDocument/2006/relationships/hyperlink" Target="https://www.google.com/maps?q=-7.1905320,-48.2101340" TargetMode="External"/><Relationship Id="rId422" Type="http://schemas.openxmlformats.org/officeDocument/2006/relationships/hyperlink" Target="https://www.google.com/maps?q=-7.1904645,-48.2103740" TargetMode="External"/><Relationship Id="rId423" Type="http://schemas.openxmlformats.org/officeDocument/2006/relationships/hyperlink" Target="https://www.google.com/maps?q=-7.1904825,-48.2104410" TargetMode="External"/><Relationship Id="rId424" Type="http://schemas.openxmlformats.org/officeDocument/2006/relationships/hyperlink" Target="https://www.google.com/maps?q=-7.1904990,-48.2104410" TargetMode="External"/><Relationship Id="rId425" Type="http://schemas.openxmlformats.org/officeDocument/2006/relationships/hyperlink" Target="https://www.google.com/maps?q=-7.1904400,-48.2104350" TargetMode="External"/><Relationship Id="rId426" Type="http://schemas.openxmlformats.org/officeDocument/2006/relationships/hyperlink" Target="https://www.google.com/maps?q=-7.1903860,-48.2106120" TargetMode="External"/><Relationship Id="rId427" Type="http://schemas.openxmlformats.org/officeDocument/2006/relationships/hyperlink" Target="https://www.google.com/maps?q=-7.1903180,-48.2108340" TargetMode="External"/><Relationship Id="rId428" Type="http://schemas.openxmlformats.org/officeDocument/2006/relationships/hyperlink" Target="https://www.google.com/maps?q=-7.1901470,-48.2109060" TargetMode="External"/><Relationship Id="rId429" Type="http://schemas.openxmlformats.org/officeDocument/2006/relationships/hyperlink" Target="https://www.google.com/maps?q=-7.1899945,-48.2108590" TargetMode="External"/><Relationship Id="rId430" Type="http://schemas.openxmlformats.org/officeDocument/2006/relationships/hyperlink" Target="https://www.google.com/maps?q=-7.1897040,-48.2107690" TargetMode="External"/><Relationship Id="rId431" Type="http://schemas.openxmlformats.org/officeDocument/2006/relationships/hyperlink" Target="https://www.google.com/maps?q=-7.1893890,-48.2108225" TargetMode="External"/><Relationship Id="rId432" Type="http://schemas.openxmlformats.org/officeDocument/2006/relationships/hyperlink" Target="https://www.google.com/maps?q=-7.1893430,-48.2109795" TargetMode="External"/><Relationship Id="rId433" Type="http://schemas.openxmlformats.org/officeDocument/2006/relationships/hyperlink" Target="https://www.google.com/maps?q=-7.1893170,-48.2110735" TargetMode="External"/><Relationship Id="rId434" Type="http://schemas.openxmlformats.org/officeDocument/2006/relationships/hyperlink" Target="https://www.google.com/maps?q=-7.1892630,-48.2112565" TargetMode="External"/><Relationship Id="rId435" Type="http://schemas.openxmlformats.org/officeDocument/2006/relationships/hyperlink" Target="https://www.google.com/maps?q=-7.1892935,-48.2111465" TargetMode="External"/><Relationship Id="rId436" Type="http://schemas.openxmlformats.org/officeDocument/2006/relationships/hyperlink" Target="https://www.google.com/maps?q=-7.1894950,-48.2104660" TargetMode="External"/><Relationship Id="rId437" Type="http://schemas.openxmlformats.org/officeDocument/2006/relationships/hyperlink" Target="https://www.google.com/maps?q=-7.1896015,-48.2101080" TargetMode="External"/><Relationship Id="rId438" Type="http://schemas.openxmlformats.org/officeDocument/2006/relationships/hyperlink" Target="https://www.google.com/maps?q=-7.1895515,-48.2101780" TargetMode="External"/><Relationship Id="rId439" Type="http://schemas.openxmlformats.org/officeDocument/2006/relationships/hyperlink" Target="https://www.google.com/maps?q=-7.1892300,-48.2106230" TargetMode="External"/><Relationship Id="rId440" Type="http://schemas.openxmlformats.org/officeDocument/2006/relationships/hyperlink" Target="https://www.google.com/maps?q=-7.1888700,-48.2105125" TargetMode="External"/><Relationship Id="rId441" Type="http://schemas.openxmlformats.org/officeDocument/2006/relationships/hyperlink" Target="https://www.google.com/maps?q=-7.1904395,-48.2109975" TargetMode="External"/><Relationship Id="rId442" Type="http://schemas.openxmlformats.org/officeDocument/2006/relationships/hyperlink" Target="https://www.google.com/maps?q=-7.1906120,-48.2110510" TargetMode="External"/><Relationship Id="rId443" Type="http://schemas.openxmlformats.org/officeDocument/2006/relationships/hyperlink" Target="https://www.google.com/maps?q=-7.1906740,-48.2110700" TargetMode="External"/><Relationship Id="rId444" Type="http://schemas.openxmlformats.org/officeDocument/2006/relationships/hyperlink" Target="https://www.google.com/maps?q=-7.1908010,-48.2111095" TargetMode="External"/><Relationship Id="rId445" Type="http://schemas.openxmlformats.org/officeDocument/2006/relationships/hyperlink" Target="https://www.google.com/maps?q=-7.1907225,-48.2110780" TargetMode="External"/><Relationship Id="rId446" Type="http://schemas.openxmlformats.org/officeDocument/2006/relationships/hyperlink" Target="https://www.google.com/maps?q=-7.1906130,-48.2110525" TargetMode="External"/><Relationship Id="rId447" Type="http://schemas.openxmlformats.org/officeDocument/2006/relationships/hyperlink" Target="https://www.google.com/maps?q=-7.1902440,-48.2110790" TargetMode="External"/><Relationship Id="rId448" Type="http://schemas.openxmlformats.org/officeDocument/2006/relationships/hyperlink" Target="https://www.google.com/maps?q=-7.1901700,-48.2113240" TargetMode="External"/><Relationship Id="rId449" Type="http://schemas.openxmlformats.org/officeDocument/2006/relationships/hyperlink" Target="https://www.google.com/maps?q=-7.1901195,-48.2114900" TargetMode="External"/><Relationship Id="rId450" Type="http://schemas.openxmlformats.org/officeDocument/2006/relationships/hyperlink" Target="https://www.google.com/maps?q=-7.1900805,-48.2116125" TargetMode="External"/><Relationship Id="rId451" Type="http://schemas.openxmlformats.org/officeDocument/2006/relationships/hyperlink" Target="https://www.google.com/maps?q=-7.1901400,-48.2114370" TargetMode="External"/><Relationship Id="rId452" Type="http://schemas.openxmlformats.org/officeDocument/2006/relationships/hyperlink" Target="https://www.google.com/maps?q=-7.1902045,-48.2112095" TargetMode="External"/><Relationship Id="rId453" Type="http://schemas.openxmlformats.org/officeDocument/2006/relationships/hyperlink" Target="https://www.google.com/maps?q=-7.1904105,-48.2105035" TargetMode="External"/><Relationship Id="rId454" Type="http://schemas.openxmlformats.org/officeDocument/2006/relationships/hyperlink" Target="https://www.google.com/maps?q=-7.1906075,-48.2099010" TargetMode="External"/><Relationship Id="rId455" Type="http://schemas.openxmlformats.org/officeDocument/2006/relationships/hyperlink" Target="https://www.google.com/maps?q=-7.1901385,-48.2096215" TargetMode="External"/><Relationship Id="rId456" Type="http://schemas.openxmlformats.org/officeDocument/2006/relationships/hyperlink" Target="https://www.google.com/maps?q=-7.1898715,-48.2095430" TargetMode="External"/><Relationship Id="rId457" Type="http://schemas.openxmlformats.org/officeDocument/2006/relationships/hyperlink" Target="https://www.google.com/maps?q=-7.1898535,-48.2092810" TargetMode="External"/><Relationship Id="rId458" Type="http://schemas.openxmlformats.org/officeDocument/2006/relationships/hyperlink" Target="https://www.google.com/maps?q=-7.1899485,-48.2089405" TargetMode="External"/><Relationship Id="rId459" Type="http://schemas.openxmlformats.org/officeDocument/2006/relationships/hyperlink" Target="https://www.google.com/maps?q=-7.1899090,-48.2090470" TargetMode="External"/><Relationship Id="rId460" Type="http://schemas.openxmlformats.org/officeDocument/2006/relationships/hyperlink" Target="https://www.google.com/maps?q=-7.1892795,-48.2093595" TargetMode="External"/><Relationship Id="rId461" Type="http://schemas.openxmlformats.org/officeDocument/2006/relationships/hyperlink" Target="https://www.google.com/maps?q=-7.1890010,-48.2093215" TargetMode="External"/><Relationship Id="rId462" Type="http://schemas.openxmlformats.org/officeDocument/2006/relationships/hyperlink" Target="https://www.google.com/maps?q=-7.1889820,-48.2093780" TargetMode="External"/><Relationship Id="rId463" Type="http://schemas.openxmlformats.org/officeDocument/2006/relationships/hyperlink" Target="https://www.google.com/maps?q=-7.1889305,-48.2095345" TargetMode="External"/><Relationship Id="rId464" Type="http://schemas.openxmlformats.org/officeDocument/2006/relationships/hyperlink" Target="https://www.google.com/maps?q=-7.1888790,-48.2096915" TargetMode="External"/><Relationship Id="rId465" Type="http://schemas.openxmlformats.org/officeDocument/2006/relationships/hyperlink" Target="https://www.google.com/maps?q=-7.1888255,-48.2098430" TargetMode="External"/><Relationship Id="rId466" Type="http://schemas.openxmlformats.org/officeDocument/2006/relationships/hyperlink" Target="https://www.google.com/maps?q=-7.1886860,-48.2102605" TargetMode="External"/><Relationship Id="rId467" Type="http://schemas.openxmlformats.org/officeDocument/2006/relationships/hyperlink" Target="https://www.google.com/maps?q=-7.1885390,-48.2106955" TargetMode="External"/><Relationship Id="rId468" Type="http://schemas.openxmlformats.org/officeDocument/2006/relationships/hyperlink" Target="https://www.google.com/maps?q=-7.1884575,-48.2109440" TargetMode="External"/><Relationship Id="rId469" Type="http://schemas.openxmlformats.org/officeDocument/2006/relationships/hyperlink" Target="https://www.google.com/maps?q=-7.1884865,-48.2108500" TargetMode="External"/><Relationship Id="rId470" Type="http://schemas.openxmlformats.org/officeDocument/2006/relationships/hyperlink" Target="https://www.google.com/maps?q=-7.1885960,-48.2105430" TargetMode="External"/><Relationship Id="rId471" Type="http://schemas.openxmlformats.org/officeDocument/2006/relationships/hyperlink" Target="https://www.google.com/maps?q=-7.1888895,-48.2096800" TargetMode="External"/><Relationship Id="rId472" Type="http://schemas.openxmlformats.org/officeDocument/2006/relationships/hyperlink" Target="https://www.google.com/maps?q=-7.1888990,-48.2096865" TargetMode="External"/><Relationship Id="rId473" Type="http://schemas.openxmlformats.org/officeDocument/2006/relationships/hyperlink" Target="https://www.google.com/maps?q=-7.1888280,-48.2092255" TargetMode="External"/><Relationship Id="rId474" Type="http://schemas.openxmlformats.org/officeDocument/2006/relationships/hyperlink" Target="https://www.google.com/maps?q=-7.1891065,-48.2090215" TargetMode="External"/><Relationship Id="rId475" Type="http://schemas.openxmlformats.org/officeDocument/2006/relationships/hyperlink" Target="https://www.google.com/maps?q=-7.1893885,-48.2080720" TargetMode="External"/><Relationship Id="rId476" Type="http://schemas.openxmlformats.org/officeDocument/2006/relationships/hyperlink" Target="https://www.google.com/maps?q=-7.1893915,-48.2081130" TargetMode="External"/><Relationship Id="rId477" Type="http://schemas.openxmlformats.org/officeDocument/2006/relationships/hyperlink" Target="https://www.google.com/maps?q=-7.1894190,-48.2081210" TargetMode="External"/><Relationship Id="rId478" Type="http://schemas.openxmlformats.org/officeDocument/2006/relationships/hyperlink" Target="https://www.google.com/maps?q=-7.1894835,-48.2081395" TargetMode="External"/><Relationship Id="rId479" Type="http://schemas.openxmlformats.org/officeDocument/2006/relationships/hyperlink" Target="https://www.google.com/maps?q=-7.1895820,-48.2081680" TargetMode="External"/><Relationship Id="rId480" Type="http://schemas.openxmlformats.org/officeDocument/2006/relationships/hyperlink" Target="https://www.google.com/maps?q=-7.1896705,-48.2081935" TargetMode="External"/><Relationship Id="rId481" Type="http://schemas.openxmlformats.org/officeDocument/2006/relationships/hyperlink" Target="https://www.google.com/maps?q=-7.1897180,-48.2082245" TargetMode="External"/><Relationship Id="rId482" Type="http://schemas.openxmlformats.org/officeDocument/2006/relationships/hyperlink" Target="https://www.google.com/maps?q=-7.1897115,-48.2082045" TargetMode="External"/><Relationship Id="rId483" Type="http://schemas.openxmlformats.org/officeDocument/2006/relationships/hyperlink" Target="https://www.google.com/maps?q=-7.1897240,-48.2081980" TargetMode="External"/><Relationship Id="rId484" Type="http://schemas.openxmlformats.org/officeDocument/2006/relationships/hyperlink" Target="https://www.google.com/maps?q=-7.1895295,-48.2081570" TargetMode="External"/><Relationship Id="rId485" Type="http://schemas.openxmlformats.org/officeDocument/2006/relationships/hyperlink" Target="https://www.google.com/maps?q=-7.1883075,-48.2077845" TargetMode="External"/><Relationship Id="rId486" Type="http://schemas.openxmlformats.org/officeDocument/2006/relationships/hyperlink" Target="https://www.google.com/maps?q=-7.1892635,-48.2111230" TargetMode="External"/><Relationship Id="rId487" Type="http://schemas.openxmlformats.org/officeDocument/2006/relationships/hyperlink" Target="https://www.google.com/maps?q=-7.1907470,-48.2110085" TargetMode="External"/><Relationship Id="rId488" Type="http://schemas.openxmlformats.org/officeDocument/2006/relationships/hyperlink" Target="https://www.google.com/maps?q=-7.1907715,-48.2108610" TargetMode="External"/><Relationship Id="rId489" Type="http://schemas.openxmlformats.org/officeDocument/2006/relationships/hyperlink" Target="https://www.google.com/maps?q=-7.1901860,-48.2114255" TargetMode="External"/><Relationship Id="rId490" Type="http://schemas.openxmlformats.org/officeDocument/2006/relationships/hyperlink" Target="https://www.google.com/maps?q=-7.1902340,-48.2113360" TargetMode="External"/><Relationship Id="rId491" Type="http://schemas.openxmlformats.org/officeDocument/2006/relationships/hyperlink" Target="https://www.google.com/maps?q=-7.1901570,-48.2112015" TargetMode="External"/><Relationship Id="rId492" Type="http://schemas.openxmlformats.org/officeDocument/2006/relationships/hyperlink" Target="https://www.google.com/maps?q=-7.1901010,-48.2111200" TargetMode="External"/><Relationship Id="rId493" Type="http://schemas.openxmlformats.org/officeDocument/2006/relationships/hyperlink" Target="https://www.google.com/maps?q=-7.1903225,-48.2104965" TargetMode="External"/><Relationship Id="rId494" Type="http://schemas.openxmlformats.org/officeDocument/2006/relationships/hyperlink" Target="https://www.google.com/maps?q=-7.1902335,-48.2104015" TargetMode="External"/><Relationship Id="rId495" Type="http://schemas.openxmlformats.org/officeDocument/2006/relationships/hyperlink" Target="https://www.google.com/maps?q=-7.1906505,-48.2098860" TargetMode="External"/><Relationship Id="rId496" Type="http://schemas.openxmlformats.org/officeDocument/2006/relationships/hyperlink" Target="https://www.google.com/maps?q=-7.1906960,-48.2098880" TargetMode="External"/><Relationship Id="rId497" Type="http://schemas.openxmlformats.org/officeDocument/2006/relationships/hyperlink" Target="https://www.google.com/maps?q=-7.1906945,-48.2097930" TargetMode="External"/><Relationship Id="rId498" Type="http://schemas.openxmlformats.org/officeDocument/2006/relationships/hyperlink" Target="https://www.google.com/maps?q=-7.1900775,-48.2096580" TargetMode="External"/><Relationship Id="rId499" Type="http://schemas.openxmlformats.org/officeDocument/2006/relationships/hyperlink" Target="https://www.google.com/maps?q=-7.1900140,-48.2096170" TargetMode="External"/><Relationship Id="rId500" Type="http://schemas.openxmlformats.org/officeDocument/2006/relationships/hyperlink" Target="https://www.google.com/maps?q=-7.1898575,-48.2096150" TargetMode="External"/><Relationship Id="rId501" Type="http://schemas.openxmlformats.org/officeDocument/2006/relationships/hyperlink" Target="https://www.google.com/maps?q=-7.1898435,-48.2096115" TargetMode="External"/><Relationship Id="rId502" Type="http://schemas.openxmlformats.org/officeDocument/2006/relationships/hyperlink" Target="https://www.google.com/maps?q=-7.1898480,-48.2090170" TargetMode="External"/><Relationship Id="rId503" Type="http://schemas.openxmlformats.org/officeDocument/2006/relationships/hyperlink" Target="https://www.google.com/maps?q=-7.1897910,-48.2089265" TargetMode="External"/><Relationship Id="rId504" Type="http://schemas.openxmlformats.org/officeDocument/2006/relationships/hyperlink" Target="https://www.google.com/maps?q=-7.1892745,-48.2093700" TargetMode="External"/><Relationship Id="rId505" Type="http://schemas.openxmlformats.org/officeDocument/2006/relationships/hyperlink" Target="https://www.google.com/maps?q=-7.1892830,-48.2092825" TargetMode="External"/><Relationship Id="rId506" Type="http://schemas.openxmlformats.org/officeDocument/2006/relationships/hyperlink" Target="https://www.google.com/maps?q=-7.1885195,-48.2108660" TargetMode="External"/><Relationship Id="rId507" Type="http://schemas.openxmlformats.org/officeDocument/2006/relationships/hyperlink" Target="https://www.google.com/maps?q=-7.1885560,-48.2108070" TargetMode="External"/><Relationship Id="rId508" Type="http://schemas.openxmlformats.org/officeDocument/2006/relationships/hyperlink" Target="https://www.google.com/maps?q=-7.1885400,-48.2108945" TargetMode="External"/><Relationship Id="rId509" Type="http://schemas.openxmlformats.org/officeDocument/2006/relationships/hyperlink" Target="https://www.google.com/maps?q=-7.1886045,-48.2105390" TargetMode="External"/><Relationship Id="rId510" Type="http://schemas.openxmlformats.org/officeDocument/2006/relationships/hyperlink" Target="https://www.google.com/maps?q=-7.1889390,-48.2097015" TargetMode="External"/><Relationship Id="rId511" Type="http://schemas.openxmlformats.org/officeDocument/2006/relationships/hyperlink" Target="https://www.google.com/maps?q=-7.1889695,-48.2097315" TargetMode="External"/><Relationship Id="rId512" Type="http://schemas.openxmlformats.org/officeDocument/2006/relationships/hyperlink" Target="https://www.google.com/maps?q=-7.1889830,-48.2096400" TargetMode="External"/><Relationship Id="rId513" Type="http://schemas.openxmlformats.org/officeDocument/2006/relationships/hyperlink" Target="https://www.google.com/maps?q=-7.1891510,-48.2090325" TargetMode="External"/><Relationship Id="rId514" Type="http://schemas.openxmlformats.org/officeDocument/2006/relationships/hyperlink" Target="https://www.google.com/maps?q=-7.1891990,-48.2089660" TargetMode="External"/><Relationship Id="rId515" Type="http://schemas.openxmlformats.org/officeDocument/2006/relationships/hyperlink" Target="https://www.google.com/maps?q=-7.1894980,-48.2081845" TargetMode="External"/><Relationship Id="rId516" Type="http://schemas.openxmlformats.org/officeDocument/2006/relationships/hyperlink" Target="https://www.google.com/maps?q=-7.1886340,-48.2053770" TargetMode="External"/><Relationship Id="rId517" Type="http://schemas.openxmlformats.org/officeDocument/2006/relationships/hyperlink" Target="https://www.google.com/maps?q=-7.1886865,-48.2052360" TargetMode="External"/><Relationship Id="rId518" Type="http://schemas.openxmlformats.org/officeDocument/2006/relationships/hyperlink" Target="https://www.google.com/maps?q=-7.1887230,-48.2050835" TargetMode="External"/><Relationship Id="rId519" Type="http://schemas.openxmlformats.org/officeDocument/2006/relationships/hyperlink" Target="https://www.google.com/maps?q=-7.1887405,-48.2049260" TargetMode="External"/><Relationship Id="rId520" Type="http://schemas.openxmlformats.org/officeDocument/2006/relationships/hyperlink" Target="https://www.google.com/maps?q=-7.1887545,-48.2049465" TargetMode="External"/><Relationship Id="rId521" Type="http://schemas.openxmlformats.org/officeDocument/2006/relationships/hyperlink" Target="https://www.google.com/maps?q=-7.1887655,-48.2049380" TargetMode="External"/><Relationship Id="rId522" Type="http://schemas.openxmlformats.org/officeDocument/2006/relationships/hyperlink" Target="https://www.google.com/maps?q=-7.1885725,-48.2055460" TargetMode="External"/><Relationship Id="rId523" Type="http://schemas.openxmlformats.org/officeDocument/2006/relationships/hyperlink" Target="https://www.google.com/maps?q=-7.1892245,-48.2057090" TargetMode="External"/><Relationship Id="rId524" Type="http://schemas.openxmlformats.org/officeDocument/2006/relationships/hyperlink" Target="https://www.google.com/maps?q=-7.1894750,-48.2057895" TargetMode="External"/><Relationship Id="rId525" Type="http://schemas.openxmlformats.org/officeDocument/2006/relationships/hyperlink" Target="https://www.google.com/maps?q=-7.1888870,-48.2066555" TargetMode="External"/><Relationship Id="rId526" Type="http://schemas.openxmlformats.org/officeDocument/2006/relationships/hyperlink" Target="https://www.google.com/maps?q=-7.1889970,-48.2066150" TargetMode="External"/><Relationship Id="rId527" Type="http://schemas.openxmlformats.org/officeDocument/2006/relationships/vmlDrawing" Target="../drawings/vmlDrawing2.vml"/><Relationship Id="rId528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www.google.com/maps?q=-7.1953120,-48.2379030" TargetMode="External"/><Relationship Id="rId3" Type="http://schemas.openxmlformats.org/officeDocument/2006/relationships/hyperlink" Target="https://www.google.com/maps?q=-7.1955800,-48.2381790" TargetMode="External"/><Relationship Id="rId4" Type="http://schemas.openxmlformats.org/officeDocument/2006/relationships/hyperlink" Target="https://www.google.com/maps?q=-7.1956810,-48.2382200" TargetMode="External"/><Relationship Id="rId5" Type="http://schemas.openxmlformats.org/officeDocument/2006/relationships/hyperlink" Target="https://www.google.com/maps?q=-7.1962070,-48.2366190" TargetMode="External"/><Relationship Id="rId6" Type="http://schemas.openxmlformats.org/officeDocument/2006/relationships/hyperlink" Target="https://www.google.com/maps?q=-7.1902460,-48.2329610" TargetMode="External"/><Relationship Id="rId7" Type="http://schemas.openxmlformats.org/officeDocument/2006/relationships/hyperlink" Target="https://www.google.com/maps?q=-7.1879500,-48.2309300" TargetMode="External"/><Relationship Id="rId8" Type="http://schemas.openxmlformats.org/officeDocument/2006/relationships/hyperlink" Target="https://www.google.com/maps?q=-7.1792210,-48.2223120" TargetMode="External"/><Relationship Id="rId9" Type="http://schemas.openxmlformats.org/officeDocument/2006/relationships/hyperlink" Target="https://www.google.com/maps?q=-7.1790960,-48.2218710" TargetMode="External"/><Relationship Id="rId10" Type="http://schemas.openxmlformats.org/officeDocument/2006/relationships/hyperlink" Target="https://www.google.com/maps?q=-7.1795340,-48.2216360" TargetMode="External"/><Relationship Id="rId11" Type="http://schemas.openxmlformats.org/officeDocument/2006/relationships/hyperlink" Target="https://www.google.com/maps?q=-7.1855340,-48.2186170" TargetMode="External"/><Relationship Id="rId12" Type="http://schemas.openxmlformats.org/officeDocument/2006/relationships/hyperlink" Target="https://www.google.com/maps?q=-7.1875990,-48.2166010" TargetMode="External"/><Relationship Id="rId13" Type="http://schemas.openxmlformats.org/officeDocument/2006/relationships/hyperlink" Target="https://www.google.com/maps?q=-7.1884850,-48.2137400" TargetMode="External"/><Relationship Id="rId14" Type="http://schemas.openxmlformats.org/officeDocument/2006/relationships/hyperlink" Target="https://www.google.com/maps?q=-7.1876520,-48.2080600" TargetMode="External"/><Relationship Id="rId15" Type="http://schemas.openxmlformats.org/officeDocument/2006/relationships/hyperlink" Target="https://www.google.com/maps?q=-7.1882750,-48.2078100" TargetMode="External"/><Relationship Id="rId16" Type="http://schemas.openxmlformats.org/officeDocument/2006/relationships/hyperlink" Target="https://www.google.com/maps?q=-7.1882130,-48.2062360" TargetMode="External"/><Relationship Id="rId17" Type="http://schemas.openxmlformats.org/officeDocument/2006/relationships/hyperlink" Target="https://www.google.com/maps?q=-7.1889390,-48.2065420" TargetMode="External"/><Relationship Id="rId18" Type="http://schemas.openxmlformats.org/officeDocument/2006/relationships/hyperlink" Target="https://www.google.com/maps?q=-7.1890440,-48.2118540" TargetMode="External"/><Relationship Id="rId19" Type="http://schemas.openxmlformats.org/officeDocument/2006/relationships/hyperlink" Target="https://www.google.com/maps?q=-7.1883470,-48.2141620" TargetMode="External"/><Relationship Id="rId20" Type="http://schemas.openxmlformats.org/officeDocument/2006/relationships/hyperlink" Target="https://www.google.com/maps?q=-7.1880820,-48.2153080" TargetMode="External"/><Relationship Id="rId21" Type="http://schemas.openxmlformats.org/officeDocument/2006/relationships/hyperlink" Target="https://www.google.com/maps?q=-7.1871070,-48.2155530" TargetMode="External"/><Relationship Id="rId22" Type="http://schemas.openxmlformats.org/officeDocument/2006/relationships/hyperlink" Target="https://www.google.com/maps?q=-7.1869730,-48.2156880" TargetMode="External"/><Relationship Id="rId23" Type="http://schemas.openxmlformats.org/officeDocument/2006/relationships/hyperlink" Target="https://www.google.com/maps?q=-7.1875190,-48.2304610" TargetMode="External"/><Relationship Id="rId24" Type="http://schemas.openxmlformats.org/officeDocument/2006/relationships/hyperlink" Target="https://www.google.com/maps?q=-7.1868910,-48.2298320" TargetMode="External"/><Relationship Id="rId25" Type="http://schemas.openxmlformats.org/officeDocument/2006/relationships/hyperlink" Target="https://www.google.com/maps?q=-7.1866490,-48.2296070" TargetMode="External"/><Relationship Id="rId26" Type="http://schemas.openxmlformats.org/officeDocument/2006/relationships/hyperlink" Target="https://www.google.com/maps?q=-7.1859470,-48.2289400" TargetMode="External"/><Relationship Id="rId27" Type="http://schemas.openxmlformats.org/officeDocument/2006/relationships/hyperlink" Target="https://www.google.com/maps?q=-7.1837860,-48.2267700" TargetMode="External"/><Relationship Id="rId28" Type="http://schemas.openxmlformats.org/officeDocument/2006/relationships/hyperlink" Target="https://www.google.com/maps?q=-7.1831780,-48.2262050" TargetMode="External"/><Relationship Id="rId29" Type="http://schemas.openxmlformats.org/officeDocument/2006/relationships/hyperlink" Target="https://www.google.com/maps?q=-7.1831240,-48.2261560" TargetMode="External"/><Relationship Id="rId30" Type="http://schemas.openxmlformats.org/officeDocument/2006/relationships/hyperlink" Target="https://www.google.com/maps?q=-7.1804340,-48.2214420" TargetMode="External"/><Relationship Id="rId31" Type="http://schemas.openxmlformats.org/officeDocument/2006/relationships/hyperlink" Target="https://www.google.com/maps?q=-7.1810220,-48.2217380" TargetMode="External"/><Relationship Id="rId32" Type="http://schemas.openxmlformats.org/officeDocument/2006/relationships/hyperlink" Target="https://www.google.com/maps?q=-7.1806000,-48.2211270" TargetMode="External"/><Relationship Id="rId33" Type="http://schemas.openxmlformats.org/officeDocument/2006/relationships/hyperlink" Target="https://www.google.com/maps?q=-7.1822050,-48.2203790" TargetMode="External"/><Relationship Id="rId34" Type="http://schemas.openxmlformats.org/officeDocument/2006/relationships/hyperlink" Target="https://www.google.com/maps?q=-7.1832080,-48.2198530" TargetMode="External"/><Relationship Id="rId35" Type="http://schemas.openxmlformats.org/officeDocument/2006/relationships/hyperlink" Target="https://www.google.com/maps?q=-7.1837400,-48.2196030" TargetMode="External"/><Relationship Id="rId36" Type="http://schemas.openxmlformats.org/officeDocument/2006/relationships/hyperlink" Target="https://www.google.com/maps?q=-7.1840230,-48.2194580" TargetMode="External"/><Relationship Id="rId37" Type="http://schemas.openxmlformats.org/officeDocument/2006/relationships/hyperlink" Target="https://www.google.com/maps?q=-7.1842030,-48.2193440" TargetMode="External"/><Relationship Id="rId38" Type="http://schemas.openxmlformats.org/officeDocument/2006/relationships/hyperlink" Target="https://www.google.com/maps?q=-7.1846210,-48.2191680" TargetMode="External"/><Relationship Id="rId39" Type="http://schemas.openxmlformats.org/officeDocument/2006/relationships/hyperlink" Target="https://www.google.com/maps?q=-7.1865390,-48.2224910" TargetMode="External"/><Relationship Id="rId40" Type="http://schemas.openxmlformats.org/officeDocument/2006/relationships/hyperlink" Target="https://www.google.com/maps?q=-7.1877170,-48.2231620" TargetMode="External"/><Relationship Id="rId41" Type="http://schemas.openxmlformats.org/officeDocument/2006/relationships/hyperlink" Target="https://www.google.com/maps?q=-7.1873990,-48.2228090" TargetMode="External"/><Relationship Id="rId42" Type="http://schemas.openxmlformats.org/officeDocument/2006/relationships/hyperlink" Target="https://www.google.com/maps?q=-7.1872320,-48.2230440" TargetMode="External"/><Relationship Id="rId43" Type="http://schemas.openxmlformats.org/officeDocument/2006/relationships/hyperlink" Target="https://www.google.com/maps?q=-7.1860550,-48.2222310" TargetMode="External"/><Relationship Id="rId44" Type="http://schemas.openxmlformats.org/officeDocument/2006/relationships/hyperlink" Target="https://www.google.com/maps?q=-7.1848740,-48.2213250" TargetMode="External"/><Relationship Id="rId45" Type="http://schemas.openxmlformats.org/officeDocument/2006/relationships/hyperlink" Target="https://www.google.com/maps?q=-7.1848200,-48.2206280" TargetMode="External"/><Relationship Id="rId46" Type="http://schemas.openxmlformats.org/officeDocument/2006/relationships/hyperlink" Target="https://www.google.com/maps?q=-7.1846800,-48.2199310" TargetMode="External"/><Relationship Id="rId47" Type="http://schemas.openxmlformats.org/officeDocument/2006/relationships/hyperlink" Target="https://www.google.com/maps?q=-7.1880450,-48.2225150" TargetMode="External"/><Relationship Id="rId48" Type="http://schemas.openxmlformats.org/officeDocument/2006/relationships/hyperlink" Target="https://www.google.com/maps?q=-7.1830620,-48.2208560" TargetMode="External"/><Relationship Id="rId49" Type="http://schemas.openxmlformats.org/officeDocument/2006/relationships/hyperlink" Target="https://www.google.com/maps?q=-7.1840710,-48.2222460" TargetMode="External"/><Relationship Id="rId50" Type="http://schemas.openxmlformats.org/officeDocument/2006/relationships/hyperlink" Target="https://www.google.com/maps?q=-7.1857710,-48.2185900" TargetMode="External"/><Relationship Id="rId51" Type="http://schemas.openxmlformats.org/officeDocument/2006/relationships/hyperlink" Target="https://www.google.com/maps?q=-7.1855410,-48.2183510" TargetMode="External"/><Relationship Id="rId52" Type="http://schemas.openxmlformats.org/officeDocument/2006/relationships/hyperlink" Target="https://www.google.com/maps?q=-7.1846450,-48.2170870" TargetMode="External"/><Relationship Id="rId53" Type="http://schemas.openxmlformats.org/officeDocument/2006/relationships/hyperlink" Target="https://www.google.com/maps?q=-7.1850260,-48.2159540" TargetMode="External"/><Relationship Id="rId54" Type="http://schemas.openxmlformats.org/officeDocument/2006/relationships/hyperlink" Target="https://www.google.com/maps?q=-7.1856780,-48.2155750" TargetMode="External"/><Relationship Id="rId55" Type="http://schemas.openxmlformats.org/officeDocument/2006/relationships/hyperlink" Target="https://www.google.com/maps?q=-7.1867410,-48.2174960" TargetMode="External"/><Relationship Id="rId56" Type="http://schemas.openxmlformats.org/officeDocument/2006/relationships/hyperlink" Target="https://www.google.com/maps?q=-7.1874120,-48.2168290" TargetMode="External"/><Relationship Id="rId57" Type="http://schemas.openxmlformats.org/officeDocument/2006/relationships/hyperlink" Target="https://www.google.com/maps?q=-7.1890600,-48.2091490" TargetMode="External"/><Relationship Id="rId58" Type="http://schemas.openxmlformats.org/officeDocument/2006/relationships/hyperlink" Target="https://www.google.com/maps?q=-7.1904220,-48.2097010" TargetMode="External"/><Relationship Id="rId59" Type="http://schemas.openxmlformats.org/officeDocument/2006/relationships/hyperlink" Target="https://www.google.com/maps?q=-7.1906410,-48.2097810" TargetMode="External"/><Relationship Id="rId60" Type="http://schemas.openxmlformats.org/officeDocument/2006/relationships/hyperlink" Target="https://www.google.com/maps?q=-7.1892910,-48.2111440" TargetMode="External"/><Relationship Id="rId61" Type="http://schemas.openxmlformats.org/officeDocument/2006/relationships/hyperlink" Target="https://www.google.com/maps?q=-7.1907250,-48.2110710" TargetMode="External"/><Relationship Id="rId62" Type="http://schemas.openxmlformats.org/officeDocument/2006/relationships/hyperlink" Target="https://www.google.com/maps?q=-7.1901450,-48.2114360" TargetMode="External"/><Relationship Id="rId63" Type="http://schemas.openxmlformats.org/officeDocument/2006/relationships/hyperlink" Target="https://www.google.com/maps?q=-7.1902040,-48.2112090" TargetMode="External"/><Relationship Id="rId64" Type="http://schemas.openxmlformats.org/officeDocument/2006/relationships/hyperlink" Target="https://www.google.com/maps?q=-7.1904020,-48.2105030" TargetMode="External"/><Relationship Id="rId65" Type="http://schemas.openxmlformats.org/officeDocument/2006/relationships/hyperlink" Target="https://www.google.com/maps?q=-7.1906120,-48.2099000" TargetMode="External"/><Relationship Id="rId66" Type="http://schemas.openxmlformats.org/officeDocument/2006/relationships/hyperlink" Target="https://www.google.com/maps?q=-7.1901330,-48.2096250" TargetMode="External"/><Relationship Id="rId67" Type="http://schemas.openxmlformats.org/officeDocument/2006/relationships/hyperlink" Target="https://www.google.com/maps?q=-7.1898700,-48.2095500" TargetMode="External"/><Relationship Id="rId68" Type="http://schemas.openxmlformats.org/officeDocument/2006/relationships/hyperlink" Target="https://www.google.com/maps?q=-7.1899030,-48.2090440" TargetMode="External"/><Relationship Id="rId69" Type="http://schemas.openxmlformats.org/officeDocument/2006/relationships/hyperlink" Target="https://www.google.com/maps?q=-7.1892800,-48.2093610" TargetMode="External"/><Relationship Id="rId70" Type="http://schemas.openxmlformats.org/officeDocument/2006/relationships/hyperlink" Target="https://www.google.com/maps?q=-7.1889770,-48.2093940" TargetMode="External"/><Relationship Id="rId71" Type="http://schemas.openxmlformats.org/officeDocument/2006/relationships/hyperlink" Target="https://www.google.com/maps?q=-7.1884900,-48.2108520" TargetMode="External"/><Relationship Id="rId72" Type="http://schemas.openxmlformats.org/officeDocument/2006/relationships/hyperlink" Target="https://www.google.com/maps?q=-7.1885970,-48.2105430" TargetMode="External"/><Relationship Id="rId73" Type="http://schemas.openxmlformats.org/officeDocument/2006/relationships/hyperlink" Target="https://www.google.com/maps?q=-7.1889030,-48.2096880" TargetMode="External"/><Relationship Id="rId74" Type="http://schemas.openxmlformats.org/officeDocument/2006/relationships/hyperlink" Target="https://www.google.com/maps?q=-7.1891110,-48.2090230" TargetMode="External"/><Relationship Id="rId75" Type="http://schemas.openxmlformats.org/officeDocument/2006/relationships/hyperlink" Target="https://www.google.com/maps?q=-7.1895260,-48.2081600" TargetMode="External"/><Relationship Id="rId76" Type="http://schemas.openxmlformats.org/officeDocument/2006/relationships/vmlDrawing" Target="../drawings/vmlDrawing3.vml"/><Relationship Id="rId77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35.05" hidden="false" customHeight="false" outlineLevel="0" collapsed="false">
      <c r="A11" s="2" t="s">
        <v>17</v>
      </c>
      <c r="B11" s="3" t="s">
        <v>18</v>
      </c>
    </row>
    <row r="13" customFormat="false" ht="15" hidden="false" customHeight="false" outlineLevel="0" collapsed="false">
      <c r="A13" s="4" t="s">
        <v>19</v>
      </c>
    </row>
    <row r="14" customFormat="false" ht="15" hidden="false" customHeight="false" outlineLevel="0" collapsed="false">
      <c r="A14" s="5" t="s">
        <v>20</v>
      </c>
    </row>
    <row r="15" customFormat="false" ht="15" hidden="false" customHeight="false" outlineLevel="0" collapsed="false">
      <c r="A15" s="6" t="s">
        <v>21</v>
      </c>
    </row>
    <row r="16" customFormat="false" ht="15" hidden="false" customHeight="false" outlineLevel="0" collapsed="false">
      <c r="A16" s="7" t="s">
        <v>22</v>
      </c>
    </row>
    <row r="17" customFormat="false" ht="15" hidden="false" customHeight="false" outlineLevel="0" collapsed="false">
      <c r="A17" s="8" t="s">
        <v>23</v>
      </c>
    </row>
    <row r="18" customFormat="false" ht="15" hidden="false" customHeight="false" outlineLevel="0" collapsed="false">
      <c r="A18" s="9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7" min="3" style="0" width="10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7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44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10" t="s">
        <v>26</v>
      </c>
    </row>
    <row r="3" customFormat="false" ht="15" hidden="false" customHeight="false" outlineLevel="0" collapsed="false">
      <c r="A3" s="4" t="s">
        <v>27</v>
      </c>
      <c r="B3" s="11" t="s">
        <v>20</v>
      </c>
      <c r="C3" s="12" t="s">
        <v>21</v>
      </c>
      <c r="D3" s="13" t="s">
        <v>22</v>
      </c>
      <c r="E3" s="14" t="s">
        <v>23</v>
      </c>
      <c r="F3" s="15" t="s">
        <v>24</v>
      </c>
    </row>
    <row r="5" customFormat="false" ht="31.5" hidden="false" customHeight="true" outlineLevel="0" collapsed="false">
      <c r="A5" s="16" t="s">
        <v>11</v>
      </c>
      <c r="B5" s="16" t="s">
        <v>1</v>
      </c>
      <c r="C5" s="16" t="s">
        <v>28</v>
      </c>
      <c r="D5" s="16" t="s">
        <v>29</v>
      </c>
      <c r="E5" s="16" t="s">
        <v>30</v>
      </c>
      <c r="F5" s="16" t="s">
        <v>31</v>
      </c>
      <c r="G5" s="16" t="s">
        <v>32</v>
      </c>
      <c r="H5" s="16" t="s">
        <v>33</v>
      </c>
      <c r="I5" s="16" t="s">
        <v>34</v>
      </c>
      <c r="J5" s="16" t="s">
        <v>35</v>
      </c>
      <c r="K5" s="16" t="s">
        <v>36</v>
      </c>
      <c r="L5" s="16" t="s">
        <v>37</v>
      </c>
      <c r="M5" s="16" t="s">
        <v>38</v>
      </c>
    </row>
    <row r="6" customFormat="false" ht="15" hidden="false" customHeight="false" outlineLevel="0" collapsed="false">
      <c r="A6" s="17" t="s">
        <v>39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customFormat="false" ht="15" hidden="false" customHeight="false" outlineLevel="0" collapsed="false">
      <c r="A7" s="18" t="n">
        <v>1</v>
      </c>
      <c r="B7" s="19" t="s">
        <v>20</v>
      </c>
      <c r="C7" s="20" t="s">
        <v>40</v>
      </c>
      <c r="D7" s="21"/>
      <c r="E7" s="21"/>
      <c r="F7" s="21"/>
      <c r="G7" s="21"/>
      <c r="H7" s="22" t="s">
        <v>40</v>
      </c>
      <c r="I7" s="22" t="s">
        <v>41</v>
      </c>
      <c r="J7" s="22" t="n">
        <f aca="false">COUNTIFS(Trechos!$L$2:$L$526,A7)</f>
        <v>62</v>
      </c>
      <c r="K7" s="23" t="n">
        <f aca="false">SUMIFS(Trechos!$F$2:$F$526,Trechos!$L$2:$L$526,A7)</f>
        <v>2972.16473094508</v>
      </c>
      <c r="L7" s="22" t="s">
        <v>42</v>
      </c>
      <c r="M7" s="22" t="str">
        <f aca="false">Blocos!AU2</f>
        <v>7903565004, 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0200571004, 0230252004, 0303731004, 0200556004, 0303973004, 0200550004, 0201875004, 0200549004, 0200548004, 0200547004, 0345761004, 0201072004</v>
      </c>
    </row>
    <row r="8" customFormat="false" ht="15" hidden="false" customHeight="false" outlineLevel="0" collapsed="false">
      <c r="A8" s="18" t="n">
        <v>2</v>
      </c>
      <c r="B8" s="24" t="s">
        <v>21</v>
      </c>
      <c r="C8" s="25" t="s">
        <v>40</v>
      </c>
      <c r="D8" s="26" t="s">
        <v>41</v>
      </c>
      <c r="E8" s="21"/>
      <c r="F8" s="21"/>
      <c r="G8" s="21"/>
      <c r="H8" s="22" t="s">
        <v>41</v>
      </c>
      <c r="I8" s="22" t="s">
        <v>43</v>
      </c>
      <c r="J8" s="22" t="n">
        <f aca="false">COUNTIFS(Trechos!$L$2:$L$526,A8)</f>
        <v>28</v>
      </c>
      <c r="K8" s="23" t="n">
        <f aca="false">SUMIFS(Trechos!$F$2:$F$526,Trechos!$L$2:$L$526,A8)</f>
        <v>1067.05641276262</v>
      </c>
      <c r="L8" s="22" t="s">
        <v>44</v>
      </c>
      <c r="M8" s="22" t="str">
        <f aca="false">Blocos!AU3</f>
        <v>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0200571004, 0230252004, 0303731004, 0200556004, 0303973004</v>
      </c>
    </row>
    <row r="9" customFormat="false" ht="15" hidden="false" customHeight="false" outlineLevel="0" collapsed="false">
      <c r="A9" s="18" t="n">
        <v>3</v>
      </c>
      <c r="B9" s="24" t="s">
        <v>21</v>
      </c>
      <c r="C9" s="25" t="s">
        <v>40</v>
      </c>
      <c r="D9" s="25" t="s">
        <v>41</v>
      </c>
      <c r="E9" s="26" t="s">
        <v>43</v>
      </c>
      <c r="F9" s="21"/>
      <c r="G9" s="21"/>
      <c r="H9" s="22" t="s">
        <v>43</v>
      </c>
      <c r="I9" s="22" t="s">
        <v>45</v>
      </c>
      <c r="J9" s="22" t="n">
        <f aca="false">COUNTIFS(Trechos!$L$2:$L$526,A9)</f>
        <v>55</v>
      </c>
      <c r="K9" s="23" t="n">
        <f aca="false">SUMIFS(Trechos!$F$2:$F$526,Trechos!$L$2:$L$526,A9)</f>
        <v>1795.83284480927</v>
      </c>
      <c r="L9" s="22" t="s">
        <v>46</v>
      </c>
      <c r="M9" s="22" t="str">
        <f aca="false">Blocos!AU4</f>
        <v>7902218004, 0330915004, 0203711004, 0202227004, 0204190004, 0200482004, 0200484004, 0200489004, 0200490004, 0230938004, 0200492004, 0202676004, 0303862004, 0229036004, 0200495004, 0201153004, 0352542004, 0300603004, 0203117004, 0202175004, 0300600004</v>
      </c>
    </row>
    <row r="10" customFormat="false" ht="15" hidden="false" customHeight="false" outlineLevel="0" collapsed="false">
      <c r="A10" s="17" t="s">
        <v>47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customFormat="false" ht="15" hidden="false" customHeight="false" outlineLevel="0" collapsed="false">
      <c r="A11" s="18" t="n">
        <v>4</v>
      </c>
      <c r="B11" s="19" t="s">
        <v>20</v>
      </c>
      <c r="C11" s="20" t="s">
        <v>40</v>
      </c>
      <c r="D11" s="21"/>
      <c r="E11" s="21"/>
      <c r="F11" s="21"/>
      <c r="G11" s="21"/>
      <c r="H11" s="22" t="s">
        <v>48</v>
      </c>
      <c r="I11" s="22" t="s">
        <v>49</v>
      </c>
      <c r="J11" s="22" t="n">
        <f aca="false">COUNTIFS(Trechos!$L$2:$L$526,A11)</f>
        <v>6</v>
      </c>
      <c r="K11" s="23" t="n">
        <f aca="false">SUMIFS(Trechos!$F$2:$F$526,Trechos!$L$2:$L$526,A11)</f>
        <v>343.482655369021</v>
      </c>
      <c r="L11" s="22" t="s">
        <v>50</v>
      </c>
      <c r="M11" s="22" t="str">
        <f aca="false">Blocos!AU5</f>
        <v>—</v>
      </c>
    </row>
    <row r="12" customFormat="false" ht="15" hidden="false" customHeight="false" outlineLevel="0" collapsed="false">
      <c r="A12" s="17" t="s">
        <v>51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customFormat="false" ht="15" hidden="false" customHeight="false" outlineLevel="0" collapsed="false">
      <c r="A13" s="18" t="n">
        <v>5</v>
      </c>
      <c r="B13" s="19" t="s">
        <v>20</v>
      </c>
      <c r="C13" s="20" t="s">
        <v>40</v>
      </c>
      <c r="D13" s="21"/>
      <c r="E13" s="21"/>
      <c r="F13" s="21"/>
      <c r="G13" s="21"/>
      <c r="H13" s="22" t="s">
        <v>52</v>
      </c>
      <c r="I13" s="22" t="s">
        <v>53</v>
      </c>
      <c r="J13" s="22" t="n">
        <f aca="false">COUNTIFS(Trechos!$L$2:$L$526,A13)</f>
        <v>1</v>
      </c>
      <c r="K13" s="23" t="n">
        <f aca="false">SUMIFS(Trechos!$F$2:$F$526,Trechos!$L$2:$L$526,A13)</f>
        <v>8.46532872647349</v>
      </c>
      <c r="L13" s="22" t="s">
        <v>50</v>
      </c>
      <c r="M13" s="22" t="str">
        <f aca="false">Blocos!AU6</f>
        <v>—</v>
      </c>
    </row>
    <row r="14" customFormat="false" ht="15" hidden="false" customHeight="false" outlineLevel="0" collapsed="false">
      <c r="A14" s="17" t="s">
        <v>54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customFormat="false" ht="15" hidden="false" customHeight="false" outlineLevel="0" collapsed="false">
      <c r="A15" s="18" t="n">
        <v>6</v>
      </c>
      <c r="B15" s="19" t="s">
        <v>20</v>
      </c>
      <c r="C15" s="20" t="s">
        <v>40</v>
      </c>
      <c r="D15" s="21"/>
      <c r="E15" s="21"/>
      <c r="F15" s="21"/>
      <c r="G15" s="21"/>
      <c r="H15" s="22" t="s">
        <v>55</v>
      </c>
      <c r="I15" s="22" t="s">
        <v>56</v>
      </c>
      <c r="J15" s="22" t="n">
        <f aca="false">COUNTIFS(Trechos!$L$2:$L$526,A15)</f>
        <v>1</v>
      </c>
      <c r="K15" s="23" t="n">
        <f aca="false">SUMIFS(Trechos!$F$2:$F$526,Trechos!$L$2:$L$526,A15)</f>
        <v>1.00681676888472</v>
      </c>
      <c r="L15" s="22" t="s">
        <v>50</v>
      </c>
      <c r="M15" s="22" t="str">
        <f aca="false">Blocos!AU7</f>
        <v>0201072004</v>
      </c>
    </row>
    <row r="16" customFormat="false" ht="15" hidden="false" customHeight="false" outlineLevel="0" collapsed="false">
      <c r="A16" s="18" t="n">
        <v>7</v>
      </c>
      <c r="B16" s="27" t="s">
        <v>22</v>
      </c>
      <c r="C16" s="25" t="s">
        <v>40</v>
      </c>
      <c r="D16" s="28" t="s">
        <v>56</v>
      </c>
      <c r="E16" s="21"/>
      <c r="F16" s="21"/>
      <c r="G16" s="21"/>
      <c r="H16" s="22" t="s">
        <v>56</v>
      </c>
      <c r="I16" s="22" t="s">
        <v>57</v>
      </c>
      <c r="J16" s="22" t="n">
        <f aca="false">COUNTIFS(Trechos!$L$2:$L$526,A16)</f>
        <v>2</v>
      </c>
      <c r="K16" s="23" t="n">
        <f aca="false">SUMIFS(Trechos!$F$2:$F$526,Trechos!$L$2:$L$526,A16)</f>
        <v>22.3235248267574</v>
      </c>
      <c r="L16" s="22" t="s">
        <v>50</v>
      </c>
      <c r="M16" s="22" t="str">
        <f aca="false">Blocos!AU8</f>
        <v>—</v>
      </c>
    </row>
    <row r="17" customFormat="false" ht="15" hidden="false" customHeight="false" outlineLevel="0" collapsed="false">
      <c r="A17" s="17" t="s">
        <v>58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customFormat="false" ht="15" hidden="false" customHeight="false" outlineLevel="0" collapsed="false">
      <c r="A18" s="18" t="n">
        <v>8</v>
      </c>
      <c r="B18" s="19" t="s">
        <v>20</v>
      </c>
      <c r="C18" s="20" t="s">
        <v>40</v>
      </c>
      <c r="D18" s="21"/>
      <c r="E18" s="21"/>
      <c r="F18" s="21"/>
      <c r="G18" s="21"/>
      <c r="H18" s="22" t="s">
        <v>59</v>
      </c>
      <c r="I18" s="22" t="s">
        <v>60</v>
      </c>
      <c r="J18" s="22" t="n">
        <f aca="false">COUNTIFS(Trechos!$L$2:$L$526,A18)</f>
        <v>1</v>
      </c>
      <c r="K18" s="23" t="n">
        <f aca="false">SUMIFS(Trechos!$F$2:$F$526,Trechos!$L$2:$L$526,A18)</f>
        <v>1.02053122365876</v>
      </c>
      <c r="L18" s="22" t="s">
        <v>50</v>
      </c>
      <c r="M18" s="22" t="str">
        <f aca="false">Blocos!AU9</f>
        <v>0345761004</v>
      </c>
    </row>
    <row r="19" customFormat="false" ht="15" hidden="false" customHeight="false" outlineLevel="0" collapsed="false">
      <c r="A19" s="18" t="n">
        <v>9</v>
      </c>
      <c r="B19" s="27" t="s">
        <v>22</v>
      </c>
      <c r="C19" s="25" t="s">
        <v>40</v>
      </c>
      <c r="D19" s="28" t="s">
        <v>60</v>
      </c>
      <c r="E19" s="21"/>
      <c r="F19" s="21"/>
      <c r="G19" s="21"/>
      <c r="H19" s="22" t="s">
        <v>60</v>
      </c>
      <c r="I19" s="22" t="s">
        <v>61</v>
      </c>
      <c r="J19" s="22" t="n">
        <f aca="false">COUNTIFS(Trechos!$L$2:$L$526,A19)</f>
        <v>1</v>
      </c>
      <c r="K19" s="23" t="n">
        <f aca="false">SUMIFS(Trechos!$F$2:$F$526,Trechos!$L$2:$L$526,A19)</f>
        <v>8.54997721921965</v>
      </c>
      <c r="L19" s="22" t="s">
        <v>50</v>
      </c>
      <c r="M19" s="22" t="str">
        <f aca="false">Blocos!AU10</f>
        <v>—</v>
      </c>
    </row>
    <row r="20" customFormat="false" ht="15" hidden="false" customHeight="false" outlineLevel="0" collapsed="false">
      <c r="A20" s="17" t="s">
        <v>62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customFormat="false" ht="15" hidden="false" customHeight="false" outlineLevel="0" collapsed="false">
      <c r="A21" s="18" t="n">
        <v>10</v>
      </c>
      <c r="B21" s="19" t="s">
        <v>20</v>
      </c>
      <c r="C21" s="20" t="s">
        <v>40</v>
      </c>
      <c r="D21" s="21"/>
      <c r="E21" s="21"/>
      <c r="F21" s="21"/>
      <c r="G21" s="21"/>
      <c r="H21" s="22" t="s">
        <v>63</v>
      </c>
      <c r="I21" s="22" t="s">
        <v>64</v>
      </c>
      <c r="J21" s="22" t="n">
        <f aca="false">COUNTIFS(Trechos!$L$2:$L$526,A21)</f>
        <v>1</v>
      </c>
      <c r="K21" s="23" t="n">
        <f aca="false">SUMIFS(Trechos!$F$2:$F$526,Trechos!$L$2:$L$526,A21)</f>
        <v>0.554406188864805</v>
      </c>
      <c r="L21" s="22" t="s">
        <v>50</v>
      </c>
      <c r="M21" s="22" t="str">
        <f aca="false">Blocos!AU11</f>
        <v>0200547004</v>
      </c>
    </row>
    <row r="22" customFormat="false" ht="15" hidden="false" customHeight="false" outlineLevel="0" collapsed="false">
      <c r="A22" s="18" t="n">
        <v>11</v>
      </c>
      <c r="B22" s="27" t="s">
        <v>22</v>
      </c>
      <c r="C22" s="25" t="s">
        <v>40</v>
      </c>
      <c r="D22" s="28" t="s">
        <v>64</v>
      </c>
      <c r="E22" s="21"/>
      <c r="F22" s="21"/>
      <c r="G22" s="21"/>
      <c r="H22" s="22" t="s">
        <v>64</v>
      </c>
      <c r="I22" s="22" t="s">
        <v>65</v>
      </c>
      <c r="J22" s="22" t="n">
        <f aca="false">COUNTIFS(Trechos!$L$2:$L$526,A22)</f>
        <v>1</v>
      </c>
      <c r="K22" s="23" t="n">
        <f aca="false">SUMIFS(Trechos!$F$2:$F$526,Trechos!$L$2:$L$526,A22)</f>
        <v>3.83902037096225</v>
      </c>
      <c r="L22" s="22" t="s">
        <v>50</v>
      </c>
      <c r="M22" s="22" t="str">
        <f aca="false">Blocos!AU12</f>
        <v>—</v>
      </c>
    </row>
    <row r="23" customFormat="false" ht="15" hidden="false" customHeight="false" outlineLevel="0" collapsed="false">
      <c r="A23" s="17" t="s">
        <v>66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customFormat="false" ht="15" hidden="false" customHeight="false" outlineLevel="0" collapsed="false">
      <c r="A24" s="18" t="n">
        <v>12</v>
      </c>
      <c r="B24" s="19" t="s">
        <v>20</v>
      </c>
      <c r="C24" s="20" t="s">
        <v>40</v>
      </c>
      <c r="D24" s="21"/>
      <c r="E24" s="21"/>
      <c r="F24" s="21"/>
      <c r="G24" s="21"/>
      <c r="H24" s="22" t="s">
        <v>67</v>
      </c>
      <c r="I24" s="22" t="s">
        <v>68</v>
      </c>
      <c r="J24" s="22" t="n">
        <f aca="false">COUNTIFS(Trechos!$L$2:$L$526,A24)</f>
        <v>1</v>
      </c>
      <c r="K24" s="23" t="n">
        <f aca="false">SUMIFS(Trechos!$F$2:$F$526,Trechos!$L$2:$L$526,A24)</f>
        <v>1.02176395015507</v>
      </c>
      <c r="L24" s="22" t="s">
        <v>50</v>
      </c>
      <c r="M24" s="22" t="str">
        <f aca="false">Blocos!AU13</f>
        <v>0200548004</v>
      </c>
    </row>
    <row r="25" customFormat="false" ht="15" hidden="false" customHeight="false" outlineLevel="0" collapsed="false">
      <c r="A25" s="18" t="n">
        <v>13</v>
      </c>
      <c r="B25" s="27" t="s">
        <v>22</v>
      </c>
      <c r="C25" s="25" t="s">
        <v>40</v>
      </c>
      <c r="D25" s="28" t="s">
        <v>68</v>
      </c>
      <c r="E25" s="21"/>
      <c r="F25" s="21"/>
      <c r="G25" s="21"/>
      <c r="H25" s="22" t="s">
        <v>68</v>
      </c>
      <c r="I25" s="22" t="s">
        <v>69</v>
      </c>
      <c r="J25" s="22" t="n">
        <f aca="false">COUNTIFS(Trechos!$L$2:$L$526,A25)</f>
        <v>1</v>
      </c>
      <c r="K25" s="23" t="n">
        <f aca="false">SUMIFS(Trechos!$F$2:$F$526,Trechos!$L$2:$L$526,A25)</f>
        <v>8.8549610425365</v>
      </c>
      <c r="L25" s="22" t="s">
        <v>50</v>
      </c>
      <c r="M25" s="22" t="str">
        <f aca="false">Blocos!AU14</f>
        <v>—</v>
      </c>
    </row>
    <row r="26" customFormat="false" ht="15" hidden="false" customHeight="false" outlineLevel="0" collapsed="false">
      <c r="A26" s="17" t="s">
        <v>70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customFormat="false" ht="15" hidden="false" customHeight="false" outlineLevel="0" collapsed="false">
      <c r="A27" s="18" t="n">
        <v>14</v>
      </c>
      <c r="B27" s="19" t="s">
        <v>20</v>
      </c>
      <c r="C27" s="20" t="s">
        <v>40</v>
      </c>
      <c r="D27" s="21"/>
      <c r="E27" s="21"/>
      <c r="F27" s="21"/>
      <c r="G27" s="21"/>
      <c r="H27" s="22" t="s">
        <v>71</v>
      </c>
      <c r="I27" s="22" t="s">
        <v>72</v>
      </c>
      <c r="J27" s="22" t="n">
        <f aca="false">COUNTIFS(Trechos!$L$2:$L$526,A27)</f>
        <v>1</v>
      </c>
      <c r="K27" s="23" t="n">
        <f aca="false">SUMIFS(Trechos!$F$2:$F$526,Trechos!$L$2:$L$526,A27)</f>
        <v>1.04309589998363</v>
      </c>
      <c r="L27" s="22" t="s">
        <v>50</v>
      </c>
      <c r="M27" s="22" t="str">
        <f aca="false">Blocos!AU15</f>
        <v>0200549004</v>
      </c>
    </row>
    <row r="28" customFormat="false" ht="15" hidden="false" customHeight="false" outlineLevel="0" collapsed="false">
      <c r="A28" s="18" t="n">
        <v>15</v>
      </c>
      <c r="B28" s="27" t="s">
        <v>22</v>
      </c>
      <c r="C28" s="25" t="s">
        <v>40</v>
      </c>
      <c r="D28" s="28" t="s">
        <v>72</v>
      </c>
      <c r="E28" s="21"/>
      <c r="F28" s="21"/>
      <c r="G28" s="21"/>
      <c r="H28" s="22" t="s">
        <v>72</v>
      </c>
      <c r="I28" s="22" t="s">
        <v>73</v>
      </c>
      <c r="J28" s="22" t="n">
        <f aca="false">COUNTIFS(Trechos!$L$2:$L$526,A28)</f>
        <v>1</v>
      </c>
      <c r="K28" s="23" t="n">
        <f aca="false">SUMIFS(Trechos!$F$2:$F$526,Trechos!$L$2:$L$526,A28)</f>
        <v>9.06301259230931</v>
      </c>
      <c r="L28" s="22" t="s">
        <v>50</v>
      </c>
      <c r="M28" s="22" t="str">
        <f aca="false">Blocos!AU16</f>
        <v>—</v>
      </c>
    </row>
    <row r="29" customFormat="false" ht="15" hidden="false" customHeight="false" outlineLevel="0" collapsed="false">
      <c r="A29" s="17" t="s">
        <v>74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customFormat="false" ht="15" hidden="false" customHeight="false" outlineLevel="0" collapsed="false">
      <c r="A30" s="18" t="n">
        <v>16</v>
      </c>
      <c r="B30" s="19" t="s">
        <v>20</v>
      </c>
      <c r="C30" s="20" t="s">
        <v>40</v>
      </c>
      <c r="D30" s="21"/>
      <c r="E30" s="21"/>
      <c r="F30" s="21"/>
      <c r="G30" s="21"/>
      <c r="H30" s="22" t="s">
        <v>75</v>
      </c>
      <c r="I30" s="22" t="s">
        <v>76</v>
      </c>
      <c r="J30" s="22" t="n">
        <f aca="false">COUNTIFS(Trechos!$L$2:$L$526,A30)</f>
        <v>2</v>
      </c>
      <c r="K30" s="23" t="n">
        <f aca="false">SUMIFS(Trechos!$F$2:$F$526,Trechos!$L$2:$L$526,A30)</f>
        <v>79.2829462197932</v>
      </c>
      <c r="L30" s="22" t="s">
        <v>50</v>
      </c>
      <c r="M30" s="22" t="str">
        <f aca="false">Blocos!AU17</f>
        <v>—</v>
      </c>
    </row>
    <row r="31" customFormat="false" ht="15" hidden="false" customHeight="false" outlineLevel="0" collapsed="false">
      <c r="A31" s="17" t="s">
        <v>77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customFormat="false" ht="15" hidden="false" customHeight="false" outlineLevel="0" collapsed="false">
      <c r="A32" s="18" t="n">
        <v>17</v>
      </c>
      <c r="B32" s="19" t="s">
        <v>20</v>
      </c>
      <c r="C32" s="20" t="s">
        <v>40</v>
      </c>
      <c r="D32" s="21"/>
      <c r="E32" s="21"/>
      <c r="F32" s="21"/>
      <c r="G32" s="21"/>
      <c r="H32" s="22" t="s">
        <v>78</v>
      </c>
      <c r="I32" s="22" t="s">
        <v>79</v>
      </c>
      <c r="J32" s="22" t="n">
        <f aca="false">COUNTIFS(Trechos!$L$2:$L$526,A32)</f>
        <v>1</v>
      </c>
      <c r="K32" s="23" t="n">
        <f aca="false">SUMIFS(Trechos!$F$2:$F$526,Trechos!$L$2:$L$526,A32)</f>
        <v>0.951570434771641</v>
      </c>
      <c r="L32" s="22" t="s">
        <v>50</v>
      </c>
      <c r="M32" s="22" t="str">
        <f aca="false">Blocos!AU18</f>
        <v>0201875004</v>
      </c>
    </row>
    <row r="33" customFormat="false" ht="15" hidden="false" customHeight="false" outlineLevel="0" collapsed="false">
      <c r="A33" s="18" t="n">
        <v>18</v>
      </c>
      <c r="B33" s="27" t="s">
        <v>22</v>
      </c>
      <c r="C33" s="25" t="s">
        <v>40</v>
      </c>
      <c r="D33" s="28" t="s">
        <v>79</v>
      </c>
      <c r="E33" s="21"/>
      <c r="F33" s="21"/>
      <c r="G33" s="21"/>
      <c r="H33" s="22" t="s">
        <v>79</v>
      </c>
      <c r="I33" s="22" t="s">
        <v>80</v>
      </c>
      <c r="J33" s="22" t="n">
        <f aca="false">COUNTIFS(Trechos!$L$2:$L$526,A33)</f>
        <v>1</v>
      </c>
      <c r="K33" s="23" t="n">
        <f aca="false">SUMIFS(Trechos!$F$2:$F$526,Trechos!$L$2:$L$526,A33)</f>
        <v>8.68446749532155</v>
      </c>
      <c r="L33" s="22" t="s">
        <v>50</v>
      </c>
      <c r="M33" s="22" t="str">
        <f aca="false">Blocos!AU19</f>
        <v>—</v>
      </c>
    </row>
    <row r="34" customFormat="false" ht="15" hidden="false" customHeight="false" outlineLevel="0" collapsed="false">
      <c r="A34" s="17" t="s">
        <v>81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customFormat="false" ht="15" hidden="false" customHeight="false" outlineLevel="0" collapsed="false">
      <c r="A35" s="18" t="n">
        <v>19</v>
      </c>
      <c r="B35" s="19" t="s">
        <v>20</v>
      </c>
      <c r="C35" s="20" t="s">
        <v>40</v>
      </c>
      <c r="D35" s="21"/>
      <c r="E35" s="21"/>
      <c r="F35" s="21"/>
      <c r="G35" s="21"/>
      <c r="H35" s="22" t="s">
        <v>82</v>
      </c>
      <c r="I35" s="22" t="s">
        <v>83</v>
      </c>
      <c r="J35" s="22" t="n">
        <f aca="false">COUNTIFS(Trechos!$L$2:$L$526,A35)</f>
        <v>1</v>
      </c>
      <c r="K35" s="23" t="n">
        <f aca="false">SUMIFS(Trechos!$F$2:$F$526,Trechos!$L$2:$L$526,A35)</f>
        <v>0.865673170948216</v>
      </c>
      <c r="L35" s="22" t="s">
        <v>50</v>
      </c>
      <c r="M35" s="22" t="str">
        <f aca="false">Blocos!AU20</f>
        <v>0200550004</v>
      </c>
    </row>
    <row r="36" customFormat="false" ht="15" hidden="false" customHeight="false" outlineLevel="0" collapsed="false">
      <c r="A36" s="18" t="n">
        <v>20</v>
      </c>
      <c r="B36" s="27" t="s">
        <v>22</v>
      </c>
      <c r="C36" s="25" t="s">
        <v>40</v>
      </c>
      <c r="D36" s="28" t="s">
        <v>83</v>
      </c>
      <c r="E36" s="21"/>
      <c r="F36" s="21"/>
      <c r="G36" s="21"/>
      <c r="H36" s="22" t="s">
        <v>83</v>
      </c>
      <c r="I36" s="22" t="s">
        <v>84</v>
      </c>
      <c r="J36" s="22" t="n">
        <f aca="false">COUNTIFS(Trechos!$L$2:$L$526,A36)</f>
        <v>3</v>
      </c>
      <c r="K36" s="23" t="n">
        <f aca="false">SUMIFS(Trechos!$F$2:$F$526,Trechos!$L$2:$L$526,A36)</f>
        <v>46.71105825906</v>
      </c>
      <c r="L36" s="22" t="s">
        <v>50</v>
      </c>
      <c r="M36" s="22" t="str">
        <f aca="false">Blocos!AU21</f>
        <v>—</v>
      </c>
    </row>
    <row r="37" customFormat="false" ht="15" hidden="false" customHeight="false" outlineLevel="0" collapsed="false">
      <c r="A37" s="17" t="s">
        <v>85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customFormat="false" ht="15" hidden="false" customHeight="false" outlineLevel="0" collapsed="false">
      <c r="A38" s="18" t="n">
        <v>21</v>
      </c>
      <c r="B38" s="19" t="s">
        <v>20</v>
      </c>
      <c r="C38" s="20" t="s">
        <v>40</v>
      </c>
      <c r="D38" s="21"/>
      <c r="E38" s="21"/>
      <c r="F38" s="21"/>
      <c r="G38" s="21"/>
      <c r="H38" s="22" t="s">
        <v>86</v>
      </c>
      <c r="I38" s="22" t="s">
        <v>87</v>
      </c>
      <c r="J38" s="22" t="n">
        <f aca="false">COUNTIFS(Trechos!$L$2:$L$526,A38)</f>
        <v>24</v>
      </c>
      <c r="K38" s="23" t="n">
        <f aca="false">SUMIFS(Trechos!$F$2:$F$526,Trechos!$L$2:$L$526,A38)</f>
        <v>1142.22023431368</v>
      </c>
      <c r="L38" s="22" t="s">
        <v>50</v>
      </c>
      <c r="M38" s="22" t="str">
        <f aca="false">Blocos!AU22</f>
        <v>—</v>
      </c>
    </row>
    <row r="39" customFormat="false" ht="15" hidden="false" customHeight="false" outlineLevel="0" collapsed="false">
      <c r="A39" s="17" t="s">
        <v>88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customFormat="false" ht="15" hidden="false" customHeight="false" outlineLevel="0" collapsed="false">
      <c r="A40" s="18" t="n">
        <v>22</v>
      </c>
      <c r="B40" s="19" t="s">
        <v>20</v>
      </c>
      <c r="C40" s="20" t="s">
        <v>40</v>
      </c>
      <c r="D40" s="21"/>
      <c r="E40" s="21"/>
      <c r="F40" s="21"/>
      <c r="G40" s="21"/>
      <c r="H40" s="22" t="s">
        <v>89</v>
      </c>
      <c r="I40" s="22" t="s">
        <v>90</v>
      </c>
      <c r="J40" s="22" t="n">
        <f aca="false">COUNTIFS(Trechos!$L$2:$L$526,A40)</f>
        <v>10</v>
      </c>
      <c r="K40" s="23" t="n">
        <f aca="false">SUMIFS(Trechos!$F$2:$F$526,Trechos!$L$2:$L$526,A40)</f>
        <v>134.240532013188</v>
      </c>
      <c r="L40" s="22" t="s">
        <v>50</v>
      </c>
      <c r="M40" s="22" t="str">
        <f aca="false">Blocos!AU23</f>
        <v>—</v>
      </c>
    </row>
    <row r="41" customFormat="false" ht="15" hidden="false" customHeight="false" outlineLevel="0" collapsed="false">
      <c r="A41" s="17" t="s">
        <v>91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customFormat="false" ht="15" hidden="false" customHeight="false" outlineLevel="0" collapsed="false">
      <c r="A42" s="18" t="n">
        <v>23</v>
      </c>
      <c r="B42" s="19" t="s">
        <v>20</v>
      </c>
      <c r="C42" s="20" t="s">
        <v>40</v>
      </c>
      <c r="D42" s="21"/>
      <c r="E42" s="21"/>
      <c r="F42" s="21"/>
      <c r="G42" s="21"/>
      <c r="H42" s="22" t="s">
        <v>92</v>
      </c>
      <c r="I42" s="22" t="s">
        <v>93</v>
      </c>
      <c r="J42" s="22" t="n">
        <f aca="false">COUNTIFS(Trechos!$L$2:$L$526,A42)</f>
        <v>1</v>
      </c>
      <c r="K42" s="23" t="n">
        <f aca="false">SUMIFS(Trechos!$F$2:$F$526,Trechos!$L$2:$L$526,A42)</f>
        <v>41.7687049462162</v>
      </c>
      <c r="L42" s="22" t="s">
        <v>50</v>
      </c>
      <c r="M42" s="22" t="str">
        <f aca="false">Blocos!AU24</f>
        <v>—</v>
      </c>
    </row>
    <row r="43" customFormat="false" ht="15" hidden="false" customHeight="false" outlineLevel="0" collapsed="false">
      <c r="A43" s="17" t="s">
        <v>94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customFormat="false" ht="15" hidden="false" customHeight="false" outlineLevel="0" collapsed="false">
      <c r="A44" s="18" t="n">
        <v>24</v>
      </c>
      <c r="B44" s="19" t="s">
        <v>20</v>
      </c>
      <c r="C44" s="20" t="s">
        <v>40</v>
      </c>
      <c r="D44" s="21"/>
      <c r="E44" s="21"/>
      <c r="F44" s="21"/>
      <c r="G44" s="21"/>
      <c r="H44" s="22" t="s">
        <v>95</v>
      </c>
      <c r="I44" s="22" t="s">
        <v>96</v>
      </c>
      <c r="J44" s="22" t="n">
        <f aca="false">COUNTIFS(Trechos!$L$2:$L$526,A44)</f>
        <v>1</v>
      </c>
      <c r="K44" s="23" t="n">
        <f aca="false">SUMIFS(Trechos!$F$2:$F$526,Trechos!$L$2:$L$526,A44)</f>
        <v>5.47358086611873</v>
      </c>
      <c r="L44" s="22" t="s">
        <v>50</v>
      </c>
      <c r="M44" s="22" t="str">
        <f aca="false">Blocos!AU25</f>
        <v>—</v>
      </c>
    </row>
    <row r="45" customFormat="false" ht="15" hidden="false" customHeight="false" outlineLevel="0" collapsed="false">
      <c r="A45" s="17" t="s">
        <v>97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customFormat="false" ht="15" hidden="false" customHeight="false" outlineLevel="0" collapsed="false">
      <c r="A46" s="18" t="n">
        <v>25</v>
      </c>
      <c r="B46" s="24" t="s">
        <v>21</v>
      </c>
      <c r="C46" s="25" t="s">
        <v>40</v>
      </c>
      <c r="D46" s="26" t="s">
        <v>41</v>
      </c>
      <c r="E46" s="21"/>
      <c r="F46" s="21"/>
      <c r="G46" s="21"/>
      <c r="H46" s="22" t="s">
        <v>98</v>
      </c>
      <c r="I46" s="22" t="s">
        <v>99</v>
      </c>
      <c r="J46" s="22" t="n">
        <f aca="false">COUNTIFS(Trechos!$L$2:$L$526,A46)</f>
        <v>1</v>
      </c>
      <c r="K46" s="23" t="n">
        <f aca="false">SUMIFS(Trechos!$F$2:$F$526,Trechos!$L$2:$L$526,A46)</f>
        <v>4.26392299277908</v>
      </c>
      <c r="L46" s="22" t="s">
        <v>50</v>
      </c>
      <c r="M46" s="22" t="str">
        <f aca="false">Blocos!AU26</f>
        <v>—</v>
      </c>
    </row>
    <row r="47" customFormat="false" ht="15" hidden="false" customHeight="false" outlineLevel="0" collapsed="false">
      <c r="A47" s="17" t="s">
        <v>100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customFormat="false" ht="15" hidden="false" customHeight="false" outlineLevel="0" collapsed="false">
      <c r="A48" s="18" t="n">
        <v>26</v>
      </c>
      <c r="B48" s="24" t="s">
        <v>21</v>
      </c>
      <c r="C48" s="25" t="s">
        <v>40</v>
      </c>
      <c r="D48" s="26" t="s">
        <v>41</v>
      </c>
      <c r="E48" s="21"/>
      <c r="F48" s="21"/>
      <c r="G48" s="21"/>
      <c r="H48" s="22" t="s">
        <v>101</v>
      </c>
      <c r="I48" s="22" t="s">
        <v>102</v>
      </c>
      <c r="J48" s="22" t="n">
        <f aca="false">COUNTIFS(Trechos!$L$2:$L$526,A48)</f>
        <v>8</v>
      </c>
      <c r="K48" s="23" t="n">
        <f aca="false">SUMIFS(Trechos!$F$2:$F$526,Trechos!$L$2:$L$526,A48)</f>
        <v>193.17717085394</v>
      </c>
      <c r="L48" s="22" t="s">
        <v>103</v>
      </c>
      <c r="M48" s="22" t="str">
        <f aca="false">Blocos!AU27</f>
        <v>0303973004</v>
      </c>
    </row>
    <row r="49" customFormat="false" ht="15" hidden="false" customHeight="false" outlineLevel="0" collapsed="false">
      <c r="A49" s="18" t="n">
        <v>27</v>
      </c>
      <c r="B49" s="27" t="s">
        <v>22</v>
      </c>
      <c r="C49" s="25" t="s">
        <v>40</v>
      </c>
      <c r="D49" s="25" t="s">
        <v>41</v>
      </c>
      <c r="E49" s="28" t="s">
        <v>104</v>
      </c>
      <c r="F49" s="21"/>
      <c r="G49" s="21"/>
      <c r="H49" s="22" t="s">
        <v>104</v>
      </c>
      <c r="I49" s="22" t="s">
        <v>105</v>
      </c>
      <c r="J49" s="22" t="n">
        <f aca="false">COUNTIFS(Trechos!$L$2:$L$526,A49)</f>
        <v>2</v>
      </c>
      <c r="K49" s="23" t="n">
        <f aca="false">SUMIFS(Trechos!$F$2:$F$526,Trechos!$L$2:$L$526,A49)</f>
        <v>34.304619589084</v>
      </c>
      <c r="L49" s="22" t="s">
        <v>50</v>
      </c>
      <c r="M49" s="22" t="str">
        <f aca="false">Blocos!AU28</f>
        <v>—</v>
      </c>
    </row>
    <row r="50" customFormat="false" ht="15" hidden="false" customHeight="false" outlineLevel="0" collapsed="false">
      <c r="A50" s="17" t="s">
        <v>106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customFormat="false" ht="15" hidden="false" customHeight="false" outlineLevel="0" collapsed="false">
      <c r="A51" s="18" t="n">
        <v>28</v>
      </c>
      <c r="B51" s="24" t="s">
        <v>21</v>
      </c>
      <c r="C51" s="25" t="s">
        <v>40</v>
      </c>
      <c r="D51" s="26" t="s">
        <v>41</v>
      </c>
      <c r="E51" s="21"/>
      <c r="F51" s="21"/>
      <c r="G51" s="21"/>
      <c r="H51" s="22" t="s">
        <v>107</v>
      </c>
      <c r="I51" s="22" t="s">
        <v>108</v>
      </c>
      <c r="J51" s="22" t="n">
        <f aca="false">COUNTIFS(Trechos!$L$2:$L$526,A51)</f>
        <v>1</v>
      </c>
      <c r="K51" s="23" t="n">
        <f aca="false">SUMIFS(Trechos!$F$2:$F$526,Trechos!$L$2:$L$526,A51)</f>
        <v>2.90546673947119</v>
      </c>
      <c r="L51" s="22" t="s">
        <v>50</v>
      </c>
      <c r="M51" s="22" t="str">
        <f aca="false">Blocos!AU29</f>
        <v>0200556004</v>
      </c>
    </row>
    <row r="52" customFormat="false" ht="15" hidden="false" customHeight="false" outlineLevel="0" collapsed="false">
      <c r="A52" s="18" t="n">
        <v>29</v>
      </c>
      <c r="B52" s="27" t="s">
        <v>22</v>
      </c>
      <c r="C52" s="25" t="s">
        <v>40</v>
      </c>
      <c r="D52" s="25" t="s">
        <v>41</v>
      </c>
      <c r="E52" s="28" t="s">
        <v>108</v>
      </c>
      <c r="F52" s="21"/>
      <c r="G52" s="21"/>
      <c r="H52" s="22" t="s">
        <v>108</v>
      </c>
      <c r="I52" s="22" t="s">
        <v>109</v>
      </c>
      <c r="J52" s="22" t="n">
        <f aca="false">COUNTIFS(Trechos!$L$2:$L$526,A52)</f>
        <v>2</v>
      </c>
      <c r="K52" s="23" t="n">
        <f aca="false">SUMIFS(Trechos!$F$2:$F$526,Trechos!$L$2:$L$526,A52)</f>
        <v>41.7066066538754</v>
      </c>
      <c r="L52" s="22" t="s">
        <v>50</v>
      </c>
      <c r="M52" s="22" t="str">
        <f aca="false">Blocos!AU30</f>
        <v>—</v>
      </c>
    </row>
    <row r="53" customFormat="false" ht="15" hidden="false" customHeight="false" outlineLevel="0" collapsed="false">
      <c r="A53" s="17" t="s">
        <v>110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customFormat="false" ht="15" hidden="false" customHeight="false" outlineLevel="0" collapsed="false">
      <c r="A54" s="18" t="n">
        <v>30</v>
      </c>
      <c r="B54" s="24" t="s">
        <v>21</v>
      </c>
      <c r="C54" s="25" t="s">
        <v>40</v>
      </c>
      <c r="D54" s="26" t="s">
        <v>41</v>
      </c>
      <c r="E54" s="21"/>
      <c r="F54" s="21"/>
      <c r="G54" s="21"/>
      <c r="H54" s="22" t="s">
        <v>111</v>
      </c>
      <c r="I54" s="22" t="s">
        <v>112</v>
      </c>
      <c r="J54" s="22" t="n">
        <f aca="false">COUNTIFS(Trechos!$L$2:$L$526,A54)</f>
        <v>2</v>
      </c>
      <c r="K54" s="23" t="n">
        <f aca="false">SUMIFS(Trechos!$F$2:$F$526,Trechos!$L$2:$L$526,A54)</f>
        <v>22.0391543186586</v>
      </c>
      <c r="L54" s="22" t="s">
        <v>50</v>
      </c>
      <c r="M54" s="22" t="str">
        <f aca="false">Blocos!AU31</f>
        <v>—</v>
      </c>
    </row>
    <row r="55" customFormat="false" ht="15" hidden="false" customHeight="false" outlineLevel="0" collapsed="false">
      <c r="A55" s="17" t="s">
        <v>113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customFormat="false" ht="15" hidden="false" customHeight="false" outlineLevel="0" collapsed="false">
      <c r="A56" s="18" t="n">
        <v>31</v>
      </c>
      <c r="B56" s="24" t="s">
        <v>21</v>
      </c>
      <c r="C56" s="25" t="s">
        <v>40</v>
      </c>
      <c r="D56" s="26" t="s">
        <v>41</v>
      </c>
      <c r="E56" s="21"/>
      <c r="F56" s="21"/>
      <c r="G56" s="21"/>
      <c r="H56" s="22" t="s">
        <v>114</v>
      </c>
      <c r="I56" s="22" t="s">
        <v>115</v>
      </c>
      <c r="J56" s="22" t="n">
        <f aca="false">COUNTIFS(Trechos!$L$2:$L$526,A56)</f>
        <v>2</v>
      </c>
      <c r="K56" s="23" t="n">
        <f aca="false">SUMIFS(Trechos!$F$2:$F$526,Trechos!$L$2:$L$526,A56)</f>
        <v>5.38112337432193</v>
      </c>
      <c r="L56" s="22" t="s">
        <v>50</v>
      </c>
      <c r="M56" s="22" t="str">
        <f aca="false">Blocos!AU32</f>
        <v>0303731004</v>
      </c>
    </row>
    <row r="57" customFormat="false" ht="15" hidden="false" customHeight="false" outlineLevel="0" collapsed="false">
      <c r="A57" s="18" t="n">
        <v>32</v>
      </c>
      <c r="B57" s="27" t="s">
        <v>22</v>
      </c>
      <c r="C57" s="25" t="s">
        <v>40</v>
      </c>
      <c r="D57" s="25" t="s">
        <v>41</v>
      </c>
      <c r="E57" s="28" t="s">
        <v>115</v>
      </c>
      <c r="F57" s="21"/>
      <c r="G57" s="21"/>
      <c r="H57" s="22" t="s">
        <v>115</v>
      </c>
      <c r="I57" s="22" t="s">
        <v>116</v>
      </c>
      <c r="J57" s="22" t="n">
        <f aca="false">COUNTIFS(Trechos!$L$2:$L$526,A57)</f>
        <v>5</v>
      </c>
      <c r="K57" s="23" t="n">
        <f aca="false">SUMIFS(Trechos!$F$2:$F$526,Trechos!$L$2:$L$526,A57)</f>
        <v>167.983510119199</v>
      </c>
      <c r="L57" s="22" t="s">
        <v>50</v>
      </c>
      <c r="M57" s="22" t="str">
        <f aca="false">Blocos!AU33</f>
        <v>—</v>
      </c>
    </row>
    <row r="58" customFormat="false" ht="15" hidden="false" customHeight="false" outlineLevel="0" collapsed="false">
      <c r="A58" s="17" t="s">
        <v>117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customFormat="false" ht="15" hidden="false" customHeight="false" outlineLevel="0" collapsed="false">
      <c r="A59" s="18" t="n">
        <v>33</v>
      </c>
      <c r="B59" s="24" t="s">
        <v>21</v>
      </c>
      <c r="C59" s="25" t="s">
        <v>40</v>
      </c>
      <c r="D59" s="26" t="s">
        <v>41</v>
      </c>
      <c r="E59" s="21"/>
      <c r="F59" s="21"/>
      <c r="G59" s="21"/>
      <c r="H59" s="22" t="s">
        <v>118</v>
      </c>
      <c r="I59" s="22" t="s">
        <v>119</v>
      </c>
      <c r="J59" s="22" t="n">
        <f aca="false">COUNTIFS(Trechos!$L$2:$L$526,A59)</f>
        <v>1</v>
      </c>
      <c r="K59" s="23" t="n">
        <f aca="false">SUMIFS(Trechos!$F$2:$F$526,Trechos!$L$2:$L$526,A59)</f>
        <v>1.08797014136651</v>
      </c>
      <c r="L59" s="22" t="s">
        <v>50</v>
      </c>
      <c r="M59" s="22" t="str">
        <f aca="false">Blocos!AU34</f>
        <v>0230252004</v>
      </c>
    </row>
    <row r="60" customFormat="false" ht="15" hidden="false" customHeight="false" outlineLevel="0" collapsed="false">
      <c r="A60" s="18" t="n">
        <v>34</v>
      </c>
      <c r="B60" s="27" t="s">
        <v>22</v>
      </c>
      <c r="C60" s="25" t="s">
        <v>40</v>
      </c>
      <c r="D60" s="25" t="s">
        <v>41</v>
      </c>
      <c r="E60" s="28" t="s">
        <v>119</v>
      </c>
      <c r="F60" s="21"/>
      <c r="G60" s="21"/>
      <c r="H60" s="22" t="s">
        <v>119</v>
      </c>
      <c r="I60" s="22" t="s">
        <v>120</v>
      </c>
      <c r="J60" s="22" t="n">
        <f aca="false">COUNTIFS(Trechos!$L$2:$L$526,A60)</f>
        <v>2</v>
      </c>
      <c r="K60" s="23" t="n">
        <f aca="false">SUMIFS(Trechos!$F$2:$F$526,Trechos!$L$2:$L$526,A60)</f>
        <v>24.7345047606341</v>
      </c>
      <c r="L60" s="22" t="s">
        <v>50</v>
      </c>
      <c r="M60" s="22" t="str">
        <f aca="false">Blocos!AU35</f>
        <v>—</v>
      </c>
    </row>
    <row r="61" customFormat="false" ht="15" hidden="false" customHeight="false" outlineLevel="0" collapsed="false">
      <c r="A61" s="17" t="s">
        <v>121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customFormat="false" ht="15" hidden="false" customHeight="false" outlineLevel="0" collapsed="false">
      <c r="A62" s="18" t="n">
        <v>35</v>
      </c>
      <c r="B62" s="24" t="s">
        <v>21</v>
      </c>
      <c r="C62" s="25" t="s">
        <v>40</v>
      </c>
      <c r="D62" s="26" t="s">
        <v>41</v>
      </c>
      <c r="E62" s="21"/>
      <c r="F62" s="21"/>
      <c r="G62" s="21"/>
      <c r="H62" s="22" t="s">
        <v>122</v>
      </c>
      <c r="I62" s="22" t="s">
        <v>123</v>
      </c>
      <c r="J62" s="22" t="n">
        <f aca="false">COUNTIFS(Trechos!$L$2:$L$526,A62)</f>
        <v>1</v>
      </c>
      <c r="K62" s="23" t="n">
        <f aca="false">SUMIFS(Trechos!$F$2:$F$526,Trechos!$L$2:$L$526,A62)</f>
        <v>2.78206142635617</v>
      </c>
      <c r="L62" s="22" t="s">
        <v>50</v>
      </c>
      <c r="M62" s="22" t="str">
        <f aca="false">Blocos!AU36</f>
        <v>0200571004</v>
      </c>
    </row>
    <row r="63" customFormat="false" ht="15" hidden="false" customHeight="false" outlineLevel="0" collapsed="false">
      <c r="A63" s="18" t="n">
        <v>36</v>
      </c>
      <c r="B63" s="27" t="s">
        <v>22</v>
      </c>
      <c r="C63" s="25" t="s">
        <v>40</v>
      </c>
      <c r="D63" s="25" t="s">
        <v>41</v>
      </c>
      <c r="E63" s="28" t="s">
        <v>123</v>
      </c>
      <c r="F63" s="21"/>
      <c r="G63" s="21"/>
      <c r="H63" s="22" t="s">
        <v>123</v>
      </c>
      <c r="I63" s="22" t="s">
        <v>124</v>
      </c>
      <c r="J63" s="22" t="n">
        <f aca="false">COUNTIFS(Trechos!$L$2:$L$526,A63)</f>
        <v>1</v>
      </c>
      <c r="K63" s="23" t="n">
        <f aca="false">SUMIFS(Trechos!$F$2:$F$526,Trechos!$L$2:$L$526,A63)</f>
        <v>25.0307742012439</v>
      </c>
      <c r="L63" s="22" t="s">
        <v>50</v>
      </c>
      <c r="M63" s="22" t="str">
        <f aca="false">Blocos!AU37</f>
        <v>—</v>
      </c>
    </row>
    <row r="64" customFormat="false" ht="15" hidden="false" customHeight="false" outlineLevel="0" collapsed="false">
      <c r="A64" s="17" t="s">
        <v>125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customFormat="false" ht="15" hidden="false" customHeight="false" outlineLevel="0" collapsed="false">
      <c r="A65" s="18" t="n">
        <v>37</v>
      </c>
      <c r="B65" s="24" t="s">
        <v>21</v>
      </c>
      <c r="C65" s="25" t="s">
        <v>40</v>
      </c>
      <c r="D65" s="26" t="s">
        <v>41</v>
      </c>
      <c r="E65" s="21"/>
      <c r="F65" s="21"/>
      <c r="G65" s="21"/>
      <c r="H65" s="22" t="s">
        <v>126</v>
      </c>
      <c r="I65" s="22" t="s">
        <v>127</v>
      </c>
      <c r="J65" s="22" t="n">
        <f aca="false">COUNTIFS(Trechos!$L$2:$L$526,A65)</f>
        <v>3</v>
      </c>
      <c r="K65" s="23" t="n">
        <f aca="false">SUMIFS(Trechos!$F$2:$F$526,Trechos!$L$2:$L$526,A65)</f>
        <v>44.4610563388762</v>
      </c>
      <c r="L65" s="22" t="s">
        <v>50</v>
      </c>
      <c r="M65" s="22" t="str">
        <f aca="false">Blocos!AU38</f>
        <v>0200573004</v>
      </c>
    </row>
    <row r="66" customFormat="false" ht="15" hidden="false" customHeight="false" outlineLevel="0" collapsed="false">
      <c r="A66" s="18" t="n">
        <v>38</v>
      </c>
      <c r="B66" s="27" t="s">
        <v>22</v>
      </c>
      <c r="C66" s="25" t="s">
        <v>40</v>
      </c>
      <c r="D66" s="25" t="s">
        <v>41</v>
      </c>
      <c r="E66" s="28" t="s">
        <v>128</v>
      </c>
      <c r="F66" s="21"/>
      <c r="G66" s="21"/>
      <c r="H66" s="22" t="s">
        <v>128</v>
      </c>
      <c r="I66" s="22" t="s">
        <v>129</v>
      </c>
      <c r="J66" s="22" t="n">
        <f aca="false">COUNTIFS(Trechos!$L$2:$L$526,A66)</f>
        <v>1</v>
      </c>
      <c r="K66" s="23" t="n">
        <f aca="false">SUMIFS(Trechos!$F$2:$F$526,Trechos!$L$2:$L$526,A66)</f>
        <v>22.7054848493459</v>
      </c>
      <c r="L66" s="22" t="s">
        <v>50</v>
      </c>
      <c r="M66" s="22" t="str">
        <f aca="false">Blocos!AU39</f>
        <v>—</v>
      </c>
    </row>
    <row r="67" customFormat="false" ht="15" hidden="false" customHeight="false" outlineLevel="0" collapsed="false">
      <c r="A67" s="17" t="s">
        <v>130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customFormat="false" ht="15" hidden="false" customHeight="false" outlineLevel="0" collapsed="false">
      <c r="A68" s="18" t="n">
        <v>39</v>
      </c>
      <c r="B68" s="24" t="s">
        <v>21</v>
      </c>
      <c r="C68" s="25" t="s">
        <v>40</v>
      </c>
      <c r="D68" s="26" t="s">
        <v>41</v>
      </c>
      <c r="E68" s="21"/>
      <c r="F68" s="21"/>
      <c r="G68" s="21"/>
      <c r="H68" s="22" t="s">
        <v>131</v>
      </c>
      <c r="I68" s="22" t="s">
        <v>132</v>
      </c>
      <c r="J68" s="22" t="n">
        <f aca="false">COUNTIFS(Trechos!$L$2:$L$526,A68)</f>
        <v>1</v>
      </c>
      <c r="K68" s="23" t="n">
        <f aca="false">SUMIFS(Trechos!$F$2:$F$526,Trechos!$L$2:$L$526,A68)</f>
        <v>1.39076790233711</v>
      </c>
      <c r="L68" s="22" t="s">
        <v>50</v>
      </c>
      <c r="M68" s="22" t="str">
        <f aca="false">Blocos!AU40</f>
        <v>0200868004</v>
      </c>
    </row>
    <row r="69" customFormat="false" ht="15" hidden="false" customHeight="false" outlineLevel="0" collapsed="false">
      <c r="A69" s="18" t="n">
        <v>40</v>
      </c>
      <c r="B69" s="27" t="s">
        <v>22</v>
      </c>
      <c r="C69" s="25" t="s">
        <v>40</v>
      </c>
      <c r="D69" s="25" t="s">
        <v>41</v>
      </c>
      <c r="E69" s="28" t="s">
        <v>132</v>
      </c>
      <c r="F69" s="21"/>
      <c r="G69" s="21"/>
      <c r="H69" s="22" t="s">
        <v>132</v>
      </c>
      <c r="I69" s="22" t="s">
        <v>133</v>
      </c>
      <c r="J69" s="22" t="n">
        <f aca="false">COUNTIFS(Trechos!$L$2:$L$526,A69)</f>
        <v>1</v>
      </c>
      <c r="K69" s="23" t="n">
        <f aca="false">SUMIFS(Trechos!$F$2:$F$526,Trechos!$L$2:$L$526,A69)</f>
        <v>12.9405754106841</v>
      </c>
      <c r="L69" s="22" t="s">
        <v>50</v>
      </c>
      <c r="M69" s="22" t="str">
        <f aca="false">Blocos!AU41</f>
        <v>—</v>
      </c>
    </row>
    <row r="70" customFormat="false" ht="15" hidden="false" customHeight="false" outlineLevel="0" collapsed="false">
      <c r="A70" s="17" t="s">
        <v>134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customFormat="false" ht="15" hidden="false" customHeight="false" outlineLevel="0" collapsed="false">
      <c r="A71" s="18" t="n">
        <v>41</v>
      </c>
      <c r="B71" s="24" t="s">
        <v>21</v>
      </c>
      <c r="C71" s="25" t="s">
        <v>40</v>
      </c>
      <c r="D71" s="26" t="s">
        <v>41</v>
      </c>
      <c r="E71" s="21"/>
      <c r="F71" s="21"/>
      <c r="G71" s="21"/>
      <c r="H71" s="22" t="s">
        <v>135</v>
      </c>
      <c r="I71" s="22" t="s">
        <v>136</v>
      </c>
      <c r="J71" s="22" t="n">
        <f aca="false">COUNTIFS(Trechos!$L$2:$L$526,A71)</f>
        <v>27</v>
      </c>
      <c r="K71" s="23" t="n">
        <f aca="false">SUMIFS(Trechos!$F$2:$F$526,Trechos!$L$2:$L$526,A71)</f>
        <v>711.974705462091</v>
      </c>
      <c r="L71" s="22" t="s">
        <v>137</v>
      </c>
      <c r="M71" s="22" t="str">
        <f aca="false">Blocos!AU42</f>
        <v>0200583004, 0300584004, 0300585004, 0300582004, 0204195004, 0300578004, 0229381004, 0200580004, 0202671004, 0204249004</v>
      </c>
    </row>
    <row r="72" customFormat="false" ht="15" hidden="false" customHeight="false" outlineLevel="0" collapsed="false">
      <c r="A72" s="18" t="n">
        <v>42</v>
      </c>
      <c r="B72" s="27" t="s">
        <v>22</v>
      </c>
      <c r="C72" s="25" t="s">
        <v>40</v>
      </c>
      <c r="D72" s="25" t="s">
        <v>41</v>
      </c>
      <c r="E72" s="28" t="s">
        <v>138</v>
      </c>
      <c r="F72" s="21"/>
      <c r="G72" s="21"/>
      <c r="H72" s="22" t="s">
        <v>138</v>
      </c>
      <c r="I72" s="22" t="s">
        <v>139</v>
      </c>
      <c r="J72" s="22" t="n">
        <f aca="false">COUNTIFS(Trechos!$L$2:$L$526,A72)</f>
        <v>4</v>
      </c>
      <c r="K72" s="23" t="n">
        <f aca="false">SUMIFS(Trechos!$F$2:$F$526,Trechos!$L$2:$L$526,A72)</f>
        <v>43.8731354215516</v>
      </c>
      <c r="L72" s="22" t="s">
        <v>50</v>
      </c>
      <c r="M72" s="22" t="str">
        <f aca="false">Blocos!AU43</f>
        <v>—</v>
      </c>
    </row>
    <row r="73" customFormat="false" ht="15" hidden="false" customHeight="false" outlineLevel="0" collapsed="false">
      <c r="A73" s="18" t="n">
        <v>43</v>
      </c>
      <c r="B73" s="27" t="s">
        <v>22</v>
      </c>
      <c r="C73" s="25" t="s">
        <v>40</v>
      </c>
      <c r="D73" s="25" t="s">
        <v>41</v>
      </c>
      <c r="E73" s="28" t="s">
        <v>140</v>
      </c>
      <c r="F73" s="21"/>
      <c r="G73" s="21"/>
      <c r="H73" s="22" t="s">
        <v>140</v>
      </c>
      <c r="I73" s="22" t="s">
        <v>141</v>
      </c>
      <c r="J73" s="22" t="n">
        <f aca="false">COUNTIFS(Trechos!$L$2:$L$526,A73)</f>
        <v>22</v>
      </c>
      <c r="K73" s="23" t="n">
        <f aca="false">SUMIFS(Trechos!$F$2:$F$526,Trechos!$L$2:$L$526,A73)</f>
        <v>610.208030074514</v>
      </c>
      <c r="L73" s="22" t="s">
        <v>50</v>
      </c>
      <c r="M73" s="22" t="str">
        <f aca="false">Blocos!AU44</f>
        <v>0300585004</v>
      </c>
    </row>
    <row r="74" customFormat="false" ht="15" hidden="false" customHeight="false" outlineLevel="0" collapsed="false">
      <c r="A74" s="18" t="n">
        <v>44</v>
      </c>
      <c r="B74" s="29" t="s">
        <v>23</v>
      </c>
      <c r="C74" s="25" t="s">
        <v>40</v>
      </c>
      <c r="D74" s="25" t="s">
        <v>41</v>
      </c>
      <c r="E74" s="25" t="s">
        <v>140</v>
      </c>
      <c r="F74" s="30" t="s">
        <v>142</v>
      </c>
      <c r="G74" s="21"/>
      <c r="H74" s="22" t="s">
        <v>142</v>
      </c>
      <c r="I74" s="22" t="s">
        <v>143</v>
      </c>
      <c r="J74" s="22" t="n">
        <f aca="false">COUNTIFS(Trechos!$L$2:$L$526,A74)</f>
        <v>1</v>
      </c>
      <c r="K74" s="23" t="n">
        <f aca="false">SUMIFS(Trechos!$F$2:$F$526,Trechos!$L$2:$L$526,A74)</f>
        <v>11.2419540888715</v>
      </c>
      <c r="L74" s="22" t="s">
        <v>50</v>
      </c>
      <c r="M74" s="22" t="str">
        <f aca="false">Blocos!AU45</f>
        <v>—</v>
      </c>
    </row>
    <row r="75" customFormat="false" ht="15" hidden="false" customHeight="false" outlineLevel="0" collapsed="false">
      <c r="A75" s="18" t="n">
        <v>45</v>
      </c>
      <c r="B75" s="27" t="s">
        <v>22</v>
      </c>
      <c r="C75" s="25" t="s">
        <v>40</v>
      </c>
      <c r="D75" s="25" t="s">
        <v>41</v>
      </c>
      <c r="E75" s="28" t="s">
        <v>144</v>
      </c>
      <c r="F75" s="21"/>
      <c r="G75" s="21"/>
      <c r="H75" s="22" t="s">
        <v>144</v>
      </c>
      <c r="I75" s="22" t="s">
        <v>145</v>
      </c>
      <c r="J75" s="22" t="n">
        <f aca="false">COUNTIFS(Trechos!$L$2:$L$526,A75)</f>
        <v>3</v>
      </c>
      <c r="K75" s="23" t="n">
        <f aca="false">SUMIFS(Trechos!$F$2:$F$526,Trechos!$L$2:$L$526,A75)</f>
        <v>234.703286837545</v>
      </c>
      <c r="L75" s="22" t="s">
        <v>50</v>
      </c>
      <c r="M75" s="22" t="str">
        <f aca="false">Blocos!AU46</f>
        <v>—</v>
      </c>
    </row>
    <row r="76" customFormat="false" ht="15" hidden="false" customHeight="false" outlineLevel="0" collapsed="false">
      <c r="A76" s="18" t="n">
        <v>46</v>
      </c>
      <c r="B76" s="27" t="s">
        <v>22</v>
      </c>
      <c r="C76" s="25" t="s">
        <v>40</v>
      </c>
      <c r="D76" s="25" t="s">
        <v>41</v>
      </c>
      <c r="E76" s="28" t="s">
        <v>146</v>
      </c>
      <c r="F76" s="21"/>
      <c r="G76" s="21"/>
      <c r="H76" s="22" t="s">
        <v>146</v>
      </c>
      <c r="I76" s="22" t="s">
        <v>147</v>
      </c>
      <c r="J76" s="22" t="n">
        <f aca="false">COUNTIFS(Trechos!$L$2:$L$526,A76)</f>
        <v>2</v>
      </c>
      <c r="K76" s="23" t="n">
        <f aca="false">SUMIFS(Trechos!$F$2:$F$526,Trechos!$L$2:$L$526,A76)</f>
        <v>11.1909128468482</v>
      </c>
      <c r="L76" s="22" t="s">
        <v>50</v>
      </c>
      <c r="M76" s="22" t="str">
        <f aca="false">Blocos!AU47</f>
        <v>—</v>
      </c>
    </row>
    <row r="77" customFormat="false" ht="15" hidden="false" customHeight="false" outlineLevel="0" collapsed="false">
      <c r="A77" s="18" t="n">
        <v>47</v>
      </c>
      <c r="B77" s="27" t="s">
        <v>22</v>
      </c>
      <c r="C77" s="25" t="s">
        <v>40</v>
      </c>
      <c r="D77" s="25" t="s">
        <v>41</v>
      </c>
      <c r="E77" s="28" t="s">
        <v>148</v>
      </c>
      <c r="F77" s="21"/>
      <c r="G77" s="21"/>
      <c r="H77" s="22" t="s">
        <v>148</v>
      </c>
      <c r="I77" s="22" t="s">
        <v>149</v>
      </c>
      <c r="J77" s="22" t="n">
        <f aca="false">COUNTIFS(Trechos!$L$2:$L$526,A77)</f>
        <v>12</v>
      </c>
      <c r="K77" s="23" t="n">
        <f aca="false">SUMIFS(Trechos!$F$2:$F$526,Trechos!$L$2:$L$526,A77)</f>
        <v>364.461040747831</v>
      </c>
      <c r="L77" s="22" t="s">
        <v>50</v>
      </c>
      <c r="M77" s="22" t="str">
        <f aca="false">Blocos!AU48</f>
        <v>0229381004, 0200580004</v>
      </c>
    </row>
    <row r="78" customFormat="false" ht="15" hidden="false" customHeight="false" outlineLevel="0" collapsed="false">
      <c r="A78" s="18" t="n">
        <v>48</v>
      </c>
      <c r="B78" s="29" t="s">
        <v>23</v>
      </c>
      <c r="C78" s="25" t="s">
        <v>40</v>
      </c>
      <c r="D78" s="25" t="s">
        <v>41</v>
      </c>
      <c r="E78" s="25" t="s">
        <v>148</v>
      </c>
      <c r="F78" s="30" t="s">
        <v>150</v>
      </c>
      <c r="G78" s="21"/>
      <c r="H78" s="22" t="s">
        <v>150</v>
      </c>
      <c r="I78" s="22" t="s">
        <v>151</v>
      </c>
      <c r="J78" s="22" t="n">
        <f aca="false">COUNTIFS(Trechos!$L$2:$L$526,A78)</f>
        <v>2</v>
      </c>
      <c r="K78" s="23" t="n">
        <f aca="false">SUMIFS(Trechos!$F$2:$F$526,Trechos!$L$2:$L$526,A78)</f>
        <v>25.1227917714589</v>
      </c>
      <c r="L78" s="22" t="s">
        <v>50</v>
      </c>
      <c r="M78" s="22" t="str">
        <f aca="false">Blocos!AU49</f>
        <v>—</v>
      </c>
    </row>
    <row r="79" customFormat="false" ht="15" hidden="false" customHeight="false" outlineLevel="0" collapsed="false">
      <c r="A79" s="18" t="n">
        <v>49</v>
      </c>
      <c r="B79" s="29" t="s">
        <v>23</v>
      </c>
      <c r="C79" s="25" t="s">
        <v>40</v>
      </c>
      <c r="D79" s="25" t="s">
        <v>41</v>
      </c>
      <c r="E79" s="25" t="s">
        <v>148</v>
      </c>
      <c r="F79" s="30" t="s">
        <v>152</v>
      </c>
      <c r="G79" s="21"/>
      <c r="H79" s="22" t="s">
        <v>152</v>
      </c>
      <c r="I79" s="22" t="s">
        <v>153</v>
      </c>
      <c r="J79" s="22" t="n">
        <f aca="false">COUNTIFS(Trechos!$L$2:$L$526,A79)</f>
        <v>1</v>
      </c>
      <c r="K79" s="23" t="n">
        <f aca="false">SUMIFS(Trechos!$F$2:$F$526,Trechos!$L$2:$L$526,A79)</f>
        <v>14.2799542782028</v>
      </c>
      <c r="L79" s="22" t="s">
        <v>50</v>
      </c>
      <c r="M79" s="22" t="str">
        <f aca="false">Blocos!AU50</f>
        <v>—</v>
      </c>
    </row>
    <row r="80" customFormat="false" ht="15" hidden="false" customHeight="false" outlineLevel="0" collapsed="false">
      <c r="A80" s="18" t="n">
        <v>50</v>
      </c>
      <c r="B80" s="27" t="s">
        <v>22</v>
      </c>
      <c r="C80" s="25" t="s">
        <v>40</v>
      </c>
      <c r="D80" s="25" t="s">
        <v>41</v>
      </c>
      <c r="E80" s="28" t="s">
        <v>154</v>
      </c>
      <c r="F80" s="21"/>
      <c r="G80" s="21"/>
      <c r="H80" s="22" t="s">
        <v>154</v>
      </c>
      <c r="I80" s="22" t="s">
        <v>155</v>
      </c>
      <c r="J80" s="22" t="n">
        <f aca="false">COUNTIFS(Trechos!$L$2:$L$526,A80)</f>
        <v>3</v>
      </c>
      <c r="K80" s="23" t="n">
        <f aca="false">SUMIFS(Trechos!$F$2:$F$526,Trechos!$L$2:$L$526,A80)</f>
        <v>45.9204251135986</v>
      </c>
      <c r="L80" s="22" t="s">
        <v>50</v>
      </c>
      <c r="M80" s="22" t="str">
        <f aca="false">Blocos!AU51</f>
        <v>—</v>
      </c>
    </row>
    <row r="81" customFormat="false" ht="15" hidden="false" customHeight="false" outlineLevel="0" collapsed="false">
      <c r="A81" s="18" t="n">
        <v>51</v>
      </c>
      <c r="B81" s="27" t="s">
        <v>22</v>
      </c>
      <c r="C81" s="25" t="s">
        <v>40</v>
      </c>
      <c r="D81" s="25" t="s">
        <v>41</v>
      </c>
      <c r="E81" s="28" t="s">
        <v>156</v>
      </c>
      <c r="F81" s="21"/>
      <c r="G81" s="21"/>
      <c r="H81" s="22" t="s">
        <v>156</v>
      </c>
      <c r="I81" s="22" t="s">
        <v>157</v>
      </c>
      <c r="J81" s="22" t="n">
        <f aca="false">COUNTIFS(Trechos!$L$2:$L$526,A81)</f>
        <v>1</v>
      </c>
      <c r="K81" s="23" t="n">
        <f aca="false">SUMIFS(Trechos!$F$2:$F$526,Trechos!$L$2:$L$526,A81)</f>
        <v>28.3500989681362</v>
      </c>
      <c r="L81" s="22" t="s">
        <v>50</v>
      </c>
      <c r="M81" s="22" t="str">
        <f aca="false">Blocos!AU52</f>
        <v>—</v>
      </c>
    </row>
    <row r="82" customFormat="false" ht="15" hidden="false" customHeight="false" outlineLevel="0" collapsed="false">
      <c r="A82" s="17" t="s">
        <v>158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customFormat="false" ht="15" hidden="false" customHeight="false" outlineLevel="0" collapsed="false">
      <c r="A83" s="18" t="n">
        <v>52</v>
      </c>
      <c r="B83" s="24" t="s">
        <v>21</v>
      </c>
      <c r="C83" s="25" t="s">
        <v>40</v>
      </c>
      <c r="D83" s="26" t="s">
        <v>41</v>
      </c>
      <c r="E83" s="21"/>
      <c r="F83" s="21"/>
      <c r="G83" s="21"/>
      <c r="H83" s="22" t="s">
        <v>159</v>
      </c>
      <c r="I83" s="22" t="s">
        <v>160</v>
      </c>
      <c r="J83" s="22" t="n">
        <f aca="false">COUNTIFS(Trechos!$L$2:$L$526,A83)</f>
        <v>6</v>
      </c>
      <c r="K83" s="23" t="n">
        <f aca="false">SUMIFS(Trechos!$F$2:$F$526,Trechos!$L$2:$L$526,A83)</f>
        <v>139.88952426679</v>
      </c>
      <c r="L83" s="22" t="s">
        <v>161</v>
      </c>
      <c r="M83" s="22" t="str">
        <f aca="false">Blocos!AU53</f>
        <v>0300588004, 0300591004, 0200593004, 0224749004</v>
      </c>
    </row>
    <row r="84" customFormat="false" ht="15" hidden="false" customHeight="false" outlineLevel="0" collapsed="false">
      <c r="A84" s="18" t="n">
        <v>53</v>
      </c>
      <c r="B84" s="27" t="s">
        <v>22</v>
      </c>
      <c r="C84" s="25" t="s">
        <v>40</v>
      </c>
      <c r="D84" s="25" t="s">
        <v>41</v>
      </c>
      <c r="E84" s="28" t="s">
        <v>162</v>
      </c>
      <c r="F84" s="21"/>
      <c r="G84" s="21"/>
      <c r="H84" s="22" t="s">
        <v>162</v>
      </c>
      <c r="I84" s="22" t="s">
        <v>163</v>
      </c>
      <c r="J84" s="22" t="n">
        <f aca="false">COUNTIFS(Trechos!$L$2:$L$526,A84)</f>
        <v>6</v>
      </c>
      <c r="K84" s="23" t="n">
        <f aca="false">SUMIFS(Trechos!$F$2:$F$526,Trechos!$L$2:$L$526,A84)</f>
        <v>246.326895394835</v>
      </c>
      <c r="L84" s="22" t="s">
        <v>50</v>
      </c>
      <c r="M84" s="22" t="str">
        <f aca="false">Blocos!AU54</f>
        <v>0300591004, 0200593004, 0224749004</v>
      </c>
    </row>
    <row r="85" customFormat="false" ht="15" hidden="false" customHeight="false" outlineLevel="0" collapsed="false">
      <c r="A85" s="18" t="n">
        <v>54</v>
      </c>
      <c r="B85" s="29" t="s">
        <v>23</v>
      </c>
      <c r="C85" s="25" t="s">
        <v>40</v>
      </c>
      <c r="D85" s="25" t="s">
        <v>41</v>
      </c>
      <c r="E85" s="25" t="s">
        <v>162</v>
      </c>
      <c r="F85" s="30" t="s">
        <v>164</v>
      </c>
      <c r="G85" s="21"/>
      <c r="H85" s="22" t="s">
        <v>164</v>
      </c>
      <c r="I85" s="22" t="s">
        <v>165</v>
      </c>
      <c r="J85" s="22" t="n">
        <f aca="false">COUNTIFS(Trechos!$L$2:$L$526,A85)</f>
        <v>16</v>
      </c>
      <c r="K85" s="23" t="n">
        <f aca="false">SUMIFS(Trechos!$F$2:$F$526,Trechos!$L$2:$L$526,A85)</f>
        <v>884.115852375793</v>
      </c>
      <c r="L85" s="22" t="s">
        <v>50</v>
      </c>
      <c r="M85" s="22" t="str">
        <f aca="false">Blocos!AU55</f>
        <v>0200593004, 0224749004</v>
      </c>
    </row>
    <row r="86" customFormat="false" ht="15" hidden="false" customHeight="false" outlineLevel="0" collapsed="false">
      <c r="A86" s="18" t="n">
        <v>55</v>
      </c>
      <c r="B86" s="31" t="s">
        <v>24</v>
      </c>
      <c r="C86" s="25" t="s">
        <v>40</v>
      </c>
      <c r="D86" s="25" t="s">
        <v>41</v>
      </c>
      <c r="E86" s="25" t="s">
        <v>162</v>
      </c>
      <c r="F86" s="25" t="s">
        <v>164</v>
      </c>
      <c r="G86" s="32" t="s">
        <v>166</v>
      </c>
      <c r="H86" s="22" t="s">
        <v>166</v>
      </c>
      <c r="I86" s="22" t="s">
        <v>167</v>
      </c>
      <c r="J86" s="22" t="n">
        <f aca="false">COUNTIFS(Trechos!$L$2:$L$526,A86)</f>
        <v>1</v>
      </c>
      <c r="K86" s="23" t="n">
        <f aca="false">SUMIFS(Trechos!$F$2:$F$526,Trechos!$L$2:$L$526,A86)</f>
        <v>8.080333236384</v>
      </c>
      <c r="L86" s="22" t="s">
        <v>50</v>
      </c>
      <c r="M86" s="22" t="str">
        <f aca="false">Blocos!AU56</f>
        <v>—</v>
      </c>
    </row>
    <row r="87" customFormat="false" ht="15" hidden="false" customHeight="false" outlineLevel="0" collapsed="false">
      <c r="A87" s="18" t="n">
        <v>56</v>
      </c>
      <c r="B87" s="31" t="s">
        <v>24</v>
      </c>
      <c r="C87" s="25" t="s">
        <v>40</v>
      </c>
      <c r="D87" s="25" t="s">
        <v>41</v>
      </c>
      <c r="E87" s="25" t="s">
        <v>162</v>
      </c>
      <c r="F87" s="25" t="s">
        <v>164</v>
      </c>
      <c r="G87" s="32" t="s">
        <v>168</v>
      </c>
      <c r="H87" s="22" t="s">
        <v>168</v>
      </c>
      <c r="I87" s="22" t="s">
        <v>169</v>
      </c>
      <c r="J87" s="22" t="n">
        <f aca="false">COUNTIFS(Trechos!$L$2:$L$526,A87)</f>
        <v>2</v>
      </c>
      <c r="K87" s="23" t="n">
        <f aca="false">SUMIFS(Trechos!$F$2:$F$526,Trechos!$L$2:$L$526,A87)</f>
        <v>28.9084533796218</v>
      </c>
      <c r="L87" s="22" t="s">
        <v>50</v>
      </c>
      <c r="M87" s="22" t="str">
        <f aca="false">Blocos!AU57</f>
        <v>—</v>
      </c>
    </row>
    <row r="88" customFormat="false" ht="15" hidden="false" customHeight="false" outlineLevel="0" collapsed="false">
      <c r="A88" s="17" t="s">
        <v>170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customFormat="false" ht="15" hidden="false" customHeight="false" outlineLevel="0" collapsed="false">
      <c r="A89" s="18" t="n">
        <v>57</v>
      </c>
      <c r="B89" s="24" t="s">
        <v>21</v>
      </c>
      <c r="C89" s="25" t="s">
        <v>40</v>
      </c>
      <c r="D89" s="26" t="s">
        <v>41</v>
      </c>
      <c r="E89" s="21"/>
      <c r="F89" s="21"/>
      <c r="G89" s="21"/>
      <c r="H89" s="22" t="s">
        <v>171</v>
      </c>
      <c r="I89" s="22" t="s">
        <v>172</v>
      </c>
      <c r="J89" s="22" t="n">
        <f aca="false">COUNTIFS(Trechos!$L$2:$L$526,A89)</f>
        <v>1</v>
      </c>
      <c r="K89" s="23" t="n">
        <f aca="false">SUMIFS(Trechos!$F$2:$F$526,Trechos!$L$2:$L$526,A89)</f>
        <v>1.04670240530509</v>
      </c>
      <c r="L89" s="22" t="s">
        <v>50</v>
      </c>
      <c r="M89" s="22" t="str">
        <f aca="false">Blocos!AU58</f>
        <v>0300596004</v>
      </c>
    </row>
    <row r="90" customFormat="false" ht="15" hidden="false" customHeight="false" outlineLevel="0" collapsed="false">
      <c r="A90" s="18" t="n">
        <v>58</v>
      </c>
      <c r="B90" s="27" t="s">
        <v>22</v>
      </c>
      <c r="C90" s="25" t="s">
        <v>40</v>
      </c>
      <c r="D90" s="25" t="s">
        <v>41</v>
      </c>
      <c r="E90" s="28" t="s">
        <v>172</v>
      </c>
      <c r="F90" s="21"/>
      <c r="G90" s="21"/>
      <c r="H90" s="22" t="s">
        <v>172</v>
      </c>
      <c r="I90" s="22" t="s">
        <v>173</v>
      </c>
      <c r="J90" s="22" t="n">
        <f aca="false">COUNTIFS(Trechos!$L$2:$L$526,A90)</f>
        <v>1</v>
      </c>
      <c r="K90" s="23" t="n">
        <f aca="false">SUMIFS(Trechos!$F$2:$F$526,Trechos!$L$2:$L$526,A90)</f>
        <v>7.84550519134476</v>
      </c>
      <c r="L90" s="22" t="s">
        <v>50</v>
      </c>
      <c r="M90" s="22" t="str">
        <f aca="false">Blocos!AU59</f>
        <v>—</v>
      </c>
    </row>
    <row r="91" customFormat="false" ht="15" hidden="false" customHeight="false" outlineLevel="0" collapsed="false">
      <c r="A91" s="17" t="s">
        <v>174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customFormat="false" ht="15" hidden="false" customHeight="false" outlineLevel="0" collapsed="false">
      <c r="A92" s="18" t="n">
        <v>59</v>
      </c>
      <c r="B92" s="24" t="s">
        <v>21</v>
      </c>
      <c r="C92" s="25" t="s">
        <v>40</v>
      </c>
      <c r="D92" s="26" t="s">
        <v>41</v>
      </c>
      <c r="E92" s="21"/>
      <c r="F92" s="21"/>
      <c r="G92" s="21"/>
      <c r="H92" s="22" t="s">
        <v>175</v>
      </c>
      <c r="I92" s="22" t="s">
        <v>176</v>
      </c>
      <c r="J92" s="22" t="n">
        <f aca="false">COUNTIFS(Trechos!$L$2:$L$526,A92)</f>
        <v>1</v>
      </c>
      <c r="K92" s="23" t="n">
        <f aca="false">SUMIFS(Trechos!$F$2:$F$526,Trechos!$L$2:$L$526,A92)</f>
        <v>1.51139038339779</v>
      </c>
      <c r="L92" s="22" t="s">
        <v>50</v>
      </c>
      <c r="M92" s="22" t="str">
        <f aca="false">Blocos!AU60</f>
        <v>0203661004</v>
      </c>
    </row>
    <row r="93" customFormat="false" ht="15" hidden="false" customHeight="false" outlineLevel="0" collapsed="false">
      <c r="A93" s="18" t="n">
        <v>60</v>
      </c>
      <c r="B93" s="27" t="s">
        <v>22</v>
      </c>
      <c r="C93" s="25" t="s">
        <v>40</v>
      </c>
      <c r="D93" s="25" t="s">
        <v>41</v>
      </c>
      <c r="E93" s="28" t="s">
        <v>176</v>
      </c>
      <c r="F93" s="21"/>
      <c r="G93" s="21"/>
      <c r="H93" s="22" t="s">
        <v>176</v>
      </c>
      <c r="I93" s="22" t="s">
        <v>177</v>
      </c>
      <c r="J93" s="22" t="n">
        <f aca="false">COUNTIFS(Trechos!$L$2:$L$526,A93)</f>
        <v>1</v>
      </c>
      <c r="K93" s="23" t="n">
        <f aca="false">SUMIFS(Trechos!$F$2:$F$526,Trechos!$L$2:$L$526,A93)</f>
        <v>13.2195307549832</v>
      </c>
      <c r="L93" s="22" t="s">
        <v>50</v>
      </c>
      <c r="M93" s="22" t="str">
        <f aca="false">Blocos!AU61</f>
        <v>—</v>
      </c>
    </row>
    <row r="94" customFormat="false" ht="15" hidden="false" customHeight="false" outlineLevel="0" collapsed="false">
      <c r="A94" s="17" t="s">
        <v>178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customFormat="false" ht="15" hidden="false" customHeight="false" outlineLevel="0" collapsed="false">
      <c r="A95" s="18" t="n">
        <v>61</v>
      </c>
      <c r="B95" s="24" t="s">
        <v>21</v>
      </c>
      <c r="C95" s="25" t="s">
        <v>40</v>
      </c>
      <c r="D95" s="26" t="s">
        <v>41</v>
      </c>
      <c r="E95" s="21"/>
      <c r="F95" s="21"/>
      <c r="G95" s="21"/>
      <c r="H95" s="22" t="s">
        <v>179</v>
      </c>
      <c r="I95" s="22" t="s">
        <v>180</v>
      </c>
      <c r="J95" s="22" t="n">
        <f aca="false">COUNTIFS(Trechos!$L$2:$L$526,A95)</f>
        <v>1</v>
      </c>
      <c r="K95" s="23" t="n">
        <f aca="false">SUMIFS(Trechos!$F$2:$F$526,Trechos!$L$2:$L$526,A95)</f>
        <v>5.22732582900442</v>
      </c>
      <c r="L95" s="22" t="s">
        <v>50</v>
      </c>
      <c r="M95" s="22" t="str">
        <f aca="false">Blocos!AU62</f>
        <v>—</v>
      </c>
    </row>
    <row r="96" customFormat="false" ht="15" hidden="false" customHeight="false" outlineLevel="0" collapsed="false">
      <c r="A96" s="17" t="s">
        <v>181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customFormat="false" ht="15" hidden="false" customHeight="false" outlineLevel="0" collapsed="false">
      <c r="A97" s="18" t="n">
        <v>62</v>
      </c>
      <c r="B97" s="24" t="s">
        <v>21</v>
      </c>
      <c r="C97" s="25" t="s">
        <v>40</v>
      </c>
      <c r="D97" s="25" t="s">
        <v>41</v>
      </c>
      <c r="E97" s="26" t="s">
        <v>43</v>
      </c>
      <c r="F97" s="21"/>
      <c r="G97" s="21"/>
      <c r="H97" s="22" t="s">
        <v>182</v>
      </c>
      <c r="I97" s="22" t="s">
        <v>183</v>
      </c>
      <c r="J97" s="22" t="n">
        <f aca="false">COUNTIFS(Trechos!$L$2:$L$526,A97)</f>
        <v>1</v>
      </c>
      <c r="K97" s="23" t="n">
        <f aca="false">SUMIFS(Trechos!$F$2:$F$526,Trechos!$L$2:$L$526,A97)</f>
        <v>5.07598983515913</v>
      </c>
      <c r="L97" s="22" t="s">
        <v>50</v>
      </c>
      <c r="M97" s="22" t="str">
        <f aca="false">Blocos!AU63</f>
        <v>—</v>
      </c>
    </row>
    <row r="98" customFormat="false" ht="15" hidden="false" customHeight="false" outlineLevel="0" collapsed="false">
      <c r="A98" s="17" t="s">
        <v>184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customFormat="false" ht="15" hidden="false" customHeight="false" outlineLevel="0" collapsed="false">
      <c r="A99" s="18" t="n">
        <v>63</v>
      </c>
      <c r="B99" s="24" t="s">
        <v>21</v>
      </c>
      <c r="C99" s="25" t="s">
        <v>40</v>
      </c>
      <c r="D99" s="25" t="s">
        <v>41</v>
      </c>
      <c r="E99" s="26" t="s">
        <v>43</v>
      </c>
      <c r="F99" s="21"/>
      <c r="G99" s="21"/>
      <c r="H99" s="22" t="s">
        <v>185</v>
      </c>
      <c r="I99" s="22" t="s">
        <v>186</v>
      </c>
      <c r="J99" s="22" t="n">
        <f aca="false">COUNTIFS(Trechos!$L$2:$L$526,A99)</f>
        <v>1</v>
      </c>
      <c r="K99" s="23" t="n">
        <f aca="false">SUMIFS(Trechos!$F$2:$F$526,Trechos!$L$2:$L$526,A99)</f>
        <v>1.09645659891133</v>
      </c>
      <c r="L99" s="22" t="s">
        <v>50</v>
      </c>
      <c r="M99" s="22" t="str">
        <f aca="false">Blocos!AU64</f>
        <v>—</v>
      </c>
    </row>
    <row r="100" customFormat="false" ht="15" hidden="false" customHeight="false" outlineLevel="0" collapsed="false">
      <c r="A100" s="17" t="s">
        <v>187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customFormat="false" ht="15" hidden="false" customHeight="false" outlineLevel="0" collapsed="false">
      <c r="A101" s="18" t="n">
        <v>64</v>
      </c>
      <c r="B101" s="24" t="s">
        <v>21</v>
      </c>
      <c r="C101" s="25" t="s">
        <v>40</v>
      </c>
      <c r="D101" s="25" t="s">
        <v>41</v>
      </c>
      <c r="E101" s="26" t="s">
        <v>43</v>
      </c>
      <c r="F101" s="21"/>
      <c r="G101" s="21"/>
      <c r="H101" s="22" t="s">
        <v>188</v>
      </c>
      <c r="I101" s="22" t="s">
        <v>189</v>
      </c>
      <c r="J101" s="22" t="n">
        <f aca="false">COUNTIFS(Trechos!$L$2:$L$526,A101)</f>
        <v>1</v>
      </c>
      <c r="K101" s="23" t="n">
        <f aca="false">SUMIFS(Trechos!$F$2:$F$526,Trechos!$L$2:$L$526,A101)</f>
        <v>20.753852847014</v>
      </c>
      <c r="L101" s="22" t="s">
        <v>50</v>
      </c>
      <c r="M101" s="22" t="str">
        <f aca="false">Blocos!AU65</f>
        <v>—</v>
      </c>
    </row>
    <row r="102" customFormat="false" ht="15" hidden="false" customHeight="false" outlineLevel="0" collapsed="false">
      <c r="A102" s="17" t="s">
        <v>190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customFormat="false" ht="15" hidden="false" customHeight="false" outlineLevel="0" collapsed="false">
      <c r="A103" s="18" t="n">
        <v>65</v>
      </c>
      <c r="B103" s="27" t="s">
        <v>22</v>
      </c>
      <c r="C103" s="25" t="s">
        <v>40</v>
      </c>
      <c r="D103" s="25" t="s">
        <v>41</v>
      </c>
      <c r="E103" s="25" t="s">
        <v>43</v>
      </c>
      <c r="F103" s="28" t="s">
        <v>191</v>
      </c>
      <c r="G103" s="21"/>
      <c r="H103" s="22" t="s">
        <v>191</v>
      </c>
      <c r="I103" s="22" t="s">
        <v>192</v>
      </c>
      <c r="J103" s="22" t="n">
        <f aca="false">COUNTIFS(Trechos!$L$2:$L$526,A103)</f>
        <v>4</v>
      </c>
      <c r="K103" s="23" t="n">
        <f aca="false">SUMIFS(Trechos!$F$2:$F$526,Trechos!$L$2:$L$526,A103)</f>
        <v>11.4381286034407</v>
      </c>
      <c r="L103" s="22" t="s">
        <v>50</v>
      </c>
      <c r="M103" s="22" t="str">
        <f aca="false">Blocos!AU66</f>
        <v>—</v>
      </c>
    </row>
    <row r="104" customFormat="false" ht="15" hidden="false" customHeight="false" outlineLevel="0" collapsed="false">
      <c r="A104" s="17" t="s">
        <v>193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customFormat="false" ht="15" hidden="false" customHeight="false" outlineLevel="0" collapsed="false">
      <c r="A105" s="18" t="n">
        <v>66</v>
      </c>
      <c r="B105" s="24" t="s">
        <v>21</v>
      </c>
      <c r="C105" s="25" t="s">
        <v>40</v>
      </c>
      <c r="D105" s="25" t="s">
        <v>41</v>
      </c>
      <c r="E105" s="26" t="s">
        <v>43</v>
      </c>
      <c r="F105" s="21"/>
      <c r="G105" s="21"/>
      <c r="H105" s="22" t="s">
        <v>194</v>
      </c>
      <c r="I105" s="22" t="s">
        <v>195</v>
      </c>
      <c r="J105" s="22" t="n">
        <f aca="false">COUNTIFS(Trechos!$L$2:$L$526,A105)</f>
        <v>1</v>
      </c>
      <c r="K105" s="23" t="n">
        <f aca="false">SUMIFS(Trechos!$F$2:$F$526,Trechos!$L$2:$L$526,A105)</f>
        <v>21.2250378053289</v>
      </c>
      <c r="L105" s="22" t="s">
        <v>50</v>
      </c>
      <c r="M105" s="22" t="str">
        <f aca="false">Blocos!AU67</f>
        <v>—</v>
      </c>
    </row>
    <row r="106" customFormat="false" ht="15" hidden="false" customHeight="false" outlineLevel="0" collapsed="false">
      <c r="A106" s="17" t="s">
        <v>196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customFormat="false" ht="15" hidden="false" customHeight="false" outlineLevel="0" collapsed="false">
      <c r="A107" s="18" t="n">
        <v>67</v>
      </c>
      <c r="B107" s="27" t="s">
        <v>22</v>
      </c>
      <c r="C107" s="25" t="s">
        <v>40</v>
      </c>
      <c r="D107" s="25" t="s">
        <v>41</v>
      </c>
      <c r="E107" s="25" t="s">
        <v>43</v>
      </c>
      <c r="F107" s="28" t="s">
        <v>197</v>
      </c>
      <c r="G107" s="21"/>
      <c r="H107" s="22" t="s">
        <v>197</v>
      </c>
      <c r="I107" s="22" t="s">
        <v>198</v>
      </c>
      <c r="J107" s="22" t="n">
        <f aca="false">COUNTIFS(Trechos!$L$2:$L$526,A107)</f>
        <v>3</v>
      </c>
      <c r="K107" s="23" t="n">
        <f aca="false">SUMIFS(Trechos!$F$2:$F$526,Trechos!$L$2:$L$526,A107)</f>
        <v>34.6699893134304</v>
      </c>
      <c r="L107" s="22" t="s">
        <v>50</v>
      </c>
      <c r="M107" s="22" t="str">
        <f aca="false">Blocos!AU68</f>
        <v>—</v>
      </c>
    </row>
    <row r="108" customFormat="false" ht="15" hidden="false" customHeight="false" outlineLevel="0" collapsed="false">
      <c r="A108" s="17" t="s">
        <v>199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customFormat="false" ht="15" hidden="false" customHeight="false" outlineLevel="0" collapsed="false">
      <c r="A109" s="18" t="n">
        <v>68</v>
      </c>
      <c r="B109" s="24" t="s">
        <v>21</v>
      </c>
      <c r="C109" s="25" t="s">
        <v>40</v>
      </c>
      <c r="D109" s="25" t="s">
        <v>41</v>
      </c>
      <c r="E109" s="26" t="s">
        <v>43</v>
      </c>
      <c r="F109" s="21"/>
      <c r="G109" s="21"/>
      <c r="H109" s="22" t="s">
        <v>200</v>
      </c>
      <c r="I109" s="22" t="s">
        <v>201</v>
      </c>
      <c r="J109" s="22" t="n">
        <f aca="false">COUNTIFS(Trechos!$L$2:$L$526,A109)</f>
        <v>7</v>
      </c>
      <c r="K109" s="23" t="n">
        <f aca="false">SUMIFS(Trechos!$F$2:$F$526,Trechos!$L$2:$L$526,A109)</f>
        <v>375.072776213874</v>
      </c>
      <c r="L109" s="22" t="s">
        <v>50</v>
      </c>
      <c r="M109" s="22" t="str">
        <f aca="false">Blocos!AU69</f>
        <v>—</v>
      </c>
    </row>
    <row r="110" customFormat="false" ht="15" hidden="false" customHeight="false" outlineLevel="0" collapsed="false">
      <c r="A110" s="17" t="s">
        <v>202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customFormat="false" ht="15" hidden="false" customHeight="false" outlineLevel="0" collapsed="false">
      <c r="A111" s="18" t="n">
        <v>69</v>
      </c>
      <c r="B111" s="27" t="s">
        <v>22</v>
      </c>
      <c r="C111" s="25" t="s">
        <v>40</v>
      </c>
      <c r="D111" s="25" t="s">
        <v>41</v>
      </c>
      <c r="E111" s="25" t="s">
        <v>43</v>
      </c>
      <c r="F111" s="28" t="s">
        <v>203</v>
      </c>
      <c r="G111" s="21"/>
      <c r="H111" s="22" t="s">
        <v>203</v>
      </c>
      <c r="I111" s="22" t="s">
        <v>204</v>
      </c>
      <c r="J111" s="22" t="n">
        <f aca="false">COUNTIFS(Trechos!$L$2:$L$526,A111)</f>
        <v>3</v>
      </c>
      <c r="K111" s="23" t="n">
        <f aca="false">SUMIFS(Trechos!$F$2:$F$526,Trechos!$L$2:$L$526,A111)</f>
        <v>36.909617539634</v>
      </c>
      <c r="L111" s="22" t="s">
        <v>50</v>
      </c>
      <c r="M111" s="22" t="str">
        <f aca="false">Blocos!AU70</f>
        <v>—</v>
      </c>
    </row>
    <row r="112" customFormat="false" ht="15" hidden="false" customHeight="false" outlineLevel="0" collapsed="false">
      <c r="A112" s="17" t="s">
        <v>205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customFormat="false" ht="15" hidden="false" customHeight="false" outlineLevel="0" collapsed="false">
      <c r="A113" s="18" t="n">
        <v>70</v>
      </c>
      <c r="B113" s="24" t="s">
        <v>21</v>
      </c>
      <c r="C113" s="25" t="s">
        <v>40</v>
      </c>
      <c r="D113" s="25" t="s">
        <v>41</v>
      </c>
      <c r="E113" s="26" t="s">
        <v>43</v>
      </c>
      <c r="F113" s="21"/>
      <c r="G113" s="21"/>
      <c r="H113" s="22" t="s">
        <v>206</v>
      </c>
      <c r="I113" s="22" t="s">
        <v>207</v>
      </c>
      <c r="J113" s="22" t="n">
        <f aca="false">COUNTIFS(Trechos!$L$2:$L$526,A113)</f>
        <v>1</v>
      </c>
      <c r="K113" s="23" t="n">
        <f aca="false">SUMIFS(Trechos!$F$2:$F$526,Trechos!$L$2:$L$526,A113)</f>
        <v>18.2133410321518</v>
      </c>
      <c r="L113" s="22" t="s">
        <v>50</v>
      </c>
      <c r="M113" s="22" t="str">
        <f aca="false">Blocos!AU71</f>
        <v>—</v>
      </c>
    </row>
    <row r="114" customFormat="false" ht="15" hidden="false" customHeight="false" outlineLevel="0" collapsed="false">
      <c r="A114" s="17" t="s">
        <v>208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customFormat="false" ht="15" hidden="false" customHeight="false" outlineLevel="0" collapsed="false">
      <c r="A115" s="18" t="n">
        <v>71</v>
      </c>
      <c r="B115" s="27" t="s">
        <v>22</v>
      </c>
      <c r="C115" s="25" t="s">
        <v>40</v>
      </c>
      <c r="D115" s="25" t="s">
        <v>41</v>
      </c>
      <c r="E115" s="25" t="s">
        <v>43</v>
      </c>
      <c r="F115" s="28" t="s">
        <v>209</v>
      </c>
      <c r="G115" s="21"/>
      <c r="H115" s="22" t="s">
        <v>209</v>
      </c>
      <c r="I115" s="22" t="s">
        <v>210</v>
      </c>
      <c r="J115" s="22" t="n">
        <f aca="false">COUNTIFS(Trechos!$L$2:$L$526,A115)</f>
        <v>2</v>
      </c>
      <c r="K115" s="23" t="n">
        <f aca="false">SUMIFS(Trechos!$F$2:$F$526,Trechos!$L$2:$L$526,A115)</f>
        <v>18.6658749697057</v>
      </c>
      <c r="L115" s="22" t="s">
        <v>50</v>
      </c>
      <c r="M115" s="22" t="str">
        <f aca="false">Blocos!AU72</f>
        <v>—</v>
      </c>
    </row>
    <row r="116" customFormat="false" ht="15" hidden="false" customHeight="false" outlineLevel="0" collapsed="false">
      <c r="A116" s="17" t="s">
        <v>211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customFormat="false" ht="15" hidden="false" customHeight="false" outlineLevel="0" collapsed="false">
      <c r="A117" s="18" t="n">
        <v>72</v>
      </c>
      <c r="B117" s="24" t="s">
        <v>21</v>
      </c>
      <c r="C117" s="25" t="s">
        <v>40</v>
      </c>
      <c r="D117" s="25" t="s">
        <v>41</v>
      </c>
      <c r="E117" s="26" t="s">
        <v>43</v>
      </c>
      <c r="F117" s="21"/>
      <c r="G117" s="21"/>
      <c r="H117" s="22" t="s">
        <v>212</v>
      </c>
      <c r="I117" s="22" t="s">
        <v>213</v>
      </c>
      <c r="J117" s="22" t="n">
        <f aca="false">COUNTIFS(Trechos!$L$2:$L$526,A117)</f>
        <v>2</v>
      </c>
      <c r="K117" s="23" t="n">
        <f aca="false">SUMIFS(Trechos!$F$2:$F$526,Trechos!$L$2:$L$526,A117)</f>
        <v>35.6945103295697</v>
      </c>
      <c r="L117" s="22" t="s">
        <v>50</v>
      </c>
      <c r="M117" s="22" t="str">
        <f aca="false">Blocos!AU73</f>
        <v>—</v>
      </c>
    </row>
    <row r="118" customFormat="false" ht="15" hidden="false" customHeight="false" outlineLevel="0" collapsed="false">
      <c r="A118" s="17" t="s">
        <v>214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customFormat="false" ht="15" hidden="false" customHeight="false" outlineLevel="0" collapsed="false">
      <c r="A119" s="18" t="n">
        <v>73</v>
      </c>
      <c r="B119" s="24" t="s">
        <v>21</v>
      </c>
      <c r="C119" s="25" t="s">
        <v>40</v>
      </c>
      <c r="D119" s="25" t="s">
        <v>41</v>
      </c>
      <c r="E119" s="26" t="s">
        <v>43</v>
      </c>
      <c r="F119" s="21"/>
      <c r="G119" s="21"/>
      <c r="H119" s="22" t="s">
        <v>215</v>
      </c>
      <c r="I119" s="22" t="s">
        <v>216</v>
      </c>
      <c r="J119" s="22" t="n">
        <f aca="false">COUNTIFS(Trechos!$L$2:$L$526,A119)</f>
        <v>2</v>
      </c>
      <c r="K119" s="23" t="n">
        <f aca="false">SUMIFS(Trechos!$F$2:$F$526,Trechos!$L$2:$L$526,A119)</f>
        <v>66.2035244962812</v>
      </c>
      <c r="L119" s="22" t="s">
        <v>50</v>
      </c>
      <c r="M119" s="22" t="str">
        <f aca="false">Blocos!AU74</f>
        <v>—</v>
      </c>
    </row>
    <row r="120" customFormat="false" ht="15" hidden="false" customHeight="false" outlineLevel="0" collapsed="false">
      <c r="A120" s="17" t="s">
        <v>217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customFormat="false" ht="15" hidden="false" customHeight="false" outlineLevel="0" collapsed="false">
      <c r="A121" s="18" t="n">
        <v>74</v>
      </c>
      <c r="B121" s="24" t="s">
        <v>21</v>
      </c>
      <c r="C121" s="25" t="s">
        <v>40</v>
      </c>
      <c r="D121" s="25" t="s">
        <v>41</v>
      </c>
      <c r="E121" s="26" t="s">
        <v>43</v>
      </c>
      <c r="F121" s="21"/>
      <c r="G121" s="21"/>
      <c r="H121" s="22" t="s">
        <v>218</v>
      </c>
      <c r="I121" s="22" t="s">
        <v>219</v>
      </c>
      <c r="J121" s="22" t="n">
        <f aca="false">COUNTIFS(Trechos!$L$2:$L$526,A121)</f>
        <v>4</v>
      </c>
      <c r="K121" s="23" t="n">
        <f aca="false">SUMIFS(Trechos!$F$2:$F$526,Trechos!$L$2:$L$526,A121)</f>
        <v>64.1350858906275</v>
      </c>
      <c r="L121" s="22" t="s">
        <v>50</v>
      </c>
      <c r="M121" s="22" t="str">
        <f aca="false">Blocos!AU75</f>
        <v>—</v>
      </c>
    </row>
    <row r="122" customFormat="false" ht="15" hidden="false" customHeight="false" outlineLevel="0" collapsed="false">
      <c r="A122" s="17" t="s">
        <v>220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customFormat="false" ht="15" hidden="false" customHeight="false" outlineLevel="0" collapsed="false">
      <c r="A123" s="18" t="n">
        <v>75</v>
      </c>
      <c r="B123" s="24" t="s">
        <v>21</v>
      </c>
      <c r="C123" s="25" t="s">
        <v>40</v>
      </c>
      <c r="D123" s="25" t="s">
        <v>41</v>
      </c>
      <c r="E123" s="26" t="s">
        <v>43</v>
      </c>
      <c r="F123" s="21"/>
      <c r="G123" s="21"/>
      <c r="H123" s="22" t="s">
        <v>221</v>
      </c>
      <c r="I123" s="22" t="s">
        <v>222</v>
      </c>
      <c r="J123" s="22" t="n">
        <f aca="false">COUNTIFS(Trechos!$L$2:$L$526,A123)</f>
        <v>4</v>
      </c>
      <c r="K123" s="23" t="n">
        <f aca="false">SUMIFS(Trechos!$F$2:$F$526,Trechos!$L$2:$L$526,A123)</f>
        <v>83.7280172781619</v>
      </c>
      <c r="L123" s="22" t="s">
        <v>50</v>
      </c>
      <c r="M123" s="22" t="str">
        <f aca="false">Blocos!AU76</f>
        <v>—</v>
      </c>
    </row>
    <row r="124" customFormat="false" ht="15" hidden="false" customHeight="false" outlineLevel="0" collapsed="false">
      <c r="A124" s="17" t="s">
        <v>223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customFormat="false" ht="15" hidden="false" customHeight="false" outlineLevel="0" collapsed="false">
      <c r="A125" s="18" t="n">
        <v>76</v>
      </c>
      <c r="B125" s="24" t="s">
        <v>21</v>
      </c>
      <c r="C125" s="25" t="s">
        <v>40</v>
      </c>
      <c r="D125" s="25" t="s">
        <v>41</v>
      </c>
      <c r="E125" s="26" t="s">
        <v>43</v>
      </c>
      <c r="F125" s="21"/>
      <c r="G125" s="21"/>
      <c r="H125" s="22" t="s">
        <v>224</v>
      </c>
      <c r="I125" s="22" t="s">
        <v>225</v>
      </c>
      <c r="J125" s="22" t="n">
        <f aca="false">COUNTIFS(Trechos!$L$2:$L$526,A125)</f>
        <v>1</v>
      </c>
      <c r="K125" s="23" t="n">
        <f aca="false">SUMIFS(Trechos!$F$2:$F$526,Trechos!$L$2:$L$526,A125)</f>
        <v>13.753559573682</v>
      </c>
      <c r="L125" s="22" t="s">
        <v>50</v>
      </c>
      <c r="M125" s="22" t="str">
        <f aca="false">Blocos!AU77</f>
        <v>—</v>
      </c>
    </row>
    <row r="126" customFormat="false" ht="15" hidden="false" customHeight="false" outlineLevel="0" collapsed="false">
      <c r="A126" s="17" t="s">
        <v>226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customFormat="false" ht="15" hidden="false" customHeight="false" outlineLevel="0" collapsed="false">
      <c r="A127" s="18" t="n">
        <v>77</v>
      </c>
      <c r="B127" s="24" t="s">
        <v>21</v>
      </c>
      <c r="C127" s="25" t="s">
        <v>40</v>
      </c>
      <c r="D127" s="25" t="s">
        <v>41</v>
      </c>
      <c r="E127" s="26" t="s">
        <v>43</v>
      </c>
      <c r="F127" s="21"/>
      <c r="G127" s="21"/>
      <c r="H127" s="22" t="s">
        <v>227</v>
      </c>
      <c r="I127" s="22" t="s">
        <v>228</v>
      </c>
      <c r="J127" s="22" t="n">
        <f aca="false">COUNTIFS(Trechos!$L$2:$L$526,A127)</f>
        <v>1</v>
      </c>
      <c r="K127" s="23" t="n">
        <f aca="false">SUMIFS(Trechos!$F$2:$F$526,Trechos!$L$2:$L$526,A127)</f>
        <v>5.11387270273531</v>
      </c>
      <c r="L127" s="22" t="s">
        <v>50</v>
      </c>
      <c r="M127" s="22" t="str">
        <f aca="false">Blocos!AU78</f>
        <v>—</v>
      </c>
    </row>
    <row r="128" customFormat="false" ht="15" hidden="false" customHeight="false" outlineLevel="0" collapsed="false">
      <c r="A128" s="17" t="s">
        <v>229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customFormat="false" ht="15" hidden="false" customHeight="false" outlineLevel="0" collapsed="false">
      <c r="A129" s="18" t="n">
        <v>78</v>
      </c>
      <c r="B129" s="24" t="s">
        <v>21</v>
      </c>
      <c r="C129" s="25" t="s">
        <v>40</v>
      </c>
      <c r="D129" s="25" t="s">
        <v>41</v>
      </c>
      <c r="E129" s="25" t="s">
        <v>43</v>
      </c>
      <c r="F129" s="26" t="s">
        <v>230</v>
      </c>
      <c r="G129" s="21"/>
      <c r="H129" s="22" t="s">
        <v>230</v>
      </c>
      <c r="I129" s="22" t="s">
        <v>231</v>
      </c>
      <c r="J129" s="22" t="n">
        <f aca="false">COUNTIFS(Trechos!$L$2:$L$526,A129)</f>
        <v>91</v>
      </c>
      <c r="K129" s="23" t="n">
        <f aca="false">SUMIFS(Trechos!$F$2:$F$526,Trechos!$L$2:$L$526,A129)</f>
        <v>1736.31371865627</v>
      </c>
      <c r="L129" s="22" t="s">
        <v>232</v>
      </c>
      <c r="M129" s="22" t="str">
        <f aca="false">Blocos!AU79</f>
        <v>0330915004, 0203711004, 0202227004, 0204190004, 0200482004, 0200484004, 0200489004, 0200490004, 0230938004, 0200492004, 0202676004, 0303862004, 0229036004, 0200495004, 0201153004</v>
      </c>
    </row>
    <row r="130" customFormat="false" ht="15" hidden="false" customHeight="false" outlineLevel="0" collapsed="false">
      <c r="A130" s="18" t="n">
        <v>79</v>
      </c>
      <c r="B130" s="27" t="s">
        <v>22</v>
      </c>
      <c r="C130" s="25" t="s">
        <v>40</v>
      </c>
      <c r="D130" s="25" t="s">
        <v>41</v>
      </c>
      <c r="E130" s="25" t="s">
        <v>43</v>
      </c>
      <c r="F130" s="25" t="s">
        <v>230</v>
      </c>
      <c r="G130" s="28" t="s">
        <v>233</v>
      </c>
      <c r="H130" s="22" t="s">
        <v>233</v>
      </c>
      <c r="I130" s="22" t="s">
        <v>234</v>
      </c>
      <c r="J130" s="22" t="n">
        <f aca="false">COUNTIFS(Trechos!$L$2:$L$526,A130)</f>
        <v>1</v>
      </c>
      <c r="K130" s="23" t="n">
        <f aca="false">SUMIFS(Trechos!$F$2:$F$526,Trechos!$L$2:$L$526,A130)</f>
        <v>7.67275007256756</v>
      </c>
      <c r="L130" s="22" t="s">
        <v>50</v>
      </c>
      <c r="M130" s="22" t="str">
        <f aca="false">Blocos!AU80</f>
        <v>—</v>
      </c>
    </row>
    <row r="131" customFormat="false" ht="15" hidden="false" customHeight="false" outlineLevel="0" collapsed="false">
      <c r="A131" s="18" t="n">
        <v>80</v>
      </c>
      <c r="B131" s="27" t="s">
        <v>22</v>
      </c>
      <c r="C131" s="25" t="s">
        <v>40</v>
      </c>
      <c r="D131" s="25" t="s">
        <v>41</v>
      </c>
      <c r="E131" s="25" t="s">
        <v>43</v>
      </c>
      <c r="F131" s="25" t="s">
        <v>230</v>
      </c>
      <c r="G131" s="28" t="s">
        <v>235</v>
      </c>
      <c r="H131" s="22" t="s">
        <v>235</v>
      </c>
      <c r="I131" s="22" t="s">
        <v>236</v>
      </c>
      <c r="J131" s="22" t="n">
        <f aca="false">COUNTIFS(Trechos!$L$2:$L$526,A131)</f>
        <v>2</v>
      </c>
      <c r="K131" s="23" t="n">
        <f aca="false">SUMIFS(Trechos!$F$2:$F$526,Trechos!$L$2:$L$526,A131)</f>
        <v>33.3949492340605</v>
      </c>
      <c r="L131" s="22" t="s">
        <v>50</v>
      </c>
      <c r="M131" s="22" t="str">
        <f aca="false">Blocos!AU81</f>
        <v>—</v>
      </c>
    </row>
    <row r="132" customFormat="false" ht="15" hidden="false" customHeight="false" outlineLevel="0" collapsed="false">
      <c r="A132" s="18" t="n">
        <v>81</v>
      </c>
      <c r="B132" s="27" t="s">
        <v>22</v>
      </c>
      <c r="C132" s="25" t="s">
        <v>40</v>
      </c>
      <c r="D132" s="25" t="s">
        <v>41</v>
      </c>
      <c r="E132" s="25" t="s">
        <v>43</v>
      </c>
      <c r="F132" s="25" t="s">
        <v>230</v>
      </c>
      <c r="G132" s="28" t="s">
        <v>237</v>
      </c>
      <c r="H132" s="22" t="s">
        <v>237</v>
      </c>
      <c r="I132" s="22" t="s">
        <v>238</v>
      </c>
      <c r="J132" s="22" t="n">
        <f aca="false">COUNTIFS(Trechos!$L$2:$L$526,A132)</f>
        <v>2</v>
      </c>
      <c r="K132" s="23" t="n">
        <f aca="false">SUMIFS(Trechos!$F$2:$F$526,Trechos!$L$2:$L$526,A132)</f>
        <v>26.9077187038947</v>
      </c>
      <c r="L132" s="22" t="s">
        <v>50</v>
      </c>
      <c r="M132" s="22" t="str">
        <f aca="false">Blocos!AU82</f>
        <v>—</v>
      </c>
    </row>
    <row r="133" customFormat="false" ht="15" hidden="false" customHeight="false" outlineLevel="0" collapsed="false">
      <c r="A133" s="18" t="n">
        <v>82</v>
      </c>
      <c r="B133" s="27" t="s">
        <v>22</v>
      </c>
      <c r="C133" s="25" t="s">
        <v>40</v>
      </c>
      <c r="D133" s="25" t="s">
        <v>41</v>
      </c>
      <c r="E133" s="25" t="s">
        <v>43</v>
      </c>
      <c r="F133" s="25" t="s">
        <v>230</v>
      </c>
      <c r="G133" s="28" t="s">
        <v>239</v>
      </c>
      <c r="H133" s="22" t="s">
        <v>239</v>
      </c>
      <c r="I133" s="22" t="s">
        <v>240</v>
      </c>
      <c r="J133" s="22" t="n">
        <f aca="false">COUNTIFS(Trechos!$L$2:$L$526,A133)</f>
        <v>2</v>
      </c>
      <c r="K133" s="23" t="n">
        <f aca="false">SUMIFS(Trechos!$F$2:$F$526,Trechos!$L$2:$L$526,A133)</f>
        <v>27.0321653418223</v>
      </c>
      <c r="L133" s="22" t="s">
        <v>50</v>
      </c>
      <c r="M133" s="22" t="str">
        <f aca="false">Blocos!AU83</f>
        <v>—</v>
      </c>
    </row>
    <row r="134" customFormat="false" ht="15" hidden="false" customHeight="false" outlineLevel="0" collapsed="false">
      <c r="A134" s="18" t="n">
        <v>83</v>
      </c>
      <c r="B134" s="27" t="s">
        <v>22</v>
      </c>
      <c r="C134" s="25" t="s">
        <v>40</v>
      </c>
      <c r="D134" s="25" t="s">
        <v>41</v>
      </c>
      <c r="E134" s="25" t="s">
        <v>43</v>
      </c>
      <c r="F134" s="25" t="s">
        <v>230</v>
      </c>
      <c r="G134" s="28" t="s">
        <v>241</v>
      </c>
      <c r="H134" s="22" t="s">
        <v>241</v>
      </c>
      <c r="I134" s="22" t="s">
        <v>242</v>
      </c>
      <c r="J134" s="22" t="n">
        <f aca="false">COUNTIFS(Trechos!$L$2:$L$526,A134)</f>
        <v>2</v>
      </c>
      <c r="K134" s="23" t="n">
        <f aca="false">SUMIFS(Trechos!$F$2:$F$526,Trechos!$L$2:$L$526,A134)</f>
        <v>37.3787539570412</v>
      </c>
      <c r="L134" s="22" t="s">
        <v>50</v>
      </c>
      <c r="M134" s="22" t="str">
        <f aca="false">Blocos!AU84</f>
        <v>—</v>
      </c>
    </row>
    <row r="135" customFormat="false" ht="15" hidden="false" customHeight="false" outlineLevel="0" collapsed="false">
      <c r="A135" s="18" t="n">
        <v>84</v>
      </c>
      <c r="B135" s="27" t="s">
        <v>22</v>
      </c>
      <c r="C135" s="25" t="s">
        <v>40</v>
      </c>
      <c r="D135" s="25" t="s">
        <v>41</v>
      </c>
      <c r="E135" s="25" t="s">
        <v>43</v>
      </c>
      <c r="F135" s="25" t="s">
        <v>230</v>
      </c>
      <c r="G135" s="28" t="s">
        <v>243</v>
      </c>
      <c r="H135" s="22" t="s">
        <v>243</v>
      </c>
      <c r="I135" s="22" t="s">
        <v>244</v>
      </c>
      <c r="J135" s="22" t="n">
        <f aca="false">COUNTIFS(Trechos!$L$2:$L$526,A135)</f>
        <v>3</v>
      </c>
      <c r="K135" s="23" t="n">
        <f aca="false">SUMIFS(Trechos!$F$2:$F$526,Trechos!$L$2:$L$526,A135)</f>
        <v>30.4339159032701</v>
      </c>
      <c r="L135" s="22" t="s">
        <v>50</v>
      </c>
      <c r="M135" s="22" t="str">
        <f aca="false">Blocos!AU85</f>
        <v>—</v>
      </c>
    </row>
    <row r="136" customFormat="false" ht="15" hidden="false" customHeight="false" outlineLevel="0" collapsed="false">
      <c r="A136" s="18" t="n">
        <v>85</v>
      </c>
      <c r="B136" s="27" t="s">
        <v>22</v>
      </c>
      <c r="C136" s="25" t="s">
        <v>40</v>
      </c>
      <c r="D136" s="25" t="s">
        <v>41</v>
      </c>
      <c r="E136" s="25" t="s">
        <v>43</v>
      </c>
      <c r="F136" s="25" t="s">
        <v>230</v>
      </c>
      <c r="G136" s="28" t="s">
        <v>245</v>
      </c>
      <c r="H136" s="22" t="s">
        <v>245</v>
      </c>
      <c r="I136" s="22" t="s">
        <v>246</v>
      </c>
      <c r="J136" s="22" t="n">
        <f aca="false">COUNTIFS(Trechos!$L$2:$L$526,A136)</f>
        <v>2</v>
      </c>
      <c r="K136" s="23" t="n">
        <f aca="false">SUMIFS(Trechos!$F$2:$F$526,Trechos!$L$2:$L$526,A136)</f>
        <v>30.7543304164767</v>
      </c>
      <c r="L136" s="22" t="s">
        <v>50</v>
      </c>
      <c r="M136" s="22" t="str">
        <f aca="false">Blocos!AU86</f>
        <v>—</v>
      </c>
    </row>
    <row r="137" customFormat="false" ht="15" hidden="false" customHeight="false" outlineLevel="0" collapsed="false">
      <c r="A137" s="18" t="n">
        <v>86</v>
      </c>
      <c r="B137" s="27" t="s">
        <v>22</v>
      </c>
      <c r="C137" s="25" t="s">
        <v>40</v>
      </c>
      <c r="D137" s="25" t="s">
        <v>41</v>
      </c>
      <c r="E137" s="25" t="s">
        <v>43</v>
      </c>
      <c r="F137" s="25" t="s">
        <v>230</v>
      </c>
      <c r="G137" s="28" t="s">
        <v>247</v>
      </c>
      <c r="H137" s="22" t="s">
        <v>247</v>
      </c>
      <c r="I137" s="22" t="s">
        <v>248</v>
      </c>
      <c r="J137" s="22" t="n">
        <f aca="false">COUNTIFS(Trechos!$L$2:$L$526,A137)</f>
        <v>2</v>
      </c>
      <c r="K137" s="23" t="n">
        <f aca="false">SUMIFS(Trechos!$F$2:$F$526,Trechos!$L$2:$L$526,A137)</f>
        <v>29.7262078697369</v>
      </c>
      <c r="L137" s="22" t="s">
        <v>50</v>
      </c>
      <c r="M137" s="22" t="str">
        <f aca="false">Blocos!AU87</f>
        <v>—</v>
      </c>
    </row>
    <row r="138" customFormat="false" ht="15" hidden="false" customHeight="false" outlineLevel="0" collapsed="false">
      <c r="A138" s="18" t="n">
        <v>87</v>
      </c>
      <c r="B138" s="27" t="s">
        <v>22</v>
      </c>
      <c r="C138" s="25" t="s">
        <v>40</v>
      </c>
      <c r="D138" s="25" t="s">
        <v>41</v>
      </c>
      <c r="E138" s="25" t="s">
        <v>43</v>
      </c>
      <c r="F138" s="25" t="s">
        <v>230</v>
      </c>
      <c r="G138" s="28" t="s">
        <v>249</v>
      </c>
      <c r="H138" s="22" t="s">
        <v>249</v>
      </c>
      <c r="I138" s="22" t="s">
        <v>250</v>
      </c>
      <c r="J138" s="22" t="n">
        <f aca="false">COUNTIFS(Trechos!$L$2:$L$526,A138)</f>
        <v>2</v>
      </c>
      <c r="K138" s="23" t="n">
        <f aca="false">SUMIFS(Trechos!$F$2:$F$526,Trechos!$L$2:$L$526,A138)</f>
        <v>27.6228375750084</v>
      </c>
      <c r="L138" s="22" t="s">
        <v>50</v>
      </c>
      <c r="M138" s="22" t="str">
        <f aca="false">Blocos!AU88</f>
        <v>—</v>
      </c>
    </row>
    <row r="139" customFormat="false" ht="15" hidden="false" customHeight="false" outlineLevel="0" collapsed="false">
      <c r="A139" s="18" t="n">
        <v>88</v>
      </c>
      <c r="B139" s="27" t="s">
        <v>22</v>
      </c>
      <c r="C139" s="25" t="s">
        <v>40</v>
      </c>
      <c r="D139" s="25" t="s">
        <v>41</v>
      </c>
      <c r="E139" s="25" t="s">
        <v>43</v>
      </c>
      <c r="F139" s="25" t="s">
        <v>230</v>
      </c>
      <c r="G139" s="28" t="s">
        <v>251</v>
      </c>
      <c r="H139" s="22" t="s">
        <v>251</v>
      </c>
      <c r="I139" s="22" t="s">
        <v>252</v>
      </c>
      <c r="J139" s="22" t="n">
        <f aca="false">COUNTIFS(Trechos!$L$2:$L$526,A139)</f>
        <v>2</v>
      </c>
      <c r="K139" s="23" t="n">
        <f aca="false">SUMIFS(Trechos!$F$2:$F$526,Trechos!$L$2:$L$526,A139)</f>
        <v>23.8505795969808</v>
      </c>
      <c r="L139" s="22" t="s">
        <v>50</v>
      </c>
      <c r="M139" s="22" t="str">
        <f aca="false">Blocos!AU89</f>
        <v>—</v>
      </c>
    </row>
    <row r="140" customFormat="false" ht="15" hidden="false" customHeight="false" outlineLevel="0" collapsed="false">
      <c r="A140" s="18" t="n">
        <v>89</v>
      </c>
      <c r="B140" s="27" t="s">
        <v>22</v>
      </c>
      <c r="C140" s="25" t="s">
        <v>40</v>
      </c>
      <c r="D140" s="25" t="s">
        <v>41</v>
      </c>
      <c r="E140" s="25" t="s">
        <v>43</v>
      </c>
      <c r="F140" s="25" t="s">
        <v>230</v>
      </c>
      <c r="G140" s="28" t="s">
        <v>253</v>
      </c>
      <c r="H140" s="22" t="s">
        <v>253</v>
      </c>
      <c r="I140" s="22" t="s">
        <v>254</v>
      </c>
      <c r="J140" s="22" t="n">
        <f aca="false">COUNTIFS(Trechos!$L$2:$L$526,A140)</f>
        <v>3</v>
      </c>
      <c r="K140" s="23" t="n">
        <f aca="false">SUMIFS(Trechos!$F$2:$F$526,Trechos!$L$2:$L$526,A140)</f>
        <v>27.2070548561962</v>
      </c>
      <c r="L140" s="22" t="s">
        <v>50</v>
      </c>
      <c r="M140" s="22" t="str">
        <f aca="false">Blocos!AU90</f>
        <v>—</v>
      </c>
    </row>
    <row r="141" customFormat="false" ht="15" hidden="false" customHeight="false" outlineLevel="0" collapsed="false">
      <c r="A141" s="18" t="n">
        <v>90</v>
      </c>
      <c r="B141" s="27" t="s">
        <v>22</v>
      </c>
      <c r="C141" s="25" t="s">
        <v>40</v>
      </c>
      <c r="D141" s="25" t="s">
        <v>41</v>
      </c>
      <c r="E141" s="25" t="s">
        <v>43</v>
      </c>
      <c r="F141" s="25" t="s">
        <v>230</v>
      </c>
      <c r="G141" s="28" t="s">
        <v>255</v>
      </c>
      <c r="H141" s="22" t="s">
        <v>255</v>
      </c>
      <c r="I141" s="22" t="s">
        <v>256</v>
      </c>
      <c r="J141" s="22" t="n">
        <f aca="false">COUNTIFS(Trechos!$L$2:$L$526,A141)</f>
        <v>1</v>
      </c>
      <c r="K141" s="23" t="n">
        <f aca="false">SUMIFS(Trechos!$F$2:$F$526,Trechos!$L$2:$L$526,A141)</f>
        <v>1.88703335202875</v>
      </c>
      <c r="L141" s="22" t="s">
        <v>50</v>
      </c>
      <c r="M141" s="22" t="str">
        <f aca="false">Blocos!AU91</f>
        <v>—</v>
      </c>
    </row>
    <row r="142" customFormat="false" ht="15" hidden="false" customHeight="false" outlineLevel="0" collapsed="false">
      <c r="A142" s="18" t="n">
        <v>91</v>
      </c>
      <c r="B142" s="27" t="s">
        <v>22</v>
      </c>
      <c r="C142" s="25" t="s">
        <v>40</v>
      </c>
      <c r="D142" s="25" t="s">
        <v>41</v>
      </c>
      <c r="E142" s="25" t="s">
        <v>43</v>
      </c>
      <c r="F142" s="25" t="s">
        <v>230</v>
      </c>
      <c r="G142" s="28" t="s">
        <v>257</v>
      </c>
      <c r="H142" s="22" t="s">
        <v>257</v>
      </c>
      <c r="I142" s="22" t="s">
        <v>258</v>
      </c>
      <c r="J142" s="22" t="n">
        <f aca="false">COUNTIFS(Trechos!$L$2:$L$526,A142)</f>
        <v>3</v>
      </c>
      <c r="K142" s="23" t="n">
        <f aca="false">SUMIFS(Trechos!$F$2:$F$526,Trechos!$L$2:$L$526,A142)</f>
        <v>29.0262403300082</v>
      </c>
      <c r="L142" s="22" t="s">
        <v>50</v>
      </c>
      <c r="M142" s="22" t="str">
        <f aca="false">Blocos!AU92</f>
        <v>—</v>
      </c>
    </row>
    <row r="143" customFormat="false" ht="15" hidden="false" customHeight="false" outlineLevel="0" collapsed="false">
      <c r="A143" s="18" t="n">
        <v>92</v>
      </c>
      <c r="B143" s="27" t="s">
        <v>22</v>
      </c>
      <c r="C143" s="25" t="s">
        <v>40</v>
      </c>
      <c r="D143" s="25" t="s">
        <v>41</v>
      </c>
      <c r="E143" s="25" t="s">
        <v>43</v>
      </c>
      <c r="F143" s="25" t="s">
        <v>230</v>
      </c>
      <c r="G143" s="28" t="s">
        <v>259</v>
      </c>
      <c r="H143" s="22" t="s">
        <v>259</v>
      </c>
      <c r="I143" s="22" t="s">
        <v>260</v>
      </c>
      <c r="J143" s="22" t="n">
        <f aca="false">COUNTIFS(Trechos!$L$2:$L$526,A143)</f>
        <v>2</v>
      </c>
      <c r="K143" s="23" t="n">
        <f aca="false">SUMIFS(Trechos!$F$2:$F$526,Trechos!$L$2:$L$526,A143)</f>
        <v>26.0020817843394</v>
      </c>
      <c r="L143" s="22" t="s">
        <v>50</v>
      </c>
      <c r="M143" s="22" t="str">
        <f aca="false">Blocos!AU93</f>
        <v>—</v>
      </c>
    </row>
    <row r="144" customFormat="false" ht="15" hidden="false" customHeight="false" outlineLevel="0" collapsed="false">
      <c r="A144" s="18" t="n">
        <v>93</v>
      </c>
      <c r="B144" s="27" t="s">
        <v>22</v>
      </c>
      <c r="C144" s="25" t="s">
        <v>40</v>
      </c>
      <c r="D144" s="25" t="s">
        <v>41</v>
      </c>
      <c r="E144" s="25" t="s">
        <v>43</v>
      </c>
      <c r="F144" s="25" t="s">
        <v>230</v>
      </c>
      <c r="G144" s="28" t="s">
        <v>261</v>
      </c>
      <c r="H144" s="22" t="s">
        <v>261</v>
      </c>
      <c r="I144" s="22" t="s">
        <v>262</v>
      </c>
      <c r="J144" s="22" t="n">
        <f aca="false">COUNTIFS(Trechos!$L$2:$L$526,A144)</f>
        <v>1</v>
      </c>
      <c r="K144" s="23" t="n">
        <f aca="false">SUMIFS(Trechos!$F$2:$F$526,Trechos!$L$2:$L$526,A144)</f>
        <v>8.2459817408769</v>
      </c>
      <c r="L144" s="22" t="s">
        <v>50</v>
      </c>
      <c r="M144" s="22" t="str">
        <f aca="false">Blocos!AU94</f>
        <v>—</v>
      </c>
    </row>
    <row r="145" customFormat="false" ht="15" hidden="false" customHeight="false" outlineLevel="0" collapsed="false">
      <c r="A145" s="17" t="s">
        <v>263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customFormat="false" ht="15" hidden="false" customHeight="false" outlineLevel="0" collapsed="false">
      <c r="A146" s="18" t="n">
        <v>94</v>
      </c>
      <c r="B146" s="24" t="s">
        <v>21</v>
      </c>
      <c r="C146" s="25" t="s">
        <v>40</v>
      </c>
      <c r="D146" s="25" t="s">
        <v>41</v>
      </c>
      <c r="E146" s="26" t="s">
        <v>43</v>
      </c>
      <c r="F146" s="21"/>
      <c r="G146" s="21"/>
      <c r="H146" s="22" t="s">
        <v>264</v>
      </c>
      <c r="I146" s="22" t="s">
        <v>265</v>
      </c>
      <c r="J146" s="22" t="n">
        <f aca="false">COUNTIFS(Trechos!$L$2:$L$526,A146)</f>
        <v>7</v>
      </c>
      <c r="K146" s="23" t="n">
        <f aca="false">SUMIFS(Trechos!$F$2:$F$526,Trechos!$L$2:$L$526,A146)</f>
        <v>82.888623314302</v>
      </c>
      <c r="L146" s="22" t="s">
        <v>50</v>
      </c>
      <c r="M146" s="22" t="str">
        <f aca="false">Blocos!AU95</f>
        <v>—</v>
      </c>
    </row>
    <row r="147" customFormat="false" ht="15" hidden="false" customHeight="false" outlineLevel="0" collapsed="false">
      <c r="A147" s="17" t="s">
        <v>266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customFormat="false" ht="15" hidden="false" customHeight="false" outlineLevel="0" collapsed="false">
      <c r="A148" s="18" t="n">
        <v>95</v>
      </c>
      <c r="B148" s="24" t="s">
        <v>21</v>
      </c>
      <c r="C148" s="25" t="s">
        <v>40</v>
      </c>
      <c r="D148" s="25" t="s">
        <v>41</v>
      </c>
      <c r="E148" s="26" t="s">
        <v>43</v>
      </c>
      <c r="F148" s="21"/>
      <c r="G148" s="21"/>
      <c r="H148" s="22" t="s">
        <v>267</v>
      </c>
      <c r="I148" s="22" t="s">
        <v>268</v>
      </c>
      <c r="J148" s="22" t="n">
        <f aca="false">COUNTIFS(Trechos!$L$2:$L$526,A148)</f>
        <v>2</v>
      </c>
      <c r="K148" s="23" t="n">
        <f aca="false">SUMIFS(Trechos!$F$2:$F$526,Trechos!$L$2:$L$526,A148)</f>
        <v>58.4720798475716</v>
      </c>
      <c r="L148" s="22" t="s">
        <v>50</v>
      </c>
      <c r="M148" s="22" t="str">
        <f aca="false">Blocos!AU96</f>
        <v>—</v>
      </c>
    </row>
    <row r="149" customFormat="false" ht="15" hidden="false" customHeight="false" outlineLevel="0" collapsed="false">
      <c r="A149" s="17" t="s">
        <v>269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customFormat="false" ht="15" hidden="false" customHeight="false" outlineLevel="0" collapsed="false">
      <c r="A150" s="18" t="n">
        <v>96</v>
      </c>
      <c r="B150" s="24" t="s">
        <v>21</v>
      </c>
      <c r="C150" s="25" t="s">
        <v>40</v>
      </c>
      <c r="D150" s="25" t="s">
        <v>41</v>
      </c>
      <c r="E150" s="26" t="s">
        <v>43</v>
      </c>
      <c r="F150" s="21"/>
      <c r="G150" s="21"/>
      <c r="H150" s="22" t="s">
        <v>270</v>
      </c>
      <c r="I150" s="22" t="s">
        <v>271</v>
      </c>
      <c r="J150" s="22" t="n">
        <f aca="false">COUNTIFS(Trechos!$L$2:$L$526,A150)</f>
        <v>1</v>
      </c>
      <c r="K150" s="23" t="n">
        <f aca="false">SUMIFS(Trechos!$F$2:$F$526,Trechos!$L$2:$L$526,A150)</f>
        <v>30.0082558648023</v>
      </c>
      <c r="L150" s="22" t="s">
        <v>50</v>
      </c>
      <c r="M150" s="22" t="str">
        <f aca="false">Blocos!AU97</f>
        <v>—</v>
      </c>
    </row>
    <row r="151" customFormat="false" ht="15" hidden="false" customHeight="false" outlineLevel="0" collapsed="false">
      <c r="A151" s="17" t="s">
        <v>272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customFormat="false" ht="15" hidden="false" customHeight="false" outlineLevel="0" collapsed="false">
      <c r="A152" s="18" t="n">
        <v>97</v>
      </c>
      <c r="B152" s="27" t="s">
        <v>22</v>
      </c>
      <c r="C152" s="25" t="s">
        <v>40</v>
      </c>
      <c r="D152" s="25" t="s">
        <v>41</v>
      </c>
      <c r="E152" s="25" t="s">
        <v>43</v>
      </c>
      <c r="F152" s="28" t="s">
        <v>273</v>
      </c>
      <c r="G152" s="21"/>
      <c r="H152" s="22" t="s">
        <v>273</v>
      </c>
      <c r="I152" s="22" t="s">
        <v>274</v>
      </c>
      <c r="J152" s="22" t="n">
        <f aca="false">COUNTIFS(Trechos!$L$2:$L$526,A152)</f>
        <v>1</v>
      </c>
      <c r="K152" s="23" t="n">
        <f aca="false">SUMIFS(Trechos!$F$2:$F$526,Trechos!$L$2:$L$526,A152)</f>
        <v>20.6350272599065</v>
      </c>
      <c r="L152" s="22" t="s">
        <v>50</v>
      </c>
      <c r="M152" s="22" t="str">
        <f aca="false">Blocos!AU98</f>
        <v>—</v>
      </c>
    </row>
  </sheetData>
  <mergeCells count="50">
    <mergeCell ref="A6:M6"/>
    <mergeCell ref="A10:M10"/>
    <mergeCell ref="A12:M12"/>
    <mergeCell ref="A14:M14"/>
    <mergeCell ref="A17:M17"/>
    <mergeCell ref="A20:M20"/>
    <mergeCell ref="A23:M23"/>
    <mergeCell ref="A26:M26"/>
    <mergeCell ref="A29:M29"/>
    <mergeCell ref="A31:M31"/>
    <mergeCell ref="A34:M34"/>
    <mergeCell ref="A37:M37"/>
    <mergeCell ref="A39:M39"/>
    <mergeCell ref="A41:M41"/>
    <mergeCell ref="A43:M43"/>
    <mergeCell ref="A45:M45"/>
    <mergeCell ref="A47:M47"/>
    <mergeCell ref="A50:M50"/>
    <mergeCell ref="A53:M53"/>
    <mergeCell ref="A55:M55"/>
    <mergeCell ref="A58:M58"/>
    <mergeCell ref="A61:M61"/>
    <mergeCell ref="A64:M64"/>
    <mergeCell ref="A67:M67"/>
    <mergeCell ref="A70:M70"/>
    <mergeCell ref="A82:M82"/>
    <mergeCell ref="A88:M88"/>
    <mergeCell ref="A91:M91"/>
    <mergeCell ref="A94:M94"/>
    <mergeCell ref="A96:M96"/>
    <mergeCell ref="A98:M98"/>
    <mergeCell ref="A100:M100"/>
    <mergeCell ref="A102:M102"/>
    <mergeCell ref="A104:M104"/>
    <mergeCell ref="A106:M106"/>
    <mergeCell ref="A108:M108"/>
    <mergeCell ref="A110:M110"/>
    <mergeCell ref="A112:M112"/>
    <mergeCell ref="A114:M114"/>
    <mergeCell ref="A116:M116"/>
    <mergeCell ref="A118:M118"/>
    <mergeCell ref="A120:M120"/>
    <mergeCell ref="A122:M122"/>
    <mergeCell ref="A124:M124"/>
    <mergeCell ref="A126:M126"/>
    <mergeCell ref="A128:M128"/>
    <mergeCell ref="A145:M145"/>
    <mergeCell ref="A147:M147"/>
    <mergeCell ref="A149:M149"/>
    <mergeCell ref="A151:M1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6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275</v>
      </c>
    </row>
    <row r="2" customFormat="false" ht="15" hidden="false" customHeight="false" outlineLevel="0" collapsed="false">
      <c r="A2" s="10" t="s">
        <v>276</v>
      </c>
    </row>
    <row r="4" customFormat="false" ht="15" hidden="false" customHeight="false" outlineLevel="0" collapsed="false">
      <c r="A4" s="0" t="s">
        <v>277</v>
      </c>
      <c r="B4" s="33" t="s">
        <v>278</v>
      </c>
      <c r="C4" s="34" t="s">
        <v>279</v>
      </c>
    </row>
    <row r="6" customFormat="false" ht="15" hidden="false" customHeight="false" outlineLevel="0" collapsed="false">
      <c r="A6" s="4" t="s">
        <v>280</v>
      </c>
      <c r="B6" s="35" t="str">
        <f aca="false">IFERROR(INDEX(Trechos!$B$2:$B$526,MATCH($B$4,Trechos!$E$2:$E$526,0)),"poste não encontrado")</f>
        <v>TR-525</v>
      </c>
    </row>
    <row r="7" customFormat="false" ht="15" hidden="false" customHeight="false" outlineLevel="0" collapsed="false">
      <c r="A7" s="4" t="s">
        <v>281</v>
      </c>
      <c r="B7" s="35" t="str">
        <f aca="false">IFERROR(INDEX(Trechos!$D$2:$D$526,MATCH($B$4,Trechos!$E$2:$E$526,0)),"poste não encontrado")</f>
        <v>N389</v>
      </c>
    </row>
    <row r="8" customFormat="false" ht="15" hidden="false" customHeight="false" outlineLevel="0" collapsed="false">
      <c r="A8" s="4" t="s">
        <v>1</v>
      </c>
      <c r="B8" s="35" t="str">
        <f aca="false">IFERROR(INDEX(Trechos!$I$2:$I$526,MATCH($B$4,Trechos!$E$2:$E$526,0)),"poste não encontrado")</f>
        <v>T3</v>
      </c>
    </row>
    <row r="9" customFormat="false" ht="15" hidden="false" customHeight="false" outlineLevel="0" collapsed="false">
      <c r="A9" s="4" t="s">
        <v>282</v>
      </c>
      <c r="B9" s="35" t="str">
        <f aca="false">IFERROR(INDEX(Trechos!$J$2:$J$526,MATCH($B$4,Trechos!$E$2:$E$526,0)),"poste não encontrado")</f>
        <v>Ramal</v>
      </c>
    </row>
    <row r="10" customFormat="false" ht="15" hidden="false" customHeight="false" outlineLevel="0" collapsed="false">
      <c r="A10" s="4" t="s">
        <v>283</v>
      </c>
      <c r="B10" s="35" t="str">
        <f aca="false">IFERROR(INDEX(Trechos!$K$2:$K$526,MATCH($B$4,Trechos!$E$2:$E$526,0)),"poste não encontrado")</f>
        <v>Ramal após 0352542004</v>
      </c>
    </row>
    <row r="11" customFormat="false" ht="15" hidden="false" customHeight="false" outlineLevel="0" collapsed="false">
      <c r="A11" s="4" t="s">
        <v>11</v>
      </c>
      <c r="B11" s="35" t="n">
        <f aca="false">IFERROR(INDEX(Trechos!$L$2:$L$526,MATCH($B$4,Trechos!$E$2:$E$526,0)),"poste não encontrado")</f>
        <v>97</v>
      </c>
    </row>
    <row r="12" customFormat="false" ht="15" hidden="false" customHeight="false" outlineLevel="0" collapsed="false">
      <c r="A12" s="4" t="s">
        <v>7</v>
      </c>
      <c r="B12" s="35" t="str">
        <f aca="false">IFERROR(INDEX(Trechos!$M$2:$M$526,MATCH($B$4,Trechos!$E$2:$E$526,0)),"poste não encontrado")</f>
        <v>0352542004</v>
      </c>
    </row>
    <row r="13" customFormat="false" ht="15" hidden="false" customHeight="false" outlineLevel="0" collapsed="false">
      <c r="A13" s="4" t="s">
        <v>284</v>
      </c>
      <c r="B13" s="36" t="n">
        <f aca="false">IFERROR(INDEX(Trechos!$H$2:$H$526,MATCH($B$4,Trechos!$E$2:$E$526,0)),"poste não encontrado")</f>
        <v>20.6350272599066</v>
      </c>
    </row>
    <row r="14" customFormat="false" ht="15" hidden="false" customHeight="false" outlineLevel="0" collapsed="false">
      <c r="A14" s="4" t="s">
        <v>285</v>
      </c>
      <c r="B14" s="36" t="n">
        <f aca="false">IFERROR(INDEX(Trechos!$G$2:$G$526,MATCH($B$4,Trechos!$E$2:$E$526,0)),"poste não encontrado")</f>
        <v>5685.8731601182</v>
      </c>
    </row>
    <row r="15" customFormat="false" ht="15" hidden="false" customHeight="false" outlineLevel="0" collapsed="false">
      <c r="A15" s="4" t="s">
        <v>9</v>
      </c>
      <c r="B15" s="35" t="str">
        <f aca="false">IFERROR(INDEX(Trechos!$P$2:$P$526,MATCH($B$4,Trechos!$E$2:$E$526,0)),"poste não encontrado")</f>
        <v>—</v>
      </c>
    </row>
    <row r="16" customFormat="false" ht="15" hidden="false" customHeight="false" outlineLevel="0" collapsed="false">
      <c r="A16" s="4" t="s">
        <v>286</v>
      </c>
      <c r="B16" s="35" t="n">
        <f aca="false">IFERROR(INDEX(Trechos!$R$2:$R$526,MATCH($B$4,Trechos!$E$2:$E$526,0)),"poste não encontrado")</f>
        <v>0</v>
      </c>
    </row>
    <row r="17" customFormat="false" ht="15" hidden="false" customHeight="false" outlineLevel="0" collapsed="false">
      <c r="A17" s="4" t="s">
        <v>287</v>
      </c>
      <c r="B17" s="35" t="str">
        <f aca="false">IFERROR(INDEX(Trechos!$X$2:$X$526,MATCH($B$4,Trechos!$E$2:$E$526,0)),"poste não encontrado")</f>
        <v>DJ AL04010004 › 7903565004 › 7935867004 › 0352542004</v>
      </c>
    </row>
    <row r="18" customFormat="false" ht="15" hidden="false" customHeight="false" outlineLevel="0" collapsed="false">
      <c r="A18" s="4" t="s">
        <v>288</v>
      </c>
      <c r="B18" s="35" t="n">
        <f aca="false">IFERROR(INDEX(Trechos!$Y$2:$Y$526,MATCH($B$4,Trechos!$E$2:$E$526,0)),"poste não encontrado")</f>
        <v>-7.188997</v>
      </c>
    </row>
    <row r="19" customFormat="false" ht="15" hidden="false" customHeight="false" outlineLevel="0" collapsed="false">
      <c r="A19" s="4" t="s">
        <v>289</v>
      </c>
      <c r="B19" s="35" t="n">
        <f aca="false">IFERROR(INDEX(Trechos!$Z$2:$Z$526,MATCH($B$4,Trechos!$E$2:$E$526,0)),"poste não encontrado")</f>
        <v>-48.206615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W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38" min="7" style="0" width="12"/>
    <col collapsed="false" customWidth="true" hidden="false" outlineLevel="0" max="43" min="39" style="0" width="8"/>
    <col collapsed="false" customWidth="true" hidden="false" outlineLevel="0" max="44" min="44" style="0" width="9"/>
    <col collapsed="false" customWidth="true" hidden="false" outlineLevel="0" max="45" min="45" style="0" width="12"/>
    <col collapsed="false" customWidth="true" hidden="false" outlineLevel="0" max="46" min="46" style="0" width="11"/>
    <col collapsed="false" customWidth="true" hidden="false" outlineLevel="0" max="47" min="47" style="0" width="42"/>
    <col collapsed="false" customWidth="true" hidden="false" outlineLevel="0" max="48" min="48" style="0" width="18"/>
    <col collapsed="false" customWidth="true" hidden="false" outlineLevel="0" max="101" min="49" style="0" width="10"/>
  </cols>
  <sheetData>
    <row r="1" customFormat="false" ht="31.5" hidden="false" customHeight="true" outlineLevel="0" collapsed="false">
      <c r="A1" s="16" t="s">
        <v>11</v>
      </c>
      <c r="B1" s="16" t="s">
        <v>1</v>
      </c>
      <c r="C1" s="16" t="s">
        <v>282</v>
      </c>
      <c r="D1" s="16" t="s">
        <v>283</v>
      </c>
      <c r="E1" s="16" t="s">
        <v>7</v>
      </c>
      <c r="F1" s="16" t="s">
        <v>33</v>
      </c>
      <c r="G1" s="16" t="s">
        <v>290</v>
      </c>
      <c r="H1" s="16" t="s">
        <v>291</v>
      </c>
      <c r="I1" s="16" t="s">
        <v>292</v>
      </c>
      <c r="J1" s="16" t="s">
        <v>293</v>
      </c>
      <c r="K1" s="16" t="s">
        <v>294</v>
      </c>
      <c r="L1" s="16" t="s">
        <v>295</v>
      </c>
      <c r="M1" s="16" t="s">
        <v>296</v>
      </c>
      <c r="N1" s="16" t="s">
        <v>297</v>
      </c>
      <c r="O1" s="16" t="s">
        <v>298</v>
      </c>
      <c r="P1" s="16" t="s">
        <v>299</v>
      </c>
      <c r="Q1" s="16" t="s">
        <v>300</v>
      </c>
      <c r="R1" s="16" t="s">
        <v>301</v>
      </c>
      <c r="S1" s="16" t="s">
        <v>302</v>
      </c>
      <c r="T1" s="16" t="s">
        <v>303</v>
      </c>
      <c r="U1" s="16" t="s">
        <v>304</v>
      </c>
      <c r="V1" s="16" t="s">
        <v>305</v>
      </c>
      <c r="W1" s="16" t="s">
        <v>306</v>
      </c>
      <c r="X1" s="16" t="s">
        <v>307</v>
      </c>
      <c r="Y1" s="16" t="s">
        <v>308</v>
      </c>
      <c r="Z1" s="16" t="s">
        <v>309</v>
      </c>
      <c r="AA1" s="16" t="s">
        <v>310</v>
      </c>
      <c r="AB1" s="16" t="s">
        <v>311</v>
      </c>
      <c r="AC1" s="16" t="s">
        <v>312</v>
      </c>
      <c r="AD1" s="16" t="s">
        <v>313</v>
      </c>
      <c r="AE1" s="16" t="s">
        <v>314</v>
      </c>
      <c r="AF1" s="16" t="s">
        <v>315</v>
      </c>
      <c r="AG1" s="16" t="s">
        <v>316</v>
      </c>
      <c r="AH1" s="16" t="s">
        <v>317</v>
      </c>
      <c r="AI1" s="16" t="s">
        <v>318</v>
      </c>
      <c r="AJ1" s="16" t="s">
        <v>319</v>
      </c>
      <c r="AK1" s="16" t="s">
        <v>320</v>
      </c>
      <c r="AL1" s="16" t="s">
        <v>321</v>
      </c>
      <c r="AM1" s="16" t="s">
        <v>28</v>
      </c>
      <c r="AN1" s="16" t="s">
        <v>29</v>
      </c>
      <c r="AO1" s="16" t="s">
        <v>30</v>
      </c>
      <c r="AP1" s="16" t="s">
        <v>31</v>
      </c>
      <c r="AQ1" s="16" t="s">
        <v>32</v>
      </c>
      <c r="AR1" s="16" t="s">
        <v>322</v>
      </c>
      <c r="AS1" s="16" t="s">
        <v>323</v>
      </c>
      <c r="AT1" s="16" t="s">
        <v>324</v>
      </c>
      <c r="AU1" s="16" t="s">
        <v>325</v>
      </c>
      <c r="AV1" s="16" t="s">
        <v>37</v>
      </c>
      <c r="AW1" s="16" t="s">
        <v>326</v>
      </c>
      <c r="AX1" s="16" t="s">
        <v>327</v>
      </c>
      <c r="AY1" s="16" t="s">
        <v>328</v>
      </c>
      <c r="AZ1" s="16" t="s">
        <v>329</v>
      </c>
      <c r="BA1" s="16" t="s">
        <v>330</v>
      </c>
      <c r="BB1" s="16" t="s">
        <v>331</v>
      </c>
      <c r="BC1" s="16" t="s">
        <v>332</v>
      </c>
      <c r="BD1" s="16" t="s">
        <v>333</v>
      </c>
      <c r="BE1" s="16" t="s">
        <v>334</v>
      </c>
      <c r="BF1" s="16" t="s">
        <v>335</v>
      </c>
      <c r="BG1" s="16" t="s">
        <v>336</v>
      </c>
      <c r="BH1" s="16" t="s">
        <v>337</v>
      </c>
      <c r="BI1" s="16" t="s">
        <v>338</v>
      </c>
      <c r="BJ1" s="16" t="s">
        <v>339</v>
      </c>
      <c r="BK1" s="16" t="s">
        <v>340</v>
      </c>
      <c r="BL1" s="16" t="s">
        <v>341</v>
      </c>
      <c r="BM1" s="16" t="s">
        <v>342</v>
      </c>
      <c r="BN1" s="16" t="s">
        <v>343</v>
      </c>
      <c r="BO1" s="16" t="s">
        <v>344</v>
      </c>
      <c r="BP1" s="16" t="s">
        <v>345</v>
      </c>
      <c r="BQ1" s="16" t="s">
        <v>346</v>
      </c>
      <c r="BR1" s="16" t="s">
        <v>347</v>
      </c>
      <c r="BS1" s="16" t="s">
        <v>348</v>
      </c>
      <c r="BT1" s="16" t="s">
        <v>349</v>
      </c>
      <c r="BU1" s="16" t="s">
        <v>350</v>
      </c>
      <c r="BV1" s="16" t="s">
        <v>351</v>
      </c>
      <c r="BW1" s="16" t="s">
        <v>352</v>
      </c>
      <c r="BX1" s="16" t="s">
        <v>353</v>
      </c>
      <c r="BY1" s="16" t="s">
        <v>354</v>
      </c>
      <c r="BZ1" s="16" t="s">
        <v>355</v>
      </c>
      <c r="CA1" s="16" t="s">
        <v>356</v>
      </c>
      <c r="CB1" s="16" t="s">
        <v>357</v>
      </c>
      <c r="CC1" s="16" t="s">
        <v>358</v>
      </c>
      <c r="CD1" s="16" t="s">
        <v>359</v>
      </c>
      <c r="CE1" s="16" t="s">
        <v>360</v>
      </c>
      <c r="CF1" s="16" t="s">
        <v>361</v>
      </c>
      <c r="CG1" s="16" t="s">
        <v>362</v>
      </c>
      <c r="CH1" s="16" t="s">
        <v>363</v>
      </c>
      <c r="CI1" s="16" t="s">
        <v>364</v>
      </c>
      <c r="CJ1" s="16" t="s">
        <v>365</v>
      </c>
      <c r="CK1" s="16" t="s">
        <v>366</v>
      </c>
      <c r="CL1" s="16" t="s">
        <v>367</v>
      </c>
      <c r="CM1" s="16" t="s">
        <v>368</v>
      </c>
      <c r="CN1" s="16" t="s">
        <v>369</v>
      </c>
      <c r="CO1" s="16" t="s">
        <v>370</v>
      </c>
      <c r="CP1" s="16" t="s">
        <v>371</v>
      </c>
      <c r="CQ1" s="16" t="s">
        <v>372</v>
      </c>
      <c r="CR1" s="16" t="s">
        <v>373</v>
      </c>
      <c r="CS1" s="16" t="s">
        <v>374</v>
      </c>
      <c r="CT1" s="16" t="s">
        <v>375</v>
      </c>
      <c r="CU1" s="16" t="s">
        <v>376</v>
      </c>
      <c r="CV1" s="16" t="s">
        <v>377</v>
      </c>
      <c r="CW1" s="16" t="s">
        <v>378</v>
      </c>
    </row>
    <row r="2" customFormat="false" ht="15" hidden="false" customHeight="false" outlineLevel="0" collapsed="false">
      <c r="A2" s="35" t="n">
        <v>1</v>
      </c>
      <c r="B2" s="5" t="s">
        <v>20</v>
      </c>
      <c r="C2" s="35" t="s">
        <v>5</v>
      </c>
      <c r="D2" s="35" t="s">
        <v>5</v>
      </c>
      <c r="E2" s="35" t="s">
        <v>40</v>
      </c>
      <c r="F2" s="35" t="s">
        <v>40</v>
      </c>
      <c r="G2" s="35" t="s">
        <v>41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 t="s">
        <v>40</v>
      </c>
      <c r="AN2" s="35"/>
      <c r="AO2" s="35"/>
      <c r="AP2" s="35"/>
      <c r="AQ2" s="35"/>
      <c r="AR2" s="35" t="n">
        <f aca="false">COUNTIFS(Trechos!$L$2:$L$526,A2)</f>
        <v>62</v>
      </c>
      <c r="AS2" s="36" t="n">
        <f aca="false">SUMIFS(Trechos!$F$2:$F$526,Trechos!$L$2:$L$526,A2)</f>
        <v>2972.16473094508</v>
      </c>
      <c r="AT2" s="35" t="n">
        <f aca="false">COUNTA(AW2:CW2)</f>
        <v>53</v>
      </c>
      <c r="AU2" s="35" t="str">
        <f aca="false">IF(COUNTA(AW2:CW2)=0,"—",_xlfn.TEXTJOIN(", ",TRUE(),AW2:CW2))</f>
        <v>7903565004, 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0200571004, 0230252004, 0303731004, 0200556004, 0303973004, 0200550004, 0201875004, 0200549004, 0200548004, 0200547004, 0345761004, 0201072004</v>
      </c>
      <c r="AV2" s="35" t="s">
        <v>42</v>
      </c>
      <c r="AW2" s="35" t="s">
        <v>41</v>
      </c>
      <c r="AX2" s="35" t="s">
        <v>43</v>
      </c>
      <c r="AY2" s="35" t="s">
        <v>230</v>
      </c>
      <c r="AZ2" s="35" t="s">
        <v>233</v>
      </c>
      <c r="BA2" s="35" t="s">
        <v>235</v>
      </c>
      <c r="BB2" s="35" t="s">
        <v>237</v>
      </c>
      <c r="BC2" s="35" t="s">
        <v>239</v>
      </c>
      <c r="BD2" s="35" t="s">
        <v>241</v>
      </c>
      <c r="BE2" s="35" t="s">
        <v>243</v>
      </c>
      <c r="BF2" s="35" t="s">
        <v>245</v>
      </c>
      <c r="BG2" s="35" t="s">
        <v>247</v>
      </c>
      <c r="BH2" s="35" t="s">
        <v>249</v>
      </c>
      <c r="BI2" s="35" t="s">
        <v>251</v>
      </c>
      <c r="BJ2" s="35" t="s">
        <v>253</v>
      </c>
      <c r="BK2" s="35" t="s">
        <v>255</v>
      </c>
      <c r="BL2" s="35" t="s">
        <v>257</v>
      </c>
      <c r="BM2" s="35" t="s">
        <v>259</v>
      </c>
      <c r="BN2" s="35" t="s">
        <v>261</v>
      </c>
      <c r="BO2" s="35" t="s">
        <v>273</v>
      </c>
      <c r="BP2" s="35" t="s">
        <v>209</v>
      </c>
      <c r="BQ2" s="35" t="s">
        <v>203</v>
      </c>
      <c r="BR2" s="35" t="s">
        <v>197</v>
      </c>
      <c r="BS2" s="35" t="s">
        <v>191</v>
      </c>
      <c r="BT2" s="35" t="s">
        <v>176</v>
      </c>
      <c r="BU2" s="35" t="s">
        <v>172</v>
      </c>
      <c r="BV2" s="35" t="s">
        <v>162</v>
      </c>
      <c r="BW2" s="35" t="s">
        <v>164</v>
      </c>
      <c r="BX2" s="35" t="s">
        <v>166</v>
      </c>
      <c r="BY2" s="35" t="s">
        <v>168</v>
      </c>
      <c r="BZ2" s="35" t="s">
        <v>138</v>
      </c>
      <c r="CA2" s="35" t="s">
        <v>140</v>
      </c>
      <c r="CB2" s="35" t="s">
        <v>142</v>
      </c>
      <c r="CC2" s="35" t="s">
        <v>144</v>
      </c>
      <c r="CD2" s="35" t="s">
        <v>146</v>
      </c>
      <c r="CE2" s="35" t="s">
        <v>148</v>
      </c>
      <c r="CF2" s="35" t="s">
        <v>150</v>
      </c>
      <c r="CG2" s="35" t="s">
        <v>152</v>
      </c>
      <c r="CH2" s="35" t="s">
        <v>154</v>
      </c>
      <c r="CI2" s="35" t="s">
        <v>156</v>
      </c>
      <c r="CJ2" s="35" t="s">
        <v>132</v>
      </c>
      <c r="CK2" s="35" t="s">
        <v>128</v>
      </c>
      <c r="CL2" s="35" t="s">
        <v>123</v>
      </c>
      <c r="CM2" s="35" t="s">
        <v>119</v>
      </c>
      <c r="CN2" s="35" t="s">
        <v>115</v>
      </c>
      <c r="CO2" s="35" t="s">
        <v>108</v>
      </c>
      <c r="CP2" s="35" t="s">
        <v>104</v>
      </c>
      <c r="CQ2" s="35" t="s">
        <v>83</v>
      </c>
      <c r="CR2" s="35" t="s">
        <v>79</v>
      </c>
      <c r="CS2" s="35" t="s">
        <v>72</v>
      </c>
      <c r="CT2" s="35" t="s">
        <v>68</v>
      </c>
      <c r="CU2" s="35" t="s">
        <v>64</v>
      </c>
      <c r="CV2" s="35" t="s">
        <v>60</v>
      </c>
      <c r="CW2" s="35" t="s">
        <v>56</v>
      </c>
    </row>
    <row r="3" customFormat="false" ht="15" hidden="false" customHeight="false" outlineLevel="0" collapsed="false">
      <c r="A3" s="35" t="n">
        <v>2</v>
      </c>
      <c r="B3" s="6" t="s">
        <v>21</v>
      </c>
      <c r="C3" s="35" t="s">
        <v>5</v>
      </c>
      <c r="D3" s="35" t="s">
        <v>5</v>
      </c>
      <c r="E3" s="35" t="s">
        <v>41</v>
      </c>
      <c r="F3" s="35" t="s">
        <v>41</v>
      </c>
      <c r="G3" s="35" t="s">
        <v>43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 t="s">
        <v>40</v>
      </c>
      <c r="AN3" s="35" t="s">
        <v>41</v>
      </c>
      <c r="AO3" s="35"/>
      <c r="AP3" s="35"/>
      <c r="AQ3" s="35"/>
      <c r="AR3" s="35" t="n">
        <f aca="false">COUNTIFS(Trechos!$L$2:$L$526,A3)</f>
        <v>28</v>
      </c>
      <c r="AS3" s="36" t="n">
        <f aca="false">SUMIFS(Trechos!$F$2:$F$526,Trechos!$L$2:$L$526,A3)</f>
        <v>1067.05641276262</v>
      </c>
      <c r="AT3" s="35" t="n">
        <f aca="false">COUNTA(AW3:CW3)</f>
        <v>45</v>
      </c>
      <c r="AU3" s="35" t="str">
        <f aca="false">IF(COUNTA(AW3:CW3)=0,"—",_xlfn.TEXTJOIN(", ",TRUE(),AW3:CW3))</f>
        <v>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0200571004, 0230252004, 0303731004, 0200556004, 0303973004</v>
      </c>
      <c r="AV3" s="35" t="s">
        <v>44</v>
      </c>
      <c r="AW3" s="35" t="s">
        <v>43</v>
      </c>
      <c r="AX3" s="35" t="s">
        <v>230</v>
      </c>
      <c r="AY3" s="35" t="s">
        <v>233</v>
      </c>
      <c r="AZ3" s="35" t="s">
        <v>235</v>
      </c>
      <c r="BA3" s="35" t="s">
        <v>237</v>
      </c>
      <c r="BB3" s="35" t="s">
        <v>239</v>
      </c>
      <c r="BC3" s="35" t="s">
        <v>241</v>
      </c>
      <c r="BD3" s="35" t="s">
        <v>243</v>
      </c>
      <c r="BE3" s="35" t="s">
        <v>245</v>
      </c>
      <c r="BF3" s="35" t="s">
        <v>247</v>
      </c>
      <c r="BG3" s="35" t="s">
        <v>249</v>
      </c>
      <c r="BH3" s="35" t="s">
        <v>251</v>
      </c>
      <c r="BI3" s="35" t="s">
        <v>253</v>
      </c>
      <c r="BJ3" s="35" t="s">
        <v>255</v>
      </c>
      <c r="BK3" s="35" t="s">
        <v>257</v>
      </c>
      <c r="BL3" s="35" t="s">
        <v>259</v>
      </c>
      <c r="BM3" s="35" t="s">
        <v>261</v>
      </c>
      <c r="BN3" s="35" t="s">
        <v>273</v>
      </c>
      <c r="BO3" s="35" t="s">
        <v>209</v>
      </c>
      <c r="BP3" s="35" t="s">
        <v>203</v>
      </c>
      <c r="BQ3" s="35" t="s">
        <v>197</v>
      </c>
      <c r="BR3" s="35" t="s">
        <v>191</v>
      </c>
      <c r="BS3" s="35" t="s">
        <v>176</v>
      </c>
      <c r="BT3" s="35" t="s">
        <v>172</v>
      </c>
      <c r="BU3" s="35" t="s">
        <v>162</v>
      </c>
      <c r="BV3" s="35" t="s">
        <v>164</v>
      </c>
      <c r="BW3" s="35" t="s">
        <v>166</v>
      </c>
      <c r="BX3" s="35" t="s">
        <v>168</v>
      </c>
      <c r="BY3" s="35" t="s">
        <v>138</v>
      </c>
      <c r="BZ3" s="35" t="s">
        <v>140</v>
      </c>
      <c r="CA3" s="35" t="s">
        <v>142</v>
      </c>
      <c r="CB3" s="35" t="s">
        <v>144</v>
      </c>
      <c r="CC3" s="35" t="s">
        <v>146</v>
      </c>
      <c r="CD3" s="35" t="s">
        <v>148</v>
      </c>
      <c r="CE3" s="35" t="s">
        <v>150</v>
      </c>
      <c r="CF3" s="35" t="s">
        <v>152</v>
      </c>
      <c r="CG3" s="35" t="s">
        <v>154</v>
      </c>
      <c r="CH3" s="35" t="s">
        <v>156</v>
      </c>
      <c r="CI3" s="35" t="s">
        <v>132</v>
      </c>
      <c r="CJ3" s="35" t="s">
        <v>128</v>
      </c>
      <c r="CK3" s="35" t="s">
        <v>123</v>
      </c>
      <c r="CL3" s="35" t="s">
        <v>119</v>
      </c>
      <c r="CM3" s="35" t="s">
        <v>115</v>
      </c>
      <c r="CN3" s="35" t="s">
        <v>108</v>
      </c>
      <c r="CO3" s="35" t="s">
        <v>104</v>
      </c>
      <c r="CP3" s="35"/>
      <c r="CQ3" s="35"/>
      <c r="CR3" s="35"/>
      <c r="CS3" s="35"/>
      <c r="CT3" s="35"/>
      <c r="CU3" s="35"/>
      <c r="CV3" s="35"/>
      <c r="CW3" s="35"/>
    </row>
    <row r="4" customFormat="false" ht="15" hidden="false" customHeight="false" outlineLevel="0" collapsed="false">
      <c r="A4" s="35" t="n">
        <v>3</v>
      </c>
      <c r="B4" s="6" t="s">
        <v>21</v>
      </c>
      <c r="C4" s="35" t="s">
        <v>5</v>
      </c>
      <c r="D4" s="35" t="s">
        <v>5</v>
      </c>
      <c r="E4" s="35" t="s">
        <v>43</v>
      </c>
      <c r="F4" s="35" t="s">
        <v>43</v>
      </c>
      <c r="G4" s="35" t="s">
        <v>230</v>
      </c>
      <c r="H4" s="35" t="s">
        <v>273</v>
      </c>
      <c r="I4" s="35" t="s">
        <v>209</v>
      </c>
      <c r="J4" s="35" t="s">
        <v>203</v>
      </c>
      <c r="K4" s="35" t="s">
        <v>197</v>
      </c>
      <c r="L4" s="35" t="s">
        <v>191</v>
      </c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 t="s">
        <v>40</v>
      </c>
      <c r="AN4" s="35" t="s">
        <v>41</v>
      </c>
      <c r="AO4" s="35" t="s">
        <v>43</v>
      </c>
      <c r="AP4" s="35"/>
      <c r="AQ4" s="35"/>
      <c r="AR4" s="35" t="n">
        <f aca="false">COUNTIFS(Trechos!$L$2:$L$526,A4)</f>
        <v>55</v>
      </c>
      <c r="AS4" s="36" t="n">
        <f aca="false">SUMIFS(Trechos!$F$2:$F$526,Trechos!$L$2:$L$526,A4)</f>
        <v>1795.83284480927</v>
      </c>
      <c r="AT4" s="35" t="n">
        <f aca="false">COUNTA(AW4:CW4)</f>
        <v>21</v>
      </c>
      <c r="AU4" s="35" t="str">
        <f aca="false">IF(COUNTA(AW4:CW4)=0,"—",_xlfn.TEXTJOIN(", ",TRUE(),AW4:CW4))</f>
        <v>7902218004, 0330915004, 0203711004, 0202227004, 0204190004, 0200482004, 0200484004, 0200489004, 0200490004, 0230938004, 0200492004, 0202676004, 0303862004, 0229036004, 0200495004, 0201153004, 0352542004, 0300603004, 0203117004, 0202175004, 0300600004</v>
      </c>
      <c r="AV4" s="35" t="s">
        <v>46</v>
      </c>
      <c r="AW4" s="35" t="s">
        <v>230</v>
      </c>
      <c r="AX4" s="35" t="s">
        <v>233</v>
      </c>
      <c r="AY4" s="35" t="s">
        <v>235</v>
      </c>
      <c r="AZ4" s="35" t="s">
        <v>237</v>
      </c>
      <c r="BA4" s="35" t="s">
        <v>239</v>
      </c>
      <c r="BB4" s="35" t="s">
        <v>241</v>
      </c>
      <c r="BC4" s="35" t="s">
        <v>243</v>
      </c>
      <c r="BD4" s="35" t="s">
        <v>245</v>
      </c>
      <c r="BE4" s="35" t="s">
        <v>247</v>
      </c>
      <c r="BF4" s="35" t="s">
        <v>249</v>
      </c>
      <c r="BG4" s="35" t="s">
        <v>251</v>
      </c>
      <c r="BH4" s="35" t="s">
        <v>253</v>
      </c>
      <c r="BI4" s="35" t="s">
        <v>255</v>
      </c>
      <c r="BJ4" s="35" t="s">
        <v>257</v>
      </c>
      <c r="BK4" s="35" t="s">
        <v>259</v>
      </c>
      <c r="BL4" s="35" t="s">
        <v>261</v>
      </c>
      <c r="BM4" s="35" t="s">
        <v>273</v>
      </c>
      <c r="BN4" s="35" t="s">
        <v>209</v>
      </c>
      <c r="BO4" s="35" t="s">
        <v>203</v>
      </c>
      <c r="BP4" s="35" t="s">
        <v>197</v>
      </c>
      <c r="BQ4" s="35" t="s">
        <v>191</v>
      </c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</row>
    <row r="5" customFormat="false" ht="15" hidden="false" customHeight="false" outlineLevel="0" collapsed="false">
      <c r="A5" s="35" t="n">
        <v>4</v>
      </c>
      <c r="B5" s="5" t="s">
        <v>20</v>
      </c>
      <c r="C5" s="35" t="s">
        <v>283</v>
      </c>
      <c r="D5" s="35" t="s">
        <v>379</v>
      </c>
      <c r="E5" s="35" t="s">
        <v>40</v>
      </c>
      <c r="F5" s="35" t="s">
        <v>48</v>
      </c>
      <c r="G5" s="35" t="s">
        <v>380</v>
      </c>
      <c r="H5" s="35" t="s">
        <v>381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 t="s">
        <v>40</v>
      </c>
      <c r="AN5" s="35"/>
      <c r="AO5" s="35"/>
      <c r="AP5" s="35"/>
      <c r="AQ5" s="35"/>
      <c r="AR5" s="35" t="n">
        <f aca="false">COUNTIFS(Trechos!$L$2:$L$526,A5)</f>
        <v>6</v>
      </c>
      <c r="AS5" s="36" t="n">
        <f aca="false">SUMIFS(Trechos!$F$2:$F$526,Trechos!$L$2:$L$526,A5)</f>
        <v>343.482655369021</v>
      </c>
      <c r="AT5" s="35" t="n">
        <f aca="false">COUNTA(AW5:CW5)</f>
        <v>0</v>
      </c>
      <c r="AU5" s="35" t="str">
        <f aca="false">IF(COUNTA(AW5:CW5)=0,"—",_xlfn.TEXTJOIN(", ",TRUE(),AW5:CW5))</f>
        <v>—</v>
      </c>
      <c r="AV5" s="35" t="s">
        <v>50</v>
      </c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</row>
    <row r="6" customFormat="false" ht="15" hidden="false" customHeight="false" outlineLevel="0" collapsed="false">
      <c r="A6" s="35" t="n">
        <v>5</v>
      </c>
      <c r="B6" s="5" t="s">
        <v>20</v>
      </c>
      <c r="C6" s="35" t="s">
        <v>283</v>
      </c>
      <c r="D6" s="35" t="s">
        <v>382</v>
      </c>
      <c r="E6" s="35" t="s">
        <v>40</v>
      </c>
      <c r="F6" s="35" t="s">
        <v>52</v>
      </c>
      <c r="G6" s="35" t="s">
        <v>53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 t="s">
        <v>40</v>
      </c>
      <c r="AN6" s="35"/>
      <c r="AO6" s="35"/>
      <c r="AP6" s="35"/>
      <c r="AQ6" s="35"/>
      <c r="AR6" s="35" t="n">
        <f aca="false">COUNTIFS(Trechos!$L$2:$L$526,A6)</f>
        <v>1</v>
      </c>
      <c r="AS6" s="36" t="n">
        <f aca="false">SUMIFS(Trechos!$F$2:$F$526,Trechos!$L$2:$L$526,A6)</f>
        <v>8.46532872647349</v>
      </c>
      <c r="AT6" s="35" t="n">
        <f aca="false">COUNTA(AW6:CW6)</f>
        <v>0</v>
      </c>
      <c r="AU6" s="35" t="str">
        <f aca="false">IF(COUNTA(AW6:CW6)=0,"—",_xlfn.TEXTJOIN(", ",TRUE(),AW6:CW6))</f>
        <v>—</v>
      </c>
      <c r="AV6" s="35" t="s">
        <v>50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</row>
    <row r="7" customFormat="false" ht="15" hidden="false" customHeight="false" outlineLevel="0" collapsed="false">
      <c r="A7" s="35" t="n">
        <v>6</v>
      </c>
      <c r="B7" s="5" t="s">
        <v>20</v>
      </c>
      <c r="C7" s="35" t="s">
        <v>283</v>
      </c>
      <c r="D7" s="35" t="s">
        <v>383</v>
      </c>
      <c r="E7" s="35" t="s">
        <v>40</v>
      </c>
      <c r="F7" s="35" t="s">
        <v>55</v>
      </c>
      <c r="G7" s="35" t="s">
        <v>56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 t="s">
        <v>40</v>
      </c>
      <c r="AN7" s="35"/>
      <c r="AO7" s="35"/>
      <c r="AP7" s="35"/>
      <c r="AQ7" s="35"/>
      <c r="AR7" s="35" t="n">
        <f aca="false">COUNTIFS(Trechos!$L$2:$L$526,A7)</f>
        <v>1</v>
      </c>
      <c r="AS7" s="36" t="n">
        <f aca="false">SUMIFS(Trechos!$F$2:$F$526,Trechos!$L$2:$L$526,A7)</f>
        <v>1.00681676888472</v>
      </c>
      <c r="AT7" s="35" t="n">
        <f aca="false">COUNTA(AW7:CW7)</f>
        <v>1</v>
      </c>
      <c r="AU7" s="35" t="str">
        <f aca="false">IF(COUNTA(AW7:CW7)=0,"—",_xlfn.TEXTJOIN(", ",TRUE(),AW7:CW7))</f>
        <v>0201072004</v>
      </c>
      <c r="AV7" s="35" t="s">
        <v>50</v>
      </c>
      <c r="AW7" s="35" t="s">
        <v>56</v>
      </c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</row>
    <row r="8" customFormat="false" ht="15" hidden="false" customHeight="false" outlineLevel="0" collapsed="false">
      <c r="A8" s="35" t="n">
        <v>7</v>
      </c>
      <c r="B8" s="7" t="s">
        <v>22</v>
      </c>
      <c r="C8" s="35" t="s">
        <v>283</v>
      </c>
      <c r="D8" s="35" t="s">
        <v>383</v>
      </c>
      <c r="E8" s="35" t="s">
        <v>56</v>
      </c>
      <c r="F8" s="35" t="s">
        <v>56</v>
      </c>
      <c r="G8" s="35" t="s">
        <v>57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 t="s">
        <v>40</v>
      </c>
      <c r="AN8" s="35" t="s">
        <v>56</v>
      </c>
      <c r="AO8" s="35"/>
      <c r="AP8" s="35"/>
      <c r="AQ8" s="35"/>
      <c r="AR8" s="35" t="n">
        <f aca="false">COUNTIFS(Trechos!$L$2:$L$526,A8)</f>
        <v>2</v>
      </c>
      <c r="AS8" s="36" t="n">
        <f aca="false">SUMIFS(Trechos!$F$2:$F$526,Trechos!$L$2:$L$526,A8)</f>
        <v>22.3235248267574</v>
      </c>
      <c r="AT8" s="35" t="n">
        <f aca="false">COUNTA(AW8:CW8)</f>
        <v>0</v>
      </c>
      <c r="AU8" s="35" t="str">
        <f aca="false">IF(COUNTA(AW8:CW8)=0,"—",_xlfn.TEXTJOIN(", ",TRUE(),AW8:CW8))</f>
        <v>—</v>
      </c>
      <c r="AV8" s="35" t="s">
        <v>50</v>
      </c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</row>
    <row r="9" customFormat="false" ht="15" hidden="false" customHeight="false" outlineLevel="0" collapsed="false">
      <c r="A9" s="35" t="n">
        <v>8</v>
      </c>
      <c r="B9" s="5" t="s">
        <v>20</v>
      </c>
      <c r="C9" s="35" t="s">
        <v>283</v>
      </c>
      <c r="D9" s="35" t="s">
        <v>384</v>
      </c>
      <c r="E9" s="35" t="s">
        <v>40</v>
      </c>
      <c r="F9" s="35" t="s">
        <v>59</v>
      </c>
      <c r="G9" s="35" t="s">
        <v>60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 t="s">
        <v>40</v>
      </c>
      <c r="AN9" s="35"/>
      <c r="AO9" s="35"/>
      <c r="AP9" s="35"/>
      <c r="AQ9" s="35"/>
      <c r="AR9" s="35" t="n">
        <f aca="false">COUNTIFS(Trechos!$L$2:$L$526,A9)</f>
        <v>1</v>
      </c>
      <c r="AS9" s="36" t="n">
        <f aca="false">SUMIFS(Trechos!$F$2:$F$526,Trechos!$L$2:$L$526,A9)</f>
        <v>1.02053122365876</v>
      </c>
      <c r="AT9" s="35" t="n">
        <f aca="false">COUNTA(AW9:CW9)</f>
        <v>1</v>
      </c>
      <c r="AU9" s="35" t="str">
        <f aca="false">IF(COUNTA(AW9:CW9)=0,"—",_xlfn.TEXTJOIN(", ",TRUE(),AW9:CW9))</f>
        <v>0345761004</v>
      </c>
      <c r="AV9" s="35" t="s">
        <v>50</v>
      </c>
      <c r="AW9" s="35" t="s">
        <v>60</v>
      </c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</row>
    <row r="10" customFormat="false" ht="15" hidden="false" customHeight="false" outlineLevel="0" collapsed="false">
      <c r="A10" s="35" t="n">
        <v>9</v>
      </c>
      <c r="B10" s="7" t="s">
        <v>22</v>
      </c>
      <c r="C10" s="35" t="s">
        <v>283</v>
      </c>
      <c r="D10" s="35" t="s">
        <v>384</v>
      </c>
      <c r="E10" s="35" t="s">
        <v>60</v>
      </c>
      <c r="F10" s="35" t="s">
        <v>60</v>
      </c>
      <c r="G10" s="35" t="s">
        <v>61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 t="s">
        <v>40</v>
      </c>
      <c r="AN10" s="35" t="s">
        <v>60</v>
      </c>
      <c r="AO10" s="35"/>
      <c r="AP10" s="35"/>
      <c r="AQ10" s="35"/>
      <c r="AR10" s="35" t="n">
        <f aca="false">COUNTIFS(Trechos!$L$2:$L$526,A10)</f>
        <v>1</v>
      </c>
      <c r="AS10" s="36" t="n">
        <f aca="false">SUMIFS(Trechos!$F$2:$F$526,Trechos!$L$2:$L$526,A10)</f>
        <v>8.54997721921965</v>
      </c>
      <c r="AT10" s="35" t="n">
        <f aca="false">COUNTA(AW10:CW10)</f>
        <v>0</v>
      </c>
      <c r="AU10" s="35" t="str">
        <f aca="false">IF(COUNTA(AW10:CW10)=0,"—",_xlfn.TEXTJOIN(", ",TRUE(),AW10:CW10))</f>
        <v>—</v>
      </c>
      <c r="AV10" s="35" t="s">
        <v>50</v>
      </c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customFormat="false" ht="15" hidden="false" customHeight="false" outlineLevel="0" collapsed="false">
      <c r="A11" s="35" t="n">
        <v>10</v>
      </c>
      <c r="B11" s="5" t="s">
        <v>20</v>
      </c>
      <c r="C11" s="35" t="s">
        <v>283</v>
      </c>
      <c r="D11" s="35" t="s">
        <v>385</v>
      </c>
      <c r="E11" s="35" t="s">
        <v>40</v>
      </c>
      <c r="F11" s="35" t="s">
        <v>63</v>
      </c>
      <c r="G11" s="35" t="s">
        <v>64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 t="s">
        <v>40</v>
      </c>
      <c r="AN11" s="35"/>
      <c r="AO11" s="35"/>
      <c r="AP11" s="35"/>
      <c r="AQ11" s="35"/>
      <c r="AR11" s="35" t="n">
        <f aca="false">COUNTIFS(Trechos!$L$2:$L$526,A11)</f>
        <v>1</v>
      </c>
      <c r="AS11" s="36" t="n">
        <f aca="false">SUMIFS(Trechos!$F$2:$F$526,Trechos!$L$2:$L$526,A11)</f>
        <v>0.554406188864805</v>
      </c>
      <c r="AT11" s="35" t="n">
        <f aca="false">COUNTA(AW11:CW11)</f>
        <v>1</v>
      </c>
      <c r="AU11" s="35" t="str">
        <f aca="false">IF(COUNTA(AW11:CW11)=0,"—",_xlfn.TEXTJOIN(", ",TRUE(),AW11:CW11))</f>
        <v>0200547004</v>
      </c>
      <c r="AV11" s="35" t="s">
        <v>50</v>
      </c>
      <c r="AW11" s="35" t="s">
        <v>64</v>
      </c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customFormat="false" ht="15" hidden="false" customHeight="false" outlineLevel="0" collapsed="false">
      <c r="A12" s="35" t="n">
        <v>11</v>
      </c>
      <c r="B12" s="7" t="s">
        <v>22</v>
      </c>
      <c r="C12" s="35" t="s">
        <v>283</v>
      </c>
      <c r="D12" s="35" t="s">
        <v>385</v>
      </c>
      <c r="E12" s="35" t="s">
        <v>64</v>
      </c>
      <c r="F12" s="35" t="s">
        <v>64</v>
      </c>
      <c r="G12" s="35" t="s">
        <v>65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 t="s">
        <v>40</v>
      </c>
      <c r="AN12" s="35" t="s">
        <v>64</v>
      </c>
      <c r="AO12" s="35"/>
      <c r="AP12" s="35"/>
      <c r="AQ12" s="35"/>
      <c r="AR12" s="35" t="n">
        <f aca="false">COUNTIFS(Trechos!$L$2:$L$526,A12)</f>
        <v>1</v>
      </c>
      <c r="AS12" s="36" t="n">
        <f aca="false">SUMIFS(Trechos!$F$2:$F$526,Trechos!$L$2:$L$526,A12)</f>
        <v>3.83902037096225</v>
      </c>
      <c r="AT12" s="35" t="n">
        <f aca="false">COUNTA(AW12:CW12)</f>
        <v>0</v>
      </c>
      <c r="AU12" s="35" t="str">
        <f aca="false">IF(COUNTA(AW12:CW12)=0,"—",_xlfn.TEXTJOIN(", ",TRUE(),AW12:CW12))</f>
        <v>—</v>
      </c>
      <c r="AV12" s="35" t="s">
        <v>50</v>
      </c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customFormat="false" ht="15" hidden="false" customHeight="false" outlineLevel="0" collapsed="false">
      <c r="A13" s="35" t="n">
        <v>12</v>
      </c>
      <c r="B13" s="5" t="s">
        <v>20</v>
      </c>
      <c r="C13" s="35" t="s">
        <v>283</v>
      </c>
      <c r="D13" s="35" t="s">
        <v>386</v>
      </c>
      <c r="E13" s="35" t="s">
        <v>40</v>
      </c>
      <c r="F13" s="35" t="s">
        <v>67</v>
      </c>
      <c r="G13" s="35" t="s">
        <v>68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 t="s">
        <v>40</v>
      </c>
      <c r="AN13" s="35"/>
      <c r="AO13" s="35"/>
      <c r="AP13" s="35"/>
      <c r="AQ13" s="35"/>
      <c r="AR13" s="35" t="n">
        <f aca="false">COUNTIFS(Trechos!$L$2:$L$526,A13)</f>
        <v>1</v>
      </c>
      <c r="AS13" s="36" t="n">
        <f aca="false">SUMIFS(Trechos!$F$2:$F$526,Trechos!$L$2:$L$526,A13)</f>
        <v>1.02176395015507</v>
      </c>
      <c r="AT13" s="35" t="n">
        <f aca="false">COUNTA(AW13:CW13)</f>
        <v>1</v>
      </c>
      <c r="AU13" s="35" t="str">
        <f aca="false">IF(COUNTA(AW13:CW13)=0,"—",_xlfn.TEXTJOIN(", ",TRUE(),AW13:CW13))</f>
        <v>0200548004</v>
      </c>
      <c r="AV13" s="35" t="s">
        <v>50</v>
      </c>
      <c r="AW13" s="35" t="s">
        <v>68</v>
      </c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customFormat="false" ht="15" hidden="false" customHeight="false" outlineLevel="0" collapsed="false">
      <c r="A14" s="35" t="n">
        <v>13</v>
      </c>
      <c r="B14" s="7" t="s">
        <v>22</v>
      </c>
      <c r="C14" s="35" t="s">
        <v>283</v>
      </c>
      <c r="D14" s="35" t="s">
        <v>386</v>
      </c>
      <c r="E14" s="35" t="s">
        <v>68</v>
      </c>
      <c r="F14" s="35" t="s">
        <v>68</v>
      </c>
      <c r="G14" s="35" t="s">
        <v>69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 t="s">
        <v>40</v>
      </c>
      <c r="AN14" s="35" t="s">
        <v>68</v>
      </c>
      <c r="AO14" s="35"/>
      <c r="AP14" s="35"/>
      <c r="AQ14" s="35"/>
      <c r="AR14" s="35" t="n">
        <f aca="false">COUNTIFS(Trechos!$L$2:$L$526,A14)</f>
        <v>1</v>
      </c>
      <c r="AS14" s="36" t="n">
        <f aca="false">SUMIFS(Trechos!$F$2:$F$526,Trechos!$L$2:$L$526,A14)</f>
        <v>8.8549610425365</v>
      </c>
      <c r="AT14" s="35" t="n">
        <f aca="false">COUNTA(AW14:CW14)</f>
        <v>0</v>
      </c>
      <c r="AU14" s="35" t="str">
        <f aca="false">IF(COUNTA(AW14:CW14)=0,"—",_xlfn.TEXTJOIN(", ",TRUE(),AW14:CW14))</f>
        <v>—</v>
      </c>
      <c r="AV14" s="35" t="s">
        <v>50</v>
      </c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customFormat="false" ht="15" hidden="false" customHeight="false" outlineLevel="0" collapsed="false">
      <c r="A15" s="35" t="n">
        <v>14</v>
      </c>
      <c r="B15" s="5" t="s">
        <v>20</v>
      </c>
      <c r="C15" s="35" t="s">
        <v>283</v>
      </c>
      <c r="D15" s="35" t="s">
        <v>387</v>
      </c>
      <c r="E15" s="35" t="s">
        <v>40</v>
      </c>
      <c r="F15" s="35" t="s">
        <v>71</v>
      </c>
      <c r="G15" s="35" t="s">
        <v>72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 t="s">
        <v>40</v>
      </c>
      <c r="AN15" s="35"/>
      <c r="AO15" s="35"/>
      <c r="AP15" s="35"/>
      <c r="AQ15" s="35"/>
      <c r="AR15" s="35" t="n">
        <f aca="false">COUNTIFS(Trechos!$L$2:$L$526,A15)</f>
        <v>1</v>
      </c>
      <c r="AS15" s="36" t="n">
        <f aca="false">SUMIFS(Trechos!$F$2:$F$526,Trechos!$L$2:$L$526,A15)</f>
        <v>1.04309589998363</v>
      </c>
      <c r="AT15" s="35" t="n">
        <f aca="false">COUNTA(AW15:CW15)</f>
        <v>1</v>
      </c>
      <c r="AU15" s="35" t="str">
        <f aca="false">IF(COUNTA(AW15:CW15)=0,"—",_xlfn.TEXTJOIN(", ",TRUE(),AW15:CW15))</f>
        <v>0200549004</v>
      </c>
      <c r="AV15" s="35" t="s">
        <v>50</v>
      </c>
      <c r="AW15" s="35" t="s">
        <v>72</v>
      </c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customFormat="false" ht="15" hidden="false" customHeight="false" outlineLevel="0" collapsed="false">
      <c r="A16" s="35" t="n">
        <v>15</v>
      </c>
      <c r="B16" s="7" t="s">
        <v>22</v>
      </c>
      <c r="C16" s="35" t="s">
        <v>283</v>
      </c>
      <c r="D16" s="35" t="s">
        <v>387</v>
      </c>
      <c r="E16" s="35" t="s">
        <v>72</v>
      </c>
      <c r="F16" s="35" t="s">
        <v>72</v>
      </c>
      <c r="G16" s="35" t="s">
        <v>73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 t="s">
        <v>40</v>
      </c>
      <c r="AN16" s="35" t="s">
        <v>72</v>
      </c>
      <c r="AO16" s="35"/>
      <c r="AP16" s="35"/>
      <c r="AQ16" s="35"/>
      <c r="AR16" s="35" t="n">
        <f aca="false">COUNTIFS(Trechos!$L$2:$L$526,A16)</f>
        <v>1</v>
      </c>
      <c r="AS16" s="36" t="n">
        <f aca="false">SUMIFS(Trechos!$F$2:$F$526,Trechos!$L$2:$L$526,A16)</f>
        <v>9.06301259230931</v>
      </c>
      <c r="AT16" s="35" t="n">
        <f aca="false">COUNTA(AW16:CW16)</f>
        <v>0</v>
      </c>
      <c r="AU16" s="35" t="str">
        <f aca="false">IF(COUNTA(AW16:CW16)=0,"—",_xlfn.TEXTJOIN(", ",TRUE(),AW16:CW16))</f>
        <v>—</v>
      </c>
      <c r="AV16" s="35" t="s">
        <v>50</v>
      </c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customFormat="false" ht="15" hidden="false" customHeight="false" outlineLevel="0" collapsed="false">
      <c r="A17" s="35" t="n">
        <v>16</v>
      </c>
      <c r="B17" s="5" t="s">
        <v>20</v>
      </c>
      <c r="C17" s="35" t="s">
        <v>283</v>
      </c>
      <c r="D17" s="35" t="s">
        <v>388</v>
      </c>
      <c r="E17" s="35" t="s">
        <v>40</v>
      </c>
      <c r="F17" s="35" t="s">
        <v>75</v>
      </c>
      <c r="G17" s="35" t="s">
        <v>76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 t="s">
        <v>40</v>
      </c>
      <c r="AN17" s="35"/>
      <c r="AO17" s="35"/>
      <c r="AP17" s="35"/>
      <c r="AQ17" s="35"/>
      <c r="AR17" s="35" t="n">
        <f aca="false">COUNTIFS(Trechos!$L$2:$L$526,A17)</f>
        <v>2</v>
      </c>
      <c r="AS17" s="36" t="n">
        <f aca="false">SUMIFS(Trechos!$F$2:$F$526,Trechos!$L$2:$L$526,A17)</f>
        <v>79.2829462197932</v>
      </c>
      <c r="AT17" s="35" t="n">
        <f aca="false">COUNTA(AW17:CW17)</f>
        <v>0</v>
      </c>
      <c r="AU17" s="35" t="str">
        <f aca="false">IF(COUNTA(AW17:CW17)=0,"—",_xlfn.TEXTJOIN(", ",TRUE(),AW17:CW17))</f>
        <v>—</v>
      </c>
      <c r="AV17" s="35" t="s">
        <v>50</v>
      </c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customFormat="false" ht="15" hidden="false" customHeight="false" outlineLevel="0" collapsed="false">
      <c r="A18" s="35" t="n">
        <v>17</v>
      </c>
      <c r="B18" s="5" t="s">
        <v>20</v>
      </c>
      <c r="C18" s="35" t="s">
        <v>283</v>
      </c>
      <c r="D18" s="35" t="s">
        <v>389</v>
      </c>
      <c r="E18" s="35" t="s">
        <v>40</v>
      </c>
      <c r="F18" s="35" t="s">
        <v>78</v>
      </c>
      <c r="G18" s="35" t="s">
        <v>79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 t="s">
        <v>40</v>
      </c>
      <c r="AN18" s="35"/>
      <c r="AO18" s="35"/>
      <c r="AP18" s="35"/>
      <c r="AQ18" s="35"/>
      <c r="AR18" s="35" t="n">
        <f aca="false">COUNTIFS(Trechos!$L$2:$L$526,A18)</f>
        <v>1</v>
      </c>
      <c r="AS18" s="36" t="n">
        <f aca="false">SUMIFS(Trechos!$F$2:$F$526,Trechos!$L$2:$L$526,A18)</f>
        <v>0.951570434771641</v>
      </c>
      <c r="AT18" s="35" t="n">
        <f aca="false">COUNTA(AW18:CW18)</f>
        <v>1</v>
      </c>
      <c r="AU18" s="35" t="str">
        <f aca="false">IF(COUNTA(AW18:CW18)=0,"—",_xlfn.TEXTJOIN(", ",TRUE(),AW18:CW18))</f>
        <v>0201875004</v>
      </c>
      <c r="AV18" s="35" t="s">
        <v>50</v>
      </c>
      <c r="AW18" s="35" t="s">
        <v>79</v>
      </c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customFormat="false" ht="15" hidden="false" customHeight="false" outlineLevel="0" collapsed="false">
      <c r="A19" s="35" t="n">
        <v>18</v>
      </c>
      <c r="B19" s="7" t="s">
        <v>22</v>
      </c>
      <c r="C19" s="35" t="s">
        <v>283</v>
      </c>
      <c r="D19" s="35" t="s">
        <v>389</v>
      </c>
      <c r="E19" s="35" t="s">
        <v>79</v>
      </c>
      <c r="F19" s="35" t="s">
        <v>79</v>
      </c>
      <c r="G19" s="35" t="s">
        <v>80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 t="s">
        <v>40</v>
      </c>
      <c r="AN19" s="35" t="s">
        <v>79</v>
      </c>
      <c r="AO19" s="35"/>
      <c r="AP19" s="35"/>
      <c r="AQ19" s="35"/>
      <c r="AR19" s="35" t="n">
        <f aca="false">COUNTIFS(Trechos!$L$2:$L$526,A19)</f>
        <v>1</v>
      </c>
      <c r="AS19" s="36" t="n">
        <f aca="false">SUMIFS(Trechos!$F$2:$F$526,Trechos!$L$2:$L$526,A19)</f>
        <v>8.68446749532155</v>
      </c>
      <c r="AT19" s="35" t="n">
        <f aca="false">COUNTA(AW19:CW19)</f>
        <v>0</v>
      </c>
      <c r="AU19" s="35" t="str">
        <f aca="false">IF(COUNTA(AW19:CW19)=0,"—",_xlfn.TEXTJOIN(", ",TRUE(),AW19:CW19))</f>
        <v>—</v>
      </c>
      <c r="AV19" s="35" t="s">
        <v>50</v>
      </c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customFormat="false" ht="15" hidden="false" customHeight="false" outlineLevel="0" collapsed="false">
      <c r="A20" s="35" t="n">
        <v>19</v>
      </c>
      <c r="B20" s="5" t="s">
        <v>20</v>
      </c>
      <c r="C20" s="35" t="s">
        <v>283</v>
      </c>
      <c r="D20" s="35" t="s">
        <v>390</v>
      </c>
      <c r="E20" s="35" t="s">
        <v>40</v>
      </c>
      <c r="F20" s="35" t="s">
        <v>82</v>
      </c>
      <c r="G20" s="35" t="s">
        <v>83</v>
      </c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 t="s">
        <v>40</v>
      </c>
      <c r="AN20" s="35"/>
      <c r="AO20" s="35"/>
      <c r="AP20" s="35"/>
      <c r="AQ20" s="35"/>
      <c r="AR20" s="35" t="n">
        <f aca="false">COUNTIFS(Trechos!$L$2:$L$526,A20)</f>
        <v>1</v>
      </c>
      <c r="AS20" s="36" t="n">
        <f aca="false">SUMIFS(Trechos!$F$2:$F$526,Trechos!$L$2:$L$526,A20)</f>
        <v>0.865673170948216</v>
      </c>
      <c r="AT20" s="35" t="n">
        <f aca="false">COUNTA(AW20:CW20)</f>
        <v>1</v>
      </c>
      <c r="AU20" s="35" t="str">
        <f aca="false">IF(COUNTA(AW20:CW20)=0,"—",_xlfn.TEXTJOIN(", ",TRUE(),AW20:CW20))</f>
        <v>0200550004</v>
      </c>
      <c r="AV20" s="35" t="s">
        <v>50</v>
      </c>
      <c r="AW20" s="35" t="s">
        <v>83</v>
      </c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customFormat="false" ht="15" hidden="false" customHeight="false" outlineLevel="0" collapsed="false">
      <c r="A21" s="35" t="n">
        <v>20</v>
      </c>
      <c r="B21" s="7" t="s">
        <v>22</v>
      </c>
      <c r="C21" s="35" t="s">
        <v>283</v>
      </c>
      <c r="D21" s="35" t="s">
        <v>390</v>
      </c>
      <c r="E21" s="35" t="s">
        <v>83</v>
      </c>
      <c r="F21" s="35" t="s">
        <v>83</v>
      </c>
      <c r="G21" s="35" t="s">
        <v>391</v>
      </c>
      <c r="H21" s="35" t="s">
        <v>392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 t="s">
        <v>40</v>
      </c>
      <c r="AN21" s="35" t="s">
        <v>83</v>
      </c>
      <c r="AO21" s="35"/>
      <c r="AP21" s="35"/>
      <c r="AQ21" s="35"/>
      <c r="AR21" s="35" t="n">
        <f aca="false">COUNTIFS(Trechos!$L$2:$L$526,A21)</f>
        <v>3</v>
      </c>
      <c r="AS21" s="36" t="n">
        <f aca="false">SUMIFS(Trechos!$F$2:$F$526,Trechos!$L$2:$L$526,A21)</f>
        <v>46.71105825906</v>
      </c>
      <c r="AT21" s="35" t="n">
        <f aca="false">COUNTA(AW21:CW21)</f>
        <v>0</v>
      </c>
      <c r="AU21" s="35" t="str">
        <f aca="false">IF(COUNTA(AW21:CW21)=0,"—",_xlfn.TEXTJOIN(", ",TRUE(),AW21:CW21))</f>
        <v>—</v>
      </c>
      <c r="AV21" s="35" t="s">
        <v>50</v>
      </c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customFormat="false" ht="15" hidden="false" customHeight="false" outlineLevel="0" collapsed="false">
      <c r="A22" s="35" t="n">
        <v>21</v>
      </c>
      <c r="B22" s="5" t="s">
        <v>20</v>
      </c>
      <c r="C22" s="35" t="s">
        <v>283</v>
      </c>
      <c r="D22" s="35" t="s">
        <v>393</v>
      </c>
      <c r="E22" s="35" t="s">
        <v>40</v>
      </c>
      <c r="F22" s="35" t="s">
        <v>86</v>
      </c>
      <c r="G22" s="35" t="s">
        <v>394</v>
      </c>
      <c r="H22" s="35" t="s">
        <v>395</v>
      </c>
      <c r="I22" s="35" t="s">
        <v>396</v>
      </c>
      <c r="J22" s="35" t="s">
        <v>397</v>
      </c>
      <c r="K22" s="35" t="s">
        <v>398</v>
      </c>
      <c r="L22" s="35" t="s">
        <v>399</v>
      </c>
      <c r="M22" s="35" t="s">
        <v>400</v>
      </c>
      <c r="N22" s="35" t="s">
        <v>401</v>
      </c>
      <c r="O22" s="35" t="s">
        <v>402</v>
      </c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 t="s">
        <v>40</v>
      </c>
      <c r="AN22" s="35"/>
      <c r="AO22" s="35"/>
      <c r="AP22" s="35"/>
      <c r="AQ22" s="35"/>
      <c r="AR22" s="35" t="n">
        <f aca="false">COUNTIFS(Trechos!$L$2:$L$526,A22)</f>
        <v>24</v>
      </c>
      <c r="AS22" s="36" t="n">
        <f aca="false">SUMIFS(Trechos!$F$2:$F$526,Trechos!$L$2:$L$526,A22)</f>
        <v>1142.22023431368</v>
      </c>
      <c r="AT22" s="35" t="n">
        <f aca="false">COUNTA(AW22:CW22)</f>
        <v>0</v>
      </c>
      <c r="AU22" s="35" t="str">
        <f aca="false">IF(COUNTA(AW22:CW22)=0,"—",_xlfn.TEXTJOIN(", ",TRUE(),AW22:CW22))</f>
        <v>—</v>
      </c>
      <c r="AV22" s="35" t="s">
        <v>50</v>
      </c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customFormat="false" ht="15" hidden="false" customHeight="false" outlineLevel="0" collapsed="false">
      <c r="A23" s="35" t="n">
        <v>22</v>
      </c>
      <c r="B23" s="5" t="s">
        <v>20</v>
      </c>
      <c r="C23" s="35" t="s">
        <v>283</v>
      </c>
      <c r="D23" s="35" t="s">
        <v>403</v>
      </c>
      <c r="E23" s="35" t="s">
        <v>40</v>
      </c>
      <c r="F23" s="35" t="s">
        <v>89</v>
      </c>
      <c r="G23" s="35" t="s">
        <v>404</v>
      </c>
      <c r="H23" s="35" t="s">
        <v>405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 t="s">
        <v>40</v>
      </c>
      <c r="AN23" s="35"/>
      <c r="AO23" s="35"/>
      <c r="AP23" s="35"/>
      <c r="AQ23" s="35"/>
      <c r="AR23" s="35" t="n">
        <f aca="false">COUNTIFS(Trechos!$L$2:$L$526,A23)</f>
        <v>10</v>
      </c>
      <c r="AS23" s="36" t="n">
        <f aca="false">SUMIFS(Trechos!$F$2:$F$526,Trechos!$L$2:$L$526,A23)</f>
        <v>134.240532013188</v>
      </c>
      <c r="AT23" s="35" t="n">
        <f aca="false">COUNTA(AW23:CW23)</f>
        <v>0</v>
      </c>
      <c r="AU23" s="35" t="str">
        <f aca="false">IF(COUNTA(AW23:CW23)=0,"—",_xlfn.TEXTJOIN(", ",TRUE(),AW23:CW23))</f>
        <v>—</v>
      </c>
      <c r="AV23" s="35" t="s">
        <v>50</v>
      </c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customFormat="false" ht="15" hidden="false" customHeight="false" outlineLevel="0" collapsed="false">
      <c r="A24" s="35" t="n">
        <v>23</v>
      </c>
      <c r="B24" s="5" t="s">
        <v>20</v>
      </c>
      <c r="C24" s="35" t="s">
        <v>283</v>
      </c>
      <c r="D24" s="35" t="s">
        <v>406</v>
      </c>
      <c r="E24" s="35" t="s">
        <v>40</v>
      </c>
      <c r="F24" s="35" t="s">
        <v>92</v>
      </c>
      <c r="G24" s="35" t="s">
        <v>93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 t="s">
        <v>40</v>
      </c>
      <c r="AN24" s="35"/>
      <c r="AO24" s="35"/>
      <c r="AP24" s="35"/>
      <c r="AQ24" s="35"/>
      <c r="AR24" s="35" t="n">
        <f aca="false">COUNTIFS(Trechos!$L$2:$L$526,A24)</f>
        <v>1</v>
      </c>
      <c r="AS24" s="36" t="n">
        <f aca="false">SUMIFS(Trechos!$F$2:$F$526,Trechos!$L$2:$L$526,A24)</f>
        <v>41.7687049462162</v>
      </c>
      <c r="AT24" s="35" t="n">
        <f aca="false">COUNTA(AW24:CW24)</f>
        <v>0</v>
      </c>
      <c r="AU24" s="35" t="str">
        <f aca="false">IF(COUNTA(AW24:CW24)=0,"—",_xlfn.TEXTJOIN(", ",TRUE(),AW24:CW24))</f>
        <v>—</v>
      </c>
      <c r="AV24" s="35" t="s">
        <v>50</v>
      </c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customFormat="false" ht="15" hidden="false" customHeight="false" outlineLevel="0" collapsed="false">
      <c r="A25" s="35" t="n">
        <v>24</v>
      </c>
      <c r="B25" s="5" t="s">
        <v>20</v>
      </c>
      <c r="C25" s="35" t="s">
        <v>283</v>
      </c>
      <c r="D25" s="35" t="s">
        <v>407</v>
      </c>
      <c r="E25" s="35" t="s">
        <v>40</v>
      </c>
      <c r="F25" s="35" t="s">
        <v>95</v>
      </c>
      <c r="G25" s="35" t="s">
        <v>96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 t="s">
        <v>40</v>
      </c>
      <c r="AN25" s="35"/>
      <c r="AO25" s="35"/>
      <c r="AP25" s="35"/>
      <c r="AQ25" s="35"/>
      <c r="AR25" s="35" t="n">
        <f aca="false">COUNTIFS(Trechos!$L$2:$L$526,A25)</f>
        <v>1</v>
      </c>
      <c r="AS25" s="36" t="n">
        <f aca="false">SUMIFS(Trechos!$F$2:$F$526,Trechos!$L$2:$L$526,A25)</f>
        <v>5.47358086611873</v>
      </c>
      <c r="AT25" s="35" t="n">
        <f aca="false">COUNTA(AW25:CW25)</f>
        <v>0</v>
      </c>
      <c r="AU25" s="35" t="str">
        <f aca="false">IF(COUNTA(AW25:CW25)=0,"—",_xlfn.TEXTJOIN(", ",TRUE(),AW25:CW25))</f>
        <v>—</v>
      </c>
      <c r="AV25" s="35" t="s">
        <v>50</v>
      </c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customFormat="false" ht="15" hidden="false" customHeight="false" outlineLevel="0" collapsed="false">
      <c r="A26" s="35" t="n">
        <v>25</v>
      </c>
      <c r="B26" s="6" t="s">
        <v>21</v>
      </c>
      <c r="C26" s="35" t="s">
        <v>283</v>
      </c>
      <c r="D26" s="35" t="s">
        <v>408</v>
      </c>
      <c r="E26" s="35" t="s">
        <v>41</v>
      </c>
      <c r="F26" s="35" t="s">
        <v>98</v>
      </c>
      <c r="G26" s="35" t="s">
        <v>99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 t="s">
        <v>40</v>
      </c>
      <c r="AN26" s="35" t="s">
        <v>41</v>
      </c>
      <c r="AO26" s="35"/>
      <c r="AP26" s="35"/>
      <c r="AQ26" s="35"/>
      <c r="AR26" s="35" t="n">
        <f aca="false">COUNTIFS(Trechos!$L$2:$L$526,A26)</f>
        <v>1</v>
      </c>
      <c r="AS26" s="36" t="n">
        <f aca="false">SUMIFS(Trechos!$F$2:$F$526,Trechos!$L$2:$L$526,A26)</f>
        <v>4.26392299277908</v>
      </c>
      <c r="AT26" s="35" t="n">
        <f aca="false">COUNTA(AW26:CW26)</f>
        <v>0</v>
      </c>
      <c r="AU26" s="35" t="str">
        <f aca="false">IF(COUNTA(AW26:CW26)=0,"—",_xlfn.TEXTJOIN(", ",TRUE(),AW26:CW26))</f>
        <v>—</v>
      </c>
      <c r="AV26" s="35" t="s">
        <v>50</v>
      </c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customFormat="false" ht="15" hidden="false" customHeight="false" outlineLevel="0" collapsed="false">
      <c r="A27" s="35" t="n">
        <v>26</v>
      </c>
      <c r="B27" s="6" t="s">
        <v>21</v>
      </c>
      <c r="C27" s="35" t="s">
        <v>283</v>
      </c>
      <c r="D27" s="35" t="s">
        <v>409</v>
      </c>
      <c r="E27" s="35" t="s">
        <v>41</v>
      </c>
      <c r="F27" s="35" t="s">
        <v>101</v>
      </c>
      <c r="G27" s="35" t="s">
        <v>410</v>
      </c>
      <c r="H27" s="35" t="s">
        <v>104</v>
      </c>
      <c r="I27" s="35" t="s">
        <v>411</v>
      </c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 t="s">
        <v>40</v>
      </c>
      <c r="AN27" s="35" t="s">
        <v>41</v>
      </c>
      <c r="AO27" s="35"/>
      <c r="AP27" s="35"/>
      <c r="AQ27" s="35"/>
      <c r="AR27" s="35" t="n">
        <f aca="false">COUNTIFS(Trechos!$L$2:$L$526,A27)</f>
        <v>8</v>
      </c>
      <c r="AS27" s="36" t="n">
        <f aca="false">SUMIFS(Trechos!$F$2:$F$526,Trechos!$L$2:$L$526,A27)</f>
        <v>193.17717085394</v>
      </c>
      <c r="AT27" s="35" t="n">
        <f aca="false">COUNTA(AW27:CW27)</f>
        <v>1</v>
      </c>
      <c r="AU27" s="35" t="str">
        <f aca="false">IF(COUNTA(AW27:CW27)=0,"—",_xlfn.TEXTJOIN(", ",TRUE(),AW27:CW27))</f>
        <v>0303973004</v>
      </c>
      <c r="AV27" s="35" t="s">
        <v>103</v>
      </c>
      <c r="AW27" s="35" t="s">
        <v>104</v>
      </c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customFormat="false" ht="15" hidden="false" customHeight="false" outlineLevel="0" collapsed="false">
      <c r="A28" s="35" t="n">
        <v>27</v>
      </c>
      <c r="B28" s="7" t="s">
        <v>22</v>
      </c>
      <c r="C28" s="35" t="s">
        <v>283</v>
      </c>
      <c r="D28" s="35" t="s">
        <v>409</v>
      </c>
      <c r="E28" s="35" t="s">
        <v>104</v>
      </c>
      <c r="F28" s="35" t="s">
        <v>104</v>
      </c>
      <c r="G28" s="35" t="s">
        <v>105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 t="s">
        <v>40</v>
      </c>
      <c r="AN28" s="35" t="s">
        <v>41</v>
      </c>
      <c r="AO28" s="35" t="s">
        <v>104</v>
      </c>
      <c r="AP28" s="35"/>
      <c r="AQ28" s="35"/>
      <c r="AR28" s="35" t="n">
        <f aca="false">COUNTIFS(Trechos!$L$2:$L$526,A28)</f>
        <v>2</v>
      </c>
      <c r="AS28" s="36" t="n">
        <f aca="false">SUMIFS(Trechos!$F$2:$F$526,Trechos!$L$2:$L$526,A28)</f>
        <v>34.304619589084</v>
      </c>
      <c r="AT28" s="35" t="n">
        <f aca="false">COUNTA(AW28:CW28)</f>
        <v>0</v>
      </c>
      <c r="AU28" s="35" t="str">
        <f aca="false">IF(COUNTA(AW28:CW28)=0,"—",_xlfn.TEXTJOIN(", ",TRUE(),AW28:CW28))</f>
        <v>—</v>
      </c>
      <c r="AV28" s="35" t="s">
        <v>50</v>
      </c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customFormat="false" ht="15" hidden="false" customHeight="false" outlineLevel="0" collapsed="false">
      <c r="A29" s="35" t="n">
        <v>28</v>
      </c>
      <c r="B29" s="6" t="s">
        <v>21</v>
      </c>
      <c r="C29" s="35" t="s">
        <v>283</v>
      </c>
      <c r="D29" s="35" t="s">
        <v>412</v>
      </c>
      <c r="E29" s="35" t="s">
        <v>41</v>
      </c>
      <c r="F29" s="35" t="s">
        <v>107</v>
      </c>
      <c r="G29" s="35" t="s">
        <v>108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 t="s">
        <v>40</v>
      </c>
      <c r="AN29" s="35" t="s">
        <v>41</v>
      </c>
      <c r="AO29" s="35"/>
      <c r="AP29" s="35"/>
      <c r="AQ29" s="35"/>
      <c r="AR29" s="35" t="n">
        <f aca="false">COUNTIFS(Trechos!$L$2:$L$526,A29)</f>
        <v>1</v>
      </c>
      <c r="AS29" s="36" t="n">
        <f aca="false">SUMIFS(Trechos!$F$2:$F$526,Trechos!$L$2:$L$526,A29)</f>
        <v>2.90546673947119</v>
      </c>
      <c r="AT29" s="35" t="n">
        <f aca="false">COUNTA(AW29:CW29)</f>
        <v>1</v>
      </c>
      <c r="AU29" s="35" t="str">
        <f aca="false">IF(COUNTA(AW29:CW29)=0,"—",_xlfn.TEXTJOIN(", ",TRUE(),AW29:CW29))</f>
        <v>0200556004</v>
      </c>
      <c r="AV29" s="35" t="s">
        <v>50</v>
      </c>
      <c r="AW29" s="35" t="s">
        <v>108</v>
      </c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customFormat="false" ht="15" hidden="false" customHeight="false" outlineLevel="0" collapsed="false">
      <c r="A30" s="35" t="n">
        <v>29</v>
      </c>
      <c r="B30" s="7" t="s">
        <v>22</v>
      </c>
      <c r="C30" s="35" t="s">
        <v>283</v>
      </c>
      <c r="D30" s="35" t="s">
        <v>412</v>
      </c>
      <c r="E30" s="35" t="s">
        <v>108</v>
      </c>
      <c r="F30" s="35" t="s">
        <v>108</v>
      </c>
      <c r="G30" s="35" t="s">
        <v>109</v>
      </c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 t="s">
        <v>40</v>
      </c>
      <c r="AN30" s="35" t="s">
        <v>41</v>
      </c>
      <c r="AO30" s="35" t="s">
        <v>108</v>
      </c>
      <c r="AP30" s="35"/>
      <c r="AQ30" s="35"/>
      <c r="AR30" s="35" t="n">
        <f aca="false">COUNTIFS(Trechos!$L$2:$L$526,A30)</f>
        <v>2</v>
      </c>
      <c r="AS30" s="36" t="n">
        <f aca="false">SUMIFS(Trechos!$F$2:$F$526,Trechos!$L$2:$L$526,A30)</f>
        <v>41.7066066538754</v>
      </c>
      <c r="AT30" s="35" t="n">
        <f aca="false">COUNTA(AW30:CW30)</f>
        <v>0</v>
      </c>
      <c r="AU30" s="35" t="str">
        <f aca="false">IF(COUNTA(AW30:CW30)=0,"—",_xlfn.TEXTJOIN(", ",TRUE(),AW30:CW30))</f>
        <v>—</v>
      </c>
      <c r="AV30" s="35" t="s">
        <v>50</v>
      </c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customFormat="false" ht="15" hidden="false" customHeight="false" outlineLevel="0" collapsed="false">
      <c r="A31" s="35" t="n">
        <v>30</v>
      </c>
      <c r="B31" s="6" t="s">
        <v>21</v>
      </c>
      <c r="C31" s="35" t="s">
        <v>283</v>
      </c>
      <c r="D31" s="35" t="s">
        <v>413</v>
      </c>
      <c r="E31" s="35" t="s">
        <v>41</v>
      </c>
      <c r="F31" s="35" t="s">
        <v>111</v>
      </c>
      <c r="G31" s="35" t="s">
        <v>112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 t="s">
        <v>40</v>
      </c>
      <c r="AN31" s="35" t="s">
        <v>41</v>
      </c>
      <c r="AO31" s="35"/>
      <c r="AP31" s="35"/>
      <c r="AQ31" s="35"/>
      <c r="AR31" s="35" t="n">
        <f aca="false">COUNTIFS(Trechos!$L$2:$L$526,A31)</f>
        <v>2</v>
      </c>
      <c r="AS31" s="36" t="n">
        <f aca="false">SUMIFS(Trechos!$F$2:$F$526,Trechos!$L$2:$L$526,A31)</f>
        <v>22.0391543186586</v>
      </c>
      <c r="AT31" s="35" t="n">
        <f aca="false">COUNTA(AW31:CW31)</f>
        <v>0</v>
      </c>
      <c r="AU31" s="35" t="str">
        <f aca="false">IF(COUNTA(AW31:CW31)=0,"—",_xlfn.TEXTJOIN(", ",TRUE(),AW31:CW31))</f>
        <v>—</v>
      </c>
      <c r="AV31" s="35" t="s">
        <v>50</v>
      </c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customFormat="false" ht="15" hidden="false" customHeight="false" outlineLevel="0" collapsed="false">
      <c r="A32" s="35" t="n">
        <v>31</v>
      </c>
      <c r="B32" s="6" t="s">
        <v>21</v>
      </c>
      <c r="C32" s="35" t="s">
        <v>283</v>
      </c>
      <c r="D32" s="35" t="s">
        <v>414</v>
      </c>
      <c r="E32" s="35" t="s">
        <v>41</v>
      </c>
      <c r="F32" s="35" t="s">
        <v>114</v>
      </c>
      <c r="G32" s="35" t="s">
        <v>115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 t="s">
        <v>40</v>
      </c>
      <c r="AN32" s="35" t="s">
        <v>41</v>
      </c>
      <c r="AO32" s="35"/>
      <c r="AP32" s="35"/>
      <c r="AQ32" s="35"/>
      <c r="AR32" s="35" t="n">
        <f aca="false">COUNTIFS(Trechos!$L$2:$L$526,A32)</f>
        <v>2</v>
      </c>
      <c r="AS32" s="36" t="n">
        <f aca="false">SUMIFS(Trechos!$F$2:$F$526,Trechos!$L$2:$L$526,A32)</f>
        <v>5.38112337432193</v>
      </c>
      <c r="AT32" s="35" t="n">
        <f aca="false">COUNTA(AW32:CW32)</f>
        <v>1</v>
      </c>
      <c r="AU32" s="35" t="str">
        <f aca="false">IF(COUNTA(AW32:CW32)=0,"—",_xlfn.TEXTJOIN(", ",TRUE(),AW32:CW32))</f>
        <v>0303731004</v>
      </c>
      <c r="AV32" s="35" t="s">
        <v>50</v>
      </c>
      <c r="AW32" s="35" t="s">
        <v>115</v>
      </c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customFormat="false" ht="15" hidden="false" customHeight="false" outlineLevel="0" collapsed="false">
      <c r="A33" s="35" t="n">
        <v>32</v>
      </c>
      <c r="B33" s="7" t="s">
        <v>22</v>
      </c>
      <c r="C33" s="35" t="s">
        <v>283</v>
      </c>
      <c r="D33" s="35" t="s">
        <v>414</v>
      </c>
      <c r="E33" s="35" t="s">
        <v>115</v>
      </c>
      <c r="F33" s="35" t="s">
        <v>115</v>
      </c>
      <c r="G33" s="35" t="s">
        <v>415</v>
      </c>
      <c r="H33" s="35" t="s">
        <v>416</v>
      </c>
      <c r="I33" s="35" t="s">
        <v>417</v>
      </c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 t="s">
        <v>40</v>
      </c>
      <c r="AN33" s="35" t="s">
        <v>41</v>
      </c>
      <c r="AO33" s="35" t="s">
        <v>115</v>
      </c>
      <c r="AP33" s="35"/>
      <c r="AQ33" s="35"/>
      <c r="AR33" s="35" t="n">
        <f aca="false">COUNTIFS(Trechos!$L$2:$L$526,A33)</f>
        <v>5</v>
      </c>
      <c r="AS33" s="36" t="n">
        <f aca="false">SUMIFS(Trechos!$F$2:$F$526,Trechos!$L$2:$L$526,A33)</f>
        <v>167.983510119199</v>
      </c>
      <c r="AT33" s="35" t="n">
        <f aca="false">COUNTA(AW33:CW33)</f>
        <v>0</v>
      </c>
      <c r="AU33" s="35" t="str">
        <f aca="false">IF(COUNTA(AW33:CW33)=0,"—",_xlfn.TEXTJOIN(", ",TRUE(),AW33:CW33))</f>
        <v>—</v>
      </c>
      <c r="AV33" s="35" t="s">
        <v>50</v>
      </c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customFormat="false" ht="15" hidden="false" customHeight="false" outlineLevel="0" collapsed="false">
      <c r="A34" s="35" t="n">
        <v>33</v>
      </c>
      <c r="B34" s="6" t="s">
        <v>21</v>
      </c>
      <c r="C34" s="35" t="s">
        <v>283</v>
      </c>
      <c r="D34" s="35" t="s">
        <v>418</v>
      </c>
      <c r="E34" s="35" t="s">
        <v>41</v>
      </c>
      <c r="F34" s="35" t="s">
        <v>118</v>
      </c>
      <c r="G34" s="35" t="s">
        <v>119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 t="s">
        <v>40</v>
      </c>
      <c r="AN34" s="35" t="s">
        <v>41</v>
      </c>
      <c r="AO34" s="35"/>
      <c r="AP34" s="35"/>
      <c r="AQ34" s="35"/>
      <c r="AR34" s="35" t="n">
        <f aca="false">COUNTIFS(Trechos!$L$2:$L$526,A34)</f>
        <v>1</v>
      </c>
      <c r="AS34" s="36" t="n">
        <f aca="false">SUMIFS(Trechos!$F$2:$F$526,Trechos!$L$2:$L$526,A34)</f>
        <v>1.08797014136651</v>
      </c>
      <c r="AT34" s="35" t="n">
        <f aca="false">COUNTA(AW34:CW34)</f>
        <v>1</v>
      </c>
      <c r="AU34" s="35" t="str">
        <f aca="false">IF(COUNTA(AW34:CW34)=0,"—",_xlfn.TEXTJOIN(", ",TRUE(),AW34:CW34))</f>
        <v>0230252004</v>
      </c>
      <c r="AV34" s="35" t="s">
        <v>50</v>
      </c>
      <c r="AW34" s="35" t="s">
        <v>119</v>
      </c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customFormat="false" ht="15" hidden="false" customHeight="false" outlineLevel="0" collapsed="false">
      <c r="A35" s="35" t="n">
        <v>34</v>
      </c>
      <c r="B35" s="7" t="s">
        <v>22</v>
      </c>
      <c r="C35" s="35" t="s">
        <v>283</v>
      </c>
      <c r="D35" s="35" t="s">
        <v>418</v>
      </c>
      <c r="E35" s="35" t="s">
        <v>119</v>
      </c>
      <c r="F35" s="35" t="s">
        <v>119</v>
      </c>
      <c r="G35" s="35" t="s">
        <v>120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 t="s">
        <v>40</v>
      </c>
      <c r="AN35" s="35" t="s">
        <v>41</v>
      </c>
      <c r="AO35" s="35" t="s">
        <v>119</v>
      </c>
      <c r="AP35" s="35"/>
      <c r="AQ35" s="35"/>
      <c r="AR35" s="35" t="n">
        <f aca="false">COUNTIFS(Trechos!$L$2:$L$526,A35)</f>
        <v>2</v>
      </c>
      <c r="AS35" s="36" t="n">
        <f aca="false">SUMIFS(Trechos!$F$2:$F$526,Trechos!$L$2:$L$526,A35)</f>
        <v>24.7345047606341</v>
      </c>
      <c r="AT35" s="35" t="n">
        <f aca="false">COUNTA(AW35:CW35)</f>
        <v>0</v>
      </c>
      <c r="AU35" s="35" t="str">
        <f aca="false">IF(COUNTA(AW35:CW35)=0,"—",_xlfn.TEXTJOIN(", ",TRUE(),AW35:CW35))</f>
        <v>—</v>
      </c>
      <c r="AV35" s="35" t="s">
        <v>50</v>
      </c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customFormat="false" ht="15" hidden="false" customHeight="false" outlineLevel="0" collapsed="false">
      <c r="A36" s="35" t="n">
        <v>35</v>
      </c>
      <c r="B36" s="6" t="s">
        <v>21</v>
      </c>
      <c r="C36" s="35" t="s">
        <v>283</v>
      </c>
      <c r="D36" s="35" t="s">
        <v>419</v>
      </c>
      <c r="E36" s="35" t="s">
        <v>41</v>
      </c>
      <c r="F36" s="35" t="s">
        <v>122</v>
      </c>
      <c r="G36" s="35" t="s">
        <v>123</v>
      </c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 t="s">
        <v>40</v>
      </c>
      <c r="AN36" s="35" t="s">
        <v>41</v>
      </c>
      <c r="AO36" s="35"/>
      <c r="AP36" s="35"/>
      <c r="AQ36" s="35"/>
      <c r="AR36" s="35" t="n">
        <f aca="false">COUNTIFS(Trechos!$L$2:$L$526,A36)</f>
        <v>1</v>
      </c>
      <c r="AS36" s="36" t="n">
        <f aca="false">SUMIFS(Trechos!$F$2:$F$526,Trechos!$L$2:$L$526,A36)</f>
        <v>2.78206142635617</v>
      </c>
      <c r="AT36" s="35" t="n">
        <f aca="false">COUNTA(AW36:CW36)</f>
        <v>1</v>
      </c>
      <c r="AU36" s="35" t="str">
        <f aca="false">IF(COUNTA(AW36:CW36)=0,"—",_xlfn.TEXTJOIN(", ",TRUE(),AW36:CW36))</f>
        <v>0200571004</v>
      </c>
      <c r="AV36" s="35" t="s">
        <v>50</v>
      </c>
      <c r="AW36" s="35" t="s">
        <v>123</v>
      </c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customFormat="false" ht="15" hidden="false" customHeight="false" outlineLevel="0" collapsed="false">
      <c r="A37" s="35" t="n">
        <v>36</v>
      </c>
      <c r="B37" s="7" t="s">
        <v>22</v>
      </c>
      <c r="C37" s="35" t="s">
        <v>283</v>
      </c>
      <c r="D37" s="35" t="s">
        <v>419</v>
      </c>
      <c r="E37" s="35" t="s">
        <v>123</v>
      </c>
      <c r="F37" s="35" t="s">
        <v>123</v>
      </c>
      <c r="G37" s="35" t="s">
        <v>124</v>
      </c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 t="s">
        <v>40</v>
      </c>
      <c r="AN37" s="35" t="s">
        <v>41</v>
      </c>
      <c r="AO37" s="35" t="s">
        <v>123</v>
      </c>
      <c r="AP37" s="35"/>
      <c r="AQ37" s="35"/>
      <c r="AR37" s="35" t="n">
        <f aca="false">COUNTIFS(Trechos!$L$2:$L$526,A37)</f>
        <v>1</v>
      </c>
      <c r="AS37" s="36" t="n">
        <f aca="false">SUMIFS(Trechos!$F$2:$F$526,Trechos!$L$2:$L$526,A37)</f>
        <v>25.0307742012439</v>
      </c>
      <c r="AT37" s="35" t="n">
        <f aca="false">COUNTA(AW37:CW37)</f>
        <v>0</v>
      </c>
      <c r="AU37" s="35" t="str">
        <f aca="false">IF(COUNTA(AW37:CW37)=0,"—",_xlfn.TEXTJOIN(", ",TRUE(),AW37:CW37))</f>
        <v>—</v>
      </c>
      <c r="AV37" s="35" t="s">
        <v>50</v>
      </c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customFormat="false" ht="15" hidden="false" customHeight="false" outlineLevel="0" collapsed="false">
      <c r="A38" s="35" t="n">
        <v>37</v>
      </c>
      <c r="B38" s="6" t="s">
        <v>21</v>
      </c>
      <c r="C38" s="35" t="s">
        <v>283</v>
      </c>
      <c r="D38" s="35" t="s">
        <v>420</v>
      </c>
      <c r="E38" s="35" t="s">
        <v>41</v>
      </c>
      <c r="F38" s="35" t="s">
        <v>126</v>
      </c>
      <c r="G38" s="35" t="s">
        <v>421</v>
      </c>
      <c r="H38" s="35" t="s">
        <v>128</v>
      </c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 t="s">
        <v>40</v>
      </c>
      <c r="AN38" s="35" t="s">
        <v>41</v>
      </c>
      <c r="AO38" s="35"/>
      <c r="AP38" s="35"/>
      <c r="AQ38" s="35"/>
      <c r="AR38" s="35" t="n">
        <f aca="false">COUNTIFS(Trechos!$L$2:$L$526,A38)</f>
        <v>3</v>
      </c>
      <c r="AS38" s="36" t="n">
        <f aca="false">SUMIFS(Trechos!$F$2:$F$526,Trechos!$L$2:$L$526,A38)</f>
        <v>44.4610563388762</v>
      </c>
      <c r="AT38" s="35" t="n">
        <f aca="false">COUNTA(AW38:CW38)</f>
        <v>1</v>
      </c>
      <c r="AU38" s="35" t="str">
        <f aca="false">IF(COUNTA(AW38:CW38)=0,"—",_xlfn.TEXTJOIN(", ",TRUE(),AW38:CW38))</f>
        <v>0200573004</v>
      </c>
      <c r="AV38" s="35" t="s">
        <v>50</v>
      </c>
      <c r="AW38" s="35" t="s">
        <v>128</v>
      </c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customFormat="false" ht="15" hidden="false" customHeight="false" outlineLevel="0" collapsed="false">
      <c r="A39" s="35" t="n">
        <v>38</v>
      </c>
      <c r="B39" s="7" t="s">
        <v>22</v>
      </c>
      <c r="C39" s="35" t="s">
        <v>283</v>
      </c>
      <c r="D39" s="35" t="s">
        <v>420</v>
      </c>
      <c r="E39" s="35" t="s">
        <v>128</v>
      </c>
      <c r="F39" s="35" t="s">
        <v>128</v>
      </c>
      <c r="G39" s="35" t="s">
        <v>129</v>
      </c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 t="s">
        <v>40</v>
      </c>
      <c r="AN39" s="35" t="s">
        <v>41</v>
      </c>
      <c r="AO39" s="35" t="s">
        <v>128</v>
      </c>
      <c r="AP39" s="35"/>
      <c r="AQ39" s="35"/>
      <c r="AR39" s="35" t="n">
        <f aca="false">COUNTIFS(Trechos!$L$2:$L$526,A39)</f>
        <v>1</v>
      </c>
      <c r="AS39" s="36" t="n">
        <f aca="false">SUMIFS(Trechos!$F$2:$F$526,Trechos!$L$2:$L$526,A39)</f>
        <v>22.7054848493459</v>
      </c>
      <c r="AT39" s="35" t="n">
        <f aca="false">COUNTA(AW39:CW39)</f>
        <v>0</v>
      </c>
      <c r="AU39" s="35" t="str">
        <f aca="false">IF(COUNTA(AW39:CW39)=0,"—",_xlfn.TEXTJOIN(", ",TRUE(),AW39:CW39))</f>
        <v>—</v>
      </c>
      <c r="AV39" s="35" t="s">
        <v>50</v>
      </c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customFormat="false" ht="15" hidden="false" customHeight="false" outlineLevel="0" collapsed="false">
      <c r="A40" s="35" t="n">
        <v>39</v>
      </c>
      <c r="B40" s="6" t="s">
        <v>21</v>
      </c>
      <c r="C40" s="35" t="s">
        <v>283</v>
      </c>
      <c r="D40" s="35" t="s">
        <v>422</v>
      </c>
      <c r="E40" s="35" t="s">
        <v>41</v>
      </c>
      <c r="F40" s="35" t="s">
        <v>131</v>
      </c>
      <c r="G40" s="35" t="s">
        <v>132</v>
      </c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 t="s">
        <v>40</v>
      </c>
      <c r="AN40" s="35" t="s">
        <v>41</v>
      </c>
      <c r="AO40" s="35"/>
      <c r="AP40" s="35"/>
      <c r="AQ40" s="35"/>
      <c r="AR40" s="35" t="n">
        <f aca="false">COUNTIFS(Trechos!$L$2:$L$526,A40)</f>
        <v>1</v>
      </c>
      <c r="AS40" s="36" t="n">
        <f aca="false">SUMIFS(Trechos!$F$2:$F$526,Trechos!$L$2:$L$526,A40)</f>
        <v>1.39076790233711</v>
      </c>
      <c r="AT40" s="35" t="n">
        <f aca="false">COUNTA(AW40:CW40)</f>
        <v>1</v>
      </c>
      <c r="AU40" s="35" t="str">
        <f aca="false">IF(COUNTA(AW40:CW40)=0,"—",_xlfn.TEXTJOIN(", ",TRUE(),AW40:CW40))</f>
        <v>0200868004</v>
      </c>
      <c r="AV40" s="35" t="s">
        <v>50</v>
      </c>
      <c r="AW40" s="35" t="s">
        <v>132</v>
      </c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customFormat="false" ht="15" hidden="false" customHeight="false" outlineLevel="0" collapsed="false">
      <c r="A41" s="35" t="n">
        <v>40</v>
      </c>
      <c r="B41" s="7" t="s">
        <v>22</v>
      </c>
      <c r="C41" s="35" t="s">
        <v>283</v>
      </c>
      <c r="D41" s="35" t="s">
        <v>422</v>
      </c>
      <c r="E41" s="35" t="s">
        <v>132</v>
      </c>
      <c r="F41" s="35" t="s">
        <v>132</v>
      </c>
      <c r="G41" s="35" t="s">
        <v>133</v>
      </c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 t="s">
        <v>40</v>
      </c>
      <c r="AN41" s="35" t="s">
        <v>41</v>
      </c>
      <c r="AO41" s="35" t="s">
        <v>132</v>
      </c>
      <c r="AP41" s="35"/>
      <c r="AQ41" s="35"/>
      <c r="AR41" s="35" t="n">
        <f aca="false">COUNTIFS(Trechos!$L$2:$L$526,A41)</f>
        <v>1</v>
      </c>
      <c r="AS41" s="36" t="n">
        <f aca="false">SUMIFS(Trechos!$F$2:$F$526,Trechos!$L$2:$L$526,A41)</f>
        <v>12.9405754106841</v>
      </c>
      <c r="AT41" s="35" t="n">
        <f aca="false">COUNTA(AW41:CW41)</f>
        <v>0</v>
      </c>
      <c r="AU41" s="35" t="str">
        <f aca="false">IF(COUNTA(AW41:CW41)=0,"—",_xlfn.TEXTJOIN(", ",TRUE(),AW41:CW41))</f>
        <v>—</v>
      </c>
      <c r="AV41" s="35" t="s">
        <v>50</v>
      </c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customFormat="false" ht="15" hidden="false" customHeight="false" outlineLevel="0" collapsed="false">
      <c r="A42" s="35" t="n">
        <v>41</v>
      </c>
      <c r="B42" s="6" t="s">
        <v>21</v>
      </c>
      <c r="C42" s="35" t="s">
        <v>283</v>
      </c>
      <c r="D42" s="35" t="s">
        <v>423</v>
      </c>
      <c r="E42" s="35" t="s">
        <v>41</v>
      </c>
      <c r="F42" s="35" t="s">
        <v>135</v>
      </c>
      <c r="G42" s="35" t="s">
        <v>424</v>
      </c>
      <c r="H42" s="35" t="s">
        <v>138</v>
      </c>
      <c r="I42" s="35" t="s">
        <v>140</v>
      </c>
      <c r="J42" s="35" t="s">
        <v>144</v>
      </c>
      <c r="K42" s="35" t="s">
        <v>146</v>
      </c>
      <c r="L42" s="35" t="s">
        <v>148</v>
      </c>
      <c r="M42" s="35" t="s">
        <v>154</v>
      </c>
      <c r="N42" s="35" t="s">
        <v>156</v>
      </c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 t="s">
        <v>40</v>
      </c>
      <c r="AN42" s="35" t="s">
        <v>41</v>
      </c>
      <c r="AO42" s="35"/>
      <c r="AP42" s="35"/>
      <c r="AQ42" s="35"/>
      <c r="AR42" s="35" t="n">
        <f aca="false">COUNTIFS(Trechos!$L$2:$L$526,A42)</f>
        <v>27</v>
      </c>
      <c r="AS42" s="36" t="n">
        <f aca="false">SUMIFS(Trechos!$F$2:$F$526,Trechos!$L$2:$L$526,A42)</f>
        <v>711.974705462091</v>
      </c>
      <c r="AT42" s="35" t="n">
        <f aca="false">COUNTA(AW42:CW42)</f>
        <v>10</v>
      </c>
      <c r="AU42" s="35" t="str">
        <f aca="false">IF(COUNTA(AW42:CW42)=0,"—",_xlfn.TEXTJOIN(", ",TRUE(),AW42:CW42))</f>
        <v>0200583004, 0300584004, 0300585004, 0300582004, 0204195004, 0300578004, 0229381004, 0200580004, 0202671004, 0204249004</v>
      </c>
      <c r="AV42" s="35" t="s">
        <v>137</v>
      </c>
      <c r="AW42" s="35" t="s">
        <v>138</v>
      </c>
      <c r="AX42" s="35" t="s">
        <v>140</v>
      </c>
      <c r="AY42" s="35" t="s">
        <v>142</v>
      </c>
      <c r="AZ42" s="35" t="s">
        <v>144</v>
      </c>
      <c r="BA42" s="35" t="s">
        <v>146</v>
      </c>
      <c r="BB42" s="35" t="s">
        <v>148</v>
      </c>
      <c r="BC42" s="35" t="s">
        <v>150</v>
      </c>
      <c r="BD42" s="35" t="s">
        <v>152</v>
      </c>
      <c r="BE42" s="35" t="s">
        <v>154</v>
      </c>
      <c r="BF42" s="35" t="s">
        <v>156</v>
      </c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customFormat="false" ht="15" hidden="false" customHeight="false" outlineLevel="0" collapsed="false">
      <c r="A43" s="35" t="n">
        <v>42</v>
      </c>
      <c r="B43" s="7" t="s">
        <v>22</v>
      </c>
      <c r="C43" s="35" t="s">
        <v>283</v>
      </c>
      <c r="D43" s="35" t="s">
        <v>423</v>
      </c>
      <c r="E43" s="35" t="s">
        <v>138</v>
      </c>
      <c r="F43" s="35" t="s">
        <v>138</v>
      </c>
      <c r="G43" s="35" t="s">
        <v>425</v>
      </c>
      <c r="H43" s="35" t="s">
        <v>426</v>
      </c>
      <c r="I43" s="35" t="s">
        <v>427</v>
      </c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 t="s">
        <v>40</v>
      </c>
      <c r="AN43" s="35" t="s">
        <v>41</v>
      </c>
      <c r="AO43" s="35" t="s">
        <v>138</v>
      </c>
      <c r="AP43" s="35"/>
      <c r="AQ43" s="35"/>
      <c r="AR43" s="35" t="n">
        <f aca="false">COUNTIFS(Trechos!$L$2:$L$526,A43)</f>
        <v>4</v>
      </c>
      <c r="AS43" s="36" t="n">
        <f aca="false">SUMIFS(Trechos!$F$2:$F$526,Trechos!$L$2:$L$526,A43)</f>
        <v>43.8731354215516</v>
      </c>
      <c r="AT43" s="35" t="n">
        <f aca="false">COUNTA(AW43:CW43)</f>
        <v>0</v>
      </c>
      <c r="AU43" s="35" t="str">
        <f aca="false">IF(COUNTA(AW43:CW43)=0,"—",_xlfn.TEXTJOIN(", ",TRUE(),AW43:CW43))</f>
        <v>—</v>
      </c>
      <c r="AV43" s="35" t="s">
        <v>50</v>
      </c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customFormat="false" ht="15" hidden="false" customHeight="false" outlineLevel="0" collapsed="false">
      <c r="A44" s="35" t="n">
        <v>43</v>
      </c>
      <c r="B44" s="7" t="s">
        <v>22</v>
      </c>
      <c r="C44" s="35" t="s">
        <v>283</v>
      </c>
      <c r="D44" s="35" t="s">
        <v>423</v>
      </c>
      <c r="E44" s="35" t="s">
        <v>140</v>
      </c>
      <c r="F44" s="35" t="s">
        <v>140</v>
      </c>
      <c r="G44" s="35" t="s">
        <v>428</v>
      </c>
      <c r="H44" s="35" t="s">
        <v>429</v>
      </c>
      <c r="I44" s="35" t="s">
        <v>430</v>
      </c>
      <c r="J44" s="35" t="s">
        <v>431</v>
      </c>
      <c r="K44" s="35" t="s">
        <v>432</v>
      </c>
      <c r="L44" s="35" t="s">
        <v>433</v>
      </c>
      <c r="M44" s="35" t="s">
        <v>434</v>
      </c>
      <c r="N44" s="35" t="s">
        <v>142</v>
      </c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 t="s">
        <v>40</v>
      </c>
      <c r="AN44" s="35" t="s">
        <v>41</v>
      </c>
      <c r="AO44" s="35" t="s">
        <v>140</v>
      </c>
      <c r="AP44" s="35"/>
      <c r="AQ44" s="35"/>
      <c r="AR44" s="35" t="n">
        <f aca="false">COUNTIFS(Trechos!$L$2:$L$526,A44)</f>
        <v>22</v>
      </c>
      <c r="AS44" s="36" t="n">
        <f aca="false">SUMIFS(Trechos!$F$2:$F$526,Trechos!$L$2:$L$526,A44)</f>
        <v>610.208030074514</v>
      </c>
      <c r="AT44" s="35" t="n">
        <f aca="false">COUNTA(AW44:CW44)</f>
        <v>1</v>
      </c>
      <c r="AU44" s="35" t="str">
        <f aca="false">IF(COUNTA(AW44:CW44)=0,"—",_xlfn.TEXTJOIN(", ",TRUE(),AW44:CW44))</f>
        <v>0300585004</v>
      </c>
      <c r="AV44" s="35" t="s">
        <v>50</v>
      </c>
      <c r="AW44" s="35" t="s">
        <v>142</v>
      </c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customFormat="false" ht="15" hidden="false" customHeight="false" outlineLevel="0" collapsed="false">
      <c r="A45" s="35" t="n">
        <v>44</v>
      </c>
      <c r="B45" s="8" t="s">
        <v>23</v>
      </c>
      <c r="C45" s="35" t="s">
        <v>283</v>
      </c>
      <c r="D45" s="35" t="s">
        <v>423</v>
      </c>
      <c r="E45" s="35" t="s">
        <v>142</v>
      </c>
      <c r="F45" s="35" t="s">
        <v>142</v>
      </c>
      <c r="G45" s="35" t="s">
        <v>143</v>
      </c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 t="s">
        <v>40</v>
      </c>
      <c r="AN45" s="35" t="s">
        <v>41</v>
      </c>
      <c r="AO45" s="35" t="s">
        <v>140</v>
      </c>
      <c r="AP45" s="35" t="s">
        <v>142</v>
      </c>
      <c r="AQ45" s="35"/>
      <c r="AR45" s="35" t="n">
        <f aca="false">COUNTIFS(Trechos!$L$2:$L$526,A45)</f>
        <v>1</v>
      </c>
      <c r="AS45" s="36" t="n">
        <f aca="false">SUMIFS(Trechos!$F$2:$F$526,Trechos!$L$2:$L$526,A45)</f>
        <v>11.2419540888715</v>
      </c>
      <c r="AT45" s="35" t="n">
        <f aca="false">COUNTA(AW45:CW45)</f>
        <v>0</v>
      </c>
      <c r="AU45" s="35" t="str">
        <f aca="false">IF(COUNTA(AW45:CW45)=0,"—",_xlfn.TEXTJOIN(", ",TRUE(),AW45:CW45))</f>
        <v>—</v>
      </c>
      <c r="AV45" s="35" t="s">
        <v>50</v>
      </c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customFormat="false" ht="15" hidden="false" customHeight="false" outlineLevel="0" collapsed="false">
      <c r="A46" s="35" t="n">
        <v>45</v>
      </c>
      <c r="B46" s="7" t="s">
        <v>22</v>
      </c>
      <c r="C46" s="35" t="s">
        <v>283</v>
      </c>
      <c r="D46" s="35" t="s">
        <v>423</v>
      </c>
      <c r="E46" s="35" t="s">
        <v>144</v>
      </c>
      <c r="F46" s="35" t="s">
        <v>144</v>
      </c>
      <c r="G46" s="35" t="s">
        <v>145</v>
      </c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 t="s">
        <v>40</v>
      </c>
      <c r="AN46" s="35" t="s">
        <v>41</v>
      </c>
      <c r="AO46" s="35" t="s">
        <v>144</v>
      </c>
      <c r="AP46" s="35"/>
      <c r="AQ46" s="35"/>
      <c r="AR46" s="35" t="n">
        <f aca="false">COUNTIFS(Trechos!$L$2:$L$526,A46)</f>
        <v>3</v>
      </c>
      <c r="AS46" s="36" t="n">
        <f aca="false">SUMIFS(Trechos!$F$2:$F$526,Trechos!$L$2:$L$526,A46)</f>
        <v>234.703286837545</v>
      </c>
      <c r="AT46" s="35" t="n">
        <f aca="false">COUNTA(AW46:CW46)</f>
        <v>0</v>
      </c>
      <c r="AU46" s="35" t="str">
        <f aca="false">IF(COUNTA(AW46:CW46)=0,"—",_xlfn.TEXTJOIN(", ",TRUE(),AW46:CW46))</f>
        <v>—</v>
      </c>
      <c r="AV46" s="35" t="s">
        <v>50</v>
      </c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customFormat="false" ht="15" hidden="false" customHeight="false" outlineLevel="0" collapsed="false">
      <c r="A47" s="35" t="n">
        <v>46</v>
      </c>
      <c r="B47" s="7" t="s">
        <v>22</v>
      </c>
      <c r="C47" s="35" t="s">
        <v>283</v>
      </c>
      <c r="D47" s="35" t="s">
        <v>423</v>
      </c>
      <c r="E47" s="35" t="s">
        <v>146</v>
      </c>
      <c r="F47" s="35" t="s">
        <v>146</v>
      </c>
      <c r="G47" s="35" t="s">
        <v>147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 t="s">
        <v>40</v>
      </c>
      <c r="AN47" s="35" t="s">
        <v>41</v>
      </c>
      <c r="AO47" s="35" t="s">
        <v>146</v>
      </c>
      <c r="AP47" s="35"/>
      <c r="AQ47" s="35"/>
      <c r="AR47" s="35" t="n">
        <f aca="false">COUNTIFS(Trechos!$L$2:$L$526,A47)</f>
        <v>2</v>
      </c>
      <c r="AS47" s="36" t="n">
        <f aca="false">SUMIFS(Trechos!$F$2:$F$526,Trechos!$L$2:$L$526,A47)</f>
        <v>11.1909128468482</v>
      </c>
      <c r="AT47" s="35" t="n">
        <f aca="false">COUNTA(AW47:CW47)</f>
        <v>0</v>
      </c>
      <c r="AU47" s="35" t="str">
        <f aca="false">IF(COUNTA(AW47:CW47)=0,"—",_xlfn.TEXTJOIN(", ",TRUE(),AW47:CW47))</f>
        <v>—</v>
      </c>
      <c r="AV47" s="35" t="s">
        <v>50</v>
      </c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customFormat="false" ht="15" hidden="false" customHeight="false" outlineLevel="0" collapsed="false">
      <c r="A48" s="35" t="n">
        <v>47</v>
      </c>
      <c r="B48" s="7" t="s">
        <v>22</v>
      </c>
      <c r="C48" s="35" t="s">
        <v>283</v>
      </c>
      <c r="D48" s="35" t="s">
        <v>423</v>
      </c>
      <c r="E48" s="35" t="s">
        <v>148</v>
      </c>
      <c r="F48" s="35" t="s">
        <v>148</v>
      </c>
      <c r="G48" s="35" t="s">
        <v>435</v>
      </c>
      <c r="H48" s="35" t="s">
        <v>150</v>
      </c>
      <c r="I48" s="35" t="s">
        <v>436</v>
      </c>
      <c r="J48" s="35" t="s">
        <v>152</v>
      </c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 t="s">
        <v>40</v>
      </c>
      <c r="AN48" s="35" t="s">
        <v>41</v>
      </c>
      <c r="AO48" s="35" t="s">
        <v>148</v>
      </c>
      <c r="AP48" s="35"/>
      <c r="AQ48" s="35"/>
      <c r="AR48" s="35" t="n">
        <f aca="false">COUNTIFS(Trechos!$L$2:$L$526,A48)</f>
        <v>12</v>
      </c>
      <c r="AS48" s="36" t="n">
        <f aca="false">SUMIFS(Trechos!$F$2:$F$526,Trechos!$L$2:$L$526,A48)</f>
        <v>364.461040747831</v>
      </c>
      <c r="AT48" s="35" t="n">
        <f aca="false">COUNTA(AW48:CW48)</f>
        <v>2</v>
      </c>
      <c r="AU48" s="35" t="str">
        <f aca="false">IF(COUNTA(AW48:CW48)=0,"—",_xlfn.TEXTJOIN(", ",TRUE(),AW48:CW48))</f>
        <v>0229381004, 0200580004</v>
      </c>
      <c r="AV48" s="35" t="s">
        <v>50</v>
      </c>
      <c r="AW48" s="35" t="s">
        <v>150</v>
      </c>
      <c r="AX48" s="35" t="s">
        <v>152</v>
      </c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customFormat="false" ht="15" hidden="false" customHeight="false" outlineLevel="0" collapsed="false">
      <c r="A49" s="35" t="n">
        <v>48</v>
      </c>
      <c r="B49" s="8" t="s">
        <v>23</v>
      </c>
      <c r="C49" s="35" t="s">
        <v>283</v>
      </c>
      <c r="D49" s="35" t="s">
        <v>423</v>
      </c>
      <c r="E49" s="35" t="s">
        <v>150</v>
      </c>
      <c r="F49" s="35" t="s">
        <v>150</v>
      </c>
      <c r="G49" s="35" t="s">
        <v>151</v>
      </c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 t="s">
        <v>40</v>
      </c>
      <c r="AN49" s="35" t="s">
        <v>41</v>
      </c>
      <c r="AO49" s="35" t="s">
        <v>148</v>
      </c>
      <c r="AP49" s="35" t="s">
        <v>150</v>
      </c>
      <c r="AQ49" s="35"/>
      <c r="AR49" s="35" t="n">
        <f aca="false">COUNTIFS(Trechos!$L$2:$L$526,A49)</f>
        <v>2</v>
      </c>
      <c r="AS49" s="36" t="n">
        <f aca="false">SUMIFS(Trechos!$F$2:$F$526,Trechos!$L$2:$L$526,A49)</f>
        <v>25.1227917714589</v>
      </c>
      <c r="AT49" s="35" t="n">
        <f aca="false">COUNTA(AW49:CW49)</f>
        <v>0</v>
      </c>
      <c r="AU49" s="35" t="str">
        <f aca="false">IF(COUNTA(AW49:CW49)=0,"—",_xlfn.TEXTJOIN(", ",TRUE(),AW49:CW49))</f>
        <v>—</v>
      </c>
      <c r="AV49" s="35" t="s">
        <v>50</v>
      </c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customFormat="false" ht="15" hidden="false" customHeight="false" outlineLevel="0" collapsed="false">
      <c r="A50" s="35" t="n">
        <v>49</v>
      </c>
      <c r="B50" s="8" t="s">
        <v>23</v>
      </c>
      <c r="C50" s="35" t="s">
        <v>283</v>
      </c>
      <c r="D50" s="35" t="s">
        <v>423</v>
      </c>
      <c r="E50" s="35" t="s">
        <v>152</v>
      </c>
      <c r="F50" s="35" t="s">
        <v>152</v>
      </c>
      <c r="G50" s="35" t="s">
        <v>153</v>
      </c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 t="s">
        <v>40</v>
      </c>
      <c r="AN50" s="35" t="s">
        <v>41</v>
      </c>
      <c r="AO50" s="35" t="s">
        <v>148</v>
      </c>
      <c r="AP50" s="35" t="s">
        <v>152</v>
      </c>
      <c r="AQ50" s="35"/>
      <c r="AR50" s="35" t="n">
        <f aca="false">COUNTIFS(Trechos!$L$2:$L$526,A50)</f>
        <v>1</v>
      </c>
      <c r="AS50" s="36" t="n">
        <f aca="false">SUMIFS(Trechos!$F$2:$F$526,Trechos!$L$2:$L$526,A50)</f>
        <v>14.2799542782028</v>
      </c>
      <c r="AT50" s="35" t="n">
        <f aca="false">COUNTA(AW50:CW50)</f>
        <v>0</v>
      </c>
      <c r="AU50" s="35" t="str">
        <f aca="false">IF(COUNTA(AW50:CW50)=0,"—",_xlfn.TEXTJOIN(", ",TRUE(),AW50:CW50))</f>
        <v>—</v>
      </c>
      <c r="AV50" s="35" t="s">
        <v>50</v>
      </c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customFormat="false" ht="15" hidden="false" customHeight="false" outlineLevel="0" collapsed="false">
      <c r="A51" s="35" t="n">
        <v>50</v>
      </c>
      <c r="B51" s="7" t="s">
        <v>22</v>
      </c>
      <c r="C51" s="35" t="s">
        <v>283</v>
      </c>
      <c r="D51" s="35" t="s">
        <v>423</v>
      </c>
      <c r="E51" s="35" t="s">
        <v>154</v>
      </c>
      <c r="F51" s="35" t="s">
        <v>154</v>
      </c>
      <c r="G51" s="35" t="s">
        <v>437</v>
      </c>
      <c r="H51" s="35" t="s">
        <v>438</v>
      </c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 t="s">
        <v>40</v>
      </c>
      <c r="AN51" s="35" t="s">
        <v>41</v>
      </c>
      <c r="AO51" s="35" t="s">
        <v>154</v>
      </c>
      <c r="AP51" s="35"/>
      <c r="AQ51" s="35"/>
      <c r="AR51" s="35" t="n">
        <f aca="false">COUNTIFS(Trechos!$L$2:$L$526,A51)</f>
        <v>3</v>
      </c>
      <c r="AS51" s="36" t="n">
        <f aca="false">SUMIFS(Trechos!$F$2:$F$526,Trechos!$L$2:$L$526,A51)</f>
        <v>45.9204251135986</v>
      </c>
      <c r="AT51" s="35" t="n">
        <f aca="false">COUNTA(AW51:CW51)</f>
        <v>0</v>
      </c>
      <c r="AU51" s="35" t="str">
        <f aca="false">IF(COUNTA(AW51:CW51)=0,"—",_xlfn.TEXTJOIN(", ",TRUE(),AW51:CW51))</f>
        <v>—</v>
      </c>
      <c r="AV51" s="35" t="s">
        <v>50</v>
      </c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customFormat="false" ht="15" hidden="false" customHeight="false" outlineLevel="0" collapsed="false">
      <c r="A52" s="35" t="n">
        <v>51</v>
      </c>
      <c r="B52" s="7" t="s">
        <v>22</v>
      </c>
      <c r="C52" s="35" t="s">
        <v>283</v>
      </c>
      <c r="D52" s="35" t="s">
        <v>423</v>
      </c>
      <c r="E52" s="35" t="s">
        <v>156</v>
      </c>
      <c r="F52" s="35" t="s">
        <v>156</v>
      </c>
      <c r="G52" s="35" t="s">
        <v>157</v>
      </c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 t="s">
        <v>40</v>
      </c>
      <c r="AN52" s="35" t="s">
        <v>41</v>
      </c>
      <c r="AO52" s="35" t="s">
        <v>156</v>
      </c>
      <c r="AP52" s="35"/>
      <c r="AQ52" s="35"/>
      <c r="AR52" s="35" t="n">
        <f aca="false">COUNTIFS(Trechos!$L$2:$L$526,A52)</f>
        <v>1</v>
      </c>
      <c r="AS52" s="36" t="n">
        <f aca="false">SUMIFS(Trechos!$F$2:$F$526,Trechos!$L$2:$L$526,A52)</f>
        <v>28.3500989681362</v>
      </c>
      <c r="AT52" s="35" t="n">
        <f aca="false">COUNTA(AW52:CW52)</f>
        <v>0</v>
      </c>
      <c r="AU52" s="35" t="str">
        <f aca="false">IF(COUNTA(AW52:CW52)=0,"—",_xlfn.TEXTJOIN(", ",TRUE(),AW52:CW52))</f>
        <v>—</v>
      </c>
      <c r="AV52" s="35" t="s">
        <v>50</v>
      </c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customFormat="false" ht="15" hidden="false" customHeight="false" outlineLevel="0" collapsed="false">
      <c r="A53" s="35" t="n">
        <v>52</v>
      </c>
      <c r="B53" s="6" t="s">
        <v>21</v>
      </c>
      <c r="C53" s="35" t="s">
        <v>283</v>
      </c>
      <c r="D53" s="35" t="s">
        <v>439</v>
      </c>
      <c r="E53" s="35" t="s">
        <v>41</v>
      </c>
      <c r="F53" s="35" t="s">
        <v>159</v>
      </c>
      <c r="G53" s="35" t="s">
        <v>440</v>
      </c>
      <c r="H53" s="35" t="s">
        <v>162</v>
      </c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 t="s">
        <v>40</v>
      </c>
      <c r="AN53" s="35" t="s">
        <v>41</v>
      </c>
      <c r="AO53" s="35"/>
      <c r="AP53" s="35"/>
      <c r="AQ53" s="35"/>
      <c r="AR53" s="35" t="n">
        <f aca="false">COUNTIFS(Trechos!$L$2:$L$526,A53)</f>
        <v>6</v>
      </c>
      <c r="AS53" s="36" t="n">
        <f aca="false">SUMIFS(Trechos!$F$2:$F$526,Trechos!$L$2:$L$526,A53)</f>
        <v>139.88952426679</v>
      </c>
      <c r="AT53" s="35" t="n">
        <f aca="false">COUNTA(AW53:CW53)</f>
        <v>4</v>
      </c>
      <c r="AU53" s="35" t="str">
        <f aca="false">IF(COUNTA(AW53:CW53)=0,"—",_xlfn.TEXTJOIN(", ",TRUE(),AW53:CW53))</f>
        <v>0300588004, 0300591004, 0200593004, 0224749004</v>
      </c>
      <c r="AV53" s="35" t="s">
        <v>161</v>
      </c>
      <c r="AW53" s="35" t="s">
        <v>162</v>
      </c>
      <c r="AX53" s="35" t="s">
        <v>164</v>
      </c>
      <c r="AY53" s="35" t="s">
        <v>166</v>
      </c>
      <c r="AZ53" s="35" t="s">
        <v>168</v>
      </c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customFormat="false" ht="15" hidden="false" customHeight="false" outlineLevel="0" collapsed="false">
      <c r="A54" s="35" t="n">
        <v>53</v>
      </c>
      <c r="B54" s="7" t="s">
        <v>22</v>
      </c>
      <c r="C54" s="35" t="s">
        <v>283</v>
      </c>
      <c r="D54" s="35" t="s">
        <v>439</v>
      </c>
      <c r="E54" s="35" t="s">
        <v>162</v>
      </c>
      <c r="F54" s="35" t="s">
        <v>162</v>
      </c>
      <c r="G54" s="35" t="s">
        <v>164</v>
      </c>
      <c r="H54" s="35" t="s">
        <v>441</v>
      </c>
      <c r="I54" s="35" t="s">
        <v>442</v>
      </c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 t="s">
        <v>40</v>
      </c>
      <c r="AN54" s="35" t="s">
        <v>41</v>
      </c>
      <c r="AO54" s="35" t="s">
        <v>162</v>
      </c>
      <c r="AP54" s="35"/>
      <c r="AQ54" s="35"/>
      <c r="AR54" s="35" t="n">
        <f aca="false">COUNTIFS(Trechos!$L$2:$L$526,A54)</f>
        <v>6</v>
      </c>
      <c r="AS54" s="36" t="n">
        <f aca="false">SUMIFS(Trechos!$F$2:$F$526,Trechos!$L$2:$L$526,A54)</f>
        <v>246.326895394835</v>
      </c>
      <c r="AT54" s="35" t="n">
        <f aca="false">COUNTA(AW54:CW54)</f>
        <v>3</v>
      </c>
      <c r="AU54" s="35" t="str">
        <f aca="false">IF(COUNTA(AW54:CW54)=0,"—",_xlfn.TEXTJOIN(", ",TRUE(),AW54:CW54))</f>
        <v>0300591004, 0200593004, 0224749004</v>
      </c>
      <c r="AV54" s="35" t="s">
        <v>50</v>
      </c>
      <c r="AW54" s="35" t="s">
        <v>164</v>
      </c>
      <c r="AX54" s="35" t="s">
        <v>166</v>
      </c>
      <c r="AY54" s="35" t="s">
        <v>168</v>
      </c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customFormat="false" ht="15" hidden="false" customHeight="false" outlineLevel="0" collapsed="false">
      <c r="A55" s="35" t="n">
        <v>54</v>
      </c>
      <c r="B55" s="8" t="s">
        <v>23</v>
      </c>
      <c r="C55" s="35" t="s">
        <v>283</v>
      </c>
      <c r="D55" s="35" t="s">
        <v>439</v>
      </c>
      <c r="E55" s="35" t="s">
        <v>164</v>
      </c>
      <c r="F55" s="35" t="s">
        <v>164</v>
      </c>
      <c r="G55" s="35" t="s">
        <v>443</v>
      </c>
      <c r="H55" s="35" t="s">
        <v>444</v>
      </c>
      <c r="I55" s="35" t="s">
        <v>445</v>
      </c>
      <c r="J55" s="35" t="s">
        <v>166</v>
      </c>
      <c r="K55" s="35" t="s">
        <v>446</v>
      </c>
      <c r="L55" s="35" t="s">
        <v>447</v>
      </c>
      <c r="M55" s="35" t="s">
        <v>448</v>
      </c>
      <c r="N55" s="35" t="s">
        <v>168</v>
      </c>
      <c r="O55" s="35" t="s">
        <v>449</v>
      </c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 t="s">
        <v>40</v>
      </c>
      <c r="AN55" s="35" t="s">
        <v>41</v>
      </c>
      <c r="AO55" s="35" t="s">
        <v>162</v>
      </c>
      <c r="AP55" s="35" t="s">
        <v>164</v>
      </c>
      <c r="AQ55" s="35"/>
      <c r="AR55" s="35" t="n">
        <f aca="false">COUNTIFS(Trechos!$L$2:$L$526,A55)</f>
        <v>16</v>
      </c>
      <c r="AS55" s="36" t="n">
        <f aca="false">SUMIFS(Trechos!$F$2:$F$526,Trechos!$L$2:$L$526,A55)</f>
        <v>884.115852375793</v>
      </c>
      <c r="AT55" s="35" t="n">
        <f aca="false">COUNTA(AW55:CW55)</f>
        <v>2</v>
      </c>
      <c r="AU55" s="35" t="str">
        <f aca="false">IF(COUNTA(AW55:CW55)=0,"—",_xlfn.TEXTJOIN(", ",TRUE(),AW55:CW55))</f>
        <v>0200593004, 0224749004</v>
      </c>
      <c r="AV55" s="35" t="s">
        <v>50</v>
      </c>
      <c r="AW55" s="35" t="s">
        <v>166</v>
      </c>
      <c r="AX55" s="35" t="s">
        <v>168</v>
      </c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customFormat="false" ht="15" hidden="false" customHeight="false" outlineLevel="0" collapsed="false">
      <c r="A56" s="35" t="n">
        <v>55</v>
      </c>
      <c r="B56" s="9" t="s">
        <v>24</v>
      </c>
      <c r="C56" s="35" t="s">
        <v>283</v>
      </c>
      <c r="D56" s="35" t="s">
        <v>439</v>
      </c>
      <c r="E56" s="35" t="s">
        <v>166</v>
      </c>
      <c r="F56" s="35" t="s">
        <v>166</v>
      </c>
      <c r="G56" s="35" t="s">
        <v>167</v>
      </c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 t="s">
        <v>40</v>
      </c>
      <c r="AN56" s="35" t="s">
        <v>41</v>
      </c>
      <c r="AO56" s="35" t="s">
        <v>162</v>
      </c>
      <c r="AP56" s="35" t="s">
        <v>164</v>
      </c>
      <c r="AQ56" s="35" t="s">
        <v>166</v>
      </c>
      <c r="AR56" s="35" t="n">
        <f aca="false">COUNTIFS(Trechos!$L$2:$L$526,A56)</f>
        <v>1</v>
      </c>
      <c r="AS56" s="36" t="n">
        <f aca="false">SUMIFS(Trechos!$F$2:$F$526,Trechos!$L$2:$L$526,A56)</f>
        <v>8.080333236384</v>
      </c>
      <c r="AT56" s="35" t="n">
        <f aca="false">COUNTA(AW56:CW56)</f>
        <v>0</v>
      </c>
      <c r="AU56" s="35" t="str">
        <f aca="false">IF(COUNTA(AW56:CW56)=0,"—",_xlfn.TEXTJOIN(", ",TRUE(),AW56:CW56))</f>
        <v>—</v>
      </c>
      <c r="AV56" s="35" t="s">
        <v>50</v>
      </c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customFormat="false" ht="15" hidden="false" customHeight="false" outlineLevel="0" collapsed="false">
      <c r="A57" s="35" t="n">
        <v>56</v>
      </c>
      <c r="B57" s="9" t="s">
        <v>24</v>
      </c>
      <c r="C57" s="35" t="s">
        <v>283</v>
      </c>
      <c r="D57" s="35" t="s">
        <v>439</v>
      </c>
      <c r="E57" s="35" t="s">
        <v>168</v>
      </c>
      <c r="F57" s="35" t="s">
        <v>168</v>
      </c>
      <c r="G57" s="35" t="s">
        <v>169</v>
      </c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 t="s">
        <v>40</v>
      </c>
      <c r="AN57" s="35" t="s">
        <v>41</v>
      </c>
      <c r="AO57" s="35" t="s">
        <v>162</v>
      </c>
      <c r="AP57" s="35" t="s">
        <v>164</v>
      </c>
      <c r="AQ57" s="35" t="s">
        <v>168</v>
      </c>
      <c r="AR57" s="35" t="n">
        <f aca="false">COUNTIFS(Trechos!$L$2:$L$526,A57)</f>
        <v>2</v>
      </c>
      <c r="AS57" s="36" t="n">
        <f aca="false">SUMIFS(Trechos!$F$2:$F$526,Trechos!$L$2:$L$526,A57)</f>
        <v>28.9084533796218</v>
      </c>
      <c r="AT57" s="35" t="n">
        <f aca="false">COUNTA(AW57:CW57)</f>
        <v>0</v>
      </c>
      <c r="AU57" s="35" t="str">
        <f aca="false">IF(COUNTA(AW57:CW57)=0,"—",_xlfn.TEXTJOIN(", ",TRUE(),AW57:CW57))</f>
        <v>—</v>
      </c>
      <c r="AV57" s="35" t="s">
        <v>50</v>
      </c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customFormat="false" ht="15" hidden="false" customHeight="false" outlineLevel="0" collapsed="false">
      <c r="A58" s="35" t="n">
        <v>57</v>
      </c>
      <c r="B58" s="6" t="s">
        <v>21</v>
      </c>
      <c r="C58" s="35" t="s">
        <v>283</v>
      </c>
      <c r="D58" s="35" t="s">
        <v>450</v>
      </c>
      <c r="E58" s="35" t="s">
        <v>41</v>
      </c>
      <c r="F58" s="35" t="s">
        <v>171</v>
      </c>
      <c r="G58" s="35" t="s">
        <v>172</v>
      </c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 t="s">
        <v>40</v>
      </c>
      <c r="AN58" s="35" t="s">
        <v>41</v>
      </c>
      <c r="AO58" s="35"/>
      <c r="AP58" s="35"/>
      <c r="AQ58" s="35"/>
      <c r="AR58" s="35" t="n">
        <f aca="false">COUNTIFS(Trechos!$L$2:$L$526,A58)</f>
        <v>1</v>
      </c>
      <c r="AS58" s="36" t="n">
        <f aca="false">SUMIFS(Trechos!$F$2:$F$526,Trechos!$L$2:$L$526,A58)</f>
        <v>1.04670240530509</v>
      </c>
      <c r="AT58" s="35" t="n">
        <f aca="false">COUNTA(AW58:CW58)</f>
        <v>1</v>
      </c>
      <c r="AU58" s="35" t="str">
        <f aca="false">IF(COUNTA(AW58:CW58)=0,"—",_xlfn.TEXTJOIN(", ",TRUE(),AW58:CW58))</f>
        <v>0300596004</v>
      </c>
      <c r="AV58" s="35" t="s">
        <v>50</v>
      </c>
      <c r="AW58" s="35" t="s">
        <v>172</v>
      </c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customFormat="false" ht="15" hidden="false" customHeight="false" outlineLevel="0" collapsed="false">
      <c r="A59" s="35" t="n">
        <v>58</v>
      </c>
      <c r="B59" s="7" t="s">
        <v>22</v>
      </c>
      <c r="C59" s="35" t="s">
        <v>283</v>
      </c>
      <c r="D59" s="35" t="s">
        <v>450</v>
      </c>
      <c r="E59" s="35" t="s">
        <v>172</v>
      </c>
      <c r="F59" s="35" t="s">
        <v>172</v>
      </c>
      <c r="G59" s="35" t="s">
        <v>173</v>
      </c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 t="s">
        <v>40</v>
      </c>
      <c r="AN59" s="35" t="s">
        <v>41</v>
      </c>
      <c r="AO59" s="35" t="s">
        <v>172</v>
      </c>
      <c r="AP59" s="35"/>
      <c r="AQ59" s="35"/>
      <c r="AR59" s="35" t="n">
        <f aca="false">COUNTIFS(Trechos!$L$2:$L$526,A59)</f>
        <v>1</v>
      </c>
      <c r="AS59" s="36" t="n">
        <f aca="false">SUMIFS(Trechos!$F$2:$F$526,Trechos!$L$2:$L$526,A59)</f>
        <v>7.84550519134476</v>
      </c>
      <c r="AT59" s="35" t="n">
        <f aca="false">COUNTA(AW59:CW59)</f>
        <v>0</v>
      </c>
      <c r="AU59" s="35" t="str">
        <f aca="false">IF(COUNTA(AW59:CW59)=0,"—",_xlfn.TEXTJOIN(", ",TRUE(),AW59:CW59))</f>
        <v>—</v>
      </c>
      <c r="AV59" s="35" t="s">
        <v>50</v>
      </c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customFormat="false" ht="15" hidden="false" customHeight="false" outlineLevel="0" collapsed="false">
      <c r="A60" s="35" t="n">
        <v>59</v>
      </c>
      <c r="B60" s="6" t="s">
        <v>21</v>
      </c>
      <c r="C60" s="35" t="s">
        <v>283</v>
      </c>
      <c r="D60" s="35" t="s">
        <v>451</v>
      </c>
      <c r="E60" s="35" t="s">
        <v>41</v>
      </c>
      <c r="F60" s="35" t="s">
        <v>175</v>
      </c>
      <c r="G60" s="35" t="s">
        <v>176</v>
      </c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 t="s">
        <v>40</v>
      </c>
      <c r="AN60" s="35" t="s">
        <v>41</v>
      </c>
      <c r="AO60" s="35"/>
      <c r="AP60" s="35"/>
      <c r="AQ60" s="35"/>
      <c r="AR60" s="35" t="n">
        <f aca="false">COUNTIFS(Trechos!$L$2:$L$526,A60)</f>
        <v>1</v>
      </c>
      <c r="AS60" s="36" t="n">
        <f aca="false">SUMIFS(Trechos!$F$2:$F$526,Trechos!$L$2:$L$526,A60)</f>
        <v>1.51139038339779</v>
      </c>
      <c r="AT60" s="35" t="n">
        <f aca="false">COUNTA(AW60:CW60)</f>
        <v>1</v>
      </c>
      <c r="AU60" s="35" t="str">
        <f aca="false">IF(COUNTA(AW60:CW60)=0,"—",_xlfn.TEXTJOIN(", ",TRUE(),AW60:CW60))</f>
        <v>0203661004</v>
      </c>
      <c r="AV60" s="35" t="s">
        <v>50</v>
      </c>
      <c r="AW60" s="35" t="s">
        <v>176</v>
      </c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customFormat="false" ht="15" hidden="false" customHeight="false" outlineLevel="0" collapsed="false">
      <c r="A61" s="35" t="n">
        <v>60</v>
      </c>
      <c r="B61" s="7" t="s">
        <v>22</v>
      </c>
      <c r="C61" s="35" t="s">
        <v>283</v>
      </c>
      <c r="D61" s="35" t="s">
        <v>451</v>
      </c>
      <c r="E61" s="35" t="s">
        <v>176</v>
      </c>
      <c r="F61" s="35" t="s">
        <v>176</v>
      </c>
      <c r="G61" s="35" t="s">
        <v>177</v>
      </c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 t="s">
        <v>40</v>
      </c>
      <c r="AN61" s="35" t="s">
        <v>41</v>
      </c>
      <c r="AO61" s="35" t="s">
        <v>176</v>
      </c>
      <c r="AP61" s="35"/>
      <c r="AQ61" s="35"/>
      <c r="AR61" s="35" t="n">
        <f aca="false">COUNTIFS(Trechos!$L$2:$L$526,A61)</f>
        <v>1</v>
      </c>
      <c r="AS61" s="36" t="n">
        <f aca="false">SUMIFS(Trechos!$F$2:$F$526,Trechos!$L$2:$L$526,A61)</f>
        <v>13.2195307549832</v>
      </c>
      <c r="AT61" s="35" t="n">
        <f aca="false">COUNTA(AW61:CW61)</f>
        <v>0</v>
      </c>
      <c r="AU61" s="35" t="str">
        <f aca="false">IF(COUNTA(AW61:CW61)=0,"—",_xlfn.TEXTJOIN(", ",TRUE(),AW61:CW61))</f>
        <v>—</v>
      </c>
      <c r="AV61" s="35" t="s">
        <v>50</v>
      </c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customFormat="false" ht="15" hidden="false" customHeight="false" outlineLevel="0" collapsed="false">
      <c r="A62" s="35" t="n">
        <v>61</v>
      </c>
      <c r="B62" s="6" t="s">
        <v>21</v>
      </c>
      <c r="C62" s="35" t="s">
        <v>283</v>
      </c>
      <c r="D62" s="35" t="s">
        <v>452</v>
      </c>
      <c r="E62" s="35" t="s">
        <v>41</v>
      </c>
      <c r="F62" s="35" t="s">
        <v>179</v>
      </c>
      <c r="G62" s="35" t="s">
        <v>180</v>
      </c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 t="s">
        <v>40</v>
      </c>
      <c r="AN62" s="35" t="s">
        <v>41</v>
      </c>
      <c r="AO62" s="35"/>
      <c r="AP62" s="35"/>
      <c r="AQ62" s="35"/>
      <c r="AR62" s="35" t="n">
        <f aca="false">COUNTIFS(Trechos!$L$2:$L$526,A62)</f>
        <v>1</v>
      </c>
      <c r="AS62" s="36" t="n">
        <f aca="false">SUMIFS(Trechos!$F$2:$F$526,Trechos!$L$2:$L$526,A62)</f>
        <v>5.22732582900442</v>
      </c>
      <c r="AT62" s="35" t="n">
        <f aca="false">COUNTA(AW62:CW62)</f>
        <v>0</v>
      </c>
      <c r="AU62" s="35" t="str">
        <f aca="false">IF(COUNTA(AW62:CW62)=0,"—",_xlfn.TEXTJOIN(", ",TRUE(),AW62:CW62))</f>
        <v>—</v>
      </c>
      <c r="AV62" s="35" t="s">
        <v>50</v>
      </c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customFormat="false" ht="15" hidden="false" customHeight="false" outlineLevel="0" collapsed="false">
      <c r="A63" s="35" t="n">
        <v>62</v>
      </c>
      <c r="B63" s="6" t="s">
        <v>21</v>
      </c>
      <c r="C63" s="35" t="s">
        <v>283</v>
      </c>
      <c r="D63" s="35" t="s">
        <v>453</v>
      </c>
      <c r="E63" s="35" t="s">
        <v>43</v>
      </c>
      <c r="F63" s="35" t="s">
        <v>182</v>
      </c>
      <c r="G63" s="35" t="s">
        <v>183</v>
      </c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 t="s">
        <v>40</v>
      </c>
      <c r="AN63" s="35" t="s">
        <v>41</v>
      </c>
      <c r="AO63" s="35" t="s">
        <v>43</v>
      </c>
      <c r="AP63" s="35"/>
      <c r="AQ63" s="35"/>
      <c r="AR63" s="35" t="n">
        <f aca="false">COUNTIFS(Trechos!$L$2:$L$526,A63)</f>
        <v>1</v>
      </c>
      <c r="AS63" s="36" t="n">
        <f aca="false">SUMIFS(Trechos!$F$2:$F$526,Trechos!$L$2:$L$526,A63)</f>
        <v>5.07598983515913</v>
      </c>
      <c r="AT63" s="35" t="n">
        <f aca="false">COUNTA(AW63:CW63)</f>
        <v>0</v>
      </c>
      <c r="AU63" s="35" t="str">
        <f aca="false">IF(COUNTA(AW63:CW63)=0,"—",_xlfn.TEXTJOIN(", ",TRUE(),AW63:CW63))</f>
        <v>—</v>
      </c>
      <c r="AV63" s="35" t="s">
        <v>50</v>
      </c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customFormat="false" ht="15" hidden="false" customHeight="false" outlineLevel="0" collapsed="false">
      <c r="A64" s="35" t="n">
        <v>63</v>
      </c>
      <c r="B64" s="6" t="s">
        <v>21</v>
      </c>
      <c r="C64" s="35" t="s">
        <v>283</v>
      </c>
      <c r="D64" s="35" t="s">
        <v>454</v>
      </c>
      <c r="E64" s="35" t="s">
        <v>43</v>
      </c>
      <c r="F64" s="35" t="s">
        <v>185</v>
      </c>
      <c r="G64" s="35" t="s">
        <v>186</v>
      </c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 t="s">
        <v>40</v>
      </c>
      <c r="AN64" s="35" t="s">
        <v>41</v>
      </c>
      <c r="AO64" s="35" t="s">
        <v>43</v>
      </c>
      <c r="AP64" s="35"/>
      <c r="AQ64" s="35"/>
      <c r="AR64" s="35" t="n">
        <f aca="false">COUNTIFS(Trechos!$L$2:$L$526,A64)</f>
        <v>1</v>
      </c>
      <c r="AS64" s="36" t="n">
        <f aca="false">SUMIFS(Trechos!$F$2:$F$526,Trechos!$L$2:$L$526,A64)</f>
        <v>1.09645659891133</v>
      </c>
      <c r="AT64" s="35" t="n">
        <f aca="false">COUNTA(AW64:CW64)</f>
        <v>0</v>
      </c>
      <c r="AU64" s="35" t="str">
        <f aca="false">IF(COUNTA(AW64:CW64)=0,"—",_xlfn.TEXTJOIN(", ",TRUE(),AW64:CW64))</f>
        <v>—</v>
      </c>
      <c r="AV64" s="35" t="s">
        <v>50</v>
      </c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customFormat="false" ht="15" hidden="false" customHeight="false" outlineLevel="0" collapsed="false">
      <c r="A65" s="35" t="n">
        <v>64</v>
      </c>
      <c r="B65" s="6" t="s">
        <v>21</v>
      </c>
      <c r="C65" s="35" t="s">
        <v>283</v>
      </c>
      <c r="D65" s="35" t="s">
        <v>455</v>
      </c>
      <c r="E65" s="35" t="s">
        <v>43</v>
      </c>
      <c r="F65" s="35" t="s">
        <v>188</v>
      </c>
      <c r="G65" s="35" t="s">
        <v>189</v>
      </c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 t="s">
        <v>40</v>
      </c>
      <c r="AN65" s="35" t="s">
        <v>41</v>
      </c>
      <c r="AO65" s="35" t="s">
        <v>43</v>
      </c>
      <c r="AP65" s="35"/>
      <c r="AQ65" s="35"/>
      <c r="AR65" s="35" t="n">
        <f aca="false">COUNTIFS(Trechos!$L$2:$L$526,A65)</f>
        <v>1</v>
      </c>
      <c r="AS65" s="36" t="n">
        <f aca="false">SUMIFS(Trechos!$F$2:$F$526,Trechos!$L$2:$L$526,A65)</f>
        <v>20.753852847014</v>
      </c>
      <c r="AT65" s="35" t="n">
        <f aca="false">COUNTA(AW65:CW65)</f>
        <v>0</v>
      </c>
      <c r="AU65" s="35" t="str">
        <f aca="false">IF(COUNTA(AW65:CW65)=0,"—",_xlfn.TEXTJOIN(", ",TRUE(),AW65:CW65))</f>
        <v>—</v>
      </c>
      <c r="AV65" s="35" t="s">
        <v>50</v>
      </c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customFormat="false" ht="15" hidden="false" customHeight="false" outlineLevel="0" collapsed="false">
      <c r="A66" s="35" t="n">
        <v>65</v>
      </c>
      <c r="B66" s="7" t="s">
        <v>22</v>
      </c>
      <c r="C66" s="35" t="s">
        <v>283</v>
      </c>
      <c r="D66" s="35" t="s">
        <v>456</v>
      </c>
      <c r="E66" s="35" t="s">
        <v>191</v>
      </c>
      <c r="F66" s="35" t="s">
        <v>191</v>
      </c>
      <c r="G66" s="35" t="s">
        <v>457</v>
      </c>
      <c r="H66" s="35" t="s">
        <v>458</v>
      </c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 t="s">
        <v>40</v>
      </c>
      <c r="AN66" s="35" t="s">
        <v>41</v>
      </c>
      <c r="AO66" s="35" t="s">
        <v>43</v>
      </c>
      <c r="AP66" s="35" t="s">
        <v>191</v>
      </c>
      <c r="AQ66" s="35"/>
      <c r="AR66" s="35" t="n">
        <f aca="false">COUNTIFS(Trechos!$L$2:$L$526,A66)</f>
        <v>4</v>
      </c>
      <c r="AS66" s="36" t="n">
        <f aca="false">SUMIFS(Trechos!$F$2:$F$526,Trechos!$L$2:$L$526,A66)</f>
        <v>11.4381286034407</v>
      </c>
      <c r="AT66" s="35" t="n">
        <f aca="false">COUNTA(AW66:CW66)</f>
        <v>0</v>
      </c>
      <c r="AU66" s="35" t="str">
        <f aca="false">IF(COUNTA(AW66:CW66)=0,"—",_xlfn.TEXTJOIN(", ",TRUE(),AW66:CW66))</f>
        <v>—</v>
      </c>
      <c r="AV66" s="35" t="s">
        <v>50</v>
      </c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customFormat="false" ht="15" hidden="false" customHeight="false" outlineLevel="0" collapsed="false">
      <c r="A67" s="35" t="n">
        <v>66</v>
      </c>
      <c r="B67" s="6" t="s">
        <v>21</v>
      </c>
      <c r="C67" s="35" t="s">
        <v>283</v>
      </c>
      <c r="D67" s="35" t="s">
        <v>459</v>
      </c>
      <c r="E67" s="35" t="s">
        <v>43</v>
      </c>
      <c r="F67" s="35" t="s">
        <v>194</v>
      </c>
      <c r="G67" s="35" t="s">
        <v>195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 t="s">
        <v>40</v>
      </c>
      <c r="AN67" s="35" t="s">
        <v>41</v>
      </c>
      <c r="AO67" s="35" t="s">
        <v>43</v>
      </c>
      <c r="AP67" s="35"/>
      <c r="AQ67" s="35"/>
      <c r="AR67" s="35" t="n">
        <f aca="false">COUNTIFS(Trechos!$L$2:$L$526,A67)</f>
        <v>1</v>
      </c>
      <c r="AS67" s="36" t="n">
        <f aca="false">SUMIFS(Trechos!$F$2:$F$526,Trechos!$L$2:$L$526,A67)</f>
        <v>21.2250378053289</v>
      </c>
      <c r="AT67" s="35" t="n">
        <f aca="false">COUNTA(AW67:CW67)</f>
        <v>0</v>
      </c>
      <c r="AU67" s="35" t="str">
        <f aca="false">IF(COUNTA(AW67:CW67)=0,"—",_xlfn.TEXTJOIN(", ",TRUE(),AW67:CW67))</f>
        <v>—</v>
      </c>
      <c r="AV67" s="35" t="s">
        <v>50</v>
      </c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customFormat="false" ht="15" hidden="false" customHeight="false" outlineLevel="0" collapsed="false">
      <c r="A68" s="35" t="n">
        <v>67</v>
      </c>
      <c r="B68" s="7" t="s">
        <v>22</v>
      </c>
      <c r="C68" s="35" t="s">
        <v>283</v>
      </c>
      <c r="D68" s="35" t="s">
        <v>460</v>
      </c>
      <c r="E68" s="35" t="s">
        <v>197</v>
      </c>
      <c r="F68" s="35" t="s">
        <v>197</v>
      </c>
      <c r="G68" s="35" t="s">
        <v>461</v>
      </c>
      <c r="H68" s="35" t="s">
        <v>462</v>
      </c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 t="s">
        <v>40</v>
      </c>
      <c r="AN68" s="35" t="s">
        <v>41</v>
      </c>
      <c r="AO68" s="35" t="s">
        <v>43</v>
      </c>
      <c r="AP68" s="35" t="s">
        <v>197</v>
      </c>
      <c r="AQ68" s="35"/>
      <c r="AR68" s="35" t="n">
        <f aca="false">COUNTIFS(Trechos!$L$2:$L$526,A68)</f>
        <v>3</v>
      </c>
      <c r="AS68" s="36" t="n">
        <f aca="false">SUMIFS(Trechos!$F$2:$F$526,Trechos!$L$2:$L$526,A68)</f>
        <v>34.6699893134304</v>
      </c>
      <c r="AT68" s="35" t="n">
        <f aca="false">COUNTA(AW68:CW68)</f>
        <v>0</v>
      </c>
      <c r="AU68" s="35" t="str">
        <f aca="false">IF(COUNTA(AW68:CW68)=0,"—",_xlfn.TEXTJOIN(", ",TRUE(),AW68:CW68))</f>
        <v>—</v>
      </c>
      <c r="AV68" s="35" t="s">
        <v>50</v>
      </c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customFormat="false" ht="15" hidden="false" customHeight="false" outlineLevel="0" collapsed="false">
      <c r="A69" s="35" t="n">
        <v>68</v>
      </c>
      <c r="B69" s="6" t="s">
        <v>21</v>
      </c>
      <c r="C69" s="35" t="s">
        <v>283</v>
      </c>
      <c r="D69" s="35" t="s">
        <v>463</v>
      </c>
      <c r="E69" s="35" t="s">
        <v>43</v>
      </c>
      <c r="F69" s="35" t="s">
        <v>200</v>
      </c>
      <c r="G69" s="35" t="s">
        <v>464</v>
      </c>
      <c r="H69" s="35" t="s">
        <v>465</v>
      </c>
      <c r="I69" s="35" t="s">
        <v>466</v>
      </c>
      <c r="J69" s="35" t="s">
        <v>467</v>
      </c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 t="s">
        <v>40</v>
      </c>
      <c r="AN69" s="35" t="s">
        <v>41</v>
      </c>
      <c r="AO69" s="35" t="s">
        <v>43</v>
      </c>
      <c r="AP69" s="35"/>
      <c r="AQ69" s="35"/>
      <c r="AR69" s="35" t="n">
        <f aca="false">COUNTIFS(Trechos!$L$2:$L$526,A69)</f>
        <v>7</v>
      </c>
      <c r="AS69" s="36" t="n">
        <f aca="false">SUMIFS(Trechos!$F$2:$F$526,Trechos!$L$2:$L$526,A69)</f>
        <v>375.072776213874</v>
      </c>
      <c r="AT69" s="35" t="n">
        <f aca="false">COUNTA(AW69:CW69)</f>
        <v>0</v>
      </c>
      <c r="AU69" s="35" t="str">
        <f aca="false">IF(COUNTA(AW69:CW69)=0,"—",_xlfn.TEXTJOIN(", ",TRUE(),AW69:CW69))</f>
        <v>—</v>
      </c>
      <c r="AV69" s="35" t="s">
        <v>50</v>
      </c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customFormat="false" ht="15" hidden="false" customHeight="false" outlineLevel="0" collapsed="false">
      <c r="A70" s="35" t="n">
        <v>69</v>
      </c>
      <c r="B70" s="7" t="s">
        <v>22</v>
      </c>
      <c r="C70" s="35" t="s">
        <v>283</v>
      </c>
      <c r="D70" s="35" t="s">
        <v>468</v>
      </c>
      <c r="E70" s="35" t="s">
        <v>203</v>
      </c>
      <c r="F70" s="35" t="s">
        <v>203</v>
      </c>
      <c r="G70" s="35" t="s">
        <v>469</v>
      </c>
      <c r="H70" s="35" t="s">
        <v>470</v>
      </c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 t="s">
        <v>40</v>
      </c>
      <c r="AN70" s="35" t="s">
        <v>41</v>
      </c>
      <c r="AO70" s="35" t="s">
        <v>43</v>
      </c>
      <c r="AP70" s="35" t="s">
        <v>203</v>
      </c>
      <c r="AQ70" s="35"/>
      <c r="AR70" s="35" t="n">
        <f aca="false">COUNTIFS(Trechos!$L$2:$L$526,A70)</f>
        <v>3</v>
      </c>
      <c r="AS70" s="36" t="n">
        <f aca="false">SUMIFS(Trechos!$F$2:$F$526,Trechos!$L$2:$L$526,A70)</f>
        <v>36.909617539634</v>
      </c>
      <c r="AT70" s="35" t="n">
        <f aca="false">COUNTA(AW70:CW70)</f>
        <v>0</v>
      </c>
      <c r="AU70" s="35" t="str">
        <f aca="false">IF(COUNTA(AW70:CW70)=0,"—",_xlfn.TEXTJOIN(", ",TRUE(),AW70:CW70))</f>
        <v>—</v>
      </c>
      <c r="AV70" s="35" t="s">
        <v>50</v>
      </c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customFormat="false" ht="15" hidden="false" customHeight="false" outlineLevel="0" collapsed="false">
      <c r="A71" s="35" t="n">
        <v>70</v>
      </c>
      <c r="B71" s="6" t="s">
        <v>21</v>
      </c>
      <c r="C71" s="35" t="s">
        <v>283</v>
      </c>
      <c r="D71" s="35" t="s">
        <v>471</v>
      </c>
      <c r="E71" s="35" t="s">
        <v>43</v>
      </c>
      <c r="F71" s="35" t="s">
        <v>206</v>
      </c>
      <c r="G71" s="35" t="s">
        <v>207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 t="s">
        <v>40</v>
      </c>
      <c r="AN71" s="35" t="s">
        <v>41</v>
      </c>
      <c r="AO71" s="35" t="s">
        <v>43</v>
      </c>
      <c r="AP71" s="35"/>
      <c r="AQ71" s="35"/>
      <c r="AR71" s="35" t="n">
        <f aca="false">COUNTIFS(Trechos!$L$2:$L$526,A71)</f>
        <v>1</v>
      </c>
      <c r="AS71" s="36" t="n">
        <f aca="false">SUMIFS(Trechos!$F$2:$F$526,Trechos!$L$2:$L$526,A71)</f>
        <v>18.2133410321518</v>
      </c>
      <c r="AT71" s="35" t="n">
        <f aca="false">COUNTA(AW71:CW71)</f>
        <v>0</v>
      </c>
      <c r="AU71" s="35" t="str">
        <f aca="false">IF(COUNTA(AW71:CW71)=0,"—",_xlfn.TEXTJOIN(", ",TRUE(),AW71:CW71))</f>
        <v>—</v>
      </c>
      <c r="AV71" s="35" t="s">
        <v>50</v>
      </c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customFormat="false" ht="15" hidden="false" customHeight="false" outlineLevel="0" collapsed="false">
      <c r="A72" s="35" t="n">
        <v>71</v>
      </c>
      <c r="B72" s="7" t="s">
        <v>22</v>
      </c>
      <c r="C72" s="35" t="s">
        <v>283</v>
      </c>
      <c r="D72" s="35" t="s">
        <v>472</v>
      </c>
      <c r="E72" s="35" t="s">
        <v>209</v>
      </c>
      <c r="F72" s="35" t="s">
        <v>209</v>
      </c>
      <c r="G72" s="35" t="s">
        <v>210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 t="s">
        <v>40</v>
      </c>
      <c r="AN72" s="35" t="s">
        <v>41</v>
      </c>
      <c r="AO72" s="35" t="s">
        <v>43</v>
      </c>
      <c r="AP72" s="35" t="s">
        <v>209</v>
      </c>
      <c r="AQ72" s="35"/>
      <c r="AR72" s="35" t="n">
        <f aca="false">COUNTIFS(Trechos!$L$2:$L$526,A72)</f>
        <v>2</v>
      </c>
      <c r="AS72" s="36" t="n">
        <f aca="false">SUMIFS(Trechos!$F$2:$F$526,Trechos!$L$2:$L$526,A72)</f>
        <v>18.6658749697057</v>
      </c>
      <c r="AT72" s="35" t="n">
        <f aca="false">COUNTA(AW72:CW72)</f>
        <v>0</v>
      </c>
      <c r="AU72" s="35" t="str">
        <f aca="false">IF(COUNTA(AW72:CW72)=0,"—",_xlfn.TEXTJOIN(", ",TRUE(),AW72:CW72))</f>
        <v>—</v>
      </c>
      <c r="AV72" s="35" t="s">
        <v>50</v>
      </c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customFormat="false" ht="15" hidden="false" customHeight="false" outlineLevel="0" collapsed="false">
      <c r="A73" s="35" t="n">
        <v>72</v>
      </c>
      <c r="B73" s="6" t="s">
        <v>21</v>
      </c>
      <c r="C73" s="35" t="s">
        <v>283</v>
      </c>
      <c r="D73" s="35" t="s">
        <v>473</v>
      </c>
      <c r="E73" s="35" t="s">
        <v>43</v>
      </c>
      <c r="F73" s="35" t="s">
        <v>212</v>
      </c>
      <c r="G73" s="35" t="s">
        <v>474</v>
      </c>
      <c r="H73" s="35" t="s">
        <v>475</v>
      </c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 t="s">
        <v>40</v>
      </c>
      <c r="AN73" s="35" t="s">
        <v>41</v>
      </c>
      <c r="AO73" s="35" t="s">
        <v>43</v>
      </c>
      <c r="AP73" s="35"/>
      <c r="AQ73" s="35"/>
      <c r="AR73" s="35" t="n">
        <f aca="false">COUNTIFS(Trechos!$L$2:$L$526,A73)</f>
        <v>2</v>
      </c>
      <c r="AS73" s="36" t="n">
        <f aca="false">SUMIFS(Trechos!$F$2:$F$526,Trechos!$L$2:$L$526,A73)</f>
        <v>35.6945103295697</v>
      </c>
      <c r="AT73" s="35" t="n">
        <f aca="false">COUNTA(AW73:CW73)</f>
        <v>0</v>
      </c>
      <c r="AU73" s="35" t="str">
        <f aca="false">IF(COUNTA(AW73:CW73)=0,"—",_xlfn.TEXTJOIN(", ",TRUE(),AW73:CW73))</f>
        <v>—</v>
      </c>
      <c r="AV73" s="35" t="s">
        <v>50</v>
      </c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customFormat="false" ht="15" hidden="false" customHeight="false" outlineLevel="0" collapsed="false">
      <c r="A74" s="35" t="n">
        <v>73</v>
      </c>
      <c r="B74" s="6" t="s">
        <v>21</v>
      </c>
      <c r="C74" s="35" t="s">
        <v>283</v>
      </c>
      <c r="D74" s="35" t="s">
        <v>476</v>
      </c>
      <c r="E74" s="35" t="s">
        <v>43</v>
      </c>
      <c r="F74" s="35" t="s">
        <v>215</v>
      </c>
      <c r="G74" s="35" t="s">
        <v>477</v>
      </c>
      <c r="H74" s="35" t="s">
        <v>478</v>
      </c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 t="s">
        <v>40</v>
      </c>
      <c r="AN74" s="35" t="s">
        <v>41</v>
      </c>
      <c r="AO74" s="35" t="s">
        <v>43</v>
      </c>
      <c r="AP74" s="35"/>
      <c r="AQ74" s="35"/>
      <c r="AR74" s="35" t="n">
        <f aca="false">COUNTIFS(Trechos!$L$2:$L$526,A74)</f>
        <v>2</v>
      </c>
      <c r="AS74" s="36" t="n">
        <f aca="false">SUMIFS(Trechos!$F$2:$F$526,Trechos!$L$2:$L$526,A74)</f>
        <v>66.2035244962812</v>
      </c>
      <c r="AT74" s="35" t="n">
        <f aca="false">COUNTA(AW74:CW74)</f>
        <v>0</v>
      </c>
      <c r="AU74" s="35" t="str">
        <f aca="false">IF(COUNTA(AW74:CW74)=0,"—",_xlfn.TEXTJOIN(", ",TRUE(),AW74:CW74))</f>
        <v>—</v>
      </c>
      <c r="AV74" s="35" t="s">
        <v>50</v>
      </c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customFormat="false" ht="15" hidden="false" customHeight="false" outlineLevel="0" collapsed="false">
      <c r="A75" s="35" t="n">
        <v>74</v>
      </c>
      <c r="B75" s="6" t="s">
        <v>21</v>
      </c>
      <c r="C75" s="35" t="s">
        <v>283</v>
      </c>
      <c r="D75" s="35" t="s">
        <v>479</v>
      </c>
      <c r="E75" s="35" t="s">
        <v>43</v>
      </c>
      <c r="F75" s="35" t="s">
        <v>218</v>
      </c>
      <c r="G75" s="35" t="s">
        <v>480</v>
      </c>
      <c r="H75" s="35" t="s">
        <v>481</v>
      </c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 t="s">
        <v>40</v>
      </c>
      <c r="AN75" s="35" t="s">
        <v>41</v>
      </c>
      <c r="AO75" s="35" t="s">
        <v>43</v>
      </c>
      <c r="AP75" s="35"/>
      <c r="AQ75" s="35"/>
      <c r="AR75" s="35" t="n">
        <f aca="false">COUNTIFS(Trechos!$L$2:$L$526,A75)</f>
        <v>4</v>
      </c>
      <c r="AS75" s="36" t="n">
        <f aca="false">SUMIFS(Trechos!$F$2:$F$526,Trechos!$L$2:$L$526,A75)</f>
        <v>64.1350858906275</v>
      </c>
      <c r="AT75" s="35" t="n">
        <f aca="false">COUNTA(AW75:CW75)</f>
        <v>0</v>
      </c>
      <c r="AU75" s="35" t="str">
        <f aca="false">IF(COUNTA(AW75:CW75)=0,"—",_xlfn.TEXTJOIN(", ",TRUE(),AW75:CW75))</f>
        <v>—</v>
      </c>
      <c r="AV75" s="35" t="s">
        <v>50</v>
      </c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customFormat="false" ht="15" hidden="false" customHeight="false" outlineLevel="0" collapsed="false">
      <c r="A76" s="35" t="n">
        <v>75</v>
      </c>
      <c r="B76" s="6" t="s">
        <v>21</v>
      </c>
      <c r="C76" s="35" t="s">
        <v>283</v>
      </c>
      <c r="D76" s="35" t="s">
        <v>482</v>
      </c>
      <c r="E76" s="35" t="s">
        <v>43</v>
      </c>
      <c r="F76" s="35" t="s">
        <v>221</v>
      </c>
      <c r="G76" s="35" t="s">
        <v>483</v>
      </c>
      <c r="H76" s="35" t="s">
        <v>484</v>
      </c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 t="s">
        <v>40</v>
      </c>
      <c r="AN76" s="35" t="s">
        <v>41</v>
      </c>
      <c r="AO76" s="35" t="s">
        <v>43</v>
      </c>
      <c r="AP76" s="35"/>
      <c r="AQ76" s="35"/>
      <c r="AR76" s="35" t="n">
        <f aca="false">COUNTIFS(Trechos!$L$2:$L$526,A76)</f>
        <v>4</v>
      </c>
      <c r="AS76" s="36" t="n">
        <f aca="false">SUMIFS(Trechos!$F$2:$F$526,Trechos!$L$2:$L$526,A76)</f>
        <v>83.7280172781619</v>
      </c>
      <c r="AT76" s="35" t="n">
        <f aca="false">COUNTA(AW76:CW76)</f>
        <v>0</v>
      </c>
      <c r="AU76" s="35" t="str">
        <f aca="false">IF(COUNTA(AW76:CW76)=0,"—",_xlfn.TEXTJOIN(", ",TRUE(),AW76:CW76))</f>
        <v>—</v>
      </c>
      <c r="AV76" s="35" t="s">
        <v>50</v>
      </c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customFormat="false" ht="15" hidden="false" customHeight="false" outlineLevel="0" collapsed="false">
      <c r="A77" s="35" t="n">
        <v>76</v>
      </c>
      <c r="B77" s="6" t="s">
        <v>21</v>
      </c>
      <c r="C77" s="35" t="s">
        <v>283</v>
      </c>
      <c r="D77" s="35" t="s">
        <v>485</v>
      </c>
      <c r="E77" s="35" t="s">
        <v>43</v>
      </c>
      <c r="F77" s="35" t="s">
        <v>224</v>
      </c>
      <c r="G77" s="35" t="s">
        <v>225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 t="s">
        <v>40</v>
      </c>
      <c r="AN77" s="35" t="s">
        <v>41</v>
      </c>
      <c r="AO77" s="35" t="s">
        <v>43</v>
      </c>
      <c r="AP77" s="35"/>
      <c r="AQ77" s="35"/>
      <c r="AR77" s="35" t="n">
        <f aca="false">COUNTIFS(Trechos!$L$2:$L$526,A77)</f>
        <v>1</v>
      </c>
      <c r="AS77" s="36" t="n">
        <f aca="false">SUMIFS(Trechos!$F$2:$F$526,Trechos!$L$2:$L$526,A77)</f>
        <v>13.753559573682</v>
      </c>
      <c r="AT77" s="35" t="n">
        <f aca="false">COUNTA(AW77:CW77)</f>
        <v>0</v>
      </c>
      <c r="AU77" s="35" t="str">
        <f aca="false">IF(COUNTA(AW77:CW77)=0,"—",_xlfn.TEXTJOIN(", ",TRUE(),AW77:CW77))</f>
        <v>—</v>
      </c>
      <c r="AV77" s="35" t="s">
        <v>50</v>
      </c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customFormat="false" ht="15" hidden="false" customHeight="false" outlineLevel="0" collapsed="false">
      <c r="A78" s="35" t="n">
        <v>77</v>
      </c>
      <c r="B78" s="6" t="s">
        <v>21</v>
      </c>
      <c r="C78" s="35" t="s">
        <v>283</v>
      </c>
      <c r="D78" s="35" t="s">
        <v>486</v>
      </c>
      <c r="E78" s="35" t="s">
        <v>43</v>
      </c>
      <c r="F78" s="35" t="s">
        <v>227</v>
      </c>
      <c r="G78" s="35" t="s">
        <v>228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 t="s">
        <v>40</v>
      </c>
      <c r="AN78" s="35" t="s">
        <v>41</v>
      </c>
      <c r="AO78" s="35" t="s">
        <v>43</v>
      </c>
      <c r="AP78" s="35"/>
      <c r="AQ78" s="35"/>
      <c r="AR78" s="35" t="n">
        <f aca="false">COUNTIFS(Trechos!$L$2:$L$526,A78)</f>
        <v>1</v>
      </c>
      <c r="AS78" s="36" t="n">
        <f aca="false">SUMIFS(Trechos!$F$2:$F$526,Trechos!$L$2:$L$526,A78)</f>
        <v>5.11387270273531</v>
      </c>
      <c r="AT78" s="35" t="n">
        <f aca="false">COUNTA(AW78:CW78)</f>
        <v>0</v>
      </c>
      <c r="AU78" s="35" t="str">
        <f aca="false">IF(COUNTA(AW78:CW78)=0,"—",_xlfn.TEXTJOIN(", ",TRUE(),AW78:CW78))</f>
        <v>—</v>
      </c>
      <c r="AV78" s="35" t="s">
        <v>50</v>
      </c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customFormat="false" ht="15" hidden="false" customHeight="false" outlineLevel="0" collapsed="false">
      <c r="A79" s="35" t="n">
        <v>78</v>
      </c>
      <c r="B79" s="6" t="s">
        <v>21</v>
      </c>
      <c r="C79" s="35" t="s">
        <v>283</v>
      </c>
      <c r="D79" s="35" t="s">
        <v>487</v>
      </c>
      <c r="E79" s="35" t="s">
        <v>230</v>
      </c>
      <c r="F79" s="35" t="s">
        <v>230</v>
      </c>
      <c r="G79" s="35" t="s">
        <v>488</v>
      </c>
      <c r="H79" s="35" t="s">
        <v>489</v>
      </c>
      <c r="I79" s="35" t="s">
        <v>490</v>
      </c>
      <c r="J79" s="35" t="s">
        <v>491</v>
      </c>
      <c r="K79" s="35" t="s">
        <v>233</v>
      </c>
      <c r="L79" s="35" t="s">
        <v>492</v>
      </c>
      <c r="M79" s="35" t="s">
        <v>493</v>
      </c>
      <c r="N79" s="35" t="s">
        <v>494</v>
      </c>
      <c r="O79" s="35" t="s">
        <v>495</v>
      </c>
      <c r="P79" s="35" t="s">
        <v>235</v>
      </c>
      <c r="Q79" s="35" t="s">
        <v>496</v>
      </c>
      <c r="R79" s="35" t="s">
        <v>497</v>
      </c>
      <c r="S79" s="35" t="s">
        <v>237</v>
      </c>
      <c r="T79" s="35" t="s">
        <v>239</v>
      </c>
      <c r="U79" s="35" t="s">
        <v>241</v>
      </c>
      <c r="V79" s="35" t="s">
        <v>243</v>
      </c>
      <c r="W79" s="35" t="s">
        <v>245</v>
      </c>
      <c r="X79" s="35" t="s">
        <v>247</v>
      </c>
      <c r="Y79" s="35" t="s">
        <v>498</v>
      </c>
      <c r="Z79" s="35" t="s">
        <v>249</v>
      </c>
      <c r="AA79" s="35" t="s">
        <v>251</v>
      </c>
      <c r="AB79" s="35" t="s">
        <v>499</v>
      </c>
      <c r="AC79" s="35" t="s">
        <v>253</v>
      </c>
      <c r="AD79" s="35" t="s">
        <v>255</v>
      </c>
      <c r="AE79" s="35" t="s">
        <v>257</v>
      </c>
      <c r="AF79" s="35" t="s">
        <v>500</v>
      </c>
      <c r="AG79" s="35" t="s">
        <v>259</v>
      </c>
      <c r="AH79" s="35" t="s">
        <v>501</v>
      </c>
      <c r="AI79" s="35" t="s">
        <v>502</v>
      </c>
      <c r="AJ79" s="35" t="s">
        <v>503</v>
      </c>
      <c r="AK79" s="35" t="s">
        <v>261</v>
      </c>
      <c r="AL79" s="35" t="s">
        <v>504</v>
      </c>
      <c r="AM79" s="35" t="s">
        <v>40</v>
      </c>
      <c r="AN79" s="35" t="s">
        <v>41</v>
      </c>
      <c r="AO79" s="35" t="s">
        <v>43</v>
      </c>
      <c r="AP79" s="35" t="s">
        <v>230</v>
      </c>
      <c r="AQ79" s="35"/>
      <c r="AR79" s="35" t="n">
        <f aca="false">COUNTIFS(Trechos!$L$2:$L$526,A79)</f>
        <v>91</v>
      </c>
      <c r="AS79" s="36" t="n">
        <f aca="false">SUMIFS(Trechos!$F$2:$F$526,Trechos!$L$2:$L$526,A79)</f>
        <v>1736.31371865627</v>
      </c>
      <c r="AT79" s="35" t="n">
        <f aca="false">COUNTA(AW79:CW79)</f>
        <v>15</v>
      </c>
      <c r="AU79" s="35" t="str">
        <f aca="false">IF(COUNTA(AW79:CW79)=0,"—",_xlfn.TEXTJOIN(", ",TRUE(),AW79:CW79))</f>
        <v>0330915004, 0203711004, 0202227004, 0204190004, 0200482004, 0200484004, 0200489004, 0200490004, 0230938004, 0200492004, 0202676004, 0303862004, 0229036004, 0200495004, 0201153004</v>
      </c>
      <c r="AV79" s="35" t="s">
        <v>232</v>
      </c>
      <c r="AW79" s="35" t="s">
        <v>233</v>
      </c>
      <c r="AX79" s="35" t="s">
        <v>235</v>
      </c>
      <c r="AY79" s="35" t="s">
        <v>237</v>
      </c>
      <c r="AZ79" s="35" t="s">
        <v>239</v>
      </c>
      <c r="BA79" s="35" t="s">
        <v>241</v>
      </c>
      <c r="BB79" s="35" t="s">
        <v>243</v>
      </c>
      <c r="BC79" s="35" t="s">
        <v>245</v>
      </c>
      <c r="BD79" s="35" t="s">
        <v>247</v>
      </c>
      <c r="BE79" s="35" t="s">
        <v>249</v>
      </c>
      <c r="BF79" s="35" t="s">
        <v>251</v>
      </c>
      <c r="BG79" s="35" t="s">
        <v>253</v>
      </c>
      <c r="BH79" s="35" t="s">
        <v>255</v>
      </c>
      <c r="BI79" s="35" t="s">
        <v>257</v>
      </c>
      <c r="BJ79" s="35" t="s">
        <v>259</v>
      </c>
      <c r="BK79" s="35" t="s">
        <v>261</v>
      </c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customFormat="false" ht="15" hidden="false" customHeight="false" outlineLevel="0" collapsed="false">
      <c r="A80" s="35" t="n">
        <v>79</v>
      </c>
      <c r="B80" s="7" t="s">
        <v>22</v>
      </c>
      <c r="C80" s="35" t="s">
        <v>283</v>
      </c>
      <c r="D80" s="35" t="s">
        <v>487</v>
      </c>
      <c r="E80" s="35" t="s">
        <v>233</v>
      </c>
      <c r="F80" s="35" t="s">
        <v>233</v>
      </c>
      <c r="G80" s="35" t="s">
        <v>234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 t="s">
        <v>40</v>
      </c>
      <c r="AN80" s="35" t="s">
        <v>41</v>
      </c>
      <c r="AO80" s="35" t="s">
        <v>43</v>
      </c>
      <c r="AP80" s="35" t="s">
        <v>230</v>
      </c>
      <c r="AQ80" s="35" t="s">
        <v>233</v>
      </c>
      <c r="AR80" s="35" t="n">
        <f aca="false">COUNTIFS(Trechos!$L$2:$L$526,A80)</f>
        <v>1</v>
      </c>
      <c r="AS80" s="36" t="n">
        <f aca="false">SUMIFS(Trechos!$F$2:$F$526,Trechos!$L$2:$L$526,A80)</f>
        <v>7.67275007256756</v>
      </c>
      <c r="AT80" s="35" t="n">
        <f aca="false">COUNTA(AW80:CW80)</f>
        <v>0</v>
      </c>
      <c r="AU80" s="35" t="str">
        <f aca="false">IF(COUNTA(AW80:CW80)=0,"—",_xlfn.TEXTJOIN(", ",TRUE(),AW80:CW80))</f>
        <v>—</v>
      </c>
      <c r="AV80" s="35" t="s">
        <v>50</v>
      </c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customFormat="false" ht="15" hidden="false" customHeight="false" outlineLevel="0" collapsed="false">
      <c r="A81" s="35" t="n">
        <v>80</v>
      </c>
      <c r="B81" s="7" t="s">
        <v>22</v>
      </c>
      <c r="C81" s="35" t="s">
        <v>283</v>
      </c>
      <c r="D81" s="35" t="s">
        <v>487</v>
      </c>
      <c r="E81" s="35" t="s">
        <v>235</v>
      </c>
      <c r="F81" s="35" t="s">
        <v>235</v>
      </c>
      <c r="G81" s="35" t="s">
        <v>236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 t="s">
        <v>40</v>
      </c>
      <c r="AN81" s="35" t="s">
        <v>41</v>
      </c>
      <c r="AO81" s="35" t="s">
        <v>43</v>
      </c>
      <c r="AP81" s="35" t="s">
        <v>230</v>
      </c>
      <c r="AQ81" s="35" t="s">
        <v>235</v>
      </c>
      <c r="AR81" s="35" t="n">
        <f aca="false">COUNTIFS(Trechos!$L$2:$L$526,A81)</f>
        <v>2</v>
      </c>
      <c r="AS81" s="36" t="n">
        <f aca="false">SUMIFS(Trechos!$F$2:$F$526,Trechos!$L$2:$L$526,A81)</f>
        <v>33.3949492340605</v>
      </c>
      <c r="AT81" s="35" t="n">
        <f aca="false">COUNTA(AW81:CW81)</f>
        <v>0</v>
      </c>
      <c r="AU81" s="35" t="str">
        <f aca="false">IF(COUNTA(AW81:CW81)=0,"—",_xlfn.TEXTJOIN(", ",TRUE(),AW81:CW81))</f>
        <v>—</v>
      </c>
      <c r="AV81" s="35" t="s">
        <v>50</v>
      </c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customFormat="false" ht="15" hidden="false" customHeight="false" outlineLevel="0" collapsed="false">
      <c r="A82" s="35" t="n">
        <v>81</v>
      </c>
      <c r="B82" s="7" t="s">
        <v>22</v>
      </c>
      <c r="C82" s="35" t="s">
        <v>283</v>
      </c>
      <c r="D82" s="35" t="s">
        <v>487</v>
      </c>
      <c r="E82" s="35" t="s">
        <v>237</v>
      </c>
      <c r="F82" s="35" t="s">
        <v>237</v>
      </c>
      <c r="G82" s="35" t="s">
        <v>238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 t="s">
        <v>40</v>
      </c>
      <c r="AN82" s="35" t="s">
        <v>41</v>
      </c>
      <c r="AO82" s="35" t="s">
        <v>43</v>
      </c>
      <c r="AP82" s="35" t="s">
        <v>230</v>
      </c>
      <c r="AQ82" s="35" t="s">
        <v>237</v>
      </c>
      <c r="AR82" s="35" t="n">
        <f aca="false">COUNTIFS(Trechos!$L$2:$L$526,A82)</f>
        <v>2</v>
      </c>
      <c r="AS82" s="36" t="n">
        <f aca="false">SUMIFS(Trechos!$F$2:$F$526,Trechos!$L$2:$L$526,A82)</f>
        <v>26.9077187038947</v>
      </c>
      <c r="AT82" s="35" t="n">
        <f aca="false">COUNTA(AW82:CW82)</f>
        <v>0</v>
      </c>
      <c r="AU82" s="35" t="str">
        <f aca="false">IF(COUNTA(AW82:CW82)=0,"—",_xlfn.TEXTJOIN(", ",TRUE(),AW82:CW82))</f>
        <v>—</v>
      </c>
      <c r="AV82" s="35" t="s">
        <v>50</v>
      </c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customFormat="false" ht="15" hidden="false" customHeight="false" outlineLevel="0" collapsed="false">
      <c r="A83" s="35" t="n">
        <v>82</v>
      </c>
      <c r="B83" s="7" t="s">
        <v>22</v>
      </c>
      <c r="C83" s="35" t="s">
        <v>283</v>
      </c>
      <c r="D83" s="35" t="s">
        <v>487</v>
      </c>
      <c r="E83" s="35" t="s">
        <v>239</v>
      </c>
      <c r="F83" s="35" t="s">
        <v>239</v>
      </c>
      <c r="G83" s="35" t="s">
        <v>240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 t="s">
        <v>40</v>
      </c>
      <c r="AN83" s="35" t="s">
        <v>41</v>
      </c>
      <c r="AO83" s="35" t="s">
        <v>43</v>
      </c>
      <c r="AP83" s="35" t="s">
        <v>230</v>
      </c>
      <c r="AQ83" s="35" t="s">
        <v>239</v>
      </c>
      <c r="AR83" s="35" t="n">
        <f aca="false">COUNTIFS(Trechos!$L$2:$L$526,A83)</f>
        <v>2</v>
      </c>
      <c r="AS83" s="36" t="n">
        <f aca="false">SUMIFS(Trechos!$F$2:$F$526,Trechos!$L$2:$L$526,A83)</f>
        <v>27.0321653418223</v>
      </c>
      <c r="AT83" s="35" t="n">
        <f aca="false">COUNTA(AW83:CW83)</f>
        <v>0</v>
      </c>
      <c r="AU83" s="35" t="str">
        <f aca="false">IF(COUNTA(AW83:CW83)=0,"—",_xlfn.TEXTJOIN(", ",TRUE(),AW83:CW83))</f>
        <v>—</v>
      </c>
      <c r="AV83" s="35" t="s">
        <v>50</v>
      </c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customFormat="false" ht="15" hidden="false" customHeight="false" outlineLevel="0" collapsed="false">
      <c r="A84" s="35" t="n">
        <v>83</v>
      </c>
      <c r="B84" s="7" t="s">
        <v>22</v>
      </c>
      <c r="C84" s="35" t="s">
        <v>283</v>
      </c>
      <c r="D84" s="35" t="s">
        <v>487</v>
      </c>
      <c r="E84" s="35" t="s">
        <v>241</v>
      </c>
      <c r="F84" s="35" t="s">
        <v>241</v>
      </c>
      <c r="G84" s="35" t="s">
        <v>242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 t="s">
        <v>40</v>
      </c>
      <c r="AN84" s="35" t="s">
        <v>41</v>
      </c>
      <c r="AO84" s="35" t="s">
        <v>43</v>
      </c>
      <c r="AP84" s="35" t="s">
        <v>230</v>
      </c>
      <c r="AQ84" s="35" t="s">
        <v>241</v>
      </c>
      <c r="AR84" s="35" t="n">
        <f aca="false">COUNTIFS(Trechos!$L$2:$L$526,A84)</f>
        <v>2</v>
      </c>
      <c r="AS84" s="36" t="n">
        <f aca="false">SUMIFS(Trechos!$F$2:$F$526,Trechos!$L$2:$L$526,A84)</f>
        <v>37.3787539570412</v>
      </c>
      <c r="AT84" s="35" t="n">
        <f aca="false">COUNTA(AW84:CW84)</f>
        <v>0</v>
      </c>
      <c r="AU84" s="35" t="str">
        <f aca="false">IF(COUNTA(AW84:CW84)=0,"—",_xlfn.TEXTJOIN(", ",TRUE(),AW84:CW84))</f>
        <v>—</v>
      </c>
      <c r="AV84" s="35" t="s">
        <v>50</v>
      </c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customFormat="false" ht="15" hidden="false" customHeight="false" outlineLevel="0" collapsed="false">
      <c r="A85" s="35" t="n">
        <v>84</v>
      </c>
      <c r="B85" s="7" t="s">
        <v>22</v>
      </c>
      <c r="C85" s="35" t="s">
        <v>283</v>
      </c>
      <c r="D85" s="35" t="s">
        <v>487</v>
      </c>
      <c r="E85" s="35" t="s">
        <v>243</v>
      </c>
      <c r="F85" s="35" t="s">
        <v>243</v>
      </c>
      <c r="G85" s="35" t="s">
        <v>505</v>
      </c>
      <c r="H85" s="35" t="s">
        <v>506</v>
      </c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 t="s">
        <v>40</v>
      </c>
      <c r="AN85" s="35" t="s">
        <v>41</v>
      </c>
      <c r="AO85" s="35" t="s">
        <v>43</v>
      </c>
      <c r="AP85" s="35" t="s">
        <v>230</v>
      </c>
      <c r="AQ85" s="35" t="s">
        <v>243</v>
      </c>
      <c r="AR85" s="35" t="n">
        <f aca="false">COUNTIFS(Trechos!$L$2:$L$526,A85)</f>
        <v>3</v>
      </c>
      <c r="AS85" s="36" t="n">
        <f aca="false">SUMIFS(Trechos!$F$2:$F$526,Trechos!$L$2:$L$526,A85)</f>
        <v>30.4339159032701</v>
      </c>
      <c r="AT85" s="35" t="n">
        <f aca="false">COUNTA(AW85:CW85)</f>
        <v>0</v>
      </c>
      <c r="AU85" s="35" t="str">
        <f aca="false">IF(COUNTA(AW85:CW85)=0,"—",_xlfn.TEXTJOIN(", ",TRUE(),AW85:CW85))</f>
        <v>—</v>
      </c>
      <c r="AV85" s="35" t="s">
        <v>50</v>
      </c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customFormat="false" ht="15" hidden="false" customHeight="false" outlineLevel="0" collapsed="false">
      <c r="A86" s="35" t="n">
        <v>85</v>
      </c>
      <c r="B86" s="7" t="s">
        <v>22</v>
      </c>
      <c r="C86" s="35" t="s">
        <v>283</v>
      </c>
      <c r="D86" s="35" t="s">
        <v>487</v>
      </c>
      <c r="E86" s="35" t="s">
        <v>245</v>
      </c>
      <c r="F86" s="35" t="s">
        <v>245</v>
      </c>
      <c r="G86" s="35" t="s">
        <v>246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 t="s">
        <v>40</v>
      </c>
      <c r="AN86" s="35" t="s">
        <v>41</v>
      </c>
      <c r="AO86" s="35" t="s">
        <v>43</v>
      </c>
      <c r="AP86" s="35" t="s">
        <v>230</v>
      </c>
      <c r="AQ86" s="35" t="s">
        <v>245</v>
      </c>
      <c r="AR86" s="35" t="n">
        <f aca="false">COUNTIFS(Trechos!$L$2:$L$526,A86)</f>
        <v>2</v>
      </c>
      <c r="AS86" s="36" t="n">
        <f aca="false">SUMIFS(Trechos!$F$2:$F$526,Trechos!$L$2:$L$526,A86)</f>
        <v>30.7543304164767</v>
      </c>
      <c r="AT86" s="35" t="n">
        <f aca="false">COUNTA(AW86:CW86)</f>
        <v>0</v>
      </c>
      <c r="AU86" s="35" t="str">
        <f aca="false">IF(COUNTA(AW86:CW86)=0,"—",_xlfn.TEXTJOIN(", ",TRUE(),AW86:CW86))</f>
        <v>—</v>
      </c>
      <c r="AV86" s="35" t="s">
        <v>50</v>
      </c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customFormat="false" ht="15" hidden="false" customHeight="false" outlineLevel="0" collapsed="false">
      <c r="A87" s="35" t="n">
        <v>86</v>
      </c>
      <c r="B87" s="7" t="s">
        <v>22</v>
      </c>
      <c r="C87" s="35" t="s">
        <v>283</v>
      </c>
      <c r="D87" s="35" t="s">
        <v>487</v>
      </c>
      <c r="E87" s="35" t="s">
        <v>247</v>
      </c>
      <c r="F87" s="35" t="s">
        <v>247</v>
      </c>
      <c r="G87" s="35" t="s">
        <v>248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 t="s">
        <v>40</v>
      </c>
      <c r="AN87" s="35" t="s">
        <v>41</v>
      </c>
      <c r="AO87" s="35" t="s">
        <v>43</v>
      </c>
      <c r="AP87" s="35" t="s">
        <v>230</v>
      </c>
      <c r="AQ87" s="35" t="s">
        <v>247</v>
      </c>
      <c r="AR87" s="35" t="n">
        <f aca="false">COUNTIFS(Trechos!$L$2:$L$526,A87)</f>
        <v>2</v>
      </c>
      <c r="AS87" s="36" t="n">
        <f aca="false">SUMIFS(Trechos!$F$2:$F$526,Trechos!$L$2:$L$526,A87)</f>
        <v>29.7262078697369</v>
      </c>
      <c r="AT87" s="35" t="n">
        <f aca="false">COUNTA(AW87:CW87)</f>
        <v>0</v>
      </c>
      <c r="AU87" s="35" t="str">
        <f aca="false">IF(COUNTA(AW87:CW87)=0,"—",_xlfn.TEXTJOIN(", ",TRUE(),AW87:CW87))</f>
        <v>—</v>
      </c>
      <c r="AV87" s="35" t="s">
        <v>50</v>
      </c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customFormat="false" ht="15" hidden="false" customHeight="false" outlineLevel="0" collapsed="false">
      <c r="A88" s="35" t="n">
        <v>87</v>
      </c>
      <c r="B88" s="7" t="s">
        <v>22</v>
      </c>
      <c r="C88" s="35" t="s">
        <v>283</v>
      </c>
      <c r="D88" s="35" t="s">
        <v>487</v>
      </c>
      <c r="E88" s="35" t="s">
        <v>249</v>
      </c>
      <c r="F88" s="35" t="s">
        <v>249</v>
      </c>
      <c r="G88" s="35" t="s">
        <v>250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 t="s">
        <v>40</v>
      </c>
      <c r="AN88" s="35" t="s">
        <v>41</v>
      </c>
      <c r="AO88" s="35" t="s">
        <v>43</v>
      </c>
      <c r="AP88" s="35" t="s">
        <v>230</v>
      </c>
      <c r="AQ88" s="35" t="s">
        <v>249</v>
      </c>
      <c r="AR88" s="35" t="n">
        <f aca="false">COUNTIFS(Trechos!$L$2:$L$526,A88)</f>
        <v>2</v>
      </c>
      <c r="AS88" s="36" t="n">
        <f aca="false">SUMIFS(Trechos!$F$2:$F$526,Trechos!$L$2:$L$526,A88)</f>
        <v>27.6228375750084</v>
      </c>
      <c r="AT88" s="35" t="n">
        <f aca="false">COUNTA(AW88:CW88)</f>
        <v>0</v>
      </c>
      <c r="AU88" s="35" t="str">
        <f aca="false">IF(COUNTA(AW88:CW88)=0,"—",_xlfn.TEXTJOIN(", ",TRUE(),AW88:CW88))</f>
        <v>—</v>
      </c>
      <c r="AV88" s="35" t="s">
        <v>50</v>
      </c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customFormat="false" ht="15" hidden="false" customHeight="false" outlineLevel="0" collapsed="false">
      <c r="A89" s="35" t="n">
        <v>88</v>
      </c>
      <c r="B89" s="7" t="s">
        <v>22</v>
      </c>
      <c r="C89" s="35" t="s">
        <v>283</v>
      </c>
      <c r="D89" s="35" t="s">
        <v>487</v>
      </c>
      <c r="E89" s="35" t="s">
        <v>251</v>
      </c>
      <c r="F89" s="35" t="s">
        <v>251</v>
      </c>
      <c r="G89" s="35" t="s">
        <v>252</v>
      </c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 t="s">
        <v>40</v>
      </c>
      <c r="AN89" s="35" t="s">
        <v>41</v>
      </c>
      <c r="AO89" s="35" t="s">
        <v>43</v>
      </c>
      <c r="AP89" s="35" t="s">
        <v>230</v>
      </c>
      <c r="AQ89" s="35" t="s">
        <v>251</v>
      </c>
      <c r="AR89" s="35" t="n">
        <f aca="false">COUNTIFS(Trechos!$L$2:$L$526,A89)</f>
        <v>2</v>
      </c>
      <c r="AS89" s="36" t="n">
        <f aca="false">SUMIFS(Trechos!$F$2:$F$526,Trechos!$L$2:$L$526,A89)</f>
        <v>23.8505795969808</v>
      </c>
      <c r="AT89" s="35" t="n">
        <f aca="false">COUNTA(AW89:CW89)</f>
        <v>0</v>
      </c>
      <c r="AU89" s="35" t="str">
        <f aca="false">IF(COUNTA(AW89:CW89)=0,"—",_xlfn.TEXTJOIN(", ",TRUE(),AW89:CW89))</f>
        <v>—</v>
      </c>
      <c r="AV89" s="35" t="s">
        <v>50</v>
      </c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customFormat="false" ht="15" hidden="false" customHeight="false" outlineLevel="0" collapsed="false">
      <c r="A90" s="35" t="n">
        <v>89</v>
      </c>
      <c r="B90" s="7" t="s">
        <v>22</v>
      </c>
      <c r="C90" s="35" t="s">
        <v>283</v>
      </c>
      <c r="D90" s="35" t="s">
        <v>487</v>
      </c>
      <c r="E90" s="35" t="s">
        <v>253</v>
      </c>
      <c r="F90" s="35" t="s">
        <v>253</v>
      </c>
      <c r="G90" s="35" t="s">
        <v>507</v>
      </c>
      <c r="H90" s="35" t="s">
        <v>508</v>
      </c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 t="s">
        <v>40</v>
      </c>
      <c r="AN90" s="35" t="s">
        <v>41</v>
      </c>
      <c r="AO90" s="35" t="s">
        <v>43</v>
      </c>
      <c r="AP90" s="35" t="s">
        <v>230</v>
      </c>
      <c r="AQ90" s="35" t="s">
        <v>253</v>
      </c>
      <c r="AR90" s="35" t="n">
        <f aca="false">COUNTIFS(Trechos!$L$2:$L$526,A90)</f>
        <v>3</v>
      </c>
      <c r="AS90" s="36" t="n">
        <f aca="false">SUMIFS(Trechos!$F$2:$F$526,Trechos!$L$2:$L$526,A90)</f>
        <v>27.2070548561962</v>
      </c>
      <c r="AT90" s="35" t="n">
        <f aca="false">COUNTA(AW90:CW90)</f>
        <v>0</v>
      </c>
      <c r="AU90" s="35" t="str">
        <f aca="false">IF(COUNTA(AW90:CW90)=0,"—",_xlfn.TEXTJOIN(", ",TRUE(),AW90:CW90))</f>
        <v>—</v>
      </c>
      <c r="AV90" s="35" t="s">
        <v>50</v>
      </c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customFormat="false" ht="15" hidden="false" customHeight="false" outlineLevel="0" collapsed="false">
      <c r="A91" s="35" t="n">
        <v>90</v>
      </c>
      <c r="B91" s="7" t="s">
        <v>22</v>
      </c>
      <c r="C91" s="35" t="s">
        <v>283</v>
      </c>
      <c r="D91" s="35" t="s">
        <v>487</v>
      </c>
      <c r="E91" s="35" t="s">
        <v>255</v>
      </c>
      <c r="F91" s="35" t="s">
        <v>255</v>
      </c>
      <c r="G91" s="35" t="s">
        <v>256</v>
      </c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 t="s">
        <v>40</v>
      </c>
      <c r="AN91" s="35" t="s">
        <v>41</v>
      </c>
      <c r="AO91" s="35" t="s">
        <v>43</v>
      </c>
      <c r="AP91" s="35" t="s">
        <v>230</v>
      </c>
      <c r="AQ91" s="35" t="s">
        <v>255</v>
      </c>
      <c r="AR91" s="35" t="n">
        <f aca="false">COUNTIFS(Trechos!$L$2:$L$526,A91)</f>
        <v>1</v>
      </c>
      <c r="AS91" s="36" t="n">
        <f aca="false">SUMIFS(Trechos!$F$2:$F$526,Trechos!$L$2:$L$526,A91)</f>
        <v>1.88703335202875</v>
      </c>
      <c r="AT91" s="35" t="n">
        <f aca="false">COUNTA(AW91:CW91)</f>
        <v>0</v>
      </c>
      <c r="AU91" s="35" t="str">
        <f aca="false">IF(COUNTA(AW91:CW91)=0,"—",_xlfn.TEXTJOIN(", ",TRUE(),AW91:CW91))</f>
        <v>—</v>
      </c>
      <c r="AV91" s="35" t="s">
        <v>50</v>
      </c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customFormat="false" ht="15" hidden="false" customHeight="false" outlineLevel="0" collapsed="false">
      <c r="A92" s="35" t="n">
        <v>91</v>
      </c>
      <c r="B92" s="7" t="s">
        <v>22</v>
      </c>
      <c r="C92" s="35" t="s">
        <v>283</v>
      </c>
      <c r="D92" s="35" t="s">
        <v>487</v>
      </c>
      <c r="E92" s="35" t="s">
        <v>257</v>
      </c>
      <c r="F92" s="35" t="s">
        <v>257</v>
      </c>
      <c r="G92" s="35" t="s">
        <v>509</v>
      </c>
      <c r="H92" s="35" t="s">
        <v>510</v>
      </c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 t="s">
        <v>40</v>
      </c>
      <c r="AN92" s="35" t="s">
        <v>41</v>
      </c>
      <c r="AO92" s="35" t="s">
        <v>43</v>
      </c>
      <c r="AP92" s="35" t="s">
        <v>230</v>
      </c>
      <c r="AQ92" s="35" t="s">
        <v>257</v>
      </c>
      <c r="AR92" s="35" t="n">
        <f aca="false">COUNTIFS(Trechos!$L$2:$L$526,A92)</f>
        <v>3</v>
      </c>
      <c r="AS92" s="36" t="n">
        <f aca="false">SUMIFS(Trechos!$F$2:$F$526,Trechos!$L$2:$L$526,A92)</f>
        <v>29.0262403300082</v>
      </c>
      <c r="AT92" s="35" t="n">
        <f aca="false">COUNTA(AW92:CW92)</f>
        <v>0</v>
      </c>
      <c r="AU92" s="35" t="str">
        <f aca="false">IF(COUNTA(AW92:CW92)=0,"—",_xlfn.TEXTJOIN(", ",TRUE(),AW92:CW92))</f>
        <v>—</v>
      </c>
      <c r="AV92" s="35" t="s">
        <v>50</v>
      </c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customFormat="false" ht="15" hidden="false" customHeight="false" outlineLevel="0" collapsed="false">
      <c r="A93" s="35" t="n">
        <v>92</v>
      </c>
      <c r="B93" s="7" t="s">
        <v>22</v>
      </c>
      <c r="C93" s="35" t="s">
        <v>283</v>
      </c>
      <c r="D93" s="35" t="s">
        <v>487</v>
      </c>
      <c r="E93" s="35" t="s">
        <v>259</v>
      </c>
      <c r="F93" s="35" t="s">
        <v>259</v>
      </c>
      <c r="G93" s="35" t="s">
        <v>260</v>
      </c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 t="s">
        <v>40</v>
      </c>
      <c r="AN93" s="35" t="s">
        <v>41</v>
      </c>
      <c r="AO93" s="35" t="s">
        <v>43</v>
      </c>
      <c r="AP93" s="35" t="s">
        <v>230</v>
      </c>
      <c r="AQ93" s="35" t="s">
        <v>259</v>
      </c>
      <c r="AR93" s="35" t="n">
        <f aca="false">COUNTIFS(Trechos!$L$2:$L$526,A93)</f>
        <v>2</v>
      </c>
      <c r="AS93" s="36" t="n">
        <f aca="false">SUMIFS(Trechos!$F$2:$F$526,Trechos!$L$2:$L$526,A93)</f>
        <v>26.0020817843394</v>
      </c>
      <c r="AT93" s="35" t="n">
        <f aca="false">COUNTA(AW93:CW93)</f>
        <v>0</v>
      </c>
      <c r="AU93" s="35" t="str">
        <f aca="false">IF(COUNTA(AW93:CW93)=0,"—",_xlfn.TEXTJOIN(", ",TRUE(),AW93:CW93))</f>
        <v>—</v>
      </c>
      <c r="AV93" s="35" t="s">
        <v>50</v>
      </c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customFormat="false" ht="15" hidden="false" customHeight="false" outlineLevel="0" collapsed="false">
      <c r="A94" s="35" t="n">
        <v>93</v>
      </c>
      <c r="B94" s="7" t="s">
        <v>22</v>
      </c>
      <c r="C94" s="35" t="s">
        <v>283</v>
      </c>
      <c r="D94" s="35" t="s">
        <v>487</v>
      </c>
      <c r="E94" s="35" t="s">
        <v>261</v>
      </c>
      <c r="F94" s="35" t="s">
        <v>261</v>
      </c>
      <c r="G94" s="35" t="s">
        <v>262</v>
      </c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 t="s">
        <v>40</v>
      </c>
      <c r="AN94" s="35" t="s">
        <v>41</v>
      </c>
      <c r="AO94" s="35" t="s">
        <v>43</v>
      </c>
      <c r="AP94" s="35" t="s">
        <v>230</v>
      </c>
      <c r="AQ94" s="35" t="s">
        <v>261</v>
      </c>
      <c r="AR94" s="35" t="n">
        <f aca="false">COUNTIFS(Trechos!$L$2:$L$526,A94)</f>
        <v>1</v>
      </c>
      <c r="AS94" s="36" t="n">
        <f aca="false">SUMIFS(Trechos!$F$2:$F$526,Trechos!$L$2:$L$526,A94)</f>
        <v>8.2459817408769</v>
      </c>
      <c r="AT94" s="35" t="n">
        <f aca="false">COUNTA(AW94:CW94)</f>
        <v>0</v>
      </c>
      <c r="AU94" s="35" t="str">
        <f aca="false">IF(COUNTA(AW94:CW94)=0,"—",_xlfn.TEXTJOIN(", ",TRUE(),AW94:CW94))</f>
        <v>—</v>
      </c>
      <c r="AV94" s="35" t="s">
        <v>50</v>
      </c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customFormat="false" ht="15" hidden="false" customHeight="false" outlineLevel="0" collapsed="false">
      <c r="A95" s="35" t="n">
        <v>94</v>
      </c>
      <c r="B95" s="6" t="s">
        <v>21</v>
      </c>
      <c r="C95" s="35" t="s">
        <v>283</v>
      </c>
      <c r="D95" s="35" t="s">
        <v>511</v>
      </c>
      <c r="E95" s="35" t="s">
        <v>43</v>
      </c>
      <c r="F95" s="35" t="s">
        <v>264</v>
      </c>
      <c r="G95" s="35" t="s">
        <v>512</v>
      </c>
      <c r="H95" s="35" t="s">
        <v>513</v>
      </c>
      <c r="I95" s="35" t="s">
        <v>514</v>
      </c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 t="s">
        <v>40</v>
      </c>
      <c r="AN95" s="35" t="s">
        <v>41</v>
      </c>
      <c r="AO95" s="35" t="s">
        <v>43</v>
      </c>
      <c r="AP95" s="35"/>
      <c r="AQ95" s="35"/>
      <c r="AR95" s="35" t="n">
        <f aca="false">COUNTIFS(Trechos!$L$2:$L$526,A95)</f>
        <v>7</v>
      </c>
      <c r="AS95" s="36" t="n">
        <f aca="false">SUMIFS(Trechos!$F$2:$F$526,Trechos!$L$2:$L$526,A95)</f>
        <v>82.888623314302</v>
      </c>
      <c r="AT95" s="35" t="n">
        <f aca="false">COUNTA(AW95:CW95)</f>
        <v>0</v>
      </c>
      <c r="AU95" s="35" t="str">
        <f aca="false">IF(COUNTA(AW95:CW95)=0,"—",_xlfn.TEXTJOIN(", ",TRUE(),AW95:CW95))</f>
        <v>—</v>
      </c>
      <c r="AV95" s="35" t="s">
        <v>50</v>
      </c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customFormat="false" ht="15" hidden="false" customHeight="false" outlineLevel="0" collapsed="false">
      <c r="A96" s="35" t="n">
        <v>95</v>
      </c>
      <c r="B96" s="6" t="s">
        <v>21</v>
      </c>
      <c r="C96" s="35" t="s">
        <v>283</v>
      </c>
      <c r="D96" s="35" t="s">
        <v>515</v>
      </c>
      <c r="E96" s="35" t="s">
        <v>43</v>
      </c>
      <c r="F96" s="35" t="s">
        <v>267</v>
      </c>
      <c r="G96" s="35" t="s">
        <v>268</v>
      </c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 t="s">
        <v>40</v>
      </c>
      <c r="AN96" s="35" t="s">
        <v>41</v>
      </c>
      <c r="AO96" s="35" t="s">
        <v>43</v>
      </c>
      <c r="AP96" s="35"/>
      <c r="AQ96" s="35"/>
      <c r="AR96" s="35" t="n">
        <f aca="false">COUNTIFS(Trechos!$L$2:$L$526,A96)</f>
        <v>2</v>
      </c>
      <c r="AS96" s="36" t="n">
        <f aca="false">SUMIFS(Trechos!$F$2:$F$526,Trechos!$L$2:$L$526,A96)</f>
        <v>58.4720798475716</v>
      </c>
      <c r="AT96" s="35" t="n">
        <f aca="false">COUNTA(AW96:CW96)</f>
        <v>0</v>
      </c>
      <c r="AU96" s="35" t="str">
        <f aca="false">IF(COUNTA(AW96:CW96)=0,"—",_xlfn.TEXTJOIN(", ",TRUE(),AW96:CW96))</f>
        <v>—</v>
      </c>
      <c r="AV96" s="35" t="s">
        <v>50</v>
      </c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customFormat="false" ht="15" hidden="false" customHeight="false" outlineLevel="0" collapsed="false">
      <c r="A97" s="35" t="n">
        <v>96</v>
      </c>
      <c r="B97" s="6" t="s">
        <v>21</v>
      </c>
      <c r="C97" s="35" t="s">
        <v>283</v>
      </c>
      <c r="D97" s="35" t="s">
        <v>516</v>
      </c>
      <c r="E97" s="35" t="s">
        <v>43</v>
      </c>
      <c r="F97" s="35" t="s">
        <v>270</v>
      </c>
      <c r="G97" s="35" t="s">
        <v>271</v>
      </c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 t="s">
        <v>40</v>
      </c>
      <c r="AN97" s="35" t="s">
        <v>41</v>
      </c>
      <c r="AO97" s="35" t="s">
        <v>43</v>
      </c>
      <c r="AP97" s="35"/>
      <c r="AQ97" s="35"/>
      <c r="AR97" s="35" t="n">
        <f aca="false">COUNTIFS(Trechos!$L$2:$L$526,A97)</f>
        <v>1</v>
      </c>
      <c r="AS97" s="36" t="n">
        <f aca="false">SUMIFS(Trechos!$F$2:$F$526,Trechos!$L$2:$L$526,A97)</f>
        <v>30.0082558648023</v>
      </c>
      <c r="AT97" s="35" t="n">
        <f aca="false">COUNTA(AW97:CW97)</f>
        <v>0</v>
      </c>
      <c r="AU97" s="35" t="str">
        <f aca="false">IF(COUNTA(AW97:CW97)=0,"—",_xlfn.TEXTJOIN(", ",TRUE(),AW97:CW97))</f>
        <v>—</v>
      </c>
      <c r="AV97" s="35" t="s">
        <v>50</v>
      </c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customFormat="false" ht="15" hidden="false" customHeight="false" outlineLevel="0" collapsed="false">
      <c r="A98" s="35" t="n">
        <v>97</v>
      </c>
      <c r="B98" s="7" t="s">
        <v>22</v>
      </c>
      <c r="C98" s="35" t="s">
        <v>283</v>
      </c>
      <c r="D98" s="35" t="s">
        <v>517</v>
      </c>
      <c r="E98" s="35" t="s">
        <v>273</v>
      </c>
      <c r="F98" s="35" t="s">
        <v>273</v>
      </c>
      <c r="G98" s="35" t="s">
        <v>274</v>
      </c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 t="s">
        <v>40</v>
      </c>
      <c r="AN98" s="35" t="s">
        <v>41</v>
      </c>
      <c r="AO98" s="35" t="s">
        <v>43</v>
      </c>
      <c r="AP98" s="35" t="s">
        <v>273</v>
      </c>
      <c r="AQ98" s="35"/>
      <c r="AR98" s="35" t="n">
        <f aca="false">COUNTIFS(Trechos!$L$2:$L$526,A98)</f>
        <v>1</v>
      </c>
      <c r="AS98" s="36" t="n">
        <f aca="false">SUMIFS(Trechos!$F$2:$F$526,Trechos!$L$2:$L$526,A98)</f>
        <v>20.6350272599065</v>
      </c>
      <c r="AT98" s="35" t="n">
        <f aca="false">COUNTA(AW98:CW98)</f>
        <v>0</v>
      </c>
      <c r="AU98" s="35" t="str">
        <f aca="false">IF(COUNTA(AW98:CW98)=0,"—",_xlfn.TEXTJOIN(", ",TRUE(),AW98:CW98))</f>
        <v>—</v>
      </c>
      <c r="AV98" s="35" t="s">
        <v>50</v>
      </c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customFormat="false" ht="15" hidden="false" customHeight="false" outlineLevel="0" collapsed="false">
      <c r="A99" s="4" t="s">
        <v>518</v>
      </c>
      <c r="AR99" s="37" t="n">
        <f aca="false">SUM(AR2:AR98)</f>
        <v>525</v>
      </c>
      <c r="AS99" s="37" t="n">
        <f aca="false">SUM(AS2:AS98)</f>
        <v>14856.080409622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false" summaryRight="true"/>
    <pageSetUpPr fitToPage="false"/>
  </sheetPr>
  <dimension ref="A1:N6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2" min="1" style="0" width="7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9" min="7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4"/>
    <col collapsed="false" customWidth="true" hidden="false" outlineLevel="0" max="13" min="13" style="0" width="18"/>
    <col collapsed="false" customWidth="true" hidden="false" outlineLevel="0" max="14" min="14" style="0" width="42"/>
  </cols>
  <sheetData>
    <row r="1" customFormat="false" ht="31.5" hidden="false" customHeight="true" outlineLevel="0" collapsed="false">
      <c r="A1" s="16" t="s">
        <v>11</v>
      </c>
      <c r="B1" s="16" t="s">
        <v>1</v>
      </c>
      <c r="C1" s="16" t="s">
        <v>282</v>
      </c>
      <c r="D1" s="16" t="s">
        <v>283</v>
      </c>
      <c r="E1" s="16" t="s">
        <v>7</v>
      </c>
      <c r="F1" s="16" t="s">
        <v>519</v>
      </c>
      <c r="G1" s="16" t="s">
        <v>281</v>
      </c>
      <c r="H1" s="16" t="s">
        <v>520</v>
      </c>
      <c r="I1" s="16" t="s">
        <v>36</v>
      </c>
      <c r="J1" s="16" t="s">
        <v>521</v>
      </c>
      <c r="K1" s="16" t="s">
        <v>286</v>
      </c>
      <c r="L1" s="16" t="s">
        <v>522</v>
      </c>
      <c r="M1" s="16" t="s">
        <v>37</v>
      </c>
      <c r="N1" s="16" t="s">
        <v>523</v>
      </c>
    </row>
    <row r="2" customFormat="false" ht="15" hidden="false" customHeight="false" outlineLevel="0" collapsed="true">
      <c r="A2" s="38" t="n">
        <v>1</v>
      </c>
      <c r="B2" s="38" t="s">
        <v>20</v>
      </c>
      <c r="C2" s="38" t="s">
        <v>5</v>
      </c>
      <c r="D2" s="38" t="s">
        <v>5</v>
      </c>
      <c r="E2" s="38" t="s">
        <v>40</v>
      </c>
      <c r="F2" s="38" t="str">
        <f aca="false">COUNTIFS(Trechos!$L$2:$L$526,A2)&amp;" vãos"</f>
        <v>62 vãos</v>
      </c>
      <c r="G2" s="38"/>
      <c r="H2" s="38"/>
      <c r="I2" s="39" t="n">
        <f aca="false">SUMIFS(Trechos!$F$2:$F$526,Trechos!$L$2:$L$526,A2)</f>
        <v>2972.16473094508</v>
      </c>
      <c r="J2" s="38"/>
      <c r="K2" s="38"/>
      <c r="L2" s="38" t="s">
        <v>41</v>
      </c>
      <c r="M2" s="38" t="s">
        <v>42</v>
      </c>
      <c r="N2" s="38" t="str">
        <f aca="false">Blocos!AU2</f>
        <v>7903565004, 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0200571004, 0230252004, 0303731004, 0200556004, 0303973004, 0200550004, 0201875004, 0200549004, 0200548004, 0200547004, 0345761004, 0201072004</v>
      </c>
    </row>
    <row r="3" customFormat="false" ht="15" hidden="true" customHeight="false" outlineLevel="1" collapsed="false">
      <c r="F3" s="35" t="s">
        <v>524</v>
      </c>
      <c r="G3" s="35" t="s">
        <v>525</v>
      </c>
      <c r="H3" s="35" t="s">
        <v>526</v>
      </c>
      <c r="I3" s="40" t="n">
        <v>41.8227890679907</v>
      </c>
      <c r="J3" s="36" t="n">
        <v>41.8227890679907</v>
      </c>
      <c r="K3" s="35"/>
    </row>
    <row r="4" customFormat="false" ht="15" hidden="true" customHeight="false" outlineLevel="1" collapsed="false">
      <c r="F4" s="35" t="s">
        <v>527</v>
      </c>
      <c r="G4" s="35" t="s">
        <v>526</v>
      </c>
      <c r="H4" s="35" t="s">
        <v>528</v>
      </c>
      <c r="I4" s="40" t="n">
        <v>0.799900259667424</v>
      </c>
      <c r="J4" s="36" t="n">
        <v>42.6226893276581</v>
      </c>
      <c r="K4" s="35" t="s">
        <v>529</v>
      </c>
    </row>
    <row r="5" customFormat="false" ht="15" hidden="true" customHeight="false" outlineLevel="1" collapsed="false">
      <c r="F5" s="35" t="s">
        <v>530</v>
      </c>
      <c r="G5" s="35" t="s">
        <v>528</v>
      </c>
      <c r="H5" s="35" t="s">
        <v>531</v>
      </c>
      <c r="I5" s="40" t="n">
        <v>11.266548297878</v>
      </c>
      <c r="J5" s="36" t="n">
        <v>53.889237625536</v>
      </c>
      <c r="K5" s="35"/>
    </row>
    <row r="6" customFormat="false" ht="15" hidden="true" customHeight="false" outlineLevel="1" collapsed="false">
      <c r="F6" s="35" t="s">
        <v>532</v>
      </c>
      <c r="G6" s="35" t="s">
        <v>531</v>
      </c>
      <c r="H6" s="35" t="s">
        <v>533</v>
      </c>
      <c r="I6" s="40" t="n">
        <v>2.19971685054003</v>
      </c>
      <c r="J6" s="36" t="n">
        <v>56.0889544760761</v>
      </c>
      <c r="K6" s="35" t="s">
        <v>534</v>
      </c>
    </row>
    <row r="7" customFormat="false" ht="15" hidden="true" customHeight="false" outlineLevel="1" collapsed="false">
      <c r="F7" s="35" t="s">
        <v>535</v>
      </c>
      <c r="G7" s="35" t="s">
        <v>533</v>
      </c>
      <c r="H7" s="35" t="s">
        <v>536</v>
      </c>
      <c r="I7" s="40" t="n">
        <v>19.6834068553361</v>
      </c>
      <c r="J7" s="36" t="n">
        <v>75.7723613314122</v>
      </c>
      <c r="K7" s="35"/>
    </row>
    <row r="8" customFormat="false" ht="15" hidden="true" customHeight="false" outlineLevel="1" collapsed="false">
      <c r="F8" s="35" t="s">
        <v>537</v>
      </c>
      <c r="G8" s="35" t="s">
        <v>536</v>
      </c>
      <c r="H8" s="35" t="s">
        <v>538</v>
      </c>
      <c r="I8" s="40" t="n">
        <v>3.75924769599223</v>
      </c>
      <c r="J8" s="36" t="n">
        <v>79.5316090274044</v>
      </c>
      <c r="K8" s="35"/>
    </row>
    <row r="9" customFormat="false" ht="15" hidden="true" customHeight="false" outlineLevel="1" collapsed="false">
      <c r="F9" s="35" t="s">
        <v>539</v>
      </c>
      <c r="G9" s="35" t="s">
        <v>538</v>
      </c>
      <c r="H9" s="35" t="s">
        <v>540</v>
      </c>
      <c r="I9" s="40" t="n">
        <v>23.4962792207272</v>
      </c>
      <c r="J9" s="36" t="n">
        <v>103.027888248132</v>
      </c>
      <c r="K9" s="35"/>
    </row>
    <row r="10" customFormat="false" ht="15" hidden="true" customHeight="false" outlineLevel="1" collapsed="false">
      <c r="F10" s="35" t="s">
        <v>541</v>
      </c>
      <c r="G10" s="35" t="s">
        <v>540</v>
      </c>
      <c r="H10" s="35" t="s">
        <v>542</v>
      </c>
      <c r="I10" s="40" t="n">
        <v>3.69861950077131</v>
      </c>
      <c r="J10" s="36" t="n">
        <v>106.726507748903</v>
      </c>
      <c r="K10" s="35"/>
    </row>
    <row r="11" customFormat="false" ht="15" hidden="true" customHeight="false" outlineLevel="1" collapsed="false">
      <c r="F11" s="35" t="s">
        <v>543</v>
      </c>
      <c r="G11" s="35" t="s">
        <v>542</v>
      </c>
      <c r="H11" s="35" t="s">
        <v>544</v>
      </c>
      <c r="I11" s="40" t="n">
        <v>137.818386877409</v>
      </c>
      <c r="J11" s="36" t="n">
        <v>244.544894626312</v>
      </c>
      <c r="K11" s="35"/>
    </row>
    <row r="12" customFormat="false" ht="15" hidden="true" customHeight="false" outlineLevel="1" collapsed="false">
      <c r="F12" s="35" t="s">
        <v>545</v>
      </c>
      <c r="G12" s="35" t="s">
        <v>544</v>
      </c>
      <c r="H12" s="35" t="s">
        <v>546</v>
      </c>
      <c r="I12" s="40" t="n">
        <v>3.70477603871176</v>
      </c>
      <c r="J12" s="36" t="n">
        <v>248.249670665024</v>
      </c>
      <c r="K12" s="35"/>
    </row>
    <row r="13" customFormat="false" ht="15" hidden="true" customHeight="false" outlineLevel="1" collapsed="false">
      <c r="F13" s="35" t="s">
        <v>547</v>
      </c>
      <c r="G13" s="35" t="s">
        <v>546</v>
      </c>
      <c r="H13" s="35" t="s">
        <v>548</v>
      </c>
      <c r="I13" s="40" t="n">
        <v>20.4406509098437</v>
      </c>
      <c r="J13" s="36" t="n">
        <v>268.690321574867</v>
      </c>
      <c r="K13" s="35"/>
    </row>
    <row r="14" customFormat="false" ht="15" hidden="true" customHeight="false" outlineLevel="1" collapsed="false">
      <c r="F14" s="35" t="s">
        <v>549</v>
      </c>
      <c r="G14" s="35" t="s">
        <v>548</v>
      </c>
      <c r="H14" s="35" t="s">
        <v>550</v>
      </c>
      <c r="I14" s="40" t="n">
        <v>3.67603812725738</v>
      </c>
      <c r="J14" s="36" t="n">
        <v>272.366359702125</v>
      </c>
      <c r="K14" s="35"/>
    </row>
    <row r="15" customFormat="false" ht="15" hidden="true" customHeight="false" outlineLevel="1" collapsed="false">
      <c r="F15" s="35" t="s">
        <v>551</v>
      </c>
      <c r="G15" s="35" t="s">
        <v>550</v>
      </c>
      <c r="H15" s="35" t="s">
        <v>552</v>
      </c>
      <c r="I15" s="40" t="n">
        <v>12.673458959616</v>
      </c>
      <c r="J15" s="36" t="n">
        <v>285.039818661741</v>
      </c>
      <c r="K15" s="35"/>
    </row>
    <row r="16" customFormat="false" ht="15" hidden="true" customHeight="false" outlineLevel="1" collapsed="false">
      <c r="F16" s="35" t="s">
        <v>553</v>
      </c>
      <c r="G16" s="35" t="s">
        <v>552</v>
      </c>
      <c r="H16" s="35" t="s">
        <v>554</v>
      </c>
      <c r="I16" s="40" t="n">
        <v>1.14270141687815</v>
      </c>
      <c r="J16" s="36" t="n">
        <v>286.182520078619</v>
      </c>
      <c r="K16" s="35" t="s">
        <v>555</v>
      </c>
    </row>
    <row r="17" customFormat="false" ht="15" hidden="true" customHeight="false" outlineLevel="1" collapsed="false">
      <c r="F17" s="35" t="s">
        <v>556</v>
      </c>
      <c r="G17" s="35" t="s">
        <v>554</v>
      </c>
      <c r="H17" s="35" t="s">
        <v>557</v>
      </c>
      <c r="I17" s="40" t="n">
        <v>256.512021952124</v>
      </c>
      <c r="J17" s="36" t="n">
        <v>542.694542030743</v>
      </c>
      <c r="K17" s="35"/>
    </row>
    <row r="18" customFormat="false" ht="15" hidden="true" customHeight="false" outlineLevel="1" collapsed="false">
      <c r="F18" s="35" t="s">
        <v>558</v>
      </c>
      <c r="G18" s="35" t="s">
        <v>557</v>
      </c>
      <c r="H18" s="35" t="s">
        <v>559</v>
      </c>
      <c r="I18" s="40" t="n">
        <v>3.82366899923944</v>
      </c>
      <c r="J18" s="36" t="n">
        <v>546.518211029982</v>
      </c>
      <c r="K18" s="35"/>
    </row>
    <row r="19" customFormat="false" ht="15" hidden="true" customHeight="false" outlineLevel="1" collapsed="false">
      <c r="F19" s="35" t="s">
        <v>560</v>
      </c>
      <c r="G19" s="35" t="s">
        <v>559</v>
      </c>
      <c r="H19" s="35" t="s">
        <v>561</v>
      </c>
      <c r="I19" s="40" t="n">
        <v>89.4506522636549</v>
      </c>
      <c r="J19" s="36" t="n">
        <v>635.968863293637</v>
      </c>
      <c r="K19" s="35"/>
    </row>
    <row r="20" customFormat="false" ht="15" hidden="true" customHeight="false" outlineLevel="1" collapsed="false">
      <c r="F20" s="35" t="s">
        <v>562</v>
      </c>
      <c r="G20" s="35" t="s">
        <v>561</v>
      </c>
      <c r="H20" s="35" t="s">
        <v>563</v>
      </c>
      <c r="I20" s="40" t="n">
        <v>3.7965246515908</v>
      </c>
      <c r="J20" s="36" t="n">
        <v>639.765387945228</v>
      </c>
      <c r="K20" s="35"/>
    </row>
    <row r="21" customFormat="false" ht="15" hidden="true" customHeight="false" outlineLevel="1" collapsed="false">
      <c r="F21" s="35" t="s">
        <v>564</v>
      </c>
      <c r="G21" s="35" t="s">
        <v>563</v>
      </c>
      <c r="H21" s="35" t="s">
        <v>565</v>
      </c>
      <c r="I21" s="40" t="n">
        <v>56.8834942058795</v>
      </c>
      <c r="J21" s="36" t="n">
        <v>696.648882151108</v>
      </c>
      <c r="K21" s="35"/>
    </row>
    <row r="22" customFormat="false" ht="15" hidden="true" customHeight="false" outlineLevel="1" collapsed="false">
      <c r="F22" s="35" t="s">
        <v>566</v>
      </c>
      <c r="G22" s="35" t="s">
        <v>565</v>
      </c>
      <c r="H22" s="35" t="s">
        <v>567</v>
      </c>
      <c r="I22" s="40" t="n">
        <v>3.58893142327609</v>
      </c>
      <c r="J22" s="36" t="n">
        <v>700.237813574384</v>
      </c>
      <c r="K22" s="35"/>
    </row>
    <row r="23" customFormat="false" ht="15" hidden="true" customHeight="false" outlineLevel="1" collapsed="false">
      <c r="F23" s="35" t="s">
        <v>568</v>
      </c>
      <c r="G23" s="35" t="s">
        <v>567</v>
      </c>
      <c r="H23" s="35" t="s">
        <v>569</v>
      </c>
      <c r="I23" s="40" t="n">
        <v>148.499886695988</v>
      </c>
      <c r="J23" s="36" t="n">
        <v>848.737700270372</v>
      </c>
      <c r="K23" s="35"/>
    </row>
    <row r="24" customFormat="false" ht="15" hidden="true" customHeight="false" outlineLevel="1" collapsed="false">
      <c r="F24" s="35" t="s">
        <v>570</v>
      </c>
      <c r="G24" s="35" t="s">
        <v>569</v>
      </c>
      <c r="H24" s="35" t="s">
        <v>571</v>
      </c>
      <c r="I24" s="40" t="n">
        <v>3.62446650931296</v>
      </c>
      <c r="J24" s="36" t="n">
        <v>852.362166779685</v>
      </c>
      <c r="K24" s="35"/>
    </row>
    <row r="25" customFormat="false" ht="15" hidden="true" customHeight="false" outlineLevel="1" collapsed="false">
      <c r="F25" s="35" t="s">
        <v>572</v>
      </c>
      <c r="G25" s="35" t="s">
        <v>571</v>
      </c>
      <c r="H25" s="35" t="s">
        <v>573</v>
      </c>
      <c r="I25" s="40" t="n">
        <v>164.31483123339</v>
      </c>
      <c r="J25" s="36" t="n">
        <v>1016.67699801308</v>
      </c>
      <c r="K25" s="35"/>
    </row>
    <row r="26" customFormat="false" ht="15" hidden="true" customHeight="false" outlineLevel="1" collapsed="false">
      <c r="F26" s="35" t="s">
        <v>574</v>
      </c>
      <c r="G26" s="35" t="s">
        <v>573</v>
      </c>
      <c r="H26" s="35" t="s">
        <v>575</v>
      </c>
      <c r="I26" s="40" t="n">
        <v>2.5170796475029</v>
      </c>
      <c r="J26" s="36" t="n">
        <v>1019.19407766058</v>
      </c>
      <c r="K26" s="35"/>
    </row>
    <row r="27" customFormat="false" ht="15" hidden="true" customHeight="false" outlineLevel="1" collapsed="false">
      <c r="F27" s="35" t="s">
        <v>576</v>
      </c>
      <c r="G27" s="35" t="s">
        <v>575</v>
      </c>
      <c r="H27" s="35" t="s">
        <v>577</v>
      </c>
      <c r="I27" s="40" t="n">
        <v>71.4099236647656</v>
      </c>
      <c r="J27" s="36" t="n">
        <v>1090.60400132534</v>
      </c>
      <c r="K27" s="35"/>
    </row>
    <row r="28" customFormat="false" ht="15" hidden="true" customHeight="false" outlineLevel="1" collapsed="false">
      <c r="F28" s="35" t="s">
        <v>578</v>
      </c>
      <c r="G28" s="35" t="s">
        <v>577</v>
      </c>
      <c r="H28" s="35" t="s">
        <v>579</v>
      </c>
      <c r="I28" s="40" t="n">
        <v>37.3181457414032</v>
      </c>
      <c r="J28" s="36" t="n">
        <v>1127.92214706675</v>
      </c>
      <c r="K28" s="35"/>
    </row>
    <row r="29" customFormat="false" ht="15" hidden="true" customHeight="false" outlineLevel="1" collapsed="false">
      <c r="F29" s="35" t="s">
        <v>580</v>
      </c>
      <c r="G29" s="35" t="s">
        <v>579</v>
      </c>
      <c r="H29" s="35" t="s">
        <v>581</v>
      </c>
      <c r="I29" s="40" t="n">
        <v>5.9434263579936</v>
      </c>
      <c r="J29" s="36" t="n">
        <v>1133.86557342474</v>
      </c>
      <c r="K29" s="35" t="s">
        <v>582</v>
      </c>
    </row>
    <row r="30" customFormat="false" ht="15" hidden="true" customHeight="false" outlineLevel="1" collapsed="false">
      <c r="F30" s="35" t="s">
        <v>583</v>
      </c>
      <c r="G30" s="35" t="s">
        <v>581</v>
      </c>
      <c r="H30" s="35" t="s">
        <v>584</v>
      </c>
      <c r="I30" s="40" t="n">
        <v>90.7210719031223</v>
      </c>
      <c r="J30" s="36" t="n">
        <v>1224.58664532786</v>
      </c>
      <c r="K30" s="35"/>
    </row>
    <row r="31" customFormat="false" ht="15" hidden="true" customHeight="false" outlineLevel="1" collapsed="false">
      <c r="F31" s="35" t="s">
        <v>585</v>
      </c>
      <c r="G31" s="35" t="s">
        <v>584</v>
      </c>
      <c r="H31" s="35" t="s">
        <v>586</v>
      </c>
      <c r="I31" s="40" t="n">
        <v>79.7912588970459</v>
      </c>
      <c r="J31" s="36" t="n">
        <v>1304.37790422491</v>
      </c>
      <c r="K31" s="35"/>
    </row>
    <row r="32" customFormat="false" ht="15" hidden="true" customHeight="false" outlineLevel="1" collapsed="false">
      <c r="F32" s="35" t="s">
        <v>587</v>
      </c>
      <c r="G32" s="35" t="s">
        <v>586</v>
      </c>
      <c r="H32" s="35" t="s">
        <v>588</v>
      </c>
      <c r="I32" s="40" t="n">
        <v>39.7068110347261</v>
      </c>
      <c r="J32" s="36" t="n">
        <v>1344.08471525964</v>
      </c>
      <c r="K32" s="35"/>
    </row>
    <row r="33" customFormat="false" ht="15" hidden="true" customHeight="false" outlineLevel="1" collapsed="false">
      <c r="F33" s="35" t="s">
        <v>589</v>
      </c>
      <c r="G33" s="35" t="s">
        <v>588</v>
      </c>
      <c r="H33" s="35" t="s">
        <v>590</v>
      </c>
      <c r="I33" s="40" t="n">
        <v>83.8552301557725</v>
      </c>
      <c r="J33" s="36" t="n">
        <v>1427.93994541541</v>
      </c>
      <c r="K33" s="35"/>
    </row>
    <row r="34" customFormat="false" ht="15" hidden="true" customHeight="false" outlineLevel="1" collapsed="false">
      <c r="F34" s="35" t="s">
        <v>591</v>
      </c>
      <c r="G34" s="35" t="s">
        <v>590</v>
      </c>
      <c r="H34" s="35" t="s">
        <v>592</v>
      </c>
      <c r="I34" s="40" t="n">
        <v>43.4848033231133</v>
      </c>
      <c r="J34" s="36" t="n">
        <v>1471.42474873852</v>
      </c>
      <c r="K34" s="35"/>
    </row>
    <row r="35" customFormat="false" ht="15" hidden="true" customHeight="false" outlineLevel="1" collapsed="false">
      <c r="F35" s="35" t="s">
        <v>593</v>
      </c>
      <c r="G35" s="35" t="s">
        <v>592</v>
      </c>
      <c r="H35" s="35" t="s">
        <v>594</v>
      </c>
      <c r="I35" s="40" t="n">
        <v>2.74934513014936</v>
      </c>
      <c r="J35" s="36" t="n">
        <v>1474.17409386867</v>
      </c>
      <c r="K35" s="35" t="s">
        <v>595</v>
      </c>
    </row>
    <row r="36" customFormat="false" ht="15" hidden="true" customHeight="false" outlineLevel="1" collapsed="false">
      <c r="F36" s="35" t="s">
        <v>596</v>
      </c>
      <c r="G36" s="35" t="s">
        <v>594</v>
      </c>
      <c r="H36" s="35" t="s">
        <v>597</v>
      </c>
      <c r="I36" s="40" t="n">
        <v>71.2898906409701</v>
      </c>
      <c r="J36" s="36" t="n">
        <v>1545.46398450964</v>
      </c>
      <c r="K36" s="35"/>
    </row>
    <row r="37" customFormat="false" ht="15" hidden="true" customHeight="false" outlineLevel="1" collapsed="false">
      <c r="F37" s="35" t="s">
        <v>598</v>
      </c>
      <c r="G37" s="35" t="s">
        <v>597</v>
      </c>
      <c r="H37" s="35" t="s">
        <v>599</v>
      </c>
      <c r="I37" s="40" t="n">
        <v>97.5876983437074</v>
      </c>
      <c r="J37" s="36" t="n">
        <v>1643.05168285335</v>
      </c>
      <c r="K37" s="35"/>
    </row>
    <row r="38" customFormat="false" ht="15" hidden="true" customHeight="false" outlineLevel="1" collapsed="false">
      <c r="F38" s="35" t="s">
        <v>600</v>
      </c>
      <c r="G38" s="35" t="s">
        <v>599</v>
      </c>
      <c r="H38" s="35" t="s">
        <v>601</v>
      </c>
      <c r="I38" s="40" t="n">
        <v>36.7482400842279</v>
      </c>
      <c r="J38" s="36" t="n">
        <v>1679.79992293758</v>
      </c>
      <c r="K38" s="35"/>
    </row>
    <row r="39" customFormat="false" ht="15" hidden="true" customHeight="false" outlineLevel="1" collapsed="false">
      <c r="F39" s="35" t="s">
        <v>602</v>
      </c>
      <c r="G39" s="35" t="s">
        <v>601</v>
      </c>
      <c r="H39" s="35" t="s">
        <v>603</v>
      </c>
      <c r="I39" s="40" t="n">
        <v>107.291374993095</v>
      </c>
      <c r="J39" s="36" t="n">
        <v>1787.09129793067</v>
      </c>
      <c r="K39" s="35"/>
    </row>
    <row r="40" customFormat="false" ht="15" hidden="true" customHeight="false" outlineLevel="1" collapsed="false">
      <c r="F40" s="35" t="s">
        <v>604</v>
      </c>
      <c r="G40" s="35" t="s">
        <v>603</v>
      </c>
      <c r="H40" s="35" t="s">
        <v>605</v>
      </c>
      <c r="I40" s="40" t="n">
        <v>43.1824728234174</v>
      </c>
      <c r="J40" s="36" t="n">
        <v>1830.27377075409</v>
      </c>
      <c r="K40" s="35"/>
    </row>
    <row r="41" customFormat="false" ht="15" hidden="true" customHeight="false" outlineLevel="1" collapsed="false">
      <c r="F41" s="35" t="s">
        <v>606</v>
      </c>
      <c r="G41" s="35" t="s">
        <v>605</v>
      </c>
      <c r="H41" s="35" t="s">
        <v>607</v>
      </c>
      <c r="I41" s="40" t="n">
        <v>3.91782369814774</v>
      </c>
      <c r="J41" s="36" t="n">
        <v>1834.19159445224</v>
      </c>
      <c r="K41" s="35"/>
    </row>
    <row r="42" customFormat="false" ht="15" hidden="true" customHeight="false" outlineLevel="1" collapsed="false">
      <c r="F42" s="35" t="s">
        <v>608</v>
      </c>
      <c r="G42" s="35" t="s">
        <v>607</v>
      </c>
      <c r="H42" s="35" t="s">
        <v>609</v>
      </c>
      <c r="I42" s="40" t="n">
        <v>127.979009312424</v>
      </c>
      <c r="J42" s="36" t="n">
        <v>1962.17060376466</v>
      </c>
      <c r="K42" s="35"/>
    </row>
    <row r="43" customFormat="false" ht="15" hidden="true" customHeight="false" outlineLevel="1" collapsed="false">
      <c r="F43" s="35" t="s">
        <v>610</v>
      </c>
      <c r="G43" s="35" t="s">
        <v>609</v>
      </c>
      <c r="H43" s="35" t="s">
        <v>611</v>
      </c>
      <c r="I43" s="40" t="n">
        <v>163.850651044911</v>
      </c>
      <c r="J43" s="36" t="n">
        <v>2126.02125480957</v>
      </c>
      <c r="K43" s="35"/>
    </row>
    <row r="44" customFormat="false" ht="15" hidden="true" customHeight="false" outlineLevel="1" collapsed="false">
      <c r="F44" s="35" t="s">
        <v>612</v>
      </c>
      <c r="G44" s="35" t="s">
        <v>611</v>
      </c>
      <c r="H44" s="35" t="s">
        <v>613</v>
      </c>
      <c r="I44" s="40" t="n">
        <v>25.4000563383387</v>
      </c>
      <c r="J44" s="36" t="n">
        <v>2151.42131114791</v>
      </c>
      <c r="K44" s="35"/>
    </row>
    <row r="45" customFormat="false" ht="15" hidden="true" customHeight="false" outlineLevel="1" collapsed="false">
      <c r="F45" s="35" t="s">
        <v>614</v>
      </c>
      <c r="G45" s="35" t="s">
        <v>613</v>
      </c>
      <c r="H45" s="35" t="s">
        <v>615</v>
      </c>
      <c r="I45" s="40" t="n">
        <v>46.96916623286</v>
      </c>
      <c r="J45" s="36" t="n">
        <v>2198.39047738077</v>
      </c>
      <c r="K45" s="35"/>
    </row>
    <row r="46" customFormat="false" ht="15" hidden="true" customHeight="false" outlineLevel="1" collapsed="false">
      <c r="F46" s="35" t="s">
        <v>616</v>
      </c>
      <c r="G46" s="35" t="s">
        <v>615</v>
      </c>
      <c r="H46" s="35" t="s">
        <v>617</v>
      </c>
      <c r="I46" s="40" t="n">
        <v>3.76986894054451</v>
      </c>
      <c r="J46" s="36" t="n">
        <v>2202.16034632131</v>
      </c>
      <c r="K46" s="35"/>
    </row>
    <row r="47" customFormat="false" ht="15" hidden="true" customHeight="false" outlineLevel="1" collapsed="false">
      <c r="F47" s="35" t="s">
        <v>618</v>
      </c>
      <c r="G47" s="35" t="s">
        <v>617</v>
      </c>
      <c r="H47" s="35" t="s">
        <v>619</v>
      </c>
      <c r="I47" s="40" t="n">
        <v>15.9198688434486</v>
      </c>
      <c r="J47" s="36" t="n">
        <v>2218.08021516476</v>
      </c>
      <c r="K47" s="35"/>
    </row>
    <row r="48" customFormat="false" ht="15" hidden="true" customHeight="false" outlineLevel="1" collapsed="false">
      <c r="F48" s="35" t="s">
        <v>620</v>
      </c>
      <c r="G48" s="35" t="s">
        <v>619</v>
      </c>
      <c r="H48" s="35" t="s">
        <v>621</v>
      </c>
      <c r="I48" s="40" t="n">
        <v>8.31016194643081</v>
      </c>
      <c r="J48" s="36" t="n">
        <v>2226.39037711119</v>
      </c>
      <c r="K48" s="35"/>
    </row>
    <row r="49" customFormat="false" ht="15" hidden="true" customHeight="false" outlineLevel="1" collapsed="false">
      <c r="F49" s="35" t="s">
        <v>622</v>
      </c>
      <c r="G49" s="35" t="s">
        <v>621</v>
      </c>
      <c r="H49" s="35" t="s">
        <v>623</v>
      </c>
      <c r="I49" s="40" t="n">
        <v>100.895537291834</v>
      </c>
      <c r="J49" s="36" t="n">
        <v>2327.28591440303</v>
      </c>
      <c r="K49" s="35"/>
    </row>
    <row r="50" customFormat="false" ht="15" hidden="true" customHeight="false" outlineLevel="1" collapsed="false">
      <c r="F50" s="35" t="s">
        <v>624</v>
      </c>
      <c r="G50" s="35" t="s">
        <v>623</v>
      </c>
      <c r="H50" s="35" t="s">
        <v>625</v>
      </c>
      <c r="I50" s="40" t="n">
        <v>39.9441360744549</v>
      </c>
      <c r="J50" s="36" t="n">
        <v>2367.23005047748</v>
      </c>
      <c r="K50" s="35"/>
    </row>
    <row r="51" customFormat="false" ht="15" hidden="true" customHeight="false" outlineLevel="1" collapsed="false">
      <c r="F51" s="35" t="s">
        <v>626</v>
      </c>
      <c r="G51" s="35" t="s">
        <v>625</v>
      </c>
      <c r="H51" s="35" t="s">
        <v>627</v>
      </c>
      <c r="I51" s="40" t="n">
        <v>172.468118917458</v>
      </c>
      <c r="J51" s="36" t="n">
        <v>2539.69816939494</v>
      </c>
      <c r="K51" s="35"/>
    </row>
    <row r="52" customFormat="false" ht="15" hidden="true" customHeight="false" outlineLevel="1" collapsed="false">
      <c r="F52" s="35" t="s">
        <v>628</v>
      </c>
      <c r="G52" s="35" t="s">
        <v>627</v>
      </c>
      <c r="H52" s="35" t="s">
        <v>629</v>
      </c>
      <c r="I52" s="40" t="n">
        <v>3.68663332092408</v>
      </c>
      <c r="J52" s="36" t="n">
        <v>2543.38480271587</v>
      </c>
      <c r="K52" s="35"/>
    </row>
    <row r="53" customFormat="false" ht="15" hidden="true" customHeight="false" outlineLevel="1" collapsed="false">
      <c r="F53" s="35" t="s">
        <v>630</v>
      </c>
      <c r="G53" s="35" t="s">
        <v>629</v>
      </c>
      <c r="H53" s="35" t="s">
        <v>631</v>
      </c>
      <c r="I53" s="40" t="n">
        <v>118.036590369989</v>
      </c>
      <c r="J53" s="36" t="n">
        <v>2661.42139308585</v>
      </c>
      <c r="K53" s="35"/>
    </row>
    <row r="54" customFormat="false" ht="15" hidden="true" customHeight="false" outlineLevel="1" collapsed="false">
      <c r="F54" s="35" t="s">
        <v>632</v>
      </c>
      <c r="G54" s="35" t="s">
        <v>631</v>
      </c>
      <c r="H54" s="35" t="s">
        <v>633</v>
      </c>
      <c r="I54" s="40" t="n">
        <v>168.548653940151</v>
      </c>
      <c r="J54" s="36" t="n">
        <v>2829.97004702601</v>
      </c>
      <c r="K54" s="35"/>
    </row>
    <row r="55" customFormat="false" ht="15" hidden="true" customHeight="false" outlineLevel="1" collapsed="false">
      <c r="F55" s="35" t="s">
        <v>634</v>
      </c>
      <c r="G55" s="35" t="s">
        <v>633</v>
      </c>
      <c r="H55" s="35" t="s">
        <v>635</v>
      </c>
      <c r="I55" s="40" t="n">
        <v>3.13276316746266</v>
      </c>
      <c r="J55" s="36" t="n">
        <v>2833.10281019347</v>
      </c>
      <c r="K55" s="35" t="s">
        <v>636</v>
      </c>
    </row>
    <row r="56" customFormat="false" ht="15" hidden="true" customHeight="false" outlineLevel="1" collapsed="false">
      <c r="F56" s="35" t="s">
        <v>637</v>
      </c>
      <c r="G56" s="35" t="s">
        <v>635</v>
      </c>
      <c r="H56" s="35" t="s">
        <v>638</v>
      </c>
      <c r="I56" s="40" t="n">
        <v>53.0265548846926</v>
      </c>
      <c r="J56" s="36" t="n">
        <v>2886.12936507816</v>
      </c>
      <c r="K56" s="35"/>
    </row>
    <row r="57" customFormat="false" ht="15" hidden="true" customHeight="false" outlineLevel="1" collapsed="false">
      <c r="F57" s="35" t="s">
        <v>639</v>
      </c>
      <c r="G57" s="35" t="s">
        <v>638</v>
      </c>
      <c r="H57" s="35" t="s">
        <v>640</v>
      </c>
      <c r="I57" s="40" t="n">
        <v>1.81843083128046</v>
      </c>
      <c r="J57" s="36" t="n">
        <v>2887.94779590944</v>
      </c>
      <c r="K57" s="35"/>
    </row>
    <row r="58" customFormat="false" ht="15" hidden="true" customHeight="false" outlineLevel="1" collapsed="false">
      <c r="F58" s="35" t="s">
        <v>641</v>
      </c>
      <c r="G58" s="35" t="s">
        <v>640</v>
      </c>
      <c r="H58" s="35" t="s">
        <v>642</v>
      </c>
      <c r="I58" s="40" t="n">
        <v>3.63470808570895</v>
      </c>
      <c r="J58" s="36" t="n">
        <v>2891.58250399515</v>
      </c>
      <c r="K58" s="35"/>
    </row>
    <row r="59" customFormat="false" ht="15" hidden="true" customHeight="false" outlineLevel="1" collapsed="false">
      <c r="F59" s="35" t="s">
        <v>643</v>
      </c>
      <c r="G59" s="35" t="s">
        <v>642</v>
      </c>
      <c r="H59" s="35" t="s">
        <v>644</v>
      </c>
      <c r="I59" s="40" t="n">
        <v>20.70810642369</v>
      </c>
      <c r="J59" s="36" t="n">
        <v>2912.29061041884</v>
      </c>
      <c r="K59" s="35"/>
    </row>
    <row r="60" customFormat="false" ht="15" hidden="true" customHeight="false" outlineLevel="1" collapsed="false">
      <c r="F60" s="35" t="s">
        <v>645</v>
      </c>
      <c r="G60" s="35" t="s">
        <v>644</v>
      </c>
      <c r="H60" s="35" t="s">
        <v>646</v>
      </c>
      <c r="I60" s="40" t="n">
        <v>4.12094829753194</v>
      </c>
      <c r="J60" s="36" t="n">
        <v>2916.41155871637</v>
      </c>
      <c r="K60" s="35" t="s">
        <v>647</v>
      </c>
    </row>
    <row r="61" customFormat="false" ht="15" hidden="true" customHeight="false" outlineLevel="1" collapsed="false">
      <c r="F61" s="35" t="s">
        <v>648</v>
      </c>
      <c r="G61" s="35" t="s">
        <v>646</v>
      </c>
      <c r="H61" s="35" t="s">
        <v>649</v>
      </c>
      <c r="I61" s="40" t="n">
        <v>51.9864232600094</v>
      </c>
      <c r="J61" s="36" t="n">
        <v>2968.39798197638</v>
      </c>
      <c r="K61" s="35"/>
    </row>
    <row r="62" customFormat="false" ht="15" hidden="true" customHeight="false" outlineLevel="1" collapsed="false">
      <c r="F62" s="35" t="s">
        <v>650</v>
      </c>
      <c r="G62" s="35" t="s">
        <v>649</v>
      </c>
      <c r="H62" s="35" t="s">
        <v>651</v>
      </c>
      <c r="I62" s="40" t="n">
        <v>0.398745429560228</v>
      </c>
      <c r="J62" s="36" t="n">
        <v>2968.79672740594</v>
      </c>
      <c r="K62" s="35"/>
    </row>
    <row r="63" customFormat="false" ht="15" hidden="true" customHeight="false" outlineLevel="1" collapsed="false">
      <c r="F63" s="35" t="s">
        <v>652</v>
      </c>
      <c r="G63" s="35" t="s">
        <v>651</v>
      </c>
      <c r="H63" s="35" t="s">
        <v>653</v>
      </c>
      <c r="I63" s="40" t="n">
        <v>3.01664903101086</v>
      </c>
      <c r="J63" s="36" t="n">
        <v>2971.81337643695</v>
      </c>
      <c r="K63" s="35"/>
    </row>
    <row r="64" customFormat="false" ht="15" hidden="true" customHeight="false" outlineLevel="1" collapsed="false">
      <c r="F64" s="35" t="s">
        <v>654</v>
      </c>
      <c r="G64" s="35" t="s">
        <v>653</v>
      </c>
      <c r="H64" s="35" t="s">
        <v>655</v>
      </c>
      <c r="I64" s="40" t="n">
        <v>0.351354508128741</v>
      </c>
      <c r="J64" s="36" t="n">
        <v>2972.16473094508</v>
      </c>
      <c r="K64" s="35"/>
    </row>
    <row r="65" customFormat="false" ht="15" hidden="false" customHeight="false" outlineLevel="0" collapsed="true">
      <c r="A65" s="41" t="n">
        <v>2</v>
      </c>
      <c r="B65" s="41" t="s">
        <v>21</v>
      </c>
      <c r="C65" s="41" t="s">
        <v>5</v>
      </c>
      <c r="D65" s="41" t="s">
        <v>5</v>
      </c>
      <c r="E65" s="41" t="s">
        <v>41</v>
      </c>
      <c r="F65" s="41" t="str">
        <f aca="false">COUNTIFS(Trechos!$L$2:$L$526,A65)&amp;" vãos"</f>
        <v>28 vãos</v>
      </c>
      <c r="G65" s="41"/>
      <c r="H65" s="41"/>
      <c r="I65" s="42" t="n">
        <f aca="false">SUMIFS(Trechos!$F$2:$F$526,Trechos!$L$2:$L$526,A65)</f>
        <v>1067.05641276262</v>
      </c>
      <c r="J65" s="41"/>
      <c r="K65" s="41"/>
      <c r="L65" s="41" t="s">
        <v>43</v>
      </c>
      <c r="M65" s="41" t="s">
        <v>44</v>
      </c>
      <c r="N65" s="41" t="str">
        <f aca="false">Blocos!AU3</f>
        <v>7935867004, 7902218004, 0330915004, 0203711004, 0202227004, 0204190004, 0200482004, 0200484004, 0200489004, 0200490004, 0230938004, 0200492004, 0202676004, 0303862004, 0229036004, 0200495004, 0201153004, 0352542004, 0300603004, 0203117004, 0202175004, 0300600004, 0203661004, 0300596004, 0300588004, 0300591004, 0200593004, 0224749004, 0200583004, 0300584004, 0300585004, 0300582004, 0204195004, 0300578004, 0229381004, 0200580004, 0202671004, 0204249004, 0200868004, 0200573004, 0200571004, 0230252004, 0303731004, 0200556004, 0303973004</v>
      </c>
    </row>
    <row r="66" customFormat="false" ht="15" hidden="true" customHeight="false" outlineLevel="1" collapsed="false">
      <c r="F66" s="35" t="s">
        <v>656</v>
      </c>
      <c r="G66" s="35" t="s">
        <v>655</v>
      </c>
      <c r="H66" s="35" t="s">
        <v>657</v>
      </c>
      <c r="I66" s="40" t="n">
        <v>2.09341401245377</v>
      </c>
      <c r="J66" s="36" t="n">
        <v>2.09341401245365</v>
      </c>
      <c r="K66" s="35"/>
    </row>
    <row r="67" customFormat="false" ht="15" hidden="true" customHeight="false" outlineLevel="1" collapsed="false">
      <c r="F67" s="35" t="s">
        <v>658</v>
      </c>
      <c r="G67" s="35" t="s">
        <v>657</v>
      </c>
      <c r="H67" s="35" t="s">
        <v>659</v>
      </c>
      <c r="I67" s="40" t="n">
        <v>0.351354506435586</v>
      </c>
      <c r="J67" s="36" t="n">
        <v>2.44476851888931</v>
      </c>
      <c r="K67" s="35"/>
    </row>
    <row r="68" customFormat="false" ht="15" hidden="true" customHeight="false" outlineLevel="1" collapsed="false">
      <c r="F68" s="35" t="s">
        <v>660</v>
      </c>
      <c r="G68" s="35" t="s">
        <v>659</v>
      </c>
      <c r="H68" s="35" t="s">
        <v>661</v>
      </c>
      <c r="I68" s="40" t="n">
        <v>2.32032051207618</v>
      </c>
      <c r="J68" s="36" t="n">
        <v>4.76508903096556</v>
      </c>
      <c r="K68" s="35"/>
    </row>
    <row r="69" customFormat="false" ht="15" hidden="true" customHeight="false" outlineLevel="1" collapsed="false">
      <c r="F69" s="35" t="s">
        <v>662</v>
      </c>
      <c r="G69" s="35" t="s">
        <v>661</v>
      </c>
      <c r="H69" s="35" t="s">
        <v>663</v>
      </c>
      <c r="I69" s="40" t="n">
        <v>54.4154778752166</v>
      </c>
      <c r="J69" s="36" t="n">
        <v>59.1805669061823</v>
      </c>
      <c r="K69" s="35"/>
    </row>
    <row r="70" customFormat="false" ht="15" hidden="true" customHeight="false" outlineLevel="1" collapsed="false">
      <c r="F70" s="35" t="s">
        <v>664</v>
      </c>
      <c r="G70" s="35" t="s">
        <v>663</v>
      </c>
      <c r="H70" s="35" t="s">
        <v>665</v>
      </c>
      <c r="I70" s="40" t="n">
        <v>43.7917578389176</v>
      </c>
      <c r="J70" s="36" t="n">
        <v>102.9723247451</v>
      </c>
      <c r="K70" s="35"/>
    </row>
    <row r="71" customFormat="false" ht="15" hidden="true" customHeight="false" outlineLevel="1" collapsed="false">
      <c r="F71" s="35" t="s">
        <v>666</v>
      </c>
      <c r="G71" s="35" t="s">
        <v>665</v>
      </c>
      <c r="H71" s="35" t="s">
        <v>667</v>
      </c>
      <c r="I71" s="40" t="n">
        <v>31.5770135816434</v>
      </c>
      <c r="J71" s="36" t="n">
        <v>134.549338326743</v>
      </c>
      <c r="K71" s="35"/>
    </row>
    <row r="72" customFormat="false" ht="15" hidden="true" customHeight="false" outlineLevel="1" collapsed="false">
      <c r="F72" s="35" t="s">
        <v>668</v>
      </c>
      <c r="G72" s="35" t="s">
        <v>667</v>
      </c>
      <c r="H72" s="35" t="s">
        <v>669</v>
      </c>
      <c r="I72" s="40" t="n">
        <v>113.301885615572</v>
      </c>
      <c r="J72" s="36" t="n">
        <v>247.851223942315</v>
      </c>
      <c r="K72" s="35"/>
    </row>
    <row r="73" customFormat="false" ht="15" hidden="true" customHeight="false" outlineLevel="1" collapsed="false">
      <c r="F73" s="35" t="s">
        <v>670</v>
      </c>
      <c r="G73" s="35" t="s">
        <v>669</v>
      </c>
      <c r="H73" s="35" t="s">
        <v>671</v>
      </c>
      <c r="I73" s="40" t="n">
        <v>39.8265165167423</v>
      </c>
      <c r="J73" s="36" t="n">
        <v>287.677740459057</v>
      </c>
      <c r="K73" s="35"/>
    </row>
    <row r="74" customFormat="false" ht="15" hidden="true" customHeight="false" outlineLevel="1" collapsed="false">
      <c r="F74" s="35" t="s">
        <v>672</v>
      </c>
      <c r="G74" s="35" t="s">
        <v>671</v>
      </c>
      <c r="H74" s="35" t="s">
        <v>673</v>
      </c>
      <c r="I74" s="40" t="n">
        <v>36.9008659541896</v>
      </c>
      <c r="J74" s="36" t="n">
        <v>324.578606413247</v>
      </c>
      <c r="K74" s="35"/>
    </row>
    <row r="75" customFormat="false" ht="15" hidden="true" customHeight="false" outlineLevel="1" collapsed="false">
      <c r="F75" s="35" t="s">
        <v>674</v>
      </c>
      <c r="G75" s="35" t="s">
        <v>673</v>
      </c>
      <c r="H75" s="35" t="s">
        <v>675</v>
      </c>
      <c r="I75" s="40" t="n">
        <v>3.7740783955984</v>
      </c>
      <c r="J75" s="36" t="n">
        <v>328.352684808845</v>
      </c>
      <c r="K75" s="35"/>
    </row>
    <row r="76" customFormat="false" ht="15" hidden="true" customHeight="false" outlineLevel="1" collapsed="false">
      <c r="F76" s="35" t="s">
        <v>676</v>
      </c>
      <c r="G76" s="35" t="s">
        <v>675</v>
      </c>
      <c r="H76" s="35" t="s">
        <v>677</v>
      </c>
      <c r="I76" s="40" t="n">
        <v>93.7593411977211</v>
      </c>
      <c r="J76" s="36" t="n">
        <v>422.112026006566</v>
      </c>
      <c r="K76" s="35"/>
    </row>
    <row r="77" customFormat="false" ht="15" hidden="true" customHeight="false" outlineLevel="1" collapsed="false">
      <c r="F77" s="35" t="s">
        <v>678</v>
      </c>
      <c r="G77" s="35" t="s">
        <v>677</v>
      </c>
      <c r="H77" s="35" t="s">
        <v>679</v>
      </c>
      <c r="I77" s="40" t="n">
        <v>32.0788745448866</v>
      </c>
      <c r="J77" s="36" t="n">
        <v>454.190900551453</v>
      </c>
      <c r="K77" s="35"/>
    </row>
    <row r="78" customFormat="false" ht="15" hidden="true" customHeight="false" outlineLevel="1" collapsed="false">
      <c r="F78" s="35" t="s">
        <v>680</v>
      </c>
      <c r="G78" s="35" t="s">
        <v>679</v>
      </c>
      <c r="H78" s="35" t="s">
        <v>681</v>
      </c>
      <c r="I78" s="40" t="n">
        <v>62.7802707427525</v>
      </c>
      <c r="J78" s="36" t="n">
        <v>516.971171294206</v>
      </c>
      <c r="K78" s="35"/>
    </row>
    <row r="79" customFormat="false" ht="15" hidden="true" customHeight="false" outlineLevel="1" collapsed="false">
      <c r="F79" s="35" t="s">
        <v>682</v>
      </c>
      <c r="G79" s="35" t="s">
        <v>681</v>
      </c>
      <c r="H79" s="35" t="s">
        <v>683</v>
      </c>
      <c r="I79" s="40" t="n">
        <v>35.3501458725994</v>
      </c>
      <c r="J79" s="36" t="n">
        <v>552.321317166805</v>
      </c>
      <c r="K79" s="35"/>
    </row>
    <row r="80" customFormat="false" ht="15" hidden="true" customHeight="false" outlineLevel="1" collapsed="false">
      <c r="F80" s="35" t="s">
        <v>684</v>
      </c>
      <c r="G80" s="35" t="s">
        <v>683</v>
      </c>
      <c r="H80" s="35" t="s">
        <v>685</v>
      </c>
      <c r="I80" s="40" t="n">
        <v>26.7114610687708</v>
      </c>
      <c r="J80" s="36" t="n">
        <v>579.032778235576</v>
      </c>
      <c r="K80" s="35"/>
    </row>
    <row r="81" customFormat="false" ht="15" hidden="true" customHeight="false" outlineLevel="1" collapsed="false">
      <c r="F81" s="35" t="s">
        <v>686</v>
      </c>
      <c r="G81" s="35" t="s">
        <v>685</v>
      </c>
      <c r="H81" s="35" t="s">
        <v>687</v>
      </c>
      <c r="I81" s="40" t="n">
        <v>12.8592818363308</v>
      </c>
      <c r="J81" s="36" t="n">
        <v>591.892060071907</v>
      </c>
      <c r="K81" s="35"/>
    </row>
    <row r="82" customFormat="false" ht="15" hidden="true" customHeight="false" outlineLevel="1" collapsed="false">
      <c r="F82" s="35" t="s">
        <v>688</v>
      </c>
      <c r="G82" s="35" t="s">
        <v>687</v>
      </c>
      <c r="H82" s="35" t="s">
        <v>689</v>
      </c>
      <c r="I82" s="40" t="n">
        <v>38.2796869042778</v>
      </c>
      <c r="J82" s="36" t="n">
        <v>630.171746976185</v>
      </c>
      <c r="K82" s="35"/>
    </row>
    <row r="83" customFormat="false" ht="15" hidden="true" customHeight="false" outlineLevel="1" collapsed="false">
      <c r="F83" s="35" t="s">
        <v>690</v>
      </c>
      <c r="G83" s="35" t="s">
        <v>689</v>
      </c>
      <c r="H83" s="35" t="s">
        <v>691</v>
      </c>
      <c r="I83" s="40" t="n">
        <v>114.196489505138</v>
      </c>
      <c r="J83" s="36" t="n">
        <v>744.368236481323</v>
      </c>
      <c r="K83" s="35"/>
    </row>
    <row r="84" customFormat="false" ht="15" hidden="true" customHeight="false" outlineLevel="1" collapsed="false">
      <c r="F84" s="35" t="s">
        <v>692</v>
      </c>
      <c r="G84" s="35" t="s">
        <v>691</v>
      </c>
      <c r="H84" s="35" t="s">
        <v>693</v>
      </c>
      <c r="I84" s="40" t="n">
        <v>2.30778909190713</v>
      </c>
      <c r="J84" s="36" t="n">
        <v>746.67602557323</v>
      </c>
      <c r="K84" s="35" t="s">
        <v>44</v>
      </c>
    </row>
    <row r="85" customFormat="false" ht="15" hidden="true" customHeight="false" outlineLevel="1" collapsed="false">
      <c r="F85" s="35" t="s">
        <v>694</v>
      </c>
      <c r="G85" s="35" t="s">
        <v>693</v>
      </c>
      <c r="H85" s="35" t="s">
        <v>695</v>
      </c>
      <c r="I85" s="40" t="n">
        <v>21.1038851067604</v>
      </c>
      <c r="J85" s="36" t="n">
        <v>767.77991067999</v>
      </c>
      <c r="K85" s="35"/>
    </row>
    <row r="86" customFormat="false" ht="15" hidden="true" customHeight="false" outlineLevel="1" collapsed="false">
      <c r="F86" s="35" t="s">
        <v>696</v>
      </c>
      <c r="G86" s="35" t="s">
        <v>695</v>
      </c>
      <c r="H86" s="35" t="s">
        <v>697</v>
      </c>
      <c r="I86" s="40" t="n">
        <v>153.110120390332</v>
      </c>
      <c r="J86" s="36" t="n">
        <v>920.890031070322</v>
      </c>
      <c r="K86" s="35"/>
    </row>
    <row r="87" customFormat="false" ht="15" hidden="true" customHeight="false" outlineLevel="1" collapsed="false">
      <c r="F87" s="35" t="s">
        <v>698</v>
      </c>
      <c r="G87" s="35" t="s">
        <v>697</v>
      </c>
      <c r="H87" s="35" t="s">
        <v>699</v>
      </c>
      <c r="I87" s="40" t="n">
        <v>8.06656182534051</v>
      </c>
      <c r="J87" s="36" t="n">
        <v>928.956592895663</v>
      </c>
      <c r="K87" s="35"/>
    </row>
    <row r="88" customFormat="false" ht="15" hidden="true" customHeight="false" outlineLevel="1" collapsed="false">
      <c r="F88" s="35" t="s">
        <v>700</v>
      </c>
      <c r="G88" s="35" t="s">
        <v>699</v>
      </c>
      <c r="H88" s="35" t="s">
        <v>701</v>
      </c>
      <c r="I88" s="40" t="n">
        <v>33.7559514180943</v>
      </c>
      <c r="J88" s="36" t="n">
        <v>962.712544313757</v>
      </c>
      <c r="K88" s="35"/>
    </row>
    <row r="89" customFormat="false" ht="15" hidden="true" customHeight="false" outlineLevel="1" collapsed="false">
      <c r="F89" s="35" t="s">
        <v>702</v>
      </c>
      <c r="G89" s="35" t="s">
        <v>701</v>
      </c>
      <c r="H89" s="35" t="s">
        <v>703</v>
      </c>
      <c r="I89" s="40" t="n">
        <v>70.5643044243771</v>
      </c>
      <c r="J89" s="36" t="n">
        <v>1033.27684873813</v>
      </c>
      <c r="K89" s="35"/>
    </row>
    <row r="90" customFormat="false" ht="15" hidden="true" customHeight="false" outlineLevel="1" collapsed="false">
      <c r="F90" s="35" t="s">
        <v>704</v>
      </c>
      <c r="G90" s="35" t="s">
        <v>703</v>
      </c>
      <c r="H90" s="35" t="s">
        <v>705</v>
      </c>
      <c r="I90" s="40" t="n">
        <v>30.1520574494597</v>
      </c>
      <c r="J90" s="36" t="n">
        <v>1063.42890618759</v>
      </c>
      <c r="K90" s="35"/>
    </row>
    <row r="91" customFormat="false" ht="15" hidden="true" customHeight="false" outlineLevel="1" collapsed="false">
      <c r="F91" s="35" t="s">
        <v>706</v>
      </c>
      <c r="G91" s="35" t="s">
        <v>705</v>
      </c>
      <c r="H91" s="35" t="s">
        <v>707</v>
      </c>
      <c r="I91" s="40" t="n">
        <v>0.349143367703776</v>
      </c>
      <c r="J91" s="36" t="n">
        <v>1063.7780495553</v>
      </c>
      <c r="K91" s="35"/>
    </row>
    <row r="92" customFormat="false" ht="15" hidden="true" customHeight="false" outlineLevel="1" collapsed="false">
      <c r="F92" s="35" t="s">
        <v>708</v>
      </c>
      <c r="G92" s="35" t="s">
        <v>707</v>
      </c>
      <c r="H92" s="35" t="s">
        <v>709</v>
      </c>
      <c r="I92" s="40" t="n">
        <v>3.03011333343469</v>
      </c>
      <c r="J92" s="36" t="n">
        <v>1066.80816288873</v>
      </c>
      <c r="K92" s="35"/>
    </row>
    <row r="93" customFormat="false" ht="15" hidden="true" customHeight="false" outlineLevel="1" collapsed="false">
      <c r="F93" s="35" t="s">
        <v>710</v>
      </c>
      <c r="G93" s="35" t="s">
        <v>709</v>
      </c>
      <c r="H93" s="35" t="s">
        <v>711</v>
      </c>
      <c r="I93" s="40" t="n">
        <v>0.248249873890253</v>
      </c>
      <c r="J93" s="36" t="n">
        <v>1067.05641276262</v>
      </c>
      <c r="K93" s="35"/>
    </row>
    <row r="94" customFormat="false" ht="15" hidden="false" customHeight="false" outlineLevel="0" collapsed="true">
      <c r="A94" s="41" t="n">
        <v>3</v>
      </c>
      <c r="B94" s="41" t="s">
        <v>21</v>
      </c>
      <c r="C94" s="41" t="s">
        <v>5</v>
      </c>
      <c r="D94" s="41" t="s">
        <v>5</v>
      </c>
      <c r="E94" s="41" t="s">
        <v>43</v>
      </c>
      <c r="F94" s="41" t="str">
        <f aca="false">COUNTIFS(Trechos!$L$2:$L$526,A94)&amp;" vãos"</f>
        <v>55 vãos</v>
      </c>
      <c r="G94" s="41"/>
      <c r="H94" s="41"/>
      <c r="I94" s="42" t="n">
        <f aca="false">SUMIFS(Trechos!$F$2:$F$526,Trechos!$L$2:$L$526,A94)</f>
        <v>1795.83284480927</v>
      </c>
      <c r="J94" s="41"/>
      <c r="K94" s="41"/>
      <c r="L94" s="41" t="s">
        <v>45</v>
      </c>
      <c r="M94" s="41" t="s">
        <v>46</v>
      </c>
      <c r="N94" s="41" t="str">
        <f aca="false">Blocos!AU4</f>
        <v>7902218004, 0330915004, 0203711004, 0202227004, 0204190004, 0200482004, 0200484004, 0200489004, 0200490004, 0230938004, 0200492004, 0202676004, 0303862004, 0229036004, 0200495004, 0201153004, 0352542004, 0300603004, 0203117004, 0202175004, 0300600004</v>
      </c>
    </row>
    <row r="95" customFormat="false" ht="15" hidden="true" customHeight="false" outlineLevel="1" collapsed="false">
      <c r="F95" s="35" t="s">
        <v>712</v>
      </c>
      <c r="G95" s="35" t="s">
        <v>711</v>
      </c>
      <c r="H95" s="35" t="s">
        <v>713</v>
      </c>
      <c r="I95" s="40" t="n">
        <v>2.35599899789348</v>
      </c>
      <c r="J95" s="36" t="n">
        <v>2.35599899789349</v>
      </c>
      <c r="K95" s="35"/>
    </row>
    <row r="96" customFormat="false" ht="15" hidden="true" customHeight="false" outlineLevel="1" collapsed="false">
      <c r="F96" s="35" t="s">
        <v>714</v>
      </c>
      <c r="G96" s="35" t="s">
        <v>713</v>
      </c>
      <c r="H96" s="35" t="s">
        <v>715</v>
      </c>
      <c r="I96" s="40" t="n">
        <v>0.333584780014856</v>
      </c>
      <c r="J96" s="36" t="n">
        <v>2.68958377790841</v>
      </c>
      <c r="K96" s="35"/>
    </row>
    <row r="97" customFormat="false" ht="15" hidden="true" customHeight="false" outlineLevel="1" collapsed="false">
      <c r="F97" s="35" t="s">
        <v>716</v>
      </c>
      <c r="G97" s="35" t="s">
        <v>715</v>
      </c>
      <c r="H97" s="35" t="s">
        <v>717</v>
      </c>
      <c r="I97" s="40" t="n">
        <v>2.48577128636869</v>
      </c>
      <c r="J97" s="36" t="n">
        <v>5.17535506427703</v>
      </c>
      <c r="K97" s="35"/>
    </row>
    <row r="98" customFormat="false" ht="15" hidden="true" customHeight="false" outlineLevel="1" collapsed="false">
      <c r="F98" s="35" t="s">
        <v>718</v>
      </c>
      <c r="G98" s="35" t="s">
        <v>717</v>
      </c>
      <c r="H98" s="35" t="s">
        <v>719</v>
      </c>
      <c r="I98" s="40" t="n">
        <v>13.2354161568571</v>
      </c>
      <c r="J98" s="36" t="n">
        <v>18.4107712211339</v>
      </c>
      <c r="K98" s="35"/>
    </row>
    <row r="99" customFormat="false" ht="15" hidden="true" customHeight="false" outlineLevel="1" collapsed="false">
      <c r="F99" s="35" t="s">
        <v>720</v>
      </c>
      <c r="G99" s="35" t="s">
        <v>719</v>
      </c>
      <c r="H99" s="35" t="s">
        <v>721</v>
      </c>
      <c r="I99" s="40" t="n">
        <v>3.72583969332396</v>
      </c>
      <c r="J99" s="36" t="n">
        <v>22.1366109144578</v>
      </c>
      <c r="K99" s="35"/>
    </row>
    <row r="100" customFormat="false" ht="15" hidden="true" customHeight="false" outlineLevel="1" collapsed="false">
      <c r="F100" s="35" t="s">
        <v>722</v>
      </c>
      <c r="G100" s="35" t="s">
        <v>721</v>
      </c>
      <c r="H100" s="35" t="s">
        <v>723</v>
      </c>
      <c r="I100" s="40" t="n">
        <v>38.6955690789936</v>
      </c>
      <c r="J100" s="36" t="n">
        <v>60.8321799934515</v>
      </c>
      <c r="K100" s="35"/>
    </row>
    <row r="101" customFormat="false" ht="15" hidden="true" customHeight="false" outlineLevel="1" collapsed="false">
      <c r="F101" s="35" t="s">
        <v>724</v>
      </c>
      <c r="G101" s="35" t="s">
        <v>723</v>
      </c>
      <c r="H101" s="35" t="s">
        <v>725</v>
      </c>
      <c r="I101" s="40" t="n">
        <v>2.20922081785492</v>
      </c>
      <c r="J101" s="36" t="n">
        <v>63.0414008113062</v>
      </c>
      <c r="K101" s="35"/>
    </row>
    <row r="102" customFormat="false" ht="15" hidden="true" customHeight="false" outlineLevel="1" collapsed="false">
      <c r="F102" s="35" t="s">
        <v>726</v>
      </c>
      <c r="G102" s="35" t="s">
        <v>725</v>
      </c>
      <c r="H102" s="35" t="s">
        <v>727</v>
      </c>
      <c r="I102" s="40" t="n">
        <v>57.0139836382639</v>
      </c>
      <c r="J102" s="36" t="n">
        <v>120.05538444957</v>
      </c>
      <c r="K102" s="35"/>
    </row>
    <row r="103" customFormat="false" ht="15" hidden="true" customHeight="false" outlineLevel="1" collapsed="false">
      <c r="F103" s="35" t="s">
        <v>728</v>
      </c>
      <c r="G103" s="35" t="s">
        <v>727</v>
      </c>
      <c r="H103" s="35" t="s">
        <v>729</v>
      </c>
      <c r="I103" s="40" t="n">
        <v>65.8638304063323</v>
      </c>
      <c r="J103" s="36" t="n">
        <v>185.919214855903</v>
      </c>
      <c r="K103" s="35"/>
    </row>
    <row r="104" customFormat="false" ht="15" hidden="true" customHeight="false" outlineLevel="1" collapsed="false">
      <c r="F104" s="35" t="s">
        <v>730</v>
      </c>
      <c r="G104" s="35" t="s">
        <v>729</v>
      </c>
      <c r="H104" s="35" t="s">
        <v>731</v>
      </c>
      <c r="I104" s="40" t="n">
        <v>60.3064702181351</v>
      </c>
      <c r="J104" s="36" t="n">
        <v>246.225685074038</v>
      </c>
      <c r="K104" s="35"/>
    </row>
    <row r="105" customFormat="false" ht="15" hidden="true" customHeight="false" outlineLevel="1" collapsed="false">
      <c r="F105" s="35" t="s">
        <v>732</v>
      </c>
      <c r="G105" s="35" t="s">
        <v>731</v>
      </c>
      <c r="H105" s="35" t="s">
        <v>733</v>
      </c>
      <c r="I105" s="40" t="n">
        <v>17.8675787180007</v>
      </c>
      <c r="J105" s="36" t="n">
        <v>264.093263792039</v>
      </c>
      <c r="K105" s="35"/>
    </row>
    <row r="106" customFormat="false" ht="15" hidden="true" customHeight="false" outlineLevel="1" collapsed="false">
      <c r="F106" s="35" t="s">
        <v>734</v>
      </c>
      <c r="G106" s="35" t="s">
        <v>733</v>
      </c>
      <c r="H106" s="35" t="s">
        <v>735</v>
      </c>
      <c r="I106" s="40" t="n">
        <v>79.9136816661421</v>
      </c>
      <c r="J106" s="36" t="n">
        <v>344.006945458181</v>
      </c>
      <c r="K106" s="35"/>
    </row>
    <row r="107" customFormat="false" ht="15" hidden="true" customHeight="false" outlineLevel="1" collapsed="false">
      <c r="F107" s="35" t="s">
        <v>736</v>
      </c>
      <c r="G107" s="35" t="s">
        <v>735</v>
      </c>
      <c r="H107" s="35" t="s">
        <v>737</v>
      </c>
      <c r="I107" s="40" t="n">
        <v>29.7519410166109</v>
      </c>
      <c r="J107" s="36" t="n">
        <v>373.758886474792</v>
      </c>
      <c r="K107" s="35"/>
    </row>
    <row r="108" customFormat="false" ht="15" hidden="true" customHeight="false" outlineLevel="1" collapsed="false">
      <c r="F108" s="35" t="s">
        <v>738</v>
      </c>
      <c r="G108" s="35" t="s">
        <v>737</v>
      </c>
      <c r="H108" s="35" t="s">
        <v>739</v>
      </c>
      <c r="I108" s="40" t="n">
        <v>6.99675159027377</v>
      </c>
      <c r="J108" s="36" t="n">
        <v>380.755638065065</v>
      </c>
      <c r="K108" s="35"/>
    </row>
    <row r="109" customFormat="false" ht="15" hidden="true" customHeight="false" outlineLevel="1" collapsed="false">
      <c r="F109" s="35" t="s">
        <v>740</v>
      </c>
      <c r="G109" s="35" t="s">
        <v>739</v>
      </c>
      <c r="H109" s="35" t="s">
        <v>741</v>
      </c>
      <c r="I109" s="40" t="n">
        <v>37.9172552718177</v>
      </c>
      <c r="J109" s="36" t="n">
        <v>418.672893336883</v>
      </c>
      <c r="K109" s="35"/>
    </row>
    <row r="110" customFormat="false" ht="15" hidden="true" customHeight="false" outlineLevel="1" collapsed="false">
      <c r="F110" s="35" t="s">
        <v>742</v>
      </c>
      <c r="G110" s="35" t="s">
        <v>741</v>
      </c>
      <c r="H110" s="35" t="s">
        <v>743</v>
      </c>
      <c r="I110" s="40" t="n">
        <v>3.66937485541611</v>
      </c>
      <c r="J110" s="36" t="n">
        <v>422.342268192299</v>
      </c>
      <c r="K110" s="35" t="s">
        <v>744</v>
      </c>
    </row>
    <row r="111" customFormat="false" ht="15" hidden="true" customHeight="false" outlineLevel="1" collapsed="false">
      <c r="F111" s="35" t="s">
        <v>745</v>
      </c>
      <c r="G111" s="35" t="s">
        <v>743</v>
      </c>
      <c r="H111" s="35" t="s">
        <v>746</v>
      </c>
      <c r="I111" s="40" t="n">
        <v>68.6882139899855</v>
      </c>
      <c r="J111" s="36" t="n">
        <v>491.030482182284</v>
      </c>
      <c r="K111" s="35"/>
    </row>
    <row r="112" customFormat="false" ht="15" hidden="true" customHeight="false" outlineLevel="1" collapsed="false">
      <c r="F112" s="35" t="s">
        <v>747</v>
      </c>
      <c r="G112" s="35" t="s">
        <v>746</v>
      </c>
      <c r="H112" s="35" t="s">
        <v>748</v>
      </c>
      <c r="I112" s="40" t="n">
        <v>139.604394464395</v>
      </c>
      <c r="J112" s="36" t="n">
        <v>630.63487664668</v>
      </c>
      <c r="K112" s="35"/>
    </row>
    <row r="113" customFormat="false" ht="15" hidden="true" customHeight="false" outlineLevel="1" collapsed="false">
      <c r="F113" s="35" t="s">
        <v>749</v>
      </c>
      <c r="G113" s="35" t="s">
        <v>748</v>
      </c>
      <c r="H113" s="35" t="s">
        <v>750</v>
      </c>
      <c r="I113" s="40" t="n">
        <v>51.4222762060546</v>
      </c>
      <c r="J113" s="36" t="n">
        <v>682.057152852734</v>
      </c>
      <c r="K113" s="35"/>
    </row>
    <row r="114" customFormat="false" ht="15" hidden="true" customHeight="false" outlineLevel="1" collapsed="false">
      <c r="F114" s="35" t="s">
        <v>751</v>
      </c>
      <c r="G114" s="35" t="s">
        <v>750</v>
      </c>
      <c r="H114" s="35" t="s">
        <v>752</v>
      </c>
      <c r="I114" s="40" t="n">
        <v>59.1913907173532</v>
      </c>
      <c r="J114" s="36" t="n">
        <v>741.248543570087</v>
      </c>
      <c r="K114" s="35"/>
    </row>
    <row r="115" customFormat="false" ht="15" hidden="true" customHeight="false" outlineLevel="1" collapsed="false">
      <c r="F115" s="35" t="s">
        <v>753</v>
      </c>
      <c r="G115" s="35" t="s">
        <v>752</v>
      </c>
      <c r="H115" s="35" t="s">
        <v>754</v>
      </c>
      <c r="I115" s="40" t="n">
        <v>108.238876790462</v>
      </c>
      <c r="J115" s="36" t="n">
        <v>849.487420360549</v>
      </c>
      <c r="K115" s="35"/>
    </row>
    <row r="116" customFormat="false" ht="15" hidden="true" customHeight="false" outlineLevel="1" collapsed="false">
      <c r="F116" s="35" t="s">
        <v>755</v>
      </c>
      <c r="G116" s="35" t="s">
        <v>754</v>
      </c>
      <c r="H116" s="35" t="s">
        <v>756</v>
      </c>
      <c r="I116" s="40" t="n">
        <v>28.4641345722819</v>
      </c>
      <c r="J116" s="36" t="n">
        <v>877.951554932831</v>
      </c>
      <c r="K116" s="35"/>
    </row>
    <row r="117" customFormat="false" ht="15" hidden="true" customHeight="false" outlineLevel="1" collapsed="false">
      <c r="F117" s="35" t="s">
        <v>757</v>
      </c>
      <c r="G117" s="35" t="s">
        <v>756</v>
      </c>
      <c r="H117" s="35" t="s">
        <v>758</v>
      </c>
      <c r="I117" s="40" t="n">
        <v>84.0261537983929</v>
      </c>
      <c r="J117" s="36" t="n">
        <v>961.977708731225</v>
      </c>
      <c r="K117" s="35"/>
    </row>
    <row r="118" customFormat="false" ht="15" hidden="true" customHeight="false" outlineLevel="1" collapsed="false">
      <c r="F118" s="35" t="s">
        <v>759</v>
      </c>
      <c r="G118" s="35" t="s">
        <v>758</v>
      </c>
      <c r="H118" s="35" t="s">
        <v>760</v>
      </c>
      <c r="I118" s="40" t="n">
        <v>87.7739782604992</v>
      </c>
      <c r="J118" s="36" t="n">
        <v>1049.75168699172</v>
      </c>
      <c r="K118" s="35"/>
    </row>
    <row r="119" customFormat="false" ht="15" hidden="true" customHeight="false" outlineLevel="1" collapsed="false">
      <c r="F119" s="35" t="s">
        <v>761</v>
      </c>
      <c r="G119" s="35" t="s">
        <v>760</v>
      </c>
      <c r="H119" s="35" t="s">
        <v>762</v>
      </c>
      <c r="I119" s="40" t="n">
        <v>19.3096724463966</v>
      </c>
      <c r="J119" s="36" t="n">
        <v>1069.06135943812</v>
      </c>
      <c r="K119" s="35"/>
    </row>
    <row r="120" customFormat="false" ht="15" hidden="true" customHeight="false" outlineLevel="1" collapsed="false">
      <c r="F120" s="35" t="s">
        <v>763</v>
      </c>
      <c r="G120" s="35" t="s">
        <v>762</v>
      </c>
      <c r="H120" s="35" t="s">
        <v>764</v>
      </c>
      <c r="I120" s="40" t="n">
        <v>69.1772004038288</v>
      </c>
      <c r="J120" s="36" t="n">
        <v>1138.23855984195</v>
      </c>
      <c r="K120" s="35"/>
    </row>
    <row r="121" customFormat="false" ht="15" hidden="true" customHeight="false" outlineLevel="1" collapsed="false">
      <c r="F121" s="35" t="s">
        <v>765</v>
      </c>
      <c r="G121" s="35" t="s">
        <v>764</v>
      </c>
      <c r="H121" s="35" t="s">
        <v>766</v>
      </c>
      <c r="I121" s="40" t="n">
        <v>2.44400326514294</v>
      </c>
      <c r="J121" s="36" t="n">
        <v>1140.68256310709</v>
      </c>
      <c r="K121" s="35" t="s">
        <v>767</v>
      </c>
    </row>
    <row r="122" customFormat="false" ht="15" hidden="true" customHeight="false" outlineLevel="1" collapsed="false">
      <c r="F122" s="35" t="s">
        <v>768</v>
      </c>
      <c r="G122" s="35" t="s">
        <v>766</v>
      </c>
      <c r="H122" s="35" t="s">
        <v>769</v>
      </c>
      <c r="I122" s="40" t="n">
        <v>47.7339393039975</v>
      </c>
      <c r="J122" s="36" t="n">
        <v>1188.41650241109</v>
      </c>
      <c r="K122" s="35"/>
    </row>
    <row r="123" customFormat="false" ht="15" hidden="true" customHeight="false" outlineLevel="1" collapsed="false">
      <c r="F123" s="35" t="s">
        <v>770</v>
      </c>
      <c r="G123" s="35" t="s">
        <v>769</v>
      </c>
      <c r="H123" s="35" t="s">
        <v>771</v>
      </c>
      <c r="I123" s="40" t="n">
        <v>18.958789248395</v>
      </c>
      <c r="J123" s="36" t="n">
        <v>1207.37529165948</v>
      </c>
      <c r="K123" s="35"/>
    </row>
    <row r="124" customFormat="false" ht="15" hidden="true" customHeight="false" outlineLevel="1" collapsed="false">
      <c r="F124" s="35" t="s">
        <v>772</v>
      </c>
      <c r="G124" s="35" t="s">
        <v>771</v>
      </c>
      <c r="H124" s="35" t="s">
        <v>773</v>
      </c>
      <c r="I124" s="40" t="n">
        <v>3.90883278646361</v>
      </c>
      <c r="J124" s="36" t="n">
        <v>1211.28412444595</v>
      </c>
      <c r="K124" s="35"/>
    </row>
    <row r="125" customFormat="false" ht="15" hidden="true" customHeight="false" outlineLevel="1" collapsed="false">
      <c r="F125" s="35" t="s">
        <v>774</v>
      </c>
      <c r="G125" s="35" t="s">
        <v>773</v>
      </c>
      <c r="H125" s="35" t="s">
        <v>775</v>
      </c>
      <c r="I125" s="40" t="n">
        <v>32.0710679742969</v>
      </c>
      <c r="J125" s="36" t="n">
        <v>1243.35519242025</v>
      </c>
      <c r="K125" s="35"/>
    </row>
    <row r="126" customFormat="false" ht="15" hidden="true" customHeight="false" outlineLevel="1" collapsed="false">
      <c r="F126" s="35" t="s">
        <v>776</v>
      </c>
      <c r="G126" s="35" t="s">
        <v>775</v>
      </c>
      <c r="H126" s="35" t="s">
        <v>777</v>
      </c>
      <c r="I126" s="40" t="n">
        <v>0.349142909915672</v>
      </c>
      <c r="J126" s="36" t="n">
        <v>1243.70433533016</v>
      </c>
      <c r="K126" s="35"/>
    </row>
    <row r="127" customFormat="false" ht="15" hidden="true" customHeight="false" outlineLevel="1" collapsed="false">
      <c r="F127" s="35" t="s">
        <v>778</v>
      </c>
      <c r="G127" s="35" t="s">
        <v>777</v>
      </c>
      <c r="H127" s="35" t="s">
        <v>779</v>
      </c>
      <c r="I127" s="40" t="n">
        <v>3.09896324944368</v>
      </c>
      <c r="J127" s="36" t="n">
        <v>1246.80329857961</v>
      </c>
      <c r="K127" s="35"/>
    </row>
    <row r="128" customFormat="false" ht="15" hidden="true" customHeight="false" outlineLevel="1" collapsed="false">
      <c r="F128" s="35" t="s">
        <v>780</v>
      </c>
      <c r="G128" s="35" t="s">
        <v>779</v>
      </c>
      <c r="H128" s="35" t="s">
        <v>781</v>
      </c>
      <c r="I128" s="40" t="n">
        <v>0.333584779838025</v>
      </c>
      <c r="J128" s="36" t="n">
        <v>1247.13688335944</v>
      </c>
      <c r="K128" s="35"/>
    </row>
    <row r="129" customFormat="false" ht="15" hidden="true" customHeight="false" outlineLevel="1" collapsed="false">
      <c r="F129" s="35" t="s">
        <v>782</v>
      </c>
      <c r="G129" s="35" t="s">
        <v>769</v>
      </c>
      <c r="H129" s="35" t="s">
        <v>783</v>
      </c>
      <c r="I129" s="40" t="n">
        <v>88.8754691312783</v>
      </c>
      <c r="J129" s="36" t="n">
        <v>1277.29197154237</v>
      </c>
      <c r="K129" s="35"/>
    </row>
    <row r="130" customFormat="false" ht="15" hidden="true" customHeight="false" outlineLevel="1" collapsed="false">
      <c r="F130" s="35" t="s">
        <v>784</v>
      </c>
      <c r="G130" s="35" t="s">
        <v>783</v>
      </c>
      <c r="H130" s="35" t="s">
        <v>785</v>
      </c>
      <c r="I130" s="40" t="n">
        <v>77.5213377522675</v>
      </c>
      <c r="J130" s="36" t="n">
        <v>1354.81330929464</v>
      </c>
      <c r="K130" s="35"/>
    </row>
    <row r="131" customFormat="false" ht="15" hidden="true" customHeight="false" outlineLevel="1" collapsed="false">
      <c r="F131" s="35" t="s">
        <v>786</v>
      </c>
      <c r="G131" s="35" t="s">
        <v>785</v>
      </c>
      <c r="H131" s="35" t="s">
        <v>787</v>
      </c>
      <c r="I131" s="40" t="n">
        <v>3.45762302895617</v>
      </c>
      <c r="J131" s="36" t="n">
        <v>1358.27093232359</v>
      </c>
      <c r="K131" s="35" t="s">
        <v>788</v>
      </c>
    </row>
    <row r="132" customFormat="false" ht="15" hidden="true" customHeight="false" outlineLevel="1" collapsed="false">
      <c r="F132" s="35" t="s">
        <v>789</v>
      </c>
      <c r="G132" s="35" t="s">
        <v>787</v>
      </c>
      <c r="H132" s="35" t="s">
        <v>790</v>
      </c>
      <c r="I132" s="40" t="n">
        <v>88.3812684078033</v>
      </c>
      <c r="J132" s="36" t="n">
        <v>1446.65220073139</v>
      </c>
      <c r="K132" s="35"/>
    </row>
    <row r="133" customFormat="false" ht="15" hidden="true" customHeight="false" outlineLevel="1" collapsed="false">
      <c r="F133" s="35" t="s">
        <v>791</v>
      </c>
      <c r="G133" s="35" t="s">
        <v>790</v>
      </c>
      <c r="H133" s="35" t="s">
        <v>792</v>
      </c>
      <c r="I133" s="40" t="n">
        <v>2.18745565284264</v>
      </c>
      <c r="J133" s="36" t="n">
        <v>1448.83965638424</v>
      </c>
      <c r="K133" s="35"/>
    </row>
    <row r="134" customFormat="false" ht="15" hidden="true" customHeight="false" outlineLevel="1" collapsed="false">
      <c r="F134" s="35" t="s">
        <v>793</v>
      </c>
      <c r="G134" s="35" t="s">
        <v>792</v>
      </c>
      <c r="H134" s="35" t="s">
        <v>794</v>
      </c>
      <c r="I134" s="40" t="n">
        <v>14.1257752788024</v>
      </c>
      <c r="J134" s="36" t="n">
        <v>1462.96543166304</v>
      </c>
      <c r="K134" s="35"/>
    </row>
    <row r="135" customFormat="false" ht="15" hidden="true" customHeight="false" outlineLevel="1" collapsed="false">
      <c r="F135" s="35" t="s">
        <v>795</v>
      </c>
      <c r="G135" s="35" t="s">
        <v>794</v>
      </c>
      <c r="H135" s="35" t="s">
        <v>796</v>
      </c>
      <c r="I135" s="40" t="n">
        <v>13.0710487183097</v>
      </c>
      <c r="J135" s="36" t="n">
        <v>1476.03648038135</v>
      </c>
      <c r="K135" s="35"/>
    </row>
    <row r="136" customFormat="false" ht="15" hidden="true" customHeight="false" outlineLevel="1" collapsed="false">
      <c r="F136" s="35" t="s">
        <v>797</v>
      </c>
      <c r="G136" s="35" t="s">
        <v>796</v>
      </c>
      <c r="H136" s="35" t="s">
        <v>798</v>
      </c>
      <c r="I136" s="40" t="n">
        <v>3.90883236731191</v>
      </c>
      <c r="J136" s="36" t="n">
        <v>1479.94531274866</v>
      </c>
      <c r="K136" s="35"/>
    </row>
    <row r="137" customFormat="false" ht="15" hidden="true" customHeight="false" outlineLevel="1" collapsed="false">
      <c r="F137" s="35" t="s">
        <v>799</v>
      </c>
      <c r="G137" s="35" t="s">
        <v>798</v>
      </c>
      <c r="H137" s="35" t="s">
        <v>800</v>
      </c>
      <c r="I137" s="40" t="n">
        <v>47.4019487574751</v>
      </c>
      <c r="J137" s="36" t="n">
        <v>1527.34726150614</v>
      </c>
      <c r="K137" s="35"/>
    </row>
    <row r="138" customFormat="false" ht="15" hidden="true" customHeight="false" outlineLevel="1" collapsed="false">
      <c r="F138" s="35" t="s">
        <v>801</v>
      </c>
      <c r="G138" s="35" t="s">
        <v>800</v>
      </c>
      <c r="H138" s="35" t="s">
        <v>802</v>
      </c>
      <c r="I138" s="40" t="n">
        <v>1.88859232385242</v>
      </c>
      <c r="J138" s="36" t="n">
        <v>1529.23585382999</v>
      </c>
      <c r="K138" s="35"/>
    </row>
    <row r="139" customFormat="false" ht="15" hidden="true" customHeight="false" outlineLevel="1" collapsed="false">
      <c r="F139" s="35" t="s">
        <v>803</v>
      </c>
      <c r="G139" s="35" t="s">
        <v>802</v>
      </c>
      <c r="H139" s="35" t="s">
        <v>804</v>
      </c>
      <c r="I139" s="40" t="n">
        <v>94.3437736248426</v>
      </c>
      <c r="J139" s="36" t="n">
        <v>1623.57962745483</v>
      </c>
      <c r="K139" s="35"/>
    </row>
    <row r="140" customFormat="false" ht="15" hidden="true" customHeight="false" outlineLevel="1" collapsed="false">
      <c r="F140" s="35" t="s">
        <v>805</v>
      </c>
      <c r="G140" s="35" t="s">
        <v>804</v>
      </c>
      <c r="H140" s="35" t="s">
        <v>806</v>
      </c>
      <c r="I140" s="40" t="n">
        <v>2.43736169576359</v>
      </c>
      <c r="J140" s="36" t="n">
        <v>1626.01698915059</v>
      </c>
      <c r="K140" s="35"/>
    </row>
    <row r="141" customFormat="false" ht="15" hidden="true" customHeight="false" outlineLevel="1" collapsed="false">
      <c r="F141" s="35" t="s">
        <v>807</v>
      </c>
      <c r="G141" s="35" t="s">
        <v>748</v>
      </c>
      <c r="H141" s="35" t="s">
        <v>808</v>
      </c>
      <c r="I141" s="40" t="n">
        <v>8.51270190082131</v>
      </c>
      <c r="J141" s="36" t="n">
        <v>639.147578547501</v>
      </c>
      <c r="K141" s="35"/>
    </row>
    <row r="142" customFormat="false" ht="15" hidden="true" customHeight="false" outlineLevel="1" collapsed="false">
      <c r="F142" s="35" t="s">
        <v>809</v>
      </c>
      <c r="G142" s="35" t="s">
        <v>808</v>
      </c>
      <c r="H142" s="35" t="s">
        <v>810</v>
      </c>
      <c r="I142" s="40" t="n">
        <v>1.67156836869598</v>
      </c>
      <c r="J142" s="36" t="n">
        <v>640.819146916197</v>
      </c>
      <c r="K142" s="35"/>
    </row>
    <row r="143" customFormat="false" ht="15" hidden="true" customHeight="false" outlineLevel="1" collapsed="false">
      <c r="F143" s="35" t="s">
        <v>811</v>
      </c>
      <c r="G143" s="35" t="s">
        <v>737</v>
      </c>
      <c r="H143" s="35" t="s">
        <v>812</v>
      </c>
      <c r="I143" s="40" t="n">
        <v>1.40972940824692</v>
      </c>
      <c r="J143" s="36" t="n">
        <v>375.168615883039</v>
      </c>
      <c r="K143" s="35"/>
    </row>
    <row r="144" customFormat="false" ht="15" hidden="true" customHeight="false" outlineLevel="1" collapsed="false">
      <c r="F144" s="35" t="s">
        <v>813</v>
      </c>
      <c r="G144" s="35" t="s">
        <v>733</v>
      </c>
      <c r="H144" s="35" t="s">
        <v>814</v>
      </c>
      <c r="I144" s="40" t="n">
        <v>57.6405048019438</v>
      </c>
      <c r="J144" s="36" t="n">
        <v>321.733768593983</v>
      </c>
      <c r="K144" s="35"/>
    </row>
    <row r="145" customFormat="false" ht="15" hidden="true" customHeight="false" outlineLevel="1" collapsed="false">
      <c r="F145" s="35" t="s">
        <v>815</v>
      </c>
      <c r="G145" s="35" t="s">
        <v>814</v>
      </c>
      <c r="H145" s="35" t="s">
        <v>816</v>
      </c>
      <c r="I145" s="40" t="n">
        <v>1.34240155188395</v>
      </c>
      <c r="J145" s="36" t="n">
        <v>323.076170145867</v>
      </c>
      <c r="K145" s="35"/>
    </row>
    <row r="146" customFormat="false" ht="15" hidden="true" customHeight="false" outlineLevel="1" collapsed="false">
      <c r="F146" s="35" t="s">
        <v>817</v>
      </c>
      <c r="G146" s="35" t="s">
        <v>729</v>
      </c>
      <c r="H146" s="35" t="s">
        <v>818</v>
      </c>
      <c r="I146" s="40" t="n">
        <v>16.5457623711724</v>
      </c>
      <c r="J146" s="36" t="n">
        <v>202.464977227076</v>
      </c>
      <c r="K146" s="35"/>
    </row>
    <row r="147" customFormat="false" ht="15" hidden="true" customHeight="false" outlineLevel="1" collapsed="false">
      <c r="F147" s="35" t="s">
        <v>819</v>
      </c>
      <c r="G147" s="35" t="s">
        <v>818</v>
      </c>
      <c r="H147" s="35" t="s">
        <v>820</v>
      </c>
      <c r="I147" s="40" t="n">
        <v>2.42851590848411</v>
      </c>
      <c r="J147" s="36" t="n">
        <v>204.893493135559</v>
      </c>
      <c r="K147" s="35" t="s">
        <v>821</v>
      </c>
    </row>
    <row r="148" customFormat="false" ht="15" hidden="true" customHeight="false" outlineLevel="1" collapsed="false">
      <c r="F148" s="35" t="s">
        <v>822</v>
      </c>
      <c r="G148" s="35" t="s">
        <v>820</v>
      </c>
      <c r="H148" s="35" t="s">
        <v>823</v>
      </c>
      <c r="I148" s="40" t="n">
        <v>21.0743798928273</v>
      </c>
      <c r="J148" s="36" t="n">
        <v>225.967873028386</v>
      </c>
      <c r="K148" s="35"/>
    </row>
    <row r="149" customFormat="false" ht="15" hidden="true" customHeight="false" outlineLevel="1" collapsed="false">
      <c r="F149" s="35" t="s">
        <v>824</v>
      </c>
      <c r="G149" s="35" t="s">
        <v>823</v>
      </c>
      <c r="H149" s="35" t="s">
        <v>825</v>
      </c>
      <c r="I149" s="40" t="n">
        <v>0.469910506246895</v>
      </c>
      <c r="J149" s="36" t="n">
        <v>226.437783534634</v>
      </c>
      <c r="K149" s="35"/>
    </row>
    <row r="150" customFormat="false" ht="15" hidden="false" customHeight="false" outlineLevel="0" collapsed="true">
      <c r="A150" s="38" t="n">
        <v>4</v>
      </c>
      <c r="B150" s="38" t="s">
        <v>20</v>
      </c>
      <c r="C150" s="38" t="s">
        <v>283</v>
      </c>
      <c r="D150" s="38" t="s">
        <v>379</v>
      </c>
      <c r="E150" s="38" t="s">
        <v>40</v>
      </c>
      <c r="F150" s="38" t="str">
        <f aca="false">COUNTIFS(Trechos!$L$2:$L$526,A150)&amp;" vãos"</f>
        <v>6 vãos</v>
      </c>
      <c r="G150" s="38"/>
      <c r="H150" s="38"/>
      <c r="I150" s="39" t="n">
        <f aca="false">SUMIFS(Trechos!$F$2:$F$526,Trechos!$L$2:$L$526,A150)</f>
        <v>343.482655369021</v>
      </c>
      <c r="J150" s="38"/>
      <c r="K150" s="38"/>
      <c r="L150" s="38" t="s">
        <v>49</v>
      </c>
      <c r="M150" s="38" t="s">
        <v>50</v>
      </c>
      <c r="N150" s="38" t="str">
        <f aca="false">Blocos!AU5</f>
        <v>—</v>
      </c>
    </row>
    <row r="151" customFormat="false" ht="15" hidden="true" customHeight="false" outlineLevel="1" collapsed="false">
      <c r="F151" s="35" t="s">
        <v>826</v>
      </c>
      <c r="G151" s="35" t="s">
        <v>577</v>
      </c>
      <c r="H151" s="35" t="s">
        <v>827</v>
      </c>
      <c r="I151" s="40" t="n">
        <v>203.312469031775</v>
      </c>
      <c r="J151" s="36" t="n">
        <v>1293.91647035712</v>
      </c>
      <c r="K151" s="35"/>
    </row>
    <row r="152" customFormat="false" ht="15" hidden="true" customHeight="false" outlineLevel="1" collapsed="false">
      <c r="F152" s="35" t="s">
        <v>828</v>
      </c>
      <c r="G152" s="35" t="s">
        <v>827</v>
      </c>
      <c r="H152" s="35" t="s">
        <v>829</v>
      </c>
      <c r="I152" s="40" t="n">
        <v>3.13542753637762</v>
      </c>
      <c r="J152" s="36" t="n">
        <v>1297.0518978935</v>
      </c>
      <c r="K152" s="35"/>
    </row>
    <row r="153" customFormat="false" ht="15" hidden="true" customHeight="false" outlineLevel="1" collapsed="false">
      <c r="F153" s="35" t="s">
        <v>830</v>
      </c>
      <c r="G153" s="35" t="s">
        <v>829</v>
      </c>
      <c r="H153" s="35" t="s">
        <v>831</v>
      </c>
      <c r="I153" s="40" t="n">
        <v>76.8604305359007</v>
      </c>
      <c r="J153" s="36" t="n">
        <v>1373.9123284294</v>
      </c>
      <c r="K153" s="35"/>
    </row>
    <row r="154" customFormat="false" ht="15" hidden="true" customHeight="false" outlineLevel="1" collapsed="false">
      <c r="F154" s="35" t="s">
        <v>832</v>
      </c>
      <c r="G154" s="35" t="s">
        <v>831</v>
      </c>
      <c r="H154" s="35" t="s">
        <v>833</v>
      </c>
      <c r="I154" s="40" t="n">
        <v>3.77723648028831</v>
      </c>
      <c r="J154" s="36" t="n">
        <v>1377.68956490969</v>
      </c>
      <c r="K154" s="35"/>
    </row>
    <row r="155" customFormat="false" ht="15" hidden="true" customHeight="false" outlineLevel="1" collapsed="false">
      <c r="F155" s="35" t="s">
        <v>834</v>
      </c>
      <c r="G155" s="35" t="s">
        <v>833</v>
      </c>
      <c r="H155" s="35" t="s">
        <v>835</v>
      </c>
      <c r="I155" s="40" t="n">
        <v>41.0280003549737</v>
      </c>
      <c r="J155" s="36" t="n">
        <v>1418.71756526466</v>
      </c>
      <c r="K155" s="35"/>
    </row>
    <row r="156" customFormat="false" ht="15" hidden="true" customHeight="false" outlineLevel="1" collapsed="false">
      <c r="F156" s="35" t="s">
        <v>836</v>
      </c>
      <c r="G156" s="35" t="s">
        <v>577</v>
      </c>
      <c r="H156" s="35" t="s">
        <v>837</v>
      </c>
      <c r="I156" s="40" t="n">
        <v>15.3690914297054</v>
      </c>
      <c r="J156" s="36" t="n">
        <v>1105.97309275505</v>
      </c>
      <c r="K156" s="35"/>
    </row>
    <row r="157" customFormat="false" ht="15" hidden="false" customHeight="false" outlineLevel="0" collapsed="true">
      <c r="A157" s="38" t="n">
        <v>5</v>
      </c>
      <c r="B157" s="38" t="s">
        <v>20</v>
      </c>
      <c r="C157" s="38" t="s">
        <v>283</v>
      </c>
      <c r="D157" s="38" t="s">
        <v>382</v>
      </c>
      <c r="E157" s="38" t="s">
        <v>40</v>
      </c>
      <c r="F157" s="38" t="str">
        <f aca="false">COUNTIFS(Trechos!$L$2:$L$526,A157)&amp;" vãos"</f>
        <v>1 vãos</v>
      </c>
      <c r="G157" s="38"/>
      <c r="H157" s="38"/>
      <c r="I157" s="39" t="n">
        <f aca="false">SUMIFS(Trechos!$F$2:$F$526,Trechos!$L$2:$L$526,A157)</f>
        <v>8.46532872647349</v>
      </c>
      <c r="J157" s="38"/>
      <c r="K157" s="38"/>
      <c r="L157" s="38" t="s">
        <v>53</v>
      </c>
      <c r="M157" s="38" t="s">
        <v>50</v>
      </c>
      <c r="N157" s="38" t="str">
        <f aca="false">Blocos!AU6</f>
        <v>—</v>
      </c>
    </row>
    <row r="158" customFormat="false" ht="15" hidden="true" customHeight="false" outlineLevel="1" collapsed="false">
      <c r="F158" s="35" t="s">
        <v>838</v>
      </c>
      <c r="G158" s="35" t="s">
        <v>588</v>
      </c>
      <c r="H158" s="35" t="s">
        <v>839</v>
      </c>
      <c r="I158" s="40" t="n">
        <v>8.46532872647349</v>
      </c>
      <c r="J158" s="36" t="n">
        <v>1352.55004398611</v>
      </c>
      <c r="K158" s="35"/>
    </row>
    <row r="159" customFormat="false" ht="15" hidden="false" customHeight="false" outlineLevel="0" collapsed="true">
      <c r="A159" s="38" t="n">
        <v>6</v>
      </c>
      <c r="B159" s="38" t="s">
        <v>20</v>
      </c>
      <c r="C159" s="38" t="s">
        <v>283</v>
      </c>
      <c r="D159" s="38" t="s">
        <v>383</v>
      </c>
      <c r="E159" s="38" t="s">
        <v>40</v>
      </c>
      <c r="F159" s="38" t="str">
        <f aca="false">COUNTIFS(Trechos!$L$2:$L$526,A159)&amp;" vãos"</f>
        <v>1 vãos</v>
      </c>
      <c r="G159" s="38"/>
      <c r="H159" s="38"/>
      <c r="I159" s="39" t="n">
        <f aca="false">SUMIFS(Trechos!$F$2:$F$526,Trechos!$L$2:$L$526,A159)</f>
        <v>1.00681676888472</v>
      </c>
      <c r="J159" s="38"/>
      <c r="K159" s="38"/>
      <c r="L159" s="38" t="s">
        <v>56</v>
      </c>
      <c r="M159" s="38" t="s">
        <v>50</v>
      </c>
      <c r="N159" s="38" t="str">
        <f aca="false">Blocos!AU7</f>
        <v>0201072004</v>
      </c>
    </row>
    <row r="160" customFormat="false" ht="15" hidden="true" customHeight="false" outlineLevel="1" collapsed="false">
      <c r="F160" s="35" t="s">
        <v>840</v>
      </c>
      <c r="G160" s="35" t="s">
        <v>597</v>
      </c>
      <c r="H160" s="35" t="s">
        <v>841</v>
      </c>
      <c r="I160" s="40" t="n">
        <v>1.00681676888472</v>
      </c>
      <c r="J160" s="36" t="n">
        <v>1546.47080127852</v>
      </c>
      <c r="K160" s="35"/>
    </row>
    <row r="161" customFormat="false" ht="15" hidden="false" customHeight="false" outlineLevel="0" collapsed="true">
      <c r="A161" s="43" t="n">
        <v>7</v>
      </c>
      <c r="B161" s="43" t="s">
        <v>22</v>
      </c>
      <c r="C161" s="43" t="s">
        <v>283</v>
      </c>
      <c r="D161" s="43" t="s">
        <v>383</v>
      </c>
      <c r="E161" s="43" t="s">
        <v>56</v>
      </c>
      <c r="F161" s="43" t="str">
        <f aca="false">COUNTIFS(Trechos!$L$2:$L$526,A161)&amp;" vãos"</f>
        <v>2 vãos</v>
      </c>
      <c r="G161" s="43"/>
      <c r="H161" s="43"/>
      <c r="I161" s="44" t="n">
        <f aca="false">SUMIFS(Trechos!$F$2:$F$526,Trechos!$L$2:$L$526,A161)</f>
        <v>22.3235248267574</v>
      </c>
      <c r="J161" s="43"/>
      <c r="K161" s="43"/>
      <c r="L161" s="43" t="s">
        <v>57</v>
      </c>
      <c r="M161" s="43" t="s">
        <v>50</v>
      </c>
      <c r="N161" s="43" t="str">
        <f aca="false">Blocos!AU8</f>
        <v>—</v>
      </c>
    </row>
    <row r="162" customFormat="false" ht="15" hidden="true" customHeight="false" outlineLevel="1" collapsed="false">
      <c r="F162" s="35" t="s">
        <v>842</v>
      </c>
      <c r="G162" s="35" t="s">
        <v>841</v>
      </c>
      <c r="H162" s="35" t="s">
        <v>843</v>
      </c>
      <c r="I162" s="40" t="n">
        <v>7.48997745560566</v>
      </c>
      <c r="J162" s="36" t="n">
        <v>7.48997745560564</v>
      </c>
      <c r="K162" s="35"/>
    </row>
    <row r="163" customFormat="false" ht="15" hidden="true" customHeight="false" outlineLevel="1" collapsed="false">
      <c r="F163" s="35" t="s">
        <v>844</v>
      </c>
      <c r="G163" s="35" t="s">
        <v>843</v>
      </c>
      <c r="H163" s="35" t="s">
        <v>845</v>
      </c>
      <c r="I163" s="40" t="n">
        <v>14.8335473711518</v>
      </c>
      <c r="J163" s="36" t="n">
        <v>22.3235248267574</v>
      </c>
      <c r="K163" s="35"/>
    </row>
    <row r="164" customFormat="false" ht="15" hidden="false" customHeight="false" outlineLevel="0" collapsed="true">
      <c r="A164" s="38" t="n">
        <v>8</v>
      </c>
      <c r="B164" s="38" t="s">
        <v>20</v>
      </c>
      <c r="C164" s="38" t="s">
        <v>283</v>
      </c>
      <c r="D164" s="38" t="s">
        <v>384</v>
      </c>
      <c r="E164" s="38" t="s">
        <v>40</v>
      </c>
      <c r="F164" s="38" t="str">
        <f aca="false">COUNTIFS(Trechos!$L$2:$L$526,A164)&amp;" vãos"</f>
        <v>1 vãos</v>
      </c>
      <c r="G164" s="38"/>
      <c r="H164" s="38"/>
      <c r="I164" s="39" t="n">
        <f aca="false">SUMIFS(Trechos!$F$2:$F$526,Trechos!$L$2:$L$526,A164)</f>
        <v>1.02053122365876</v>
      </c>
      <c r="J164" s="38"/>
      <c r="K164" s="38"/>
      <c r="L164" s="38" t="s">
        <v>60</v>
      </c>
      <c r="M164" s="38" t="s">
        <v>50</v>
      </c>
      <c r="N164" s="38" t="str">
        <f aca="false">Blocos!AU9</f>
        <v>0345761004</v>
      </c>
    </row>
    <row r="165" customFormat="false" ht="15" hidden="true" customHeight="false" outlineLevel="1" collapsed="false">
      <c r="F165" s="35" t="s">
        <v>846</v>
      </c>
      <c r="G165" s="35" t="s">
        <v>599</v>
      </c>
      <c r="H165" s="35" t="s">
        <v>847</v>
      </c>
      <c r="I165" s="40" t="n">
        <v>1.02053122365876</v>
      </c>
      <c r="J165" s="36" t="n">
        <v>1644.07221407701</v>
      </c>
      <c r="K165" s="35"/>
    </row>
    <row r="166" customFormat="false" ht="15" hidden="false" customHeight="false" outlineLevel="0" collapsed="true">
      <c r="A166" s="43" t="n">
        <v>9</v>
      </c>
      <c r="B166" s="43" t="s">
        <v>22</v>
      </c>
      <c r="C166" s="43" t="s">
        <v>283</v>
      </c>
      <c r="D166" s="43" t="s">
        <v>384</v>
      </c>
      <c r="E166" s="43" t="s">
        <v>60</v>
      </c>
      <c r="F166" s="43" t="str">
        <f aca="false">COUNTIFS(Trechos!$L$2:$L$526,A166)&amp;" vãos"</f>
        <v>1 vãos</v>
      </c>
      <c r="G166" s="43"/>
      <c r="H166" s="43"/>
      <c r="I166" s="44" t="n">
        <f aca="false">SUMIFS(Trechos!$F$2:$F$526,Trechos!$L$2:$L$526,A166)</f>
        <v>8.54997721921965</v>
      </c>
      <c r="J166" s="43"/>
      <c r="K166" s="43"/>
      <c r="L166" s="43" t="s">
        <v>61</v>
      </c>
      <c r="M166" s="43" t="s">
        <v>50</v>
      </c>
      <c r="N166" s="43" t="str">
        <f aca="false">Blocos!AU10</f>
        <v>—</v>
      </c>
    </row>
    <row r="167" customFormat="false" ht="15" hidden="true" customHeight="false" outlineLevel="1" collapsed="false">
      <c r="F167" s="35" t="s">
        <v>848</v>
      </c>
      <c r="G167" s="35" t="s">
        <v>847</v>
      </c>
      <c r="H167" s="35" t="s">
        <v>849</v>
      </c>
      <c r="I167" s="40" t="n">
        <v>8.54997721921965</v>
      </c>
      <c r="J167" s="36" t="n">
        <v>8.54997721921973</v>
      </c>
      <c r="K167" s="35"/>
    </row>
    <row r="168" customFormat="false" ht="15" hidden="false" customHeight="false" outlineLevel="0" collapsed="true">
      <c r="A168" s="38" t="n">
        <v>10</v>
      </c>
      <c r="B168" s="38" t="s">
        <v>20</v>
      </c>
      <c r="C168" s="38" t="s">
        <v>283</v>
      </c>
      <c r="D168" s="38" t="s">
        <v>385</v>
      </c>
      <c r="E168" s="38" t="s">
        <v>40</v>
      </c>
      <c r="F168" s="38" t="str">
        <f aca="false">COUNTIFS(Trechos!$L$2:$L$526,A168)&amp;" vãos"</f>
        <v>1 vãos</v>
      </c>
      <c r="G168" s="38"/>
      <c r="H168" s="38"/>
      <c r="I168" s="39" t="n">
        <f aca="false">SUMIFS(Trechos!$F$2:$F$526,Trechos!$L$2:$L$526,A168)</f>
        <v>0.554406188864805</v>
      </c>
      <c r="J168" s="38"/>
      <c r="K168" s="38"/>
      <c r="L168" s="38" t="s">
        <v>64</v>
      </c>
      <c r="M168" s="38" t="s">
        <v>50</v>
      </c>
      <c r="N168" s="38" t="str">
        <f aca="false">Blocos!AU11</f>
        <v>0200547004</v>
      </c>
    </row>
    <row r="169" customFormat="false" ht="15" hidden="true" customHeight="false" outlineLevel="1" collapsed="false">
      <c r="F169" s="35" t="s">
        <v>850</v>
      </c>
      <c r="G169" s="35" t="s">
        <v>601</v>
      </c>
      <c r="H169" s="35" t="s">
        <v>851</v>
      </c>
      <c r="I169" s="40" t="n">
        <v>0.554406188864805</v>
      </c>
      <c r="J169" s="36" t="n">
        <v>1680.35432912644</v>
      </c>
      <c r="K169" s="35"/>
    </row>
    <row r="170" customFormat="false" ht="15" hidden="false" customHeight="false" outlineLevel="0" collapsed="true">
      <c r="A170" s="43" t="n">
        <v>11</v>
      </c>
      <c r="B170" s="43" t="s">
        <v>22</v>
      </c>
      <c r="C170" s="43" t="s">
        <v>283</v>
      </c>
      <c r="D170" s="43" t="s">
        <v>385</v>
      </c>
      <c r="E170" s="43" t="s">
        <v>64</v>
      </c>
      <c r="F170" s="43" t="str">
        <f aca="false">COUNTIFS(Trechos!$L$2:$L$526,A170)&amp;" vãos"</f>
        <v>1 vãos</v>
      </c>
      <c r="G170" s="43"/>
      <c r="H170" s="43"/>
      <c r="I170" s="44" t="n">
        <f aca="false">SUMIFS(Trechos!$F$2:$F$526,Trechos!$L$2:$L$526,A170)</f>
        <v>3.83902037096225</v>
      </c>
      <c r="J170" s="43"/>
      <c r="K170" s="43"/>
      <c r="L170" s="43" t="s">
        <v>65</v>
      </c>
      <c r="M170" s="43" t="s">
        <v>50</v>
      </c>
      <c r="N170" s="43" t="str">
        <f aca="false">Blocos!AU12</f>
        <v>—</v>
      </c>
    </row>
    <row r="171" customFormat="false" ht="15" hidden="true" customHeight="false" outlineLevel="1" collapsed="false">
      <c r="F171" s="35" t="s">
        <v>852</v>
      </c>
      <c r="G171" s="35" t="s">
        <v>851</v>
      </c>
      <c r="H171" s="35" t="s">
        <v>853</v>
      </c>
      <c r="I171" s="40" t="n">
        <v>3.83902037096225</v>
      </c>
      <c r="J171" s="36" t="n">
        <v>3.83902037096232</v>
      </c>
      <c r="K171" s="35"/>
    </row>
    <row r="172" customFormat="false" ht="15" hidden="false" customHeight="false" outlineLevel="0" collapsed="true">
      <c r="A172" s="38" t="n">
        <v>12</v>
      </c>
      <c r="B172" s="38" t="s">
        <v>20</v>
      </c>
      <c r="C172" s="38" t="s">
        <v>283</v>
      </c>
      <c r="D172" s="38" t="s">
        <v>386</v>
      </c>
      <c r="E172" s="38" t="s">
        <v>40</v>
      </c>
      <c r="F172" s="38" t="str">
        <f aca="false">COUNTIFS(Trechos!$L$2:$L$526,A172)&amp;" vãos"</f>
        <v>1 vãos</v>
      </c>
      <c r="G172" s="38"/>
      <c r="H172" s="38"/>
      <c r="I172" s="39" t="n">
        <f aca="false">SUMIFS(Trechos!$F$2:$F$526,Trechos!$L$2:$L$526,A172)</f>
        <v>1.02176395015507</v>
      </c>
      <c r="J172" s="38"/>
      <c r="K172" s="38"/>
      <c r="L172" s="38" t="s">
        <v>68</v>
      </c>
      <c r="M172" s="38" t="s">
        <v>50</v>
      </c>
      <c r="N172" s="38" t="str">
        <f aca="false">Blocos!AU13</f>
        <v>0200548004</v>
      </c>
    </row>
    <row r="173" customFormat="false" ht="15" hidden="true" customHeight="false" outlineLevel="1" collapsed="false">
      <c r="F173" s="35" t="s">
        <v>854</v>
      </c>
      <c r="G173" s="35" t="s">
        <v>603</v>
      </c>
      <c r="H173" s="35" t="s">
        <v>855</v>
      </c>
      <c r="I173" s="40" t="n">
        <v>1.02176395015507</v>
      </c>
      <c r="J173" s="36" t="n">
        <v>1788.11306188083</v>
      </c>
      <c r="K173" s="35"/>
    </row>
    <row r="174" customFormat="false" ht="15" hidden="false" customHeight="false" outlineLevel="0" collapsed="true">
      <c r="A174" s="43" t="n">
        <v>13</v>
      </c>
      <c r="B174" s="43" t="s">
        <v>22</v>
      </c>
      <c r="C174" s="43" t="s">
        <v>283</v>
      </c>
      <c r="D174" s="43" t="s">
        <v>386</v>
      </c>
      <c r="E174" s="43" t="s">
        <v>68</v>
      </c>
      <c r="F174" s="43" t="str">
        <f aca="false">COUNTIFS(Trechos!$L$2:$L$526,A174)&amp;" vãos"</f>
        <v>1 vãos</v>
      </c>
      <c r="G174" s="43"/>
      <c r="H174" s="43"/>
      <c r="I174" s="44" t="n">
        <f aca="false">SUMIFS(Trechos!$F$2:$F$526,Trechos!$L$2:$L$526,A174)</f>
        <v>8.8549610425365</v>
      </c>
      <c r="J174" s="43"/>
      <c r="K174" s="43"/>
      <c r="L174" s="43" t="s">
        <v>69</v>
      </c>
      <c r="M174" s="43" t="s">
        <v>50</v>
      </c>
      <c r="N174" s="43" t="str">
        <f aca="false">Blocos!AU14</f>
        <v>—</v>
      </c>
    </row>
    <row r="175" customFormat="false" ht="15" hidden="true" customHeight="false" outlineLevel="1" collapsed="false">
      <c r="F175" s="35" t="s">
        <v>856</v>
      </c>
      <c r="G175" s="35" t="s">
        <v>855</v>
      </c>
      <c r="H175" s="35" t="s">
        <v>857</v>
      </c>
      <c r="I175" s="40" t="n">
        <v>8.8549610425365</v>
      </c>
      <c r="J175" s="36" t="n">
        <v>8.85496104253662</v>
      </c>
      <c r="K175" s="35"/>
    </row>
    <row r="176" customFormat="false" ht="15" hidden="false" customHeight="false" outlineLevel="0" collapsed="true">
      <c r="A176" s="38" t="n">
        <v>14</v>
      </c>
      <c r="B176" s="38" t="s">
        <v>20</v>
      </c>
      <c r="C176" s="38" t="s">
        <v>283</v>
      </c>
      <c r="D176" s="38" t="s">
        <v>387</v>
      </c>
      <c r="E176" s="38" t="s">
        <v>40</v>
      </c>
      <c r="F176" s="38" t="str">
        <f aca="false">COUNTIFS(Trechos!$L$2:$L$526,A176)&amp;" vãos"</f>
        <v>1 vãos</v>
      </c>
      <c r="G176" s="38"/>
      <c r="H176" s="38"/>
      <c r="I176" s="39" t="n">
        <f aca="false">SUMIFS(Trechos!$F$2:$F$526,Trechos!$L$2:$L$526,A176)</f>
        <v>1.04309589998363</v>
      </c>
      <c r="J176" s="38"/>
      <c r="K176" s="38"/>
      <c r="L176" s="38" t="s">
        <v>72</v>
      </c>
      <c r="M176" s="38" t="s">
        <v>50</v>
      </c>
      <c r="N176" s="38" t="str">
        <f aca="false">Blocos!AU15</f>
        <v>0200549004</v>
      </c>
    </row>
    <row r="177" customFormat="false" ht="15" hidden="true" customHeight="false" outlineLevel="1" collapsed="false">
      <c r="F177" s="35" t="s">
        <v>858</v>
      </c>
      <c r="G177" s="35" t="s">
        <v>611</v>
      </c>
      <c r="H177" s="35" t="s">
        <v>859</v>
      </c>
      <c r="I177" s="40" t="n">
        <v>1.04309589998363</v>
      </c>
      <c r="J177" s="36" t="n">
        <v>2127.06435070955</v>
      </c>
      <c r="K177" s="35"/>
    </row>
    <row r="178" customFormat="false" ht="15" hidden="false" customHeight="false" outlineLevel="0" collapsed="true">
      <c r="A178" s="43" t="n">
        <v>15</v>
      </c>
      <c r="B178" s="43" t="s">
        <v>22</v>
      </c>
      <c r="C178" s="43" t="s">
        <v>283</v>
      </c>
      <c r="D178" s="43" t="s">
        <v>387</v>
      </c>
      <c r="E178" s="43" t="s">
        <v>72</v>
      </c>
      <c r="F178" s="43" t="str">
        <f aca="false">COUNTIFS(Trechos!$L$2:$L$526,A178)&amp;" vãos"</f>
        <v>1 vãos</v>
      </c>
      <c r="G178" s="43"/>
      <c r="H178" s="43"/>
      <c r="I178" s="44" t="n">
        <f aca="false">SUMIFS(Trechos!$F$2:$F$526,Trechos!$L$2:$L$526,A178)</f>
        <v>9.06301259230931</v>
      </c>
      <c r="J178" s="43"/>
      <c r="K178" s="43"/>
      <c r="L178" s="43" t="s">
        <v>73</v>
      </c>
      <c r="M178" s="43" t="s">
        <v>50</v>
      </c>
      <c r="N178" s="43" t="str">
        <f aca="false">Blocos!AU16</f>
        <v>—</v>
      </c>
    </row>
    <row r="179" customFormat="false" ht="15" hidden="true" customHeight="false" outlineLevel="1" collapsed="false">
      <c r="F179" s="35" t="s">
        <v>860</v>
      </c>
      <c r="G179" s="35" t="s">
        <v>859</v>
      </c>
      <c r="H179" s="35" t="s">
        <v>861</v>
      </c>
      <c r="I179" s="40" t="n">
        <v>9.06301259230931</v>
      </c>
      <c r="J179" s="36" t="n">
        <v>9.06301259230941</v>
      </c>
      <c r="K179" s="35"/>
    </row>
    <row r="180" customFormat="false" ht="15" hidden="false" customHeight="false" outlineLevel="0" collapsed="true">
      <c r="A180" s="38" t="n">
        <v>16</v>
      </c>
      <c r="B180" s="38" t="s">
        <v>20</v>
      </c>
      <c r="C180" s="38" t="s">
        <v>283</v>
      </c>
      <c r="D180" s="38" t="s">
        <v>388</v>
      </c>
      <c r="E180" s="38" t="s">
        <v>40</v>
      </c>
      <c r="F180" s="38" t="str">
        <f aca="false">COUNTIFS(Trechos!$L$2:$L$526,A180)&amp;" vãos"</f>
        <v>2 vãos</v>
      </c>
      <c r="G180" s="38"/>
      <c r="H180" s="38"/>
      <c r="I180" s="39" t="n">
        <f aca="false">SUMIFS(Trechos!$F$2:$F$526,Trechos!$L$2:$L$526,A180)</f>
        <v>79.2829462197932</v>
      </c>
      <c r="J180" s="38"/>
      <c r="K180" s="38"/>
      <c r="L180" s="38" t="s">
        <v>76</v>
      </c>
      <c r="M180" s="38" t="s">
        <v>50</v>
      </c>
      <c r="N180" s="38" t="str">
        <f aca="false">Blocos!AU17</f>
        <v>—</v>
      </c>
    </row>
    <row r="181" customFormat="false" ht="15" hidden="true" customHeight="false" outlineLevel="1" collapsed="false">
      <c r="F181" s="35" t="s">
        <v>862</v>
      </c>
      <c r="G181" s="35" t="s">
        <v>613</v>
      </c>
      <c r="H181" s="35" t="s">
        <v>863</v>
      </c>
      <c r="I181" s="40" t="n">
        <v>2.92107174865001</v>
      </c>
      <c r="J181" s="36" t="n">
        <v>2154.34238289656</v>
      </c>
      <c r="K181" s="35"/>
    </row>
    <row r="182" customFormat="false" ht="15" hidden="true" customHeight="false" outlineLevel="1" collapsed="false">
      <c r="F182" s="35" t="s">
        <v>864</v>
      </c>
      <c r="G182" s="35" t="s">
        <v>863</v>
      </c>
      <c r="H182" s="35" t="s">
        <v>865</v>
      </c>
      <c r="I182" s="40" t="n">
        <v>76.3618744711432</v>
      </c>
      <c r="J182" s="36" t="n">
        <v>2230.7042573677</v>
      </c>
      <c r="K182" s="35"/>
    </row>
    <row r="183" customFormat="false" ht="15" hidden="false" customHeight="false" outlineLevel="0" collapsed="true">
      <c r="A183" s="38" t="n">
        <v>17</v>
      </c>
      <c r="B183" s="38" t="s">
        <v>20</v>
      </c>
      <c r="C183" s="38" t="s">
        <v>283</v>
      </c>
      <c r="D183" s="38" t="s">
        <v>389</v>
      </c>
      <c r="E183" s="38" t="s">
        <v>40</v>
      </c>
      <c r="F183" s="38" t="str">
        <f aca="false">COUNTIFS(Trechos!$L$2:$L$526,A183)&amp;" vãos"</f>
        <v>1 vãos</v>
      </c>
      <c r="G183" s="38"/>
      <c r="H183" s="38"/>
      <c r="I183" s="39" t="n">
        <f aca="false">SUMIFS(Trechos!$F$2:$F$526,Trechos!$L$2:$L$526,A183)</f>
        <v>0.951570434771641</v>
      </c>
      <c r="J183" s="38"/>
      <c r="K183" s="38"/>
      <c r="L183" s="38" t="s">
        <v>79</v>
      </c>
      <c r="M183" s="38" t="s">
        <v>50</v>
      </c>
      <c r="N183" s="38" t="str">
        <f aca="false">Blocos!AU18</f>
        <v>0201875004</v>
      </c>
    </row>
    <row r="184" customFormat="false" ht="15" hidden="true" customHeight="false" outlineLevel="1" collapsed="false">
      <c r="F184" s="35" t="s">
        <v>866</v>
      </c>
      <c r="G184" s="35" t="s">
        <v>619</v>
      </c>
      <c r="H184" s="35" t="s">
        <v>867</v>
      </c>
      <c r="I184" s="40" t="n">
        <v>0.951570434771641</v>
      </c>
      <c r="J184" s="36" t="n">
        <v>2219.03178559953</v>
      </c>
      <c r="K184" s="35"/>
    </row>
    <row r="185" customFormat="false" ht="15" hidden="false" customHeight="false" outlineLevel="0" collapsed="true">
      <c r="A185" s="43" t="n">
        <v>18</v>
      </c>
      <c r="B185" s="43" t="s">
        <v>22</v>
      </c>
      <c r="C185" s="43" t="s">
        <v>283</v>
      </c>
      <c r="D185" s="43" t="s">
        <v>389</v>
      </c>
      <c r="E185" s="43" t="s">
        <v>79</v>
      </c>
      <c r="F185" s="43" t="str">
        <f aca="false">COUNTIFS(Trechos!$L$2:$L$526,A185)&amp;" vãos"</f>
        <v>1 vãos</v>
      </c>
      <c r="G185" s="43"/>
      <c r="H185" s="43"/>
      <c r="I185" s="44" t="n">
        <f aca="false">SUMIFS(Trechos!$F$2:$F$526,Trechos!$L$2:$L$526,A185)</f>
        <v>8.68446749532155</v>
      </c>
      <c r="J185" s="43"/>
      <c r="K185" s="43"/>
      <c r="L185" s="43" t="s">
        <v>80</v>
      </c>
      <c r="M185" s="43" t="s">
        <v>50</v>
      </c>
      <c r="N185" s="43" t="str">
        <f aca="false">Blocos!AU19</f>
        <v>—</v>
      </c>
    </row>
    <row r="186" customFormat="false" ht="15" hidden="true" customHeight="false" outlineLevel="1" collapsed="false">
      <c r="F186" s="35" t="s">
        <v>868</v>
      </c>
      <c r="G186" s="35" t="s">
        <v>867</v>
      </c>
      <c r="H186" s="35" t="s">
        <v>869</v>
      </c>
      <c r="I186" s="40" t="n">
        <v>8.68446749532155</v>
      </c>
      <c r="J186" s="36" t="n">
        <v>8.68446749532177</v>
      </c>
      <c r="K186" s="35"/>
    </row>
    <row r="187" customFormat="false" ht="15" hidden="false" customHeight="false" outlineLevel="0" collapsed="true">
      <c r="A187" s="38" t="n">
        <v>19</v>
      </c>
      <c r="B187" s="38" t="s">
        <v>20</v>
      </c>
      <c r="C187" s="38" t="s">
        <v>283</v>
      </c>
      <c r="D187" s="38" t="s">
        <v>390</v>
      </c>
      <c r="E187" s="38" t="s">
        <v>40</v>
      </c>
      <c r="F187" s="38" t="str">
        <f aca="false">COUNTIFS(Trechos!$L$2:$L$526,A187)&amp;" vãos"</f>
        <v>1 vãos</v>
      </c>
      <c r="G187" s="38"/>
      <c r="H187" s="38"/>
      <c r="I187" s="39" t="n">
        <f aca="false">SUMIFS(Trechos!$F$2:$F$526,Trechos!$L$2:$L$526,A187)</f>
        <v>0.865673170948216</v>
      </c>
      <c r="J187" s="38"/>
      <c r="K187" s="38"/>
      <c r="L187" s="38" t="s">
        <v>83</v>
      </c>
      <c r="M187" s="38" t="s">
        <v>50</v>
      </c>
      <c r="N187" s="38" t="str">
        <f aca="false">Blocos!AU20</f>
        <v>0200550004</v>
      </c>
    </row>
    <row r="188" customFormat="false" ht="15" hidden="true" customHeight="false" outlineLevel="1" collapsed="false">
      <c r="F188" s="35" t="s">
        <v>870</v>
      </c>
      <c r="G188" s="35" t="s">
        <v>621</v>
      </c>
      <c r="H188" s="35" t="s">
        <v>871</v>
      </c>
      <c r="I188" s="40" t="n">
        <v>0.865673170948216</v>
      </c>
      <c r="J188" s="36" t="n">
        <v>2227.25605028214</v>
      </c>
      <c r="K188" s="35"/>
    </row>
    <row r="189" customFormat="false" ht="15" hidden="false" customHeight="false" outlineLevel="0" collapsed="true">
      <c r="A189" s="43" t="n">
        <v>20</v>
      </c>
      <c r="B189" s="43" t="s">
        <v>22</v>
      </c>
      <c r="C189" s="43" t="s">
        <v>283</v>
      </c>
      <c r="D189" s="43" t="s">
        <v>390</v>
      </c>
      <c r="E189" s="43" t="s">
        <v>83</v>
      </c>
      <c r="F189" s="43" t="str">
        <f aca="false">COUNTIFS(Trechos!$L$2:$L$526,A189)&amp;" vãos"</f>
        <v>3 vãos</v>
      </c>
      <c r="G189" s="43"/>
      <c r="H189" s="43"/>
      <c r="I189" s="44" t="n">
        <f aca="false">SUMIFS(Trechos!$F$2:$F$526,Trechos!$L$2:$L$526,A189)</f>
        <v>46.71105825906</v>
      </c>
      <c r="J189" s="43"/>
      <c r="K189" s="43"/>
      <c r="L189" s="43" t="s">
        <v>84</v>
      </c>
      <c r="M189" s="43" t="s">
        <v>50</v>
      </c>
      <c r="N189" s="43" t="str">
        <f aca="false">Blocos!AU21</f>
        <v>—</v>
      </c>
    </row>
    <row r="190" customFormat="false" ht="15" hidden="true" customHeight="false" outlineLevel="1" collapsed="false">
      <c r="F190" s="35" t="s">
        <v>872</v>
      </c>
      <c r="G190" s="35" t="s">
        <v>871</v>
      </c>
      <c r="H190" s="35" t="s">
        <v>873</v>
      </c>
      <c r="I190" s="40" t="n">
        <v>7.67560110789648</v>
      </c>
      <c r="J190" s="36" t="n">
        <v>7.67560110789646</v>
      </c>
      <c r="K190" s="35"/>
    </row>
    <row r="191" customFormat="false" ht="15" hidden="true" customHeight="false" outlineLevel="1" collapsed="false">
      <c r="F191" s="35" t="s">
        <v>874</v>
      </c>
      <c r="G191" s="35" t="s">
        <v>873</v>
      </c>
      <c r="H191" s="35" t="s">
        <v>875</v>
      </c>
      <c r="I191" s="40" t="n">
        <v>18.2520041251135</v>
      </c>
      <c r="J191" s="36" t="n">
        <v>25.9276052330101</v>
      </c>
      <c r="K191" s="35"/>
    </row>
    <row r="192" customFormat="false" ht="15" hidden="true" customHeight="false" outlineLevel="1" collapsed="false">
      <c r="F192" s="35" t="s">
        <v>876</v>
      </c>
      <c r="G192" s="35" t="s">
        <v>873</v>
      </c>
      <c r="H192" s="35" t="s">
        <v>877</v>
      </c>
      <c r="I192" s="40" t="n">
        <v>20.7834530260501</v>
      </c>
      <c r="J192" s="36" t="n">
        <v>28.4590541339467</v>
      </c>
      <c r="K192" s="35"/>
    </row>
    <row r="193" customFormat="false" ht="15" hidden="false" customHeight="false" outlineLevel="0" collapsed="true">
      <c r="A193" s="38" t="n">
        <v>21</v>
      </c>
      <c r="B193" s="38" t="s">
        <v>20</v>
      </c>
      <c r="C193" s="38" t="s">
        <v>283</v>
      </c>
      <c r="D193" s="38" t="s">
        <v>393</v>
      </c>
      <c r="E193" s="38" t="s">
        <v>40</v>
      </c>
      <c r="F193" s="38" t="str">
        <f aca="false">COUNTIFS(Trechos!$L$2:$L$526,A193)&amp;" vãos"</f>
        <v>24 vãos</v>
      </c>
      <c r="G193" s="38"/>
      <c r="H193" s="38"/>
      <c r="I193" s="39" t="n">
        <f aca="false">SUMIFS(Trechos!$F$2:$F$526,Trechos!$L$2:$L$526,A193)</f>
        <v>1142.22023431368</v>
      </c>
      <c r="J193" s="38"/>
      <c r="K193" s="38"/>
      <c r="L193" s="38" t="s">
        <v>87</v>
      </c>
      <c r="M193" s="38" t="s">
        <v>50</v>
      </c>
      <c r="N193" s="38" t="str">
        <f aca="false">Blocos!AU22</f>
        <v>—</v>
      </c>
    </row>
    <row r="194" customFormat="false" ht="15" hidden="true" customHeight="false" outlineLevel="1" collapsed="false">
      <c r="F194" s="35" t="s">
        <v>878</v>
      </c>
      <c r="G194" s="35" t="s">
        <v>625</v>
      </c>
      <c r="H194" s="35" t="s">
        <v>879</v>
      </c>
      <c r="I194" s="40" t="n">
        <v>1.80241828018487</v>
      </c>
      <c r="J194" s="36" t="n">
        <v>2369.03246875767</v>
      </c>
      <c r="K194" s="35"/>
    </row>
    <row r="195" customFormat="false" ht="15" hidden="true" customHeight="false" outlineLevel="1" collapsed="false">
      <c r="F195" s="35" t="s">
        <v>880</v>
      </c>
      <c r="G195" s="35" t="s">
        <v>879</v>
      </c>
      <c r="H195" s="35" t="s">
        <v>881</v>
      </c>
      <c r="I195" s="40" t="n">
        <v>9.82092333167938</v>
      </c>
      <c r="J195" s="36" t="n">
        <v>2378.85339208935</v>
      </c>
      <c r="K195" s="35"/>
    </row>
    <row r="196" customFormat="false" ht="15" hidden="true" customHeight="false" outlineLevel="1" collapsed="false">
      <c r="F196" s="35" t="s">
        <v>882</v>
      </c>
      <c r="G196" s="35" t="s">
        <v>881</v>
      </c>
      <c r="H196" s="35" t="s">
        <v>883</v>
      </c>
      <c r="I196" s="40" t="n">
        <v>2.66283982026137</v>
      </c>
      <c r="J196" s="36" t="n">
        <v>2381.51623190961</v>
      </c>
      <c r="K196" s="35"/>
    </row>
    <row r="197" customFormat="false" ht="15" hidden="true" customHeight="false" outlineLevel="1" collapsed="false">
      <c r="F197" s="35" t="s">
        <v>884</v>
      </c>
      <c r="G197" s="35" t="s">
        <v>883</v>
      </c>
      <c r="H197" s="35" t="s">
        <v>885</v>
      </c>
      <c r="I197" s="40" t="n">
        <v>121.713451173468</v>
      </c>
      <c r="J197" s="36" t="n">
        <v>2503.22968308308</v>
      </c>
      <c r="K197" s="35"/>
    </row>
    <row r="198" customFormat="false" ht="15" hidden="true" customHeight="false" outlineLevel="1" collapsed="false">
      <c r="F198" s="35" t="s">
        <v>886</v>
      </c>
      <c r="G198" s="35" t="s">
        <v>885</v>
      </c>
      <c r="H198" s="35" t="s">
        <v>887</v>
      </c>
      <c r="I198" s="40" t="n">
        <v>207.043206157069</v>
      </c>
      <c r="J198" s="36" t="n">
        <v>2710.27288924015</v>
      </c>
      <c r="K198" s="35"/>
    </row>
    <row r="199" customFormat="false" ht="15" hidden="true" customHeight="false" outlineLevel="1" collapsed="false">
      <c r="F199" s="35" t="s">
        <v>888</v>
      </c>
      <c r="G199" s="35" t="s">
        <v>887</v>
      </c>
      <c r="H199" s="35" t="s">
        <v>889</v>
      </c>
      <c r="I199" s="40" t="n">
        <v>98.601089905845</v>
      </c>
      <c r="J199" s="36" t="n">
        <v>2808.87397914599</v>
      </c>
      <c r="K199" s="35"/>
    </row>
    <row r="200" customFormat="false" ht="15" hidden="true" customHeight="false" outlineLevel="1" collapsed="false">
      <c r="F200" s="35" t="s">
        <v>890</v>
      </c>
      <c r="G200" s="35" t="s">
        <v>887</v>
      </c>
      <c r="H200" s="35" t="s">
        <v>891</v>
      </c>
      <c r="I200" s="40" t="n">
        <v>45.0871324378</v>
      </c>
      <c r="J200" s="36" t="n">
        <v>2755.36002167795</v>
      </c>
      <c r="K200" s="35"/>
    </row>
    <row r="201" customFormat="false" ht="15" hidden="true" customHeight="false" outlineLevel="1" collapsed="false">
      <c r="F201" s="35" t="s">
        <v>892</v>
      </c>
      <c r="G201" s="35" t="s">
        <v>891</v>
      </c>
      <c r="H201" s="35" t="s">
        <v>893</v>
      </c>
      <c r="I201" s="40" t="n">
        <v>39.2198650234871</v>
      </c>
      <c r="J201" s="36" t="n">
        <v>2794.57988670143</v>
      </c>
      <c r="K201" s="35"/>
    </row>
    <row r="202" customFormat="false" ht="15" hidden="true" customHeight="false" outlineLevel="1" collapsed="false">
      <c r="F202" s="35" t="s">
        <v>894</v>
      </c>
      <c r="G202" s="35" t="s">
        <v>887</v>
      </c>
      <c r="H202" s="35" t="s">
        <v>895</v>
      </c>
      <c r="I202" s="40" t="n">
        <v>7.59795079111379</v>
      </c>
      <c r="J202" s="36" t="n">
        <v>2717.87084003126</v>
      </c>
      <c r="K202" s="35"/>
    </row>
    <row r="203" customFormat="false" ht="15" hidden="true" customHeight="false" outlineLevel="1" collapsed="false">
      <c r="F203" s="35" t="s">
        <v>896</v>
      </c>
      <c r="G203" s="35" t="s">
        <v>885</v>
      </c>
      <c r="H203" s="35" t="s">
        <v>897</v>
      </c>
      <c r="I203" s="40" t="n">
        <v>21.5403130495649</v>
      </c>
      <c r="J203" s="36" t="n">
        <v>2524.76999613264</v>
      </c>
      <c r="K203" s="35"/>
    </row>
    <row r="204" customFormat="false" ht="15" hidden="true" customHeight="false" outlineLevel="1" collapsed="false">
      <c r="F204" s="35" t="s">
        <v>898</v>
      </c>
      <c r="G204" s="35" t="s">
        <v>885</v>
      </c>
      <c r="H204" s="35" t="s">
        <v>899</v>
      </c>
      <c r="I204" s="40" t="n">
        <v>53.1120496810657</v>
      </c>
      <c r="J204" s="36" t="n">
        <v>2556.34173276414</v>
      </c>
      <c r="K204" s="35"/>
    </row>
    <row r="205" customFormat="false" ht="15" hidden="true" customHeight="false" outlineLevel="1" collapsed="false">
      <c r="F205" s="35" t="s">
        <v>900</v>
      </c>
      <c r="G205" s="35" t="s">
        <v>899</v>
      </c>
      <c r="H205" s="35" t="s">
        <v>901</v>
      </c>
      <c r="I205" s="40" t="n">
        <v>1.73134590323825</v>
      </c>
      <c r="J205" s="36" t="n">
        <v>2558.07307866738</v>
      </c>
      <c r="K205" s="35"/>
    </row>
    <row r="206" customFormat="false" ht="15" hidden="true" customHeight="false" outlineLevel="1" collapsed="false">
      <c r="F206" s="35" t="s">
        <v>902</v>
      </c>
      <c r="G206" s="35" t="s">
        <v>901</v>
      </c>
      <c r="H206" s="35" t="s">
        <v>903</v>
      </c>
      <c r="I206" s="40" t="n">
        <v>166.271878800248</v>
      </c>
      <c r="J206" s="36" t="n">
        <v>2724.34495746763</v>
      </c>
      <c r="K206" s="35"/>
    </row>
    <row r="207" customFormat="false" ht="15" hidden="true" customHeight="false" outlineLevel="1" collapsed="false">
      <c r="F207" s="35" t="s">
        <v>904</v>
      </c>
      <c r="G207" s="35" t="s">
        <v>903</v>
      </c>
      <c r="H207" s="35" t="s">
        <v>905</v>
      </c>
      <c r="I207" s="40" t="n">
        <v>3.47517455275994</v>
      </c>
      <c r="J207" s="36" t="n">
        <v>2727.82013202039</v>
      </c>
      <c r="K207" s="35"/>
    </row>
    <row r="208" customFormat="false" ht="15" hidden="true" customHeight="false" outlineLevel="1" collapsed="false">
      <c r="F208" s="35" t="s">
        <v>906</v>
      </c>
      <c r="G208" s="35" t="s">
        <v>905</v>
      </c>
      <c r="H208" s="35" t="s">
        <v>907</v>
      </c>
      <c r="I208" s="40" t="n">
        <v>40.8128183601268</v>
      </c>
      <c r="J208" s="36" t="n">
        <v>2768.63295038052</v>
      </c>
      <c r="K208" s="35"/>
    </row>
    <row r="209" customFormat="false" ht="15" hidden="true" customHeight="false" outlineLevel="1" collapsed="false">
      <c r="F209" s="35" t="s">
        <v>908</v>
      </c>
      <c r="G209" s="35" t="s">
        <v>907</v>
      </c>
      <c r="H209" s="35" t="s">
        <v>909</v>
      </c>
      <c r="I209" s="40" t="n">
        <v>3.44880768490895</v>
      </c>
      <c r="J209" s="36" t="n">
        <v>2772.08175806543</v>
      </c>
      <c r="K209" s="35"/>
    </row>
    <row r="210" customFormat="false" ht="15" hidden="true" customHeight="false" outlineLevel="1" collapsed="false">
      <c r="F210" s="35" t="s">
        <v>910</v>
      </c>
      <c r="G210" s="35" t="s">
        <v>909</v>
      </c>
      <c r="H210" s="35" t="s">
        <v>911</v>
      </c>
      <c r="I210" s="40" t="n">
        <v>40.0063236458837</v>
      </c>
      <c r="J210" s="36" t="n">
        <v>2812.08808171131</v>
      </c>
      <c r="K210" s="35"/>
    </row>
    <row r="211" customFormat="false" ht="15" hidden="true" customHeight="false" outlineLevel="1" collapsed="false">
      <c r="F211" s="35" t="s">
        <v>912</v>
      </c>
      <c r="G211" s="35" t="s">
        <v>911</v>
      </c>
      <c r="H211" s="35" t="s">
        <v>913</v>
      </c>
      <c r="I211" s="40" t="n">
        <v>22.887268857627</v>
      </c>
      <c r="J211" s="36" t="n">
        <v>2834.97535056894</v>
      </c>
      <c r="K211" s="35"/>
    </row>
    <row r="212" customFormat="false" ht="15" hidden="true" customHeight="false" outlineLevel="1" collapsed="false">
      <c r="F212" s="35" t="s">
        <v>914</v>
      </c>
      <c r="G212" s="35" t="s">
        <v>913</v>
      </c>
      <c r="H212" s="35" t="s">
        <v>915</v>
      </c>
      <c r="I212" s="40" t="n">
        <v>9.67889293755706</v>
      </c>
      <c r="J212" s="36" t="n">
        <v>2844.65424350649</v>
      </c>
      <c r="K212" s="35"/>
    </row>
    <row r="213" customFormat="false" ht="15" hidden="true" customHeight="false" outlineLevel="1" collapsed="false">
      <c r="F213" s="35" t="s">
        <v>916</v>
      </c>
      <c r="G213" s="35" t="s">
        <v>913</v>
      </c>
      <c r="H213" s="35" t="s">
        <v>917</v>
      </c>
      <c r="I213" s="40" t="n">
        <v>18.1912477706732</v>
      </c>
      <c r="J213" s="36" t="n">
        <v>2853.16659833961</v>
      </c>
      <c r="K213" s="35"/>
    </row>
    <row r="214" customFormat="false" ht="15" hidden="true" customHeight="false" outlineLevel="1" collapsed="false">
      <c r="F214" s="35" t="s">
        <v>918</v>
      </c>
      <c r="G214" s="35" t="s">
        <v>913</v>
      </c>
      <c r="H214" s="35" t="s">
        <v>919</v>
      </c>
      <c r="I214" s="40" t="n">
        <v>178.814879230322</v>
      </c>
      <c r="J214" s="36" t="n">
        <v>3013.79022979926</v>
      </c>
      <c r="K214" s="35"/>
    </row>
    <row r="215" customFormat="false" ht="15" hidden="true" customHeight="false" outlineLevel="1" collapsed="false">
      <c r="F215" s="35" t="s">
        <v>920</v>
      </c>
      <c r="G215" s="35" t="s">
        <v>919</v>
      </c>
      <c r="H215" s="35" t="s">
        <v>921</v>
      </c>
      <c r="I215" s="40" t="n">
        <v>23.1789488445154</v>
      </c>
      <c r="J215" s="36" t="n">
        <v>3036.96917864377</v>
      </c>
      <c r="K215" s="35"/>
    </row>
    <row r="216" customFormat="false" ht="15" hidden="true" customHeight="false" outlineLevel="1" collapsed="false">
      <c r="F216" s="35" t="s">
        <v>922</v>
      </c>
      <c r="G216" s="35" t="s">
        <v>919</v>
      </c>
      <c r="H216" s="35" t="s">
        <v>923</v>
      </c>
      <c r="I216" s="40" t="n">
        <v>15.3464860909285</v>
      </c>
      <c r="J216" s="36" t="n">
        <v>3029.13671589019</v>
      </c>
      <c r="K216" s="35"/>
    </row>
    <row r="217" customFormat="false" ht="15" hidden="true" customHeight="false" outlineLevel="1" collapsed="false">
      <c r="F217" s="35" t="s">
        <v>924</v>
      </c>
      <c r="G217" s="35" t="s">
        <v>919</v>
      </c>
      <c r="H217" s="35" t="s">
        <v>925</v>
      </c>
      <c r="I217" s="40" t="n">
        <v>10.1749219833519</v>
      </c>
      <c r="J217" s="36" t="n">
        <v>3023.96515178261</v>
      </c>
      <c r="K217" s="35"/>
    </row>
    <row r="218" customFormat="false" ht="15" hidden="false" customHeight="false" outlineLevel="0" collapsed="true">
      <c r="A218" s="38" t="n">
        <v>22</v>
      </c>
      <c r="B218" s="38" t="s">
        <v>20</v>
      </c>
      <c r="C218" s="38" t="s">
        <v>283</v>
      </c>
      <c r="D218" s="38" t="s">
        <v>403</v>
      </c>
      <c r="E218" s="38" t="s">
        <v>40</v>
      </c>
      <c r="F218" s="38" t="str">
        <f aca="false">COUNTIFS(Trechos!$L$2:$L$526,A218)&amp;" vãos"</f>
        <v>10 vãos</v>
      </c>
      <c r="G218" s="38"/>
      <c r="H218" s="38"/>
      <c r="I218" s="39" t="n">
        <f aca="false">SUMIFS(Trechos!$F$2:$F$526,Trechos!$L$2:$L$526,A218)</f>
        <v>134.240532013188</v>
      </c>
      <c r="J218" s="38"/>
      <c r="K218" s="38"/>
      <c r="L218" s="38" t="s">
        <v>90</v>
      </c>
      <c r="M218" s="38" t="s">
        <v>50</v>
      </c>
      <c r="N218" s="38" t="str">
        <f aca="false">Blocos!AU23</f>
        <v>—</v>
      </c>
    </row>
    <row r="219" customFormat="false" ht="15" hidden="true" customHeight="false" outlineLevel="1" collapsed="false">
      <c r="F219" s="35" t="s">
        <v>926</v>
      </c>
      <c r="G219" s="35" t="s">
        <v>638</v>
      </c>
      <c r="H219" s="35" t="s">
        <v>927</v>
      </c>
      <c r="I219" s="40" t="n">
        <v>19.3455961495265</v>
      </c>
      <c r="J219" s="36" t="n">
        <v>2905.47496122769</v>
      </c>
      <c r="K219" s="35"/>
    </row>
    <row r="220" customFormat="false" ht="15" hidden="true" customHeight="false" outlineLevel="1" collapsed="false">
      <c r="F220" s="35" t="s">
        <v>928</v>
      </c>
      <c r="G220" s="35" t="s">
        <v>927</v>
      </c>
      <c r="H220" s="35" t="s">
        <v>929</v>
      </c>
      <c r="I220" s="40" t="n">
        <v>3.83781974915158</v>
      </c>
      <c r="J220" s="36" t="n">
        <v>2909.31278097684</v>
      </c>
      <c r="K220" s="35"/>
    </row>
    <row r="221" customFormat="false" ht="15" hidden="true" customHeight="false" outlineLevel="1" collapsed="false">
      <c r="F221" s="35" t="s">
        <v>930</v>
      </c>
      <c r="G221" s="35" t="s">
        <v>929</v>
      </c>
      <c r="H221" s="35" t="s">
        <v>931</v>
      </c>
      <c r="I221" s="40" t="n">
        <v>20.5985712342363</v>
      </c>
      <c r="J221" s="36" t="n">
        <v>2929.91135221107</v>
      </c>
      <c r="K221" s="35"/>
    </row>
    <row r="222" customFormat="false" ht="15" hidden="true" customHeight="false" outlineLevel="1" collapsed="false">
      <c r="F222" s="35" t="s">
        <v>932</v>
      </c>
      <c r="G222" s="35" t="s">
        <v>931</v>
      </c>
      <c r="H222" s="35" t="s">
        <v>933</v>
      </c>
      <c r="I222" s="40" t="n">
        <v>3.69033503475026</v>
      </c>
      <c r="J222" s="36" t="n">
        <v>2933.60168724582</v>
      </c>
      <c r="K222" s="35"/>
    </row>
    <row r="223" customFormat="false" ht="15" hidden="true" customHeight="false" outlineLevel="1" collapsed="false">
      <c r="F223" s="35" t="s">
        <v>934</v>
      </c>
      <c r="G223" s="35" t="s">
        <v>933</v>
      </c>
      <c r="H223" s="35" t="s">
        <v>935</v>
      </c>
      <c r="I223" s="40" t="n">
        <v>43.074204655968</v>
      </c>
      <c r="J223" s="36" t="n">
        <v>2976.67589190179</v>
      </c>
      <c r="K223" s="35"/>
    </row>
    <row r="224" customFormat="false" ht="15" hidden="true" customHeight="false" outlineLevel="1" collapsed="false">
      <c r="F224" s="35" t="s">
        <v>936</v>
      </c>
      <c r="G224" s="35" t="s">
        <v>935</v>
      </c>
      <c r="H224" s="35" t="s">
        <v>937</v>
      </c>
      <c r="I224" s="40" t="n">
        <v>3.75931964663612</v>
      </c>
      <c r="J224" s="36" t="n">
        <v>2980.43521154843</v>
      </c>
      <c r="K224" s="35"/>
    </row>
    <row r="225" customFormat="false" ht="15" hidden="true" customHeight="false" outlineLevel="1" collapsed="false">
      <c r="F225" s="35" t="s">
        <v>938</v>
      </c>
      <c r="G225" s="35" t="s">
        <v>937</v>
      </c>
      <c r="H225" s="35" t="s">
        <v>939</v>
      </c>
      <c r="I225" s="40" t="n">
        <v>29.2956765823239</v>
      </c>
      <c r="J225" s="36" t="n">
        <v>3009.73088813075</v>
      </c>
      <c r="K225" s="35"/>
    </row>
    <row r="226" customFormat="false" ht="15" hidden="true" customHeight="false" outlineLevel="1" collapsed="false">
      <c r="F226" s="35" t="s">
        <v>940</v>
      </c>
      <c r="G226" s="35" t="s">
        <v>939</v>
      </c>
      <c r="H226" s="35" t="s">
        <v>941</v>
      </c>
      <c r="I226" s="40" t="n">
        <v>5.18639382996365</v>
      </c>
      <c r="J226" s="36" t="n">
        <v>3014.91728196072</v>
      </c>
      <c r="K226" s="35"/>
    </row>
    <row r="227" customFormat="false" ht="15" hidden="true" customHeight="false" outlineLevel="1" collapsed="false">
      <c r="F227" s="35" t="s">
        <v>942</v>
      </c>
      <c r="G227" s="35" t="s">
        <v>939</v>
      </c>
      <c r="H227" s="35" t="s">
        <v>943</v>
      </c>
      <c r="I227" s="40" t="n">
        <v>0.333584779838025</v>
      </c>
      <c r="J227" s="36" t="n">
        <v>3010.06447291059</v>
      </c>
      <c r="K227" s="35"/>
    </row>
    <row r="228" customFormat="false" ht="15" hidden="true" customHeight="false" outlineLevel="1" collapsed="false">
      <c r="F228" s="35" t="s">
        <v>944</v>
      </c>
      <c r="G228" s="35" t="s">
        <v>943</v>
      </c>
      <c r="H228" s="35" t="s">
        <v>945</v>
      </c>
      <c r="I228" s="40" t="n">
        <v>5.11903035079321</v>
      </c>
      <c r="J228" s="36" t="n">
        <v>3015.18350326138</v>
      </c>
      <c r="K228" s="35"/>
    </row>
    <row r="229" customFormat="false" ht="15" hidden="false" customHeight="false" outlineLevel="0" collapsed="true">
      <c r="A229" s="38" t="n">
        <v>23</v>
      </c>
      <c r="B229" s="38" t="s">
        <v>20</v>
      </c>
      <c r="C229" s="38" t="s">
        <v>283</v>
      </c>
      <c r="D229" s="38" t="s">
        <v>406</v>
      </c>
      <c r="E229" s="38" t="s">
        <v>40</v>
      </c>
      <c r="F229" s="38" t="str">
        <f aca="false">COUNTIFS(Trechos!$L$2:$L$526,A229)&amp;" vãos"</f>
        <v>1 vãos</v>
      </c>
      <c r="G229" s="38"/>
      <c r="H229" s="38"/>
      <c r="I229" s="39" t="n">
        <f aca="false">SUMIFS(Trechos!$F$2:$F$526,Trechos!$L$2:$L$526,A229)</f>
        <v>41.7687049462162</v>
      </c>
      <c r="J229" s="38"/>
      <c r="K229" s="38"/>
      <c r="L229" s="38" t="s">
        <v>93</v>
      </c>
      <c r="M229" s="38" t="s">
        <v>50</v>
      </c>
      <c r="N229" s="38" t="str">
        <f aca="false">Blocos!AU24</f>
        <v>—</v>
      </c>
    </row>
    <row r="230" customFormat="false" ht="15" hidden="true" customHeight="false" outlineLevel="1" collapsed="false">
      <c r="F230" s="35" t="s">
        <v>946</v>
      </c>
      <c r="G230" s="35" t="s">
        <v>640</v>
      </c>
      <c r="H230" s="35" t="s">
        <v>947</v>
      </c>
      <c r="I230" s="40" t="n">
        <v>41.7687049462162</v>
      </c>
      <c r="J230" s="36" t="n">
        <v>2929.71650085566</v>
      </c>
      <c r="K230" s="35"/>
    </row>
    <row r="231" customFormat="false" ht="15" hidden="false" customHeight="false" outlineLevel="0" collapsed="true">
      <c r="A231" s="38" t="n">
        <v>24</v>
      </c>
      <c r="B231" s="38" t="s">
        <v>20</v>
      </c>
      <c r="C231" s="38" t="s">
        <v>283</v>
      </c>
      <c r="D231" s="38" t="s">
        <v>407</v>
      </c>
      <c r="E231" s="38" t="s">
        <v>40</v>
      </c>
      <c r="F231" s="38" t="str">
        <f aca="false">COUNTIFS(Trechos!$L$2:$L$526,A231)&amp;" vãos"</f>
        <v>1 vãos</v>
      </c>
      <c r="G231" s="38"/>
      <c r="H231" s="38"/>
      <c r="I231" s="39" t="n">
        <f aca="false">SUMIFS(Trechos!$F$2:$F$526,Trechos!$L$2:$L$526,A231)</f>
        <v>5.47358086611873</v>
      </c>
      <c r="J231" s="38"/>
      <c r="K231" s="38"/>
      <c r="L231" s="38" t="s">
        <v>96</v>
      </c>
      <c r="M231" s="38" t="s">
        <v>50</v>
      </c>
      <c r="N231" s="38" t="str">
        <f aca="false">Blocos!AU25</f>
        <v>—</v>
      </c>
    </row>
    <row r="232" customFormat="false" ht="15" hidden="true" customHeight="false" outlineLevel="1" collapsed="false">
      <c r="F232" s="35" t="s">
        <v>948</v>
      </c>
      <c r="G232" s="35" t="s">
        <v>649</v>
      </c>
      <c r="H232" s="35" t="s">
        <v>949</v>
      </c>
      <c r="I232" s="40" t="n">
        <v>5.47358086611873</v>
      </c>
      <c r="J232" s="36" t="n">
        <v>2973.8715628425</v>
      </c>
      <c r="K232" s="35"/>
    </row>
    <row r="233" customFormat="false" ht="15" hidden="false" customHeight="false" outlineLevel="0" collapsed="true">
      <c r="A233" s="41" t="n">
        <v>25</v>
      </c>
      <c r="B233" s="41" t="s">
        <v>21</v>
      </c>
      <c r="C233" s="41" t="s">
        <v>283</v>
      </c>
      <c r="D233" s="41" t="s">
        <v>408</v>
      </c>
      <c r="E233" s="41" t="s">
        <v>41</v>
      </c>
      <c r="F233" s="41" t="str">
        <f aca="false">COUNTIFS(Trechos!$L$2:$L$526,A233)&amp;" vãos"</f>
        <v>1 vãos</v>
      </c>
      <c r="G233" s="41"/>
      <c r="H233" s="41"/>
      <c r="I233" s="42" t="n">
        <f aca="false">SUMIFS(Trechos!$F$2:$F$526,Trechos!$L$2:$L$526,A233)</f>
        <v>4.26392299277908</v>
      </c>
      <c r="J233" s="41"/>
      <c r="K233" s="41"/>
      <c r="L233" s="41" t="s">
        <v>99</v>
      </c>
      <c r="M233" s="41" t="s">
        <v>50</v>
      </c>
      <c r="N233" s="41" t="str">
        <f aca="false">Blocos!AU26</f>
        <v>—</v>
      </c>
    </row>
    <row r="234" customFormat="false" ht="15" hidden="true" customHeight="false" outlineLevel="1" collapsed="false">
      <c r="F234" s="35" t="s">
        <v>950</v>
      </c>
      <c r="G234" s="35" t="s">
        <v>661</v>
      </c>
      <c r="H234" s="35" t="s">
        <v>951</v>
      </c>
      <c r="I234" s="40" t="n">
        <v>4.26392299277908</v>
      </c>
      <c r="J234" s="36" t="n">
        <v>9.0290120237446</v>
      </c>
      <c r="K234" s="35"/>
    </row>
    <row r="235" customFormat="false" ht="15" hidden="false" customHeight="false" outlineLevel="0" collapsed="true">
      <c r="A235" s="41" t="n">
        <v>26</v>
      </c>
      <c r="B235" s="41" t="s">
        <v>21</v>
      </c>
      <c r="C235" s="41" t="s">
        <v>283</v>
      </c>
      <c r="D235" s="41" t="s">
        <v>409</v>
      </c>
      <c r="E235" s="41" t="s">
        <v>41</v>
      </c>
      <c r="F235" s="41" t="str">
        <f aca="false">COUNTIFS(Trechos!$L$2:$L$526,A235)&amp;" vãos"</f>
        <v>8 vãos</v>
      </c>
      <c r="G235" s="41"/>
      <c r="H235" s="41"/>
      <c r="I235" s="42" t="n">
        <f aca="false">SUMIFS(Trechos!$F$2:$F$526,Trechos!$L$2:$L$526,A235)</f>
        <v>193.17717085394</v>
      </c>
      <c r="J235" s="41"/>
      <c r="K235" s="41"/>
      <c r="L235" s="41" t="s">
        <v>102</v>
      </c>
      <c r="M235" s="41" t="s">
        <v>103</v>
      </c>
      <c r="N235" s="41" t="str">
        <f aca="false">Blocos!AU27</f>
        <v>0303973004</v>
      </c>
    </row>
    <row r="236" customFormat="false" ht="15" hidden="true" customHeight="false" outlineLevel="1" collapsed="false">
      <c r="F236" s="35" t="s">
        <v>952</v>
      </c>
      <c r="G236" s="35" t="s">
        <v>665</v>
      </c>
      <c r="H236" s="35" t="s">
        <v>953</v>
      </c>
      <c r="I236" s="40" t="n">
        <v>20.8495663721045</v>
      </c>
      <c r="J236" s="36" t="n">
        <v>123.821891117204</v>
      </c>
      <c r="K236" s="35"/>
    </row>
    <row r="237" customFormat="false" ht="15" hidden="true" customHeight="false" outlineLevel="1" collapsed="false">
      <c r="F237" s="35" t="s">
        <v>954</v>
      </c>
      <c r="G237" s="35" t="s">
        <v>665</v>
      </c>
      <c r="H237" s="35" t="s">
        <v>955</v>
      </c>
      <c r="I237" s="40" t="n">
        <v>21.8587606608002</v>
      </c>
      <c r="J237" s="36" t="n">
        <v>124.8310854059</v>
      </c>
      <c r="K237" s="35"/>
    </row>
    <row r="238" customFormat="false" ht="15" hidden="true" customHeight="false" outlineLevel="1" collapsed="false">
      <c r="F238" s="35" t="s">
        <v>956</v>
      </c>
      <c r="G238" s="35" t="s">
        <v>955</v>
      </c>
      <c r="H238" s="35" t="s">
        <v>957</v>
      </c>
      <c r="I238" s="40" t="n">
        <v>2.39246927653748</v>
      </c>
      <c r="J238" s="36" t="n">
        <v>127.223554682438</v>
      </c>
      <c r="K238" s="35" t="s">
        <v>103</v>
      </c>
    </row>
    <row r="239" customFormat="false" ht="15" hidden="true" customHeight="false" outlineLevel="1" collapsed="false">
      <c r="F239" s="35" t="s">
        <v>958</v>
      </c>
      <c r="G239" s="35" t="s">
        <v>957</v>
      </c>
      <c r="H239" s="35" t="s">
        <v>959</v>
      </c>
      <c r="I239" s="40" t="n">
        <v>21.1673690579869</v>
      </c>
      <c r="J239" s="36" t="n">
        <v>148.390923740425</v>
      </c>
      <c r="K239" s="35"/>
    </row>
    <row r="240" customFormat="false" ht="15" hidden="true" customHeight="false" outlineLevel="1" collapsed="false">
      <c r="F240" s="35" t="s">
        <v>960</v>
      </c>
      <c r="G240" s="35" t="s">
        <v>959</v>
      </c>
      <c r="H240" s="35" t="s">
        <v>961</v>
      </c>
      <c r="I240" s="40" t="n">
        <v>51.4513201077739</v>
      </c>
      <c r="J240" s="36" t="n">
        <v>199.842243848198</v>
      </c>
      <c r="K240" s="35"/>
    </row>
    <row r="241" customFormat="false" ht="15" hidden="true" customHeight="false" outlineLevel="1" collapsed="false">
      <c r="F241" s="35" t="s">
        <v>962</v>
      </c>
      <c r="G241" s="35" t="s">
        <v>961</v>
      </c>
      <c r="H241" s="35" t="s">
        <v>963</v>
      </c>
      <c r="I241" s="40" t="n">
        <v>36.3973959856678</v>
      </c>
      <c r="J241" s="36" t="n">
        <v>236.239639833867</v>
      </c>
      <c r="K241" s="35"/>
    </row>
    <row r="242" customFormat="false" ht="15" hidden="true" customHeight="false" outlineLevel="1" collapsed="false">
      <c r="F242" s="35" t="s">
        <v>964</v>
      </c>
      <c r="G242" s="35" t="s">
        <v>963</v>
      </c>
      <c r="H242" s="35" t="s">
        <v>965</v>
      </c>
      <c r="I242" s="40" t="n">
        <v>2.18869747531375</v>
      </c>
      <c r="J242" s="36" t="n">
        <v>238.42833730918</v>
      </c>
      <c r="K242" s="35"/>
    </row>
    <row r="243" customFormat="false" ht="15" hidden="true" customHeight="false" outlineLevel="1" collapsed="false">
      <c r="F243" s="35" t="s">
        <v>966</v>
      </c>
      <c r="G243" s="35" t="s">
        <v>961</v>
      </c>
      <c r="H243" s="35" t="s">
        <v>967</v>
      </c>
      <c r="I243" s="40" t="n">
        <v>36.8715919177553</v>
      </c>
      <c r="J243" s="36" t="n">
        <v>236.713835765954</v>
      </c>
      <c r="K243" s="35"/>
    </row>
    <row r="244" customFormat="false" ht="15" hidden="false" customHeight="false" outlineLevel="0" collapsed="true">
      <c r="A244" s="43" t="n">
        <v>27</v>
      </c>
      <c r="B244" s="43" t="s">
        <v>22</v>
      </c>
      <c r="C244" s="43" t="s">
        <v>283</v>
      </c>
      <c r="D244" s="43" t="s">
        <v>409</v>
      </c>
      <c r="E244" s="43" t="s">
        <v>104</v>
      </c>
      <c r="F244" s="43" t="str">
        <f aca="false">COUNTIFS(Trechos!$L$2:$L$526,A244)&amp;" vãos"</f>
        <v>2 vãos</v>
      </c>
      <c r="G244" s="43"/>
      <c r="H244" s="43"/>
      <c r="I244" s="44" t="n">
        <f aca="false">SUMIFS(Trechos!$F$2:$F$526,Trechos!$L$2:$L$526,A244)</f>
        <v>34.304619589084</v>
      </c>
      <c r="J244" s="43"/>
      <c r="K244" s="43"/>
      <c r="L244" s="43" t="s">
        <v>105</v>
      </c>
      <c r="M244" s="43" t="s">
        <v>50</v>
      </c>
      <c r="N244" s="43" t="str">
        <f aca="false">Blocos!AU28</f>
        <v>—</v>
      </c>
    </row>
    <row r="245" customFormat="false" ht="15" hidden="true" customHeight="false" outlineLevel="1" collapsed="false">
      <c r="F245" s="35" t="s">
        <v>968</v>
      </c>
      <c r="G245" s="35" t="s">
        <v>965</v>
      </c>
      <c r="H245" s="35" t="s">
        <v>969</v>
      </c>
      <c r="I245" s="40" t="n">
        <v>19.170380904931</v>
      </c>
      <c r="J245" s="36" t="n">
        <v>19.1703809049309</v>
      </c>
      <c r="K245" s="35"/>
    </row>
    <row r="246" customFormat="false" ht="15" hidden="true" customHeight="false" outlineLevel="1" collapsed="false">
      <c r="F246" s="35" t="s">
        <v>970</v>
      </c>
      <c r="G246" s="35" t="s">
        <v>969</v>
      </c>
      <c r="H246" s="35" t="s">
        <v>971</v>
      </c>
      <c r="I246" s="40" t="n">
        <v>15.134238684153</v>
      </c>
      <c r="J246" s="36" t="n">
        <v>34.3046195890838</v>
      </c>
      <c r="K246" s="35"/>
    </row>
    <row r="247" customFormat="false" ht="15" hidden="false" customHeight="false" outlineLevel="0" collapsed="true">
      <c r="A247" s="41" t="n">
        <v>28</v>
      </c>
      <c r="B247" s="41" t="s">
        <v>21</v>
      </c>
      <c r="C247" s="41" t="s">
        <v>283</v>
      </c>
      <c r="D247" s="41" t="s">
        <v>412</v>
      </c>
      <c r="E247" s="41" t="s">
        <v>41</v>
      </c>
      <c r="F247" s="41" t="str">
        <f aca="false">COUNTIFS(Trechos!$L$2:$L$526,A247)&amp;" vãos"</f>
        <v>1 vãos</v>
      </c>
      <c r="G247" s="41"/>
      <c r="H247" s="41"/>
      <c r="I247" s="42" t="n">
        <f aca="false">SUMIFS(Trechos!$F$2:$F$526,Trechos!$L$2:$L$526,A247)</f>
        <v>2.90546673947119</v>
      </c>
      <c r="J247" s="41"/>
      <c r="K247" s="41"/>
      <c r="L247" s="41" t="s">
        <v>108</v>
      </c>
      <c r="M247" s="41" t="s">
        <v>50</v>
      </c>
      <c r="N247" s="41" t="str">
        <f aca="false">Blocos!AU29</f>
        <v>0200556004</v>
      </c>
    </row>
    <row r="248" customFormat="false" ht="15" hidden="true" customHeight="false" outlineLevel="1" collapsed="false">
      <c r="F248" s="35" t="s">
        <v>972</v>
      </c>
      <c r="G248" s="35" t="s">
        <v>667</v>
      </c>
      <c r="H248" s="35" t="s">
        <v>973</v>
      </c>
      <c r="I248" s="40" t="n">
        <v>2.90546673947119</v>
      </c>
      <c r="J248" s="36" t="n">
        <v>137.454805066214</v>
      </c>
      <c r="K248" s="35"/>
    </row>
    <row r="249" customFormat="false" ht="15" hidden="false" customHeight="false" outlineLevel="0" collapsed="true">
      <c r="A249" s="43" t="n">
        <v>29</v>
      </c>
      <c r="B249" s="43" t="s">
        <v>22</v>
      </c>
      <c r="C249" s="43" t="s">
        <v>283</v>
      </c>
      <c r="D249" s="43" t="s">
        <v>412</v>
      </c>
      <c r="E249" s="43" t="s">
        <v>108</v>
      </c>
      <c r="F249" s="43" t="str">
        <f aca="false">COUNTIFS(Trechos!$L$2:$L$526,A249)&amp;" vãos"</f>
        <v>2 vãos</v>
      </c>
      <c r="G249" s="43"/>
      <c r="H249" s="43"/>
      <c r="I249" s="44" t="n">
        <f aca="false">SUMIFS(Trechos!$F$2:$F$526,Trechos!$L$2:$L$526,A249)</f>
        <v>41.7066066538754</v>
      </c>
      <c r="J249" s="43"/>
      <c r="K249" s="43"/>
      <c r="L249" s="43" t="s">
        <v>109</v>
      </c>
      <c r="M249" s="43" t="s">
        <v>50</v>
      </c>
      <c r="N249" s="43" t="str">
        <f aca="false">Blocos!AU30</f>
        <v>—</v>
      </c>
    </row>
    <row r="250" customFormat="false" ht="15" hidden="true" customHeight="false" outlineLevel="1" collapsed="false">
      <c r="F250" s="35" t="s">
        <v>974</v>
      </c>
      <c r="G250" s="35" t="s">
        <v>973</v>
      </c>
      <c r="H250" s="35" t="s">
        <v>975</v>
      </c>
      <c r="I250" s="40" t="n">
        <v>25.9930815809784</v>
      </c>
      <c r="J250" s="36" t="n">
        <v>25.9930815809785</v>
      </c>
      <c r="K250" s="35"/>
    </row>
    <row r="251" customFormat="false" ht="15" hidden="true" customHeight="false" outlineLevel="1" collapsed="false">
      <c r="F251" s="35" t="s">
        <v>976</v>
      </c>
      <c r="G251" s="35" t="s">
        <v>975</v>
      </c>
      <c r="H251" s="35" t="s">
        <v>977</v>
      </c>
      <c r="I251" s="40" t="n">
        <v>15.7135250728969</v>
      </c>
      <c r="J251" s="36" t="n">
        <v>41.7066066538755</v>
      </c>
      <c r="K251" s="35"/>
    </row>
    <row r="252" customFormat="false" ht="15" hidden="false" customHeight="false" outlineLevel="0" collapsed="true">
      <c r="A252" s="41" t="n">
        <v>30</v>
      </c>
      <c r="B252" s="41" t="s">
        <v>21</v>
      </c>
      <c r="C252" s="41" t="s">
        <v>283</v>
      </c>
      <c r="D252" s="41" t="s">
        <v>413</v>
      </c>
      <c r="E252" s="41" t="s">
        <v>41</v>
      </c>
      <c r="F252" s="41" t="str">
        <f aca="false">COUNTIFS(Trechos!$L$2:$L$526,A252)&amp;" vãos"</f>
        <v>2 vãos</v>
      </c>
      <c r="G252" s="41"/>
      <c r="H252" s="41"/>
      <c r="I252" s="42" t="n">
        <f aca="false">SUMIFS(Trechos!$F$2:$F$526,Trechos!$L$2:$L$526,A252)</f>
        <v>22.0391543186586</v>
      </c>
      <c r="J252" s="41"/>
      <c r="K252" s="41"/>
      <c r="L252" s="41" t="s">
        <v>112</v>
      </c>
      <c r="M252" s="41" t="s">
        <v>50</v>
      </c>
      <c r="N252" s="41" t="str">
        <f aca="false">Blocos!AU31</f>
        <v>—</v>
      </c>
    </row>
    <row r="253" customFormat="false" ht="15" hidden="true" customHeight="false" outlineLevel="1" collapsed="false">
      <c r="F253" s="35" t="s">
        <v>978</v>
      </c>
      <c r="G253" s="35" t="s">
        <v>669</v>
      </c>
      <c r="H253" s="35" t="s">
        <v>979</v>
      </c>
      <c r="I253" s="40" t="n">
        <v>1.89353034385267</v>
      </c>
      <c r="J253" s="36" t="n">
        <v>249.744754286167</v>
      </c>
      <c r="K253" s="35"/>
    </row>
    <row r="254" customFormat="false" ht="15" hidden="true" customHeight="false" outlineLevel="1" collapsed="false">
      <c r="F254" s="35" t="s">
        <v>980</v>
      </c>
      <c r="G254" s="35" t="s">
        <v>979</v>
      </c>
      <c r="H254" s="35" t="s">
        <v>981</v>
      </c>
      <c r="I254" s="40" t="n">
        <v>20.1456239748059</v>
      </c>
      <c r="J254" s="36" t="n">
        <v>269.890378260973</v>
      </c>
      <c r="K254" s="35"/>
    </row>
    <row r="255" customFormat="false" ht="15" hidden="false" customHeight="false" outlineLevel="0" collapsed="true">
      <c r="A255" s="41" t="n">
        <v>31</v>
      </c>
      <c r="B255" s="41" t="s">
        <v>21</v>
      </c>
      <c r="C255" s="41" t="s">
        <v>283</v>
      </c>
      <c r="D255" s="41" t="s">
        <v>414</v>
      </c>
      <c r="E255" s="41" t="s">
        <v>41</v>
      </c>
      <c r="F255" s="41" t="str">
        <f aca="false">COUNTIFS(Trechos!$L$2:$L$526,A255)&amp;" vãos"</f>
        <v>2 vãos</v>
      </c>
      <c r="G255" s="41"/>
      <c r="H255" s="41"/>
      <c r="I255" s="42" t="n">
        <f aca="false">SUMIFS(Trechos!$F$2:$F$526,Trechos!$L$2:$L$526,A255)</f>
        <v>5.38112337432193</v>
      </c>
      <c r="J255" s="41"/>
      <c r="K255" s="41"/>
      <c r="L255" s="41" t="s">
        <v>115</v>
      </c>
      <c r="M255" s="41" t="s">
        <v>50</v>
      </c>
      <c r="N255" s="41" t="str">
        <f aca="false">Blocos!AU32</f>
        <v>0303731004</v>
      </c>
    </row>
    <row r="256" customFormat="false" ht="15" hidden="true" customHeight="false" outlineLevel="1" collapsed="false">
      <c r="F256" s="35" t="s">
        <v>982</v>
      </c>
      <c r="G256" s="35" t="s">
        <v>675</v>
      </c>
      <c r="H256" s="35" t="s">
        <v>983</v>
      </c>
      <c r="I256" s="40" t="n">
        <v>1.60728136387039</v>
      </c>
      <c r="J256" s="36" t="n">
        <v>329.959966172715</v>
      </c>
      <c r="K256" s="35"/>
    </row>
    <row r="257" customFormat="false" ht="15" hidden="true" customHeight="false" outlineLevel="1" collapsed="false">
      <c r="F257" s="35" t="s">
        <v>984</v>
      </c>
      <c r="G257" s="35" t="s">
        <v>983</v>
      </c>
      <c r="H257" s="35" t="s">
        <v>985</v>
      </c>
      <c r="I257" s="40" t="n">
        <v>3.77384201045153</v>
      </c>
      <c r="J257" s="36" t="n">
        <v>333.733808183167</v>
      </c>
      <c r="K257" s="35"/>
    </row>
    <row r="258" customFormat="false" ht="15" hidden="false" customHeight="false" outlineLevel="0" collapsed="true">
      <c r="A258" s="43" t="n">
        <v>32</v>
      </c>
      <c r="B258" s="43" t="s">
        <v>22</v>
      </c>
      <c r="C258" s="43" t="s">
        <v>283</v>
      </c>
      <c r="D258" s="43" t="s">
        <v>414</v>
      </c>
      <c r="E258" s="43" t="s">
        <v>115</v>
      </c>
      <c r="F258" s="43" t="str">
        <f aca="false">COUNTIFS(Trechos!$L$2:$L$526,A258)&amp;" vãos"</f>
        <v>5 vãos</v>
      </c>
      <c r="G258" s="43"/>
      <c r="H258" s="43"/>
      <c r="I258" s="44" t="n">
        <f aca="false">SUMIFS(Trechos!$F$2:$F$526,Trechos!$L$2:$L$526,A258)</f>
        <v>167.983510119199</v>
      </c>
      <c r="J258" s="43"/>
      <c r="K258" s="43"/>
      <c r="L258" s="43" t="s">
        <v>116</v>
      </c>
      <c r="M258" s="43" t="s">
        <v>50</v>
      </c>
      <c r="N258" s="43" t="str">
        <f aca="false">Blocos!AU33</f>
        <v>—</v>
      </c>
    </row>
    <row r="259" customFormat="false" ht="15" hidden="true" customHeight="false" outlineLevel="1" collapsed="false">
      <c r="F259" s="35" t="s">
        <v>986</v>
      </c>
      <c r="G259" s="35" t="s">
        <v>985</v>
      </c>
      <c r="H259" s="35" t="s">
        <v>987</v>
      </c>
      <c r="I259" s="40" t="n">
        <v>54.6644043111057</v>
      </c>
      <c r="J259" s="36" t="n">
        <v>54.6644043111055</v>
      </c>
      <c r="K259" s="35"/>
    </row>
    <row r="260" customFormat="false" ht="15" hidden="true" customHeight="false" outlineLevel="1" collapsed="false">
      <c r="F260" s="35" t="s">
        <v>988</v>
      </c>
      <c r="G260" s="35" t="s">
        <v>987</v>
      </c>
      <c r="H260" s="35" t="s">
        <v>989</v>
      </c>
      <c r="I260" s="40" t="n">
        <v>64.7025359938164</v>
      </c>
      <c r="J260" s="36" t="n">
        <v>119.366940304922</v>
      </c>
      <c r="K260" s="35"/>
    </row>
    <row r="261" customFormat="false" ht="15" hidden="true" customHeight="false" outlineLevel="1" collapsed="false">
      <c r="F261" s="35" t="s">
        <v>990</v>
      </c>
      <c r="G261" s="35" t="s">
        <v>989</v>
      </c>
      <c r="H261" s="35" t="s">
        <v>991</v>
      </c>
      <c r="I261" s="40" t="n">
        <v>24.8278231658764</v>
      </c>
      <c r="J261" s="36" t="n">
        <v>144.194763470799</v>
      </c>
      <c r="K261" s="35"/>
    </row>
    <row r="262" customFormat="false" ht="15" hidden="true" customHeight="false" outlineLevel="1" collapsed="false">
      <c r="F262" s="35" t="s">
        <v>992</v>
      </c>
      <c r="G262" s="35" t="s">
        <v>987</v>
      </c>
      <c r="H262" s="35" t="s">
        <v>993</v>
      </c>
      <c r="I262" s="40" t="n">
        <v>16.9189222904202</v>
      </c>
      <c r="J262" s="36" t="n">
        <v>71.5833266015256</v>
      </c>
      <c r="K262" s="35"/>
    </row>
    <row r="263" customFormat="false" ht="15" hidden="true" customHeight="false" outlineLevel="1" collapsed="false">
      <c r="F263" s="35" t="s">
        <v>994</v>
      </c>
      <c r="G263" s="35" t="s">
        <v>987</v>
      </c>
      <c r="H263" s="35" t="s">
        <v>995</v>
      </c>
      <c r="I263" s="40" t="n">
        <v>6.86982435798022</v>
      </c>
      <c r="J263" s="36" t="n">
        <v>61.5342286690857</v>
      </c>
      <c r="K263" s="35"/>
    </row>
    <row r="264" customFormat="false" ht="15" hidden="false" customHeight="false" outlineLevel="0" collapsed="true">
      <c r="A264" s="41" t="n">
        <v>33</v>
      </c>
      <c r="B264" s="41" t="s">
        <v>21</v>
      </c>
      <c r="C264" s="41" t="s">
        <v>283</v>
      </c>
      <c r="D264" s="41" t="s">
        <v>418</v>
      </c>
      <c r="E264" s="41" t="s">
        <v>41</v>
      </c>
      <c r="F264" s="41" t="str">
        <f aca="false">COUNTIFS(Trechos!$L$2:$L$526,A264)&amp;" vãos"</f>
        <v>1 vãos</v>
      </c>
      <c r="G264" s="41"/>
      <c r="H264" s="41"/>
      <c r="I264" s="42" t="n">
        <f aca="false">SUMIFS(Trechos!$F$2:$F$526,Trechos!$L$2:$L$526,A264)</f>
        <v>1.08797014136651</v>
      </c>
      <c r="J264" s="41"/>
      <c r="K264" s="41"/>
      <c r="L264" s="41" t="s">
        <v>119</v>
      </c>
      <c r="M264" s="41" t="s">
        <v>50</v>
      </c>
      <c r="N264" s="41" t="str">
        <f aca="false">Blocos!AU34</f>
        <v>0230252004</v>
      </c>
    </row>
    <row r="265" customFormat="false" ht="15" hidden="true" customHeight="false" outlineLevel="1" collapsed="false">
      <c r="F265" s="35" t="s">
        <v>996</v>
      </c>
      <c r="G265" s="35" t="s">
        <v>679</v>
      </c>
      <c r="H265" s="35" t="s">
        <v>997</v>
      </c>
      <c r="I265" s="40" t="n">
        <v>1.08797014136651</v>
      </c>
      <c r="J265" s="36" t="n">
        <v>455.27887069282</v>
      </c>
      <c r="K265" s="35"/>
    </row>
    <row r="266" customFormat="false" ht="15" hidden="false" customHeight="false" outlineLevel="0" collapsed="true">
      <c r="A266" s="43" t="n">
        <v>34</v>
      </c>
      <c r="B266" s="43" t="s">
        <v>22</v>
      </c>
      <c r="C266" s="43" t="s">
        <v>283</v>
      </c>
      <c r="D266" s="43" t="s">
        <v>418</v>
      </c>
      <c r="E266" s="43" t="s">
        <v>119</v>
      </c>
      <c r="F266" s="43" t="str">
        <f aca="false">COUNTIFS(Trechos!$L$2:$L$526,A266)&amp;" vãos"</f>
        <v>2 vãos</v>
      </c>
      <c r="G266" s="43"/>
      <c r="H266" s="43"/>
      <c r="I266" s="44" t="n">
        <f aca="false">SUMIFS(Trechos!$F$2:$F$526,Trechos!$L$2:$L$526,A266)</f>
        <v>24.7345047606341</v>
      </c>
      <c r="J266" s="43"/>
      <c r="K266" s="43"/>
      <c r="L266" s="43" t="s">
        <v>120</v>
      </c>
      <c r="M266" s="43" t="s">
        <v>50</v>
      </c>
      <c r="N266" s="43" t="str">
        <f aca="false">Blocos!AU35</f>
        <v>—</v>
      </c>
    </row>
    <row r="267" customFormat="false" ht="15" hidden="true" customHeight="false" outlineLevel="1" collapsed="false">
      <c r="F267" s="35" t="s">
        <v>998</v>
      </c>
      <c r="G267" s="35" t="s">
        <v>997</v>
      </c>
      <c r="H267" s="35" t="s">
        <v>999</v>
      </c>
      <c r="I267" s="40" t="n">
        <v>9.83582927994571</v>
      </c>
      <c r="J267" s="36" t="n">
        <v>9.83582927994576</v>
      </c>
      <c r="K267" s="35"/>
    </row>
    <row r="268" customFormat="false" ht="15" hidden="true" customHeight="false" outlineLevel="1" collapsed="false">
      <c r="F268" s="35" t="s">
        <v>1000</v>
      </c>
      <c r="G268" s="35" t="s">
        <v>999</v>
      </c>
      <c r="H268" s="35" t="s">
        <v>1001</v>
      </c>
      <c r="I268" s="40" t="n">
        <v>14.8986754806884</v>
      </c>
      <c r="J268" s="36" t="n">
        <v>24.7345047606341</v>
      </c>
      <c r="K268" s="35"/>
    </row>
    <row r="269" customFormat="false" ht="15" hidden="false" customHeight="false" outlineLevel="0" collapsed="true">
      <c r="A269" s="41" t="n">
        <v>35</v>
      </c>
      <c r="B269" s="41" t="s">
        <v>21</v>
      </c>
      <c r="C269" s="41" t="s">
        <v>283</v>
      </c>
      <c r="D269" s="41" t="s">
        <v>419</v>
      </c>
      <c r="E269" s="41" t="s">
        <v>41</v>
      </c>
      <c r="F269" s="41" t="str">
        <f aca="false">COUNTIFS(Trechos!$L$2:$L$526,A269)&amp;" vãos"</f>
        <v>1 vãos</v>
      </c>
      <c r="G269" s="41"/>
      <c r="H269" s="41"/>
      <c r="I269" s="42" t="n">
        <f aca="false">SUMIFS(Trechos!$F$2:$F$526,Trechos!$L$2:$L$526,A269)</f>
        <v>2.78206142635617</v>
      </c>
      <c r="J269" s="41"/>
      <c r="K269" s="41"/>
      <c r="L269" s="41" t="s">
        <v>123</v>
      </c>
      <c r="M269" s="41" t="s">
        <v>50</v>
      </c>
      <c r="N269" s="41" t="str">
        <f aca="false">Blocos!AU36</f>
        <v>0200571004</v>
      </c>
    </row>
    <row r="270" customFormat="false" ht="15" hidden="true" customHeight="false" outlineLevel="1" collapsed="false">
      <c r="F270" s="35" t="s">
        <v>1002</v>
      </c>
      <c r="G270" s="35" t="s">
        <v>681</v>
      </c>
      <c r="H270" s="35" t="s">
        <v>1003</v>
      </c>
      <c r="I270" s="40" t="n">
        <v>2.78206142635617</v>
      </c>
      <c r="J270" s="36" t="n">
        <v>519.753232720562</v>
      </c>
      <c r="K270" s="35"/>
    </row>
    <row r="271" customFormat="false" ht="15" hidden="false" customHeight="false" outlineLevel="0" collapsed="true">
      <c r="A271" s="43" t="n">
        <v>36</v>
      </c>
      <c r="B271" s="43" t="s">
        <v>22</v>
      </c>
      <c r="C271" s="43" t="s">
        <v>283</v>
      </c>
      <c r="D271" s="43" t="s">
        <v>419</v>
      </c>
      <c r="E271" s="43" t="s">
        <v>123</v>
      </c>
      <c r="F271" s="43" t="str">
        <f aca="false">COUNTIFS(Trechos!$L$2:$L$526,A271)&amp;" vãos"</f>
        <v>1 vãos</v>
      </c>
      <c r="G271" s="43"/>
      <c r="H271" s="43"/>
      <c r="I271" s="44" t="n">
        <f aca="false">SUMIFS(Trechos!$F$2:$F$526,Trechos!$L$2:$L$526,A271)</f>
        <v>25.0307742012439</v>
      </c>
      <c r="J271" s="43"/>
      <c r="K271" s="43"/>
      <c r="L271" s="43" t="s">
        <v>124</v>
      </c>
      <c r="M271" s="43" t="s">
        <v>50</v>
      </c>
      <c r="N271" s="43" t="str">
        <f aca="false">Blocos!AU37</f>
        <v>—</v>
      </c>
    </row>
    <row r="272" customFormat="false" ht="15" hidden="true" customHeight="false" outlineLevel="1" collapsed="false">
      <c r="F272" s="35" t="s">
        <v>1004</v>
      </c>
      <c r="G272" s="35" t="s">
        <v>1003</v>
      </c>
      <c r="H272" s="35" t="s">
        <v>1005</v>
      </c>
      <c r="I272" s="40" t="n">
        <v>25.0307742012439</v>
      </c>
      <c r="J272" s="36" t="n">
        <v>25.0307742012437</v>
      </c>
      <c r="K272" s="35"/>
    </row>
    <row r="273" customFormat="false" ht="15" hidden="false" customHeight="false" outlineLevel="0" collapsed="true">
      <c r="A273" s="41" t="n">
        <v>37</v>
      </c>
      <c r="B273" s="41" t="s">
        <v>21</v>
      </c>
      <c r="C273" s="41" t="s">
        <v>283</v>
      </c>
      <c r="D273" s="41" t="s">
        <v>420</v>
      </c>
      <c r="E273" s="41" t="s">
        <v>41</v>
      </c>
      <c r="F273" s="41" t="str">
        <f aca="false">COUNTIFS(Trechos!$L$2:$L$526,A273)&amp;" vãos"</f>
        <v>3 vãos</v>
      </c>
      <c r="G273" s="41"/>
      <c r="H273" s="41"/>
      <c r="I273" s="42" t="n">
        <f aca="false">SUMIFS(Trechos!$F$2:$F$526,Trechos!$L$2:$L$526,A273)</f>
        <v>44.4610563388762</v>
      </c>
      <c r="J273" s="41"/>
      <c r="K273" s="41"/>
      <c r="L273" s="41" t="s">
        <v>127</v>
      </c>
      <c r="M273" s="41" t="s">
        <v>50</v>
      </c>
      <c r="N273" s="41" t="str">
        <f aca="false">Blocos!AU38</f>
        <v>0200573004</v>
      </c>
    </row>
    <row r="274" customFormat="false" ht="15" hidden="true" customHeight="false" outlineLevel="1" collapsed="false">
      <c r="F274" s="35" t="s">
        <v>1006</v>
      </c>
      <c r="G274" s="35" t="s">
        <v>683</v>
      </c>
      <c r="H274" s="35" t="s">
        <v>1007</v>
      </c>
      <c r="I274" s="40" t="n">
        <v>23.7326966304625</v>
      </c>
      <c r="J274" s="36" t="n">
        <v>576.054013797268</v>
      </c>
      <c r="K274" s="35"/>
    </row>
    <row r="275" customFormat="false" ht="15" hidden="true" customHeight="false" outlineLevel="1" collapsed="false">
      <c r="F275" s="35" t="s">
        <v>1008</v>
      </c>
      <c r="G275" s="35" t="s">
        <v>1007</v>
      </c>
      <c r="H275" s="35" t="s">
        <v>1009</v>
      </c>
      <c r="I275" s="40" t="n">
        <v>18.0596814690021</v>
      </c>
      <c r="J275" s="36" t="n">
        <v>594.11369526627</v>
      </c>
      <c r="K275" s="35"/>
    </row>
    <row r="276" customFormat="false" ht="15" hidden="true" customHeight="false" outlineLevel="1" collapsed="false">
      <c r="F276" s="35" t="s">
        <v>1010</v>
      </c>
      <c r="G276" s="35" t="s">
        <v>683</v>
      </c>
      <c r="H276" s="35" t="s">
        <v>1011</v>
      </c>
      <c r="I276" s="40" t="n">
        <v>2.66867823941153</v>
      </c>
      <c r="J276" s="36" t="n">
        <v>554.989995406217</v>
      </c>
      <c r="K276" s="35"/>
    </row>
    <row r="277" customFormat="false" ht="15" hidden="false" customHeight="false" outlineLevel="0" collapsed="true">
      <c r="A277" s="43" t="n">
        <v>38</v>
      </c>
      <c r="B277" s="43" t="s">
        <v>22</v>
      </c>
      <c r="C277" s="43" t="s">
        <v>283</v>
      </c>
      <c r="D277" s="43" t="s">
        <v>420</v>
      </c>
      <c r="E277" s="43" t="s">
        <v>128</v>
      </c>
      <c r="F277" s="43" t="str">
        <f aca="false">COUNTIFS(Trechos!$L$2:$L$526,A277)&amp;" vãos"</f>
        <v>1 vãos</v>
      </c>
      <c r="G277" s="43"/>
      <c r="H277" s="43"/>
      <c r="I277" s="44" t="n">
        <f aca="false">SUMIFS(Trechos!$F$2:$F$526,Trechos!$L$2:$L$526,A277)</f>
        <v>22.7054848493459</v>
      </c>
      <c r="J277" s="43"/>
      <c r="K277" s="43"/>
      <c r="L277" s="43" t="s">
        <v>129</v>
      </c>
      <c r="M277" s="43" t="s">
        <v>50</v>
      </c>
      <c r="N277" s="43" t="str">
        <f aca="false">Blocos!AU39</f>
        <v>—</v>
      </c>
    </row>
    <row r="278" customFormat="false" ht="15" hidden="true" customHeight="false" outlineLevel="1" collapsed="false">
      <c r="F278" s="35" t="s">
        <v>1012</v>
      </c>
      <c r="G278" s="35" t="s">
        <v>1011</v>
      </c>
      <c r="H278" s="35" t="s">
        <v>1013</v>
      </c>
      <c r="I278" s="40" t="n">
        <v>22.7054848493459</v>
      </c>
      <c r="J278" s="36" t="n">
        <v>22.7054848493458</v>
      </c>
      <c r="K278" s="35"/>
    </row>
    <row r="279" customFormat="false" ht="15" hidden="false" customHeight="false" outlineLevel="0" collapsed="true">
      <c r="A279" s="41" t="n">
        <v>39</v>
      </c>
      <c r="B279" s="41" t="s">
        <v>21</v>
      </c>
      <c r="C279" s="41" t="s">
        <v>283</v>
      </c>
      <c r="D279" s="41" t="s">
        <v>422</v>
      </c>
      <c r="E279" s="41" t="s">
        <v>41</v>
      </c>
      <c r="F279" s="41" t="str">
        <f aca="false">COUNTIFS(Trechos!$L$2:$L$526,A279)&amp;" vãos"</f>
        <v>1 vãos</v>
      </c>
      <c r="G279" s="41"/>
      <c r="H279" s="41"/>
      <c r="I279" s="42" t="n">
        <f aca="false">SUMIFS(Trechos!$F$2:$F$526,Trechos!$L$2:$L$526,A279)</f>
        <v>1.39076790233711</v>
      </c>
      <c r="J279" s="41"/>
      <c r="K279" s="41"/>
      <c r="L279" s="41" t="s">
        <v>132</v>
      </c>
      <c r="M279" s="41" t="s">
        <v>50</v>
      </c>
      <c r="N279" s="41" t="str">
        <f aca="false">Blocos!AU40</f>
        <v>0200868004</v>
      </c>
    </row>
    <row r="280" customFormat="false" ht="15" hidden="true" customHeight="false" outlineLevel="1" collapsed="false">
      <c r="F280" s="35" t="s">
        <v>1014</v>
      </c>
      <c r="G280" s="35" t="s">
        <v>685</v>
      </c>
      <c r="H280" s="35" t="s">
        <v>1015</v>
      </c>
      <c r="I280" s="40" t="n">
        <v>1.39076790233711</v>
      </c>
      <c r="J280" s="36" t="n">
        <v>580.423546137914</v>
      </c>
      <c r="K280" s="35"/>
    </row>
    <row r="281" customFormat="false" ht="15" hidden="false" customHeight="false" outlineLevel="0" collapsed="true">
      <c r="A281" s="43" t="n">
        <v>40</v>
      </c>
      <c r="B281" s="43" t="s">
        <v>22</v>
      </c>
      <c r="C281" s="43" t="s">
        <v>283</v>
      </c>
      <c r="D281" s="43" t="s">
        <v>422</v>
      </c>
      <c r="E281" s="43" t="s">
        <v>132</v>
      </c>
      <c r="F281" s="43" t="str">
        <f aca="false">COUNTIFS(Trechos!$L$2:$L$526,A281)&amp;" vãos"</f>
        <v>1 vãos</v>
      </c>
      <c r="G281" s="43"/>
      <c r="H281" s="43"/>
      <c r="I281" s="44" t="n">
        <f aca="false">SUMIFS(Trechos!$F$2:$F$526,Trechos!$L$2:$L$526,A281)</f>
        <v>12.9405754106841</v>
      </c>
      <c r="J281" s="43"/>
      <c r="K281" s="43"/>
      <c r="L281" s="43" t="s">
        <v>133</v>
      </c>
      <c r="M281" s="43" t="s">
        <v>50</v>
      </c>
      <c r="N281" s="43" t="str">
        <f aca="false">Blocos!AU41</f>
        <v>—</v>
      </c>
    </row>
    <row r="282" customFormat="false" ht="15" hidden="true" customHeight="false" outlineLevel="1" collapsed="false">
      <c r="F282" s="35" t="s">
        <v>1016</v>
      </c>
      <c r="G282" s="35" t="s">
        <v>1015</v>
      </c>
      <c r="H282" s="35" t="s">
        <v>1017</v>
      </c>
      <c r="I282" s="40" t="n">
        <v>12.9405754106841</v>
      </c>
      <c r="J282" s="36" t="n">
        <v>12.9405754106842</v>
      </c>
      <c r="K282" s="35"/>
    </row>
    <row r="283" customFormat="false" ht="15" hidden="false" customHeight="false" outlineLevel="0" collapsed="true">
      <c r="A283" s="41" t="n">
        <v>41</v>
      </c>
      <c r="B283" s="41" t="s">
        <v>21</v>
      </c>
      <c r="C283" s="41" t="s">
        <v>283</v>
      </c>
      <c r="D283" s="41" t="s">
        <v>423</v>
      </c>
      <c r="E283" s="41" t="s">
        <v>41</v>
      </c>
      <c r="F283" s="41" t="str">
        <f aca="false">COUNTIFS(Trechos!$L$2:$L$526,A283)&amp;" vãos"</f>
        <v>27 vãos</v>
      </c>
      <c r="G283" s="41"/>
      <c r="H283" s="41"/>
      <c r="I283" s="42" t="n">
        <f aca="false">SUMIFS(Trechos!$F$2:$F$526,Trechos!$L$2:$L$526,A283)</f>
        <v>711.974705462091</v>
      </c>
      <c r="J283" s="41"/>
      <c r="K283" s="41"/>
      <c r="L283" s="41" t="s">
        <v>136</v>
      </c>
      <c r="M283" s="41" t="s">
        <v>137</v>
      </c>
      <c r="N283" s="41" t="str">
        <f aca="false">Blocos!AU42</f>
        <v>0200583004, 0300584004, 0300585004, 0300582004, 0204195004, 0300578004, 0229381004, 0200580004, 0202671004, 0204249004</v>
      </c>
    </row>
    <row r="284" customFormat="false" ht="15" hidden="true" customHeight="false" outlineLevel="1" collapsed="false">
      <c r="F284" s="35" t="s">
        <v>1018</v>
      </c>
      <c r="G284" s="35" t="s">
        <v>689</v>
      </c>
      <c r="H284" s="35" t="s">
        <v>1019</v>
      </c>
      <c r="I284" s="40" t="n">
        <v>2.90264804923395</v>
      </c>
      <c r="J284" s="36" t="n">
        <v>633.074395025419</v>
      </c>
      <c r="K284" s="35" t="s">
        <v>1020</v>
      </c>
    </row>
    <row r="285" customFormat="false" ht="15" hidden="true" customHeight="false" outlineLevel="1" collapsed="false">
      <c r="F285" s="35" t="s">
        <v>1021</v>
      </c>
      <c r="G285" s="35" t="s">
        <v>1019</v>
      </c>
      <c r="H285" s="35" t="s">
        <v>1022</v>
      </c>
      <c r="I285" s="40" t="n">
        <v>24.7648142627265</v>
      </c>
      <c r="J285" s="36" t="n">
        <v>657.839209288145</v>
      </c>
      <c r="K285" s="35"/>
    </row>
    <row r="286" customFormat="false" ht="15" hidden="true" customHeight="false" outlineLevel="1" collapsed="false">
      <c r="F286" s="35" t="s">
        <v>1023</v>
      </c>
      <c r="G286" s="35" t="s">
        <v>1022</v>
      </c>
      <c r="H286" s="35" t="s">
        <v>1024</v>
      </c>
      <c r="I286" s="40" t="n">
        <v>3.6676906397375</v>
      </c>
      <c r="J286" s="36" t="n">
        <v>661.506899927882</v>
      </c>
      <c r="K286" s="35"/>
    </row>
    <row r="287" customFormat="false" ht="15" hidden="true" customHeight="false" outlineLevel="1" collapsed="false">
      <c r="F287" s="35" t="s">
        <v>1025</v>
      </c>
      <c r="G287" s="35" t="s">
        <v>1024</v>
      </c>
      <c r="H287" s="35" t="s">
        <v>1026</v>
      </c>
      <c r="I287" s="40" t="n">
        <v>58.0023257118447</v>
      </c>
      <c r="J287" s="36" t="n">
        <v>719.509225639727</v>
      </c>
      <c r="K287" s="35"/>
    </row>
    <row r="288" customFormat="false" ht="15" hidden="true" customHeight="false" outlineLevel="1" collapsed="false">
      <c r="F288" s="35" t="s">
        <v>1027</v>
      </c>
      <c r="G288" s="35" t="s">
        <v>1026</v>
      </c>
      <c r="H288" s="35" t="s">
        <v>1028</v>
      </c>
      <c r="I288" s="40" t="n">
        <v>79.0059570740184</v>
      </c>
      <c r="J288" s="36" t="n">
        <v>798.515182713745</v>
      </c>
      <c r="K288" s="35"/>
    </row>
    <row r="289" customFormat="false" ht="15" hidden="true" customHeight="false" outlineLevel="1" collapsed="false">
      <c r="F289" s="35" t="s">
        <v>1029</v>
      </c>
      <c r="G289" s="35" t="s">
        <v>1028</v>
      </c>
      <c r="H289" s="35" t="s">
        <v>1030</v>
      </c>
      <c r="I289" s="40" t="n">
        <v>72.7640244561595</v>
      </c>
      <c r="J289" s="36" t="n">
        <v>871.279207169905</v>
      </c>
      <c r="K289" s="35"/>
    </row>
    <row r="290" customFormat="false" ht="15" hidden="true" customHeight="false" outlineLevel="1" collapsed="false">
      <c r="F290" s="35" t="s">
        <v>1031</v>
      </c>
      <c r="G290" s="35" t="s">
        <v>1030</v>
      </c>
      <c r="H290" s="35" t="s">
        <v>1032</v>
      </c>
      <c r="I290" s="40" t="n">
        <v>19.8600120234672</v>
      </c>
      <c r="J290" s="36" t="n">
        <v>891.139219193372</v>
      </c>
      <c r="K290" s="35"/>
    </row>
    <row r="291" customFormat="false" ht="15" hidden="true" customHeight="false" outlineLevel="1" collapsed="false">
      <c r="F291" s="35" t="s">
        <v>1033</v>
      </c>
      <c r="G291" s="35" t="s">
        <v>1030</v>
      </c>
      <c r="H291" s="35" t="s">
        <v>1034</v>
      </c>
      <c r="I291" s="40" t="n">
        <v>55.8593759036546</v>
      </c>
      <c r="J291" s="36" t="n">
        <v>927.138583073559</v>
      </c>
      <c r="K291" s="35"/>
    </row>
    <row r="292" customFormat="false" ht="15" hidden="true" customHeight="false" outlineLevel="1" collapsed="false">
      <c r="F292" s="35" t="s">
        <v>1035</v>
      </c>
      <c r="G292" s="35" t="s">
        <v>1034</v>
      </c>
      <c r="H292" s="35" t="s">
        <v>1036</v>
      </c>
      <c r="I292" s="40" t="n">
        <v>106.796781237224</v>
      </c>
      <c r="J292" s="36" t="n">
        <v>1033.93536431078</v>
      </c>
      <c r="K292" s="35"/>
    </row>
    <row r="293" customFormat="false" ht="15" hidden="true" customHeight="false" outlineLevel="1" collapsed="false">
      <c r="F293" s="35" t="s">
        <v>1037</v>
      </c>
      <c r="G293" s="35" t="s">
        <v>1036</v>
      </c>
      <c r="H293" s="35" t="s">
        <v>1038</v>
      </c>
      <c r="I293" s="40" t="n">
        <v>22.0022536485137</v>
      </c>
      <c r="J293" s="36" t="n">
        <v>1055.9376179593</v>
      </c>
      <c r="K293" s="35"/>
    </row>
    <row r="294" customFormat="false" ht="15" hidden="true" customHeight="false" outlineLevel="1" collapsed="false">
      <c r="F294" s="35" t="s">
        <v>1039</v>
      </c>
      <c r="G294" s="35" t="s">
        <v>1038</v>
      </c>
      <c r="H294" s="35" t="s">
        <v>1040</v>
      </c>
      <c r="I294" s="40" t="n">
        <v>35.4156566157913</v>
      </c>
      <c r="J294" s="36" t="n">
        <v>1091.35327457509</v>
      </c>
      <c r="K294" s="35"/>
    </row>
    <row r="295" customFormat="false" ht="15" hidden="true" customHeight="false" outlineLevel="1" collapsed="false">
      <c r="F295" s="35" t="s">
        <v>1041</v>
      </c>
      <c r="G295" s="35" t="s">
        <v>1040</v>
      </c>
      <c r="H295" s="35" t="s">
        <v>1042</v>
      </c>
      <c r="I295" s="40" t="n">
        <v>3.62447492704008</v>
      </c>
      <c r="J295" s="36" t="n">
        <v>1094.97774950213</v>
      </c>
      <c r="K295" s="35" t="s">
        <v>1043</v>
      </c>
    </row>
    <row r="296" customFormat="false" ht="15" hidden="true" customHeight="false" outlineLevel="1" collapsed="false">
      <c r="F296" s="35" t="s">
        <v>1044</v>
      </c>
      <c r="G296" s="35" t="s">
        <v>1042</v>
      </c>
      <c r="H296" s="35" t="s">
        <v>1045</v>
      </c>
      <c r="I296" s="40" t="n">
        <v>67.1324193172677</v>
      </c>
      <c r="J296" s="36" t="n">
        <v>1162.1101688194</v>
      </c>
      <c r="K296" s="35"/>
    </row>
    <row r="297" customFormat="false" ht="15" hidden="true" customHeight="false" outlineLevel="1" collapsed="false">
      <c r="F297" s="35" t="s">
        <v>1046</v>
      </c>
      <c r="G297" s="35" t="s">
        <v>1045</v>
      </c>
      <c r="H297" s="35" t="s">
        <v>1047</v>
      </c>
      <c r="I297" s="40" t="n">
        <v>46.5801220877763</v>
      </c>
      <c r="J297" s="36" t="n">
        <v>1208.69029090717</v>
      </c>
      <c r="K297" s="35"/>
    </row>
    <row r="298" customFormat="false" ht="15" hidden="true" customHeight="false" outlineLevel="1" collapsed="false">
      <c r="F298" s="35" t="s">
        <v>1048</v>
      </c>
      <c r="G298" s="35" t="s">
        <v>1047</v>
      </c>
      <c r="H298" s="35" t="s">
        <v>1049</v>
      </c>
      <c r="I298" s="40" t="n">
        <v>36.5881926959311</v>
      </c>
      <c r="J298" s="36" t="n">
        <v>1245.2784836031</v>
      </c>
      <c r="K298" s="35"/>
    </row>
    <row r="299" customFormat="false" ht="15" hidden="true" customHeight="false" outlineLevel="1" collapsed="false">
      <c r="F299" s="35" t="s">
        <v>1050</v>
      </c>
      <c r="G299" s="35" t="s">
        <v>1049</v>
      </c>
      <c r="H299" s="35" t="s">
        <v>1051</v>
      </c>
      <c r="I299" s="40" t="n">
        <v>0.999096982387536</v>
      </c>
      <c r="J299" s="36" t="n">
        <v>1246.27758058549</v>
      </c>
      <c r="K299" s="35"/>
    </row>
    <row r="300" customFormat="false" ht="15" hidden="true" customHeight="false" outlineLevel="1" collapsed="false">
      <c r="F300" s="35" t="s">
        <v>1052</v>
      </c>
      <c r="G300" s="35" t="s">
        <v>1047</v>
      </c>
      <c r="H300" s="35" t="s">
        <v>1053</v>
      </c>
      <c r="I300" s="40" t="n">
        <v>1.88701623946024</v>
      </c>
      <c r="J300" s="36" t="n">
        <v>1210.57730714663</v>
      </c>
      <c r="K300" s="35"/>
    </row>
    <row r="301" customFormat="false" ht="15" hidden="true" customHeight="false" outlineLevel="1" collapsed="false">
      <c r="F301" s="35" t="s">
        <v>1054</v>
      </c>
      <c r="G301" s="35" t="s">
        <v>1053</v>
      </c>
      <c r="H301" s="35" t="s">
        <v>1055</v>
      </c>
      <c r="I301" s="40" t="n">
        <v>18.3019721789769</v>
      </c>
      <c r="J301" s="36" t="n">
        <v>1228.87927932561</v>
      </c>
      <c r="K301" s="35"/>
    </row>
    <row r="302" customFormat="false" ht="15" hidden="true" customHeight="false" outlineLevel="1" collapsed="false">
      <c r="F302" s="35" t="s">
        <v>1056</v>
      </c>
      <c r="G302" s="35" t="s">
        <v>1055</v>
      </c>
      <c r="H302" s="35" t="s">
        <v>1057</v>
      </c>
      <c r="I302" s="40" t="n">
        <v>3.3432491784718</v>
      </c>
      <c r="J302" s="36" t="n">
        <v>1232.22252850408</v>
      </c>
      <c r="K302" s="35"/>
    </row>
    <row r="303" customFormat="false" ht="15" hidden="true" customHeight="false" outlineLevel="1" collapsed="false">
      <c r="F303" s="35" t="s">
        <v>1058</v>
      </c>
      <c r="G303" s="35" t="s">
        <v>1045</v>
      </c>
      <c r="H303" s="35" t="s">
        <v>1059</v>
      </c>
      <c r="I303" s="40" t="n">
        <v>1.93389110934995</v>
      </c>
      <c r="J303" s="36" t="n">
        <v>1164.04405992875</v>
      </c>
      <c r="K303" s="35"/>
    </row>
    <row r="304" customFormat="false" ht="15" hidden="true" customHeight="false" outlineLevel="1" collapsed="false">
      <c r="F304" s="35" t="s">
        <v>1060</v>
      </c>
      <c r="G304" s="35" t="s">
        <v>1059</v>
      </c>
      <c r="H304" s="35" t="s">
        <v>1061</v>
      </c>
      <c r="I304" s="40" t="n">
        <v>30.0937522841623</v>
      </c>
      <c r="J304" s="36" t="n">
        <v>1194.13781221291</v>
      </c>
      <c r="K304" s="35"/>
    </row>
    <row r="305" customFormat="false" ht="15" hidden="true" customHeight="false" outlineLevel="1" collapsed="false">
      <c r="F305" s="35" t="s">
        <v>1062</v>
      </c>
      <c r="G305" s="35" t="s">
        <v>1061</v>
      </c>
      <c r="H305" s="35" t="s">
        <v>1063</v>
      </c>
      <c r="I305" s="40" t="n">
        <v>3.93891455452788</v>
      </c>
      <c r="J305" s="36" t="n">
        <v>1198.07672676744</v>
      </c>
      <c r="K305" s="35"/>
    </row>
    <row r="306" customFormat="false" ht="15" hidden="true" customHeight="false" outlineLevel="1" collapsed="false">
      <c r="F306" s="35" t="s">
        <v>1064</v>
      </c>
      <c r="G306" s="35" t="s">
        <v>1036</v>
      </c>
      <c r="H306" s="35" t="s">
        <v>1065</v>
      </c>
      <c r="I306" s="40" t="n">
        <v>0.891178958447801</v>
      </c>
      <c r="J306" s="36" t="n">
        <v>1034.82654326923</v>
      </c>
      <c r="K306" s="35"/>
    </row>
    <row r="307" customFormat="false" ht="15" hidden="true" customHeight="false" outlineLevel="1" collapsed="false">
      <c r="F307" s="35" t="s">
        <v>1066</v>
      </c>
      <c r="G307" s="35" t="s">
        <v>1030</v>
      </c>
      <c r="H307" s="35" t="s">
        <v>1067</v>
      </c>
      <c r="I307" s="40" t="n">
        <v>6.35952316921994</v>
      </c>
      <c r="J307" s="36" t="n">
        <v>877.638730339124</v>
      </c>
      <c r="K307" s="35"/>
    </row>
    <row r="308" customFormat="false" ht="15" hidden="true" customHeight="false" outlineLevel="1" collapsed="false">
      <c r="F308" s="35" t="s">
        <v>1068</v>
      </c>
      <c r="G308" s="35" t="s">
        <v>1067</v>
      </c>
      <c r="H308" s="35" t="s">
        <v>1069</v>
      </c>
      <c r="I308" s="40" t="n">
        <v>3.52591441377425</v>
      </c>
      <c r="J308" s="36" t="n">
        <v>881.164644752899</v>
      </c>
      <c r="K308" s="35"/>
    </row>
    <row r="309" customFormat="false" ht="15" hidden="true" customHeight="false" outlineLevel="1" collapsed="false">
      <c r="F309" s="35" t="s">
        <v>1070</v>
      </c>
      <c r="G309" s="35" t="s">
        <v>1028</v>
      </c>
      <c r="H309" s="35" t="s">
        <v>1071</v>
      </c>
      <c r="I309" s="40" t="n">
        <v>2.50619527453532</v>
      </c>
      <c r="J309" s="36" t="n">
        <v>801.021377988281</v>
      </c>
      <c r="K309" s="35"/>
    </row>
    <row r="310" customFormat="false" ht="15" hidden="true" customHeight="false" outlineLevel="1" collapsed="false">
      <c r="F310" s="35" t="s">
        <v>1072</v>
      </c>
      <c r="G310" s="35" t="s">
        <v>1026</v>
      </c>
      <c r="H310" s="35" t="s">
        <v>1073</v>
      </c>
      <c r="I310" s="40" t="n">
        <v>3.22725246839033</v>
      </c>
      <c r="J310" s="36" t="n">
        <v>722.736478108117</v>
      </c>
      <c r="K310" s="35"/>
    </row>
    <row r="311" customFormat="false" ht="15" hidden="false" customHeight="false" outlineLevel="0" collapsed="true">
      <c r="A311" s="43" t="n">
        <v>42</v>
      </c>
      <c r="B311" s="43" t="s">
        <v>22</v>
      </c>
      <c r="C311" s="43" t="s">
        <v>283</v>
      </c>
      <c r="D311" s="43" t="s">
        <v>423</v>
      </c>
      <c r="E311" s="43" t="s">
        <v>138</v>
      </c>
      <c r="F311" s="43" t="str">
        <f aca="false">COUNTIFS(Trechos!$L$2:$L$526,A311)&amp;" vãos"</f>
        <v>4 vãos</v>
      </c>
      <c r="G311" s="43"/>
      <c r="H311" s="43"/>
      <c r="I311" s="44" t="n">
        <f aca="false">SUMIFS(Trechos!$F$2:$F$526,Trechos!$L$2:$L$526,A311)</f>
        <v>43.8731354215516</v>
      </c>
      <c r="J311" s="43"/>
      <c r="K311" s="43"/>
      <c r="L311" s="43" t="s">
        <v>139</v>
      </c>
      <c r="M311" s="43" t="s">
        <v>50</v>
      </c>
      <c r="N311" s="43" t="str">
        <f aca="false">Blocos!AU43</f>
        <v>—</v>
      </c>
    </row>
    <row r="312" customFormat="false" ht="15" hidden="true" customHeight="false" outlineLevel="1" collapsed="false">
      <c r="F312" s="35" t="s">
        <v>1074</v>
      </c>
      <c r="G312" s="35" t="s">
        <v>1051</v>
      </c>
      <c r="H312" s="35" t="s">
        <v>1075</v>
      </c>
      <c r="I312" s="40" t="n">
        <v>8.67432763300936</v>
      </c>
      <c r="J312" s="36" t="n">
        <v>8.67432763300894</v>
      </c>
      <c r="K312" s="35"/>
    </row>
    <row r="313" customFormat="false" ht="15" hidden="true" customHeight="false" outlineLevel="1" collapsed="false">
      <c r="F313" s="35" t="s">
        <v>1076</v>
      </c>
      <c r="G313" s="35" t="s">
        <v>1075</v>
      </c>
      <c r="H313" s="35" t="s">
        <v>1077</v>
      </c>
      <c r="I313" s="40" t="n">
        <v>13.4885405746939</v>
      </c>
      <c r="J313" s="36" t="n">
        <v>22.1628682077026</v>
      </c>
      <c r="K313" s="35"/>
    </row>
    <row r="314" customFormat="false" ht="15" hidden="true" customHeight="false" outlineLevel="1" collapsed="false">
      <c r="F314" s="35" t="s">
        <v>1078</v>
      </c>
      <c r="G314" s="35" t="s">
        <v>1075</v>
      </c>
      <c r="H314" s="35" t="s">
        <v>1079</v>
      </c>
      <c r="I314" s="40" t="n">
        <v>15.9111263958706</v>
      </c>
      <c r="J314" s="36" t="n">
        <v>24.5854540288792</v>
      </c>
      <c r="K314" s="35"/>
    </row>
    <row r="315" customFormat="false" ht="15" hidden="true" customHeight="false" outlineLevel="1" collapsed="false">
      <c r="F315" s="35" t="s">
        <v>1080</v>
      </c>
      <c r="G315" s="35" t="s">
        <v>1075</v>
      </c>
      <c r="H315" s="35" t="s">
        <v>1081</v>
      </c>
      <c r="I315" s="40" t="n">
        <v>5.79914081797775</v>
      </c>
      <c r="J315" s="36" t="n">
        <v>14.4734684509867</v>
      </c>
      <c r="K315" s="35"/>
    </row>
    <row r="316" customFormat="false" ht="15" hidden="false" customHeight="false" outlineLevel="0" collapsed="true">
      <c r="A316" s="43" t="n">
        <v>43</v>
      </c>
      <c r="B316" s="43" t="s">
        <v>22</v>
      </c>
      <c r="C316" s="43" t="s">
        <v>283</v>
      </c>
      <c r="D316" s="43" t="s">
        <v>423</v>
      </c>
      <c r="E316" s="43" t="s">
        <v>140</v>
      </c>
      <c r="F316" s="43" t="str">
        <f aca="false">COUNTIFS(Trechos!$L$2:$L$526,A316)&amp;" vãos"</f>
        <v>22 vãos</v>
      </c>
      <c r="G316" s="43"/>
      <c r="H316" s="43"/>
      <c r="I316" s="44" t="n">
        <f aca="false">SUMIFS(Trechos!$F$2:$F$526,Trechos!$L$2:$L$526,A316)</f>
        <v>610.208030074514</v>
      </c>
      <c r="J316" s="43"/>
      <c r="K316" s="43"/>
      <c r="L316" s="43" t="s">
        <v>141</v>
      </c>
      <c r="M316" s="43" t="s">
        <v>50</v>
      </c>
      <c r="N316" s="43" t="str">
        <f aca="false">Blocos!AU44</f>
        <v>0300585004</v>
      </c>
    </row>
    <row r="317" customFormat="false" ht="15" hidden="true" customHeight="false" outlineLevel="1" collapsed="false">
      <c r="F317" s="35" t="s">
        <v>1082</v>
      </c>
      <c r="G317" s="35" t="s">
        <v>1057</v>
      </c>
      <c r="H317" s="35" t="s">
        <v>1083</v>
      </c>
      <c r="I317" s="40" t="n">
        <v>79.5072323243856</v>
      </c>
      <c r="J317" s="36" t="n">
        <v>79.5072323243858</v>
      </c>
      <c r="K317" s="35"/>
    </row>
    <row r="318" customFormat="false" ht="15" hidden="true" customHeight="false" outlineLevel="1" collapsed="false">
      <c r="F318" s="35" t="s">
        <v>1084</v>
      </c>
      <c r="G318" s="35" t="s">
        <v>1083</v>
      </c>
      <c r="H318" s="35" t="s">
        <v>1085</v>
      </c>
      <c r="I318" s="40" t="n">
        <v>38.6292773952976</v>
      </c>
      <c r="J318" s="36" t="n">
        <v>118.136509719683</v>
      </c>
      <c r="K318" s="35"/>
    </row>
    <row r="319" customFormat="false" ht="15" hidden="true" customHeight="false" outlineLevel="1" collapsed="false">
      <c r="F319" s="35" t="s">
        <v>1086</v>
      </c>
      <c r="G319" s="35" t="s">
        <v>1085</v>
      </c>
      <c r="H319" s="35" t="s">
        <v>1087</v>
      </c>
      <c r="I319" s="40" t="n">
        <v>32.4790247351274</v>
      </c>
      <c r="J319" s="36" t="n">
        <v>150.615534454811</v>
      </c>
      <c r="K319" s="35"/>
    </row>
    <row r="320" customFormat="false" ht="15" hidden="true" customHeight="false" outlineLevel="1" collapsed="false">
      <c r="F320" s="35" t="s">
        <v>1088</v>
      </c>
      <c r="G320" s="35" t="s">
        <v>1087</v>
      </c>
      <c r="H320" s="35" t="s">
        <v>1089</v>
      </c>
      <c r="I320" s="40" t="n">
        <v>3.65441616212566</v>
      </c>
      <c r="J320" s="36" t="n">
        <v>154.269950616937</v>
      </c>
      <c r="K320" s="35"/>
    </row>
    <row r="321" customFormat="false" ht="15" hidden="true" customHeight="false" outlineLevel="1" collapsed="false">
      <c r="F321" s="35" t="s">
        <v>1090</v>
      </c>
      <c r="G321" s="35" t="s">
        <v>1089</v>
      </c>
      <c r="H321" s="35" t="s">
        <v>1091</v>
      </c>
      <c r="I321" s="40" t="n">
        <v>15.2947095114485</v>
      </c>
      <c r="J321" s="36" t="n">
        <v>169.564660128385</v>
      </c>
      <c r="K321" s="35"/>
    </row>
    <row r="322" customFormat="false" ht="15" hidden="true" customHeight="false" outlineLevel="1" collapsed="false">
      <c r="F322" s="35" t="s">
        <v>1092</v>
      </c>
      <c r="G322" s="35" t="s">
        <v>1091</v>
      </c>
      <c r="H322" s="35" t="s">
        <v>1093</v>
      </c>
      <c r="I322" s="40" t="n">
        <v>84.0192753031508</v>
      </c>
      <c r="J322" s="36" t="n">
        <v>253.583935431536</v>
      </c>
      <c r="K322" s="35"/>
    </row>
    <row r="323" customFormat="false" ht="15" hidden="true" customHeight="false" outlineLevel="1" collapsed="false">
      <c r="F323" s="35" t="s">
        <v>1094</v>
      </c>
      <c r="G323" s="35" t="s">
        <v>1093</v>
      </c>
      <c r="H323" s="35" t="s">
        <v>1095</v>
      </c>
      <c r="I323" s="40" t="n">
        <v>1.94113803583574</v>
      </c>
      <c r="J323" s="36" t="n">
        <v>255.525073467372</v>
      </c>
      <c r="K323" s="35"/>
    </row>
    <row r="324" customFormat="false" ht="15" hidden="true" customHeight="false" outlineLevel="1" collapsed="false">
      <c r="F324" s="35" t="s">
        <v>1096</v>
      </c>
      <c r="G324" s="35" t="s">
        <v>1095</v>
      </c>
      <c r="H324" s="35" t="s">
        <v>1097</v>
      </c>
      <c r="I324" s="40" t="n">
        <v>30.597411175659</v>
      </c>
      <c r="J324" s="36" t="n">
        <v>286.122484643031</v>
      </c>
      <c r="K324" s="35"/>
    </row>
    <row r="325" customFormat="false" ht="15" hidden="true" customHeight="false" outlineLevel="1" collapsed="false">
      <c r="F325" s="35" t="s">
        <v>1098</v>
      </c>
      <c r="G325" s="35" t="s">
        <v>1097</v>
      </c>
      <c r="H325" s="35" t="s">
        <v>1099</v>
      </c>
      <c r="I325" s="40" t="n">
        <v>4.91071812820194</v>
      </c>
      <c r="J325" s="36" t="n">
        <v>291.033202771232</v>
      </c>
      <c r="K325" s="35"/>
    </row>
    <row r="326" customFormat="false" ht="15" hidden="true" customHeight="false" outlineLevel="1" collapsed="false">
      <c r="F326" s="35" t="s">
        <v>1100</v>
      </c>
      <c r="G326" s="35" t="s">
        <v>1097</v>
      </c>
      <c r="H326" s="35" t="s">
        <v>1101</v>
      </c>
      <c r="I326" s="40" t="n">
        <v>0.39995180128069</v>
      </c>
      <c r="J326" s="36" t="n">
        <v>286.522436444311</v>
      </c>
      <c r="K326" s="35"/>
    </row>
    <row r="327" customFormat="false" ht="15" hidden="true" customHeight="false" outlineLevel="1" collapsed="false">
      <c r="F327" s="35" t="s">
        <v>1102</v>
      </c>
      <c r="G327" s="35" t="s">
        <v>1101</v>
      </c>
      <c r="H327" s="35" t="s">
        <v>1103</v>
      </c>
      <c r="I327" s="40" t="n">
        <v>4.91243707414158</v>
      </c>
      <c r="J327" s="36" t="n">
        <v>291.434873518453</v>
      </c>
      <c r="K327" s="35"/>
    </row>
    <row r="328" customFormat="false" ht="15" hidden="true" customHeight="false" outlineLevel="1" collapsed="false">
      <c r="F328" s="35" t="s">
        <v>1104</v>
      </c>
      <c r="G328" s="35" t="s">
        <v>1093</v>
      </c>
      <c r="H328" s="35" t="s">
        <v>1105</v>
      </c>
      <c r="I328" s="40" t="n">
        <v>26.0649540475314</v>
      </c>
      <c r="J328" s="36" t="n">
        <v>279.648889479067</v>
      </c>
      <c r="K328" s="35"/>
    </row>
    <row r="329" customFormat="false" ht="15" hidden="true" customHeight="false" outlineLevel="1" collapsed="false">
      <c r="F329" s="35" t="s">
        <v>1106</v>
      </c>
      <c r="G329" s="35" t="s">
        <v>1105</v>
      </c>
      <c r="H329" s="35" t="s">
        <v>1107</v>
      </c>
      <c r="I329" s="40" t="n">
        <v>21.6979914208592</v>
      </c>
      <c r="J329" s="36" t="n">
        <v>301.346880899927</v>
      </c>
      <c r="K329" s="35"/>
    </row>
    <row r="330" customFormat="false" ht="15" hidden="true" customHeight="false" outlineLevel="1" collapsed="false">
      <c r="F330" s="35" t="s">
        <v>1108</v>
      </c>
      <c r="G330" s="35" t="s">
        <v>1091</v>
      </c>
      <c r="H330" s="35" t="s">
        <v>1109</v>
      </c>
      <c r="I330" s="40" t="n">
        <v>7.84842893715936</v>
      </c>
      <c r="J330" s="36" t="n">
        <v>177.413089065544</v>
      </c>
      <c r="K330" s="35"/>
    </row>
    <row r="331" customFormat="false" ht="15" hidden="true" customHeight="false" outlineLevel="1" collapsed="false">
      <c r="F331" s="35" t="s">
        <v>1110</v>
      </c>
      <c r="G331" s="35" t="s">
        <v>1091</v>
      </c>
      <c r="H331" s="35" t="s">
        <v>1111</v>
      </c>
      <c r="I331" s="40" t="n">
        <v>35.4657403866756</v>
      </c>
      <c r="J331" s="36" t="n">
        <v>205.030400515061</v>
      </c>
      <c r="K331" s="35"/>
    </row>
    <row r="332" customFormat="false" ht="15" hidden="true" customHeight="false" outlineLevel="1" collapsed="false">
      <c r="F332" s="35" t="s">
        <v>1112</v>
      </c>
      <c r="G332" s="35" t="s">
        <v>1083</v>
      </c>
      <c r="H332" s="35" t="s">
        <v>1113</v>
      </c>
      <c r="I332" s="40" t="n">
        <v>23.2621105182364</v>
      </c>
      <c r="J332" s="36" t="n">
        <v>102.769342842622</v>
      </c>
      <c r="K332" s="35"/>
    </row>
    <row r="333" customFormat="false" ht="15" hidden="true" customHeight="false" outlineLevel="1" collapsed="false">
      <c r="F333" s="35" t="s">
        <v>1114</v>
      </c>
      <c r="G333" s="35" t="s">
        <v>1083</v>
      </c>
      <c r="H333" s="35" t="s">
        <v>1115</v>
      </c>
      <c r="I333" s="40" t="n">
        <v>12.3615288171716</v>
      </c>
      <c r="J333" s="36" t="n">
        <v>91.8687611415571</v>
      </c>
      <c r="K333" s="35"/>
    </row>
    <row r="334" customFormat="false" ht="15" hidden="true" customHeight="false" outlineLevel="1" collapsed="false">
      <c r="F334" s="35" t="s">
        <v>1116</v>
      </c>
      <c r="G334" s="35" t="s">
        <v>1115</v>
      </c>
      <c r="H334" s="35" t="s">
        <v>1117</v>
      </c>
      <c r="I334" s="40" t="n">
        <v>33.6270810511528</v>
      </c>
      <c r="J334" s="36" t="n">
        <v>125.49584219271</v>
      </c>
      <c r="K334" s="35"/>
    </row>
    <row r="335" customFormat="false" ht="15" hidden="true" customHeight="false" outlineLevel="1" collapsed="false">
      <c r="F335" s="35" t="s">
        <v>1118</v>
      </c>
      <c r="G335" s="35" t="s">
        <v>1117</v>
      </c>
      <c r="H335" s="35" t="s">
        <v>1119</v>
      </c>
      <c r="I335" s="40" t="n">
        <v>3.5284191754112</v>
      </c>
      <c r="J335" s="36" t="n">
        <v>129.024261368121</v>
      </c>
      <c r="K335" s="35"/>
    </row>
    <row r="336" customFormat="false" ht="15" hidden="true" customHeight="false" outlineLevel="1" collapsed="false">
      <c r="F336" s="35" t="s">
        <v>1120</v>
      </c>
      <c r="G336" s="35" t="s">
        <v>1119</v>
      </c>
      <c r="H336" s="35" t="s">
        <v>1121</v>
      </c>
      <c r="I336" s="40" t="n">
        <v>114.442159759499</v>
      </c>
      <c r="J336" s="36" t="n">
        <v>243.46642112762</v>
      </c>
      <c r="K336" s="35"/>
    </row>
    <row r="337" customFormat="false" ht="15" hidden="true" customHeight="false" outlineLevel="1" collapsed="false">
      <c r="F337" s="35" t="s">
        <v>1122</v>
      </c>
      <c r="G337" s="35" t="s">
        <v>1121</v>
      </c>
      <c r="H337" s="35" t="s">
        <v>1123</v>
      </c>
      <c r="I337" s="40" t="n">
        <v>34.3211387071624</v>
      </c>
      <c r="J337" s="36" t="n">
        <v>277.787559834782</v>
      </c>
      <c r="K337" s="35"/>
    </row>
    <row r="338" customFormat="false" ht="15" hidden="true" customHeight="false" outlineLevel="1" collapsed="false">
      <c r="F338" s="35" t="s">
        <v>1124</v>
      </c>
      <c r="G338" s="35" t="s">
        <v>1115</v>
      </c>
      <c r="H338" s="35" t="s">
        <v>1125</v>
      </c>
      <c r="I338" s="40" t="n">
        <v>1.24288560700108</v>
      </c>
      <c r="J338" s="36" t="n">
        <v>93.1116467485581</v>
      </c>
      <c r="K338" s="35"/>
    </row>
    <row r="339" customFormat="false" ht="15" hidden="false" customHeight="false" outlineLevel="0" collapsed="true">
      <c r="A339" s="45" t="n">
        <v>44</v>
      </c>
      <c r="B339" s="45" t="s">
        <v>23</v>
      </c>
      <c r="C339" s="45" t="s">
        <v>283</v>
      </c>
      <c r="D339" s="45" t="s">
        <v>423</v>
      </c>
      <c r="E339" s="45" t="s">
        <v>142</v>
      </c>
      <c r="F339" s="45" t="str">
        <f aca="false">COUNTIFS(Trechos!$L$2:$L$526,A339)&amp;" vãos"</f>
        <v>1 vãos</v>
      </c>
      <c r="G339" s="45"/>
      <c r="H339" s="45"/>
      <c r="I339" s="46" t="n">
        <f aca="false">SUMIFS(Trechos!$F$2:$F$526,Trechos!$L$2:$L$526,A339)</f>
        <v>11.2419540888715</v>
      </c>
      <c r="J339" s="45"/>
      <c r="K339" s="45"/>
      <c r="L339" s="45" t="s">
        <v>143</v>
      </c>
      <c r="M339" s="45" t="s">
        <v>50</v>
      </c>
      <c r="N339" s="45" t="str">
        <f aca="false">Blocos!AU45</f>
        <v>—</v>
      </c>
    </row>
    <row r="340" customFormat="false" ht="15" hidden="true" customHeight="false" outlineLevel="1" collapsed="false">
      <c r="F340" s="35" t="s">
        <v>1126</v>
      </c>
      <c r="G340" s="35" t="s">
        <v>1125</v>
      </c>
      <c r="H340" s="35" t="s">
        <v>1127</v>
      </c>
      <c r="I340" s="40" t="n">
        <v>11.2419540888715</v>
      </c>
      <c r="J340" s="36" t="n">
        <v>11.2419540888714</v>
      </c>
      <c r="K340" s="35"/>
    </row>
    <row r="341" customFormat="false" ht="15" hidden="false" customHeight="false" outlineLevel="0" collapsed="true">
      <c r="A341" s="43" t="n">
        <v>45</v>
      </c>
      <c r="B341" s="43" t="s">
        <v>22</v>
      </c>
      <c r="C341" s="43" t="s">
        <v>283</v>
      </c>
      <c r="D341" s="43" t="s">
        <v>423</v>
      </c>
      <c r="E341" s="43" t="s">
        <v>144</v>
      </c>
      <c r="F341" s="43" t="str">
        <f aca="false">COUNTIFS(Trechos!$L$2:$L$526,A341)&amp;" vãos"</f>
        <v>3 vãos</v>
      </c>
      <c r="G341" s="43"/>
      <c r="H341" s="43"/>
      <c r="I341" s="44" t="n">
        <f aca="false">SUMIFS(Trechos!$F$2:$F$526,Trechos!$L$2:$L$526,A341)</f>
        <v>234.703286837545</v>
      </c>
      <c r="J341" s="43"/>
      <c r="K341" s="43"/>
      <c r="L341" s="43" t="s">
        <v>145</v>
      </c>
      <c r="M341" s="43" t="s">
        <v>50</v>
      </c>
      <c r="N341" s="43" t="str">
        <f aca="false">Blocos!AU46</f>
        <v>—</v>
      </c>
    </row>
    <row r="342" customFormat="false" ht="15" hidden="true" customHeight="false" outlineLevel="1" collapsed="false">
      <c r="F342" s="35" t="s">
        <v>1128</v>
      </c>
      <c r="G342" s="35" t="s">
        <v>1063</v>
      </c>
      <c r="H342" s="35" t="s">
        <v>1129</v>
      </c>
      <c r="I342" s="40" t="n">
        <v>69.6059811488096</v>
      </c>
      <c r="J342" s="36" t="n">
        <v>69.6059811488094</v>
      </c>
      <c r="K342" s="35"/>
    </row>
    <row r="343" customFormat="false" ht="15" hidden="true" customHeight="false" outlineLevel="1" collapsed="false">
      <c r="F343" s="35" t="s">
        <v>1130</v>
      </c>
      <c r="G343" s="35" t="s">
        <v>1129</v>
      </c>
      <c r="H343" s="35" t="s">
        <v>1131</v>
      </c>
      <c r="I343" s="40" t="n">
        <v>132.955699166196</v>
      </c>
      <c r="J343" s="36" t="n">
        <v>202.561680315005</v>
      </c>
      <c r="K343" s="35"/>
    </row>
    <row r="344" customFormat="false" ht="15" hidden="true" customHeight="false" outlineLevel="1" collapsed="false">
      <c r="F344" s="35" t="s">
        <v>1132</v>
      </c>
      <c r="G344" s="35" t="s">
        <v>1131</v>
      </c>
      <c r="H344" s="35" t="s">
        <v>1133</v>
      </c>
      <c r="I344" s="40" t="n">
        <v>32.1416065225393</v>
      </c>
      <c r="J344" s="36" t="n">
        <v>234.703286837545</v>
      </c>
      <c r="K344" s="35"/>
    </row>
    <row r="345" customFormat="false" ht="15" hidden="false" customHeight="false" outlineLevel="0" collapsed="true">
      <c r="A345" s="43" t="n">
        <v>46</v>
      </c>
      <c r="B345" s="43" t="s">
        <v>22</v>
      </c>
      <c r="C345" s="43" t="s">
        <v>283</v>
      </c>
      <c r="D345" s="43" t="s">
        <v>423</v>
      </c>
      <c r="E345" s="43" t="s">
        <v>146</v>
      </c>
      <c r="F345" s="43" t="str">
        <f aca="false">COUNTIFS(Trechos!$L$2:$L$526,A345)&amp;" vãos"</f>
        <v>2 vãos</v>
      </c>
      <c r="G345" s="43"/>
      <c r="H345" s="43"/>
      <c r="I345" s="44" t="n">
        <f aca="false">SUMIFS(Trechos!$F$2:$F$526,Trechos!$L$2:$L$526,A345)</f>
        <v>11.1909128468482</v>
      </c>
      <c r="J345" s="43"/>
      <c r="K345" s="43"/>
      <c r="L345" s="43" t="s">
        <v>147</v>
      </c>
      <c r="M345" s="43" t="s">
        <v>50</v>
      </c>
      <c r="N345" s="43" t="str">
        <f aca="false">Blocos!AU47</f>
        <v>—</v>
      </c>
    </row>
    <row r="346" customFormat="false" ht="15" hidden="true" customHeight="false" outlineLevel="1" collapsed="false">
      <c r="F346" s="35" t="s">
        <v>1134</v>
      </c>
      <c r="G346" s="35" t="s">
        <v>1065</v>
      </c>
      <c r="H346" s="35" t="s">
        <v>1135</v>
      </c>
      <c r="I346" s="40" t="n">
        <v>7.11835112665166</v>
      </c>
      <c r="J346" s="36" t="n">
        <v>7.11835112665176</v>
      </c>
      <c r="K346" s="35"/>
    </row>
    <row r="347" customFormat="false" ht="15" hidden="true" customHeight="false" outlineLevel="1" collapsed="false">
      <c r="F347" s="35" t="s">
        <v>1136</v>
      </c>
      <c r="G347" s="35" t="s">
        <v>1135</v>
      </c>
      <c r="H347" s="35" t="s">
        <v>1137</v>
      </c>
      <c r="I347" s="40" t="n">
        <v>4.0725617201965</v>
      </c>
      <c r="J347" s="36" t="n">
        <v>11.1909128468483</v>
      </c>
      <c r="K347" s="35"/>
    </row>
    <row r="348" customFormat="false" ht="15" hidden="false" customHeight="false" outlineLevel="0" collapsed="true">
      <c r="A348" s="43" t="n">
        <v>47</v>
      </c>
      <c r="B348" s="43" t="s">
        <v>22</v>
      </c>
      <c r="C348" s="43" t="s">
        <v>283</v>
      </c>
      <c r="D348" s="43" t="s">
        <v>423</v>
      </c>
      <c r="E348" s="43" t="s">
        <v>148</v>
      </c>
      <c r="F348" s="43" t="str">
        <f aca="false">COUNTIFS(Trechos!$L$2:$L$526,A348)&amp;" vãos"</f>
        <v>12 vãos</v>
      </c>
      <c r="G348" s="43"/>
      <c r="H348" s="43"/>
      <c r="I348" s="44" t="n">
        <f aca="false">SUMIFS(Trechos!$F$2:$F$526,Trechos!$L$2:$L$526,A348)</f>
        <v>364.461040747831</v>
      </c>
      <c r="J348" s="43"/>
      <c r="K348" s="43"/>
      <c r="L348" s="43" t="s">
        <v>149</v>
      </c>
      <c r="M348" s="43" t="s">
        <v>50</v>
      </c>
      <c r="N348" s="43" t="str">
        <f aca="false">Blocos!AU48</f>
        <v>0229381004, 0200580004</v>
      </c>
    </row>
    <row r="349" customFormat="false" ht="15" hidden="true" customHeight="false" outlineLevel="1" collapsed="false">
      <c r="F349" s="35" t="s">
        <v>1138</v>
      </c>
      <c r="G349" s="35" t="s">
        <v>1069</v>
      </c>
      <c r="H349" s="35" t="s">
        <v>1139</v>
      </c>
      <c r="I349" s="40" t="n">
        <v>136.447475285789</v>
      </c>
      <c r="J349" s="36" t="n">
        <v>136.447475285789</v>
      </c>
      <c r="K349" s="35"/>
    </row>
    <row r="350" customFormat="false" ht="15" hidden="true" customHeight="false" outlineLevel="1" collapsed="false">
      <c r="F350" s="35" t="s">
        <v>1140</v>
      </c>
      <c r="G350" s="35" t="s">
        <v>1139</v>
      </c>
      <c r="H350" s="35" t="s">
        <v>1141</v>
      </c>
      <c r="I350" s="40" t="n">
        <v>79.8669548692027</v>
      </c>
      <c r="J350" s="36" t="n">
        <v>216.314430154992</v>
      </c>
      <c r="K350" s="35"/>
    </row>
    <row r="351" customFormat="false" ht="15" hidden="true" customHeight="false" outlineLevel="1" collapsed="false">
      <c r="F351" s="35" t="s">
        <v>1142</v>
      </c>
      <c r="G351" s="35" t="s">
        <v>1141</v>
      </c>
      <c r="H351" s="35" t="s">
        <v>1143</v>
      </c>
      <c r="I351" s="40" t="n">
        <v>36.891956297848</v>
      </c>
      <c r="J351" s="36" t="n">
        <v>253.20638645284</v>
      </c>
      <c r="K351" s="35"/>
    </row>
    <row r="352" customFormat="false" ht="15" hidden="true" customHeight="false" outlineLevel="1" collapsed="false">
      <c r="F352" s="35" t="s">
        <v>1144</v>
      </c>
      <c r="G352" s="35" t="s">
        <v>1143</v>
      </c>
      <c r="H352" s="35" t="s">
        <v>1145</v>
      </c>
      <c r="I352" s="40" t="n">
        <v>3.83396923815684</v>
      </c>
      <c r="J352" s="36" t="n">
        <v>257.040355690996</v>
      </c>
      <c r="K352" s="35"/>
    </row>
    <row r="353" customFormat="false" ht="15" hidden="true" customHeight="false" outlineLevel="1" collapsed="false">
      <c r="F353" s="35" t="s">
        <v>1146</v>
      </c>
      <c r="G353" s="35" t="s">
        <v>1145</v>
      </c>
      <c r="H353" s="35" t="s">
        <v>1147</v>
      </c>
      <c r="I353" s="40" t="n">
        <v>15.975585897008</v>
      </c>
      <c r="J353" s="36" t="n">
        <v>273.015941588005</v>
      </c>
      <c r="K353" s="35"/>
    </row>
    <row r="354" customFormat="false" ht="15" hidden="true" customHeight="false" outlineLevel="1" collapsed="false">
      <c r="F354" s="35" t="s">
        <v>1148</v>
      </c>
      <c r="G354" s="35" t="s">
        <v>1147</v>
      </c>
      <c r="H354" s="35" t="s">
        <v>1149</v>
      </c>
      <c r="I354" s="40" t="n">
        <v>19.300981200795</v>
      </c>
      <c r="J354" s="36" t="n">
        <v>292.3169227888</v>
      </c>
      <c r="K354" s="35"/>
    </row>
    <row r="355" customFormat="false" ht="15" hidden="true" customHeight="false" outlineLevel="1" collapsed="false">
      <c r="F355" s="35" t="s">
        <v>1150</v>
      </c>
      <c r="G355" s="35" t="s">
        <v>1147</v>
      </c>
      <c r="H355" s="35" t="s">
        <v>1151</v>
      </c>
      <c r="I355" s="40" t="n">
        <v>1.10881549789517</v>
      </c>
      <c r="J355" s="36" t="n">
        <v>274.1247570859</v>
      </c>
      <c r="K355" s="35"/>
    </row>
    <row r="356" customFormat="false" ht="15" hidden="true" customHeight="false" outlineLevel="1" collapsed="false">
      <c r="F356" s="35" t="s">
        <v>1152</v>
      </c>
      <c r="G356" s="35" t="s">
        <v>1139</v>
      </c>
      <c r="H356" s="35" t="s">
        <v>1153</v>
      </c>
      <c r="I356" s="40" t="n">
        <v>16.8310881637894</v>
      </c>
      <c r="J356" s="36" t="n">
        <v>153.278563449579</v>
      </c>
      <c r="K356" s="35"/>
    </row>
    <row r="357" customFormat="false" ht="15" hidden="true" customHeight="false" outlineLevel="1" collapsed="false">
      <c r="F357" s="35" t="s">
        <v>1154</v>
      </c>
      <c r="G357" s="35" t="s">
        <v>1139</v>
      </c>
      <c r="H357" s="35" t="s">
        <v>1155</v>
      </c>
      <c r="I357" s="40" t="n">
        <v>9.58108876064025</v>
      </c>
      <c r="J357" s="36" t="n">
        <v>146.028564046429</v>
      </c>
      <c r="K357" s="35"/>
    </row>
    <row r="358" customFormat="false" ht="15" hidden="true" customHeight="false" outlineLevel="1" collapsed="false">
      <c r="F358" s="35" t="s">
        <v>1156</v>
      </c>
      <c r="G358" s="35" t="s">
        <v>1155</v>
      </c>
      <c r="H358" s="35" t="s">
        <v>1157</v>
      </c>
      <c r="I358" s="40" t="n">
        <v>3.75754215932575</v>
      </c>
      <c r="J358" s="36" t="n">
        <v>149.786106205755</v>
      </c>
      <c r="K358" s="35"/>
    </row>
    <row r="359" customFormat="false" ht="15" hidden="true" customHeight="false" outlineLevel="1" collapsed="false">
      <c r="F359" s="35" t="s">
        <v>1158</v>
      </c>
      <c r="G359" s="35" t="s">
        <v>1157</v>
      </c>
      <c r="H359" s="35" t="s">
        <v>1159</v>
      </c>
      <c r="I359" s="40" t="n">
        <v>39.2854620554148</v>
      </c>
      <c r="J359" s="36" t="n">
        <v>189.07156826117</v>
      </c>
      <c r="K359" s="35"/>
    </row>
    <row r="360" customFormat="false" ht="15" hidden="true" customHeight="false" outlineLevel="1" collapsed="false">
      <c r="F360" s="35" t="s">
        <v>1160</v>
      </c>
      <c r="G360" s="35" t="s">
        <v>1159</v>
      </c>
      <c r="H360" s="35" t="s">
        <v>1161</v>
      </c>
      <c r="I360" s="40" t="n">
        <v>1.58012132196582</v>
      </c>
      <c r="J360" s="36" t="n">
        <v>190.651689583136</v>
      </c>
      <c r="K360" s="35"/>
    </row>
    <row r="361" customFormat="false" ht="15" hidden="false" customHeight="false" outlineLevel="0" collapsed="true">
      <c r="A361" s="45" t="n">
        <v>48</v>
      </c>
      <c r="B361" s="45" t="s">
        <v>23</v>
      </c>
      <c r="C361" s="45" t="s">
        <v>283</v>
      </c>
      <c r="D361" s="45" t="s">
        <v>423</v>
      </c>
      <c r="E361" s="45" t="s">
        <v>150</v>
      </c>
      <c r="F361" s="45" t="str">
        <f aca="false">COUNTIFS(Trechos!$L$2:$L$526,A361)&amp;" vãos"</f>
        <v>2 vãos</v>
      </c>
      <c r="G361" s="45"/>
      <c r="H361" s="45"/>
      <c r="I361" s="46" t="n">
        <f aca="false">SUMIFS(Trechos!$F$2:$F$526,Trechos!$L$2:$L$526,A361)</f>
        <v>25.1227917714589</v>
      </c>
      <c r="J361" s="45"/>
      <c r="K361" s="45"/>
      <c r="L361" s="45" t="s">
        <v>151</v>
      </c>
      <c r="M361" s="45" t="s">
        <v>50</v>
      </c>
      <c r="N361" s="45" t="str">
        <f aca="false">Blocos!AU49</f>
        <v>—</v>
      </c>
    </row>
    <row r="362" customFormat="false" ht="15" hidden="true" customHeight="false" outlineLevel="1" collapsed="false">
      <c r="F362" s="35" t="s">
        <v>1162</v>
      </c>
      <c r="G362" s="35" t="s">
        <v>1151</v>
      </c>
      <c r="H362" s="35" t="s">
        <v>1163</v>
      </c>
      <c r="I362" s="40" t="n">
        <v>9.31500455665529</v>
      </c>
      <c r="J362" s="36" t="n">
        <v>9.31500455665537</v>
      </c>
      <c r="K362" s="35"/>
    </row>
    <row r="363" customFormat="false" ht="15" hidden="true" customHeight="false" outlineLevel="1" collapsed="false">
      <c r="F363" s="35" t="s">
        <v>1164</v>
      </c>
      <c r="G363" s="35" t="s">
        <v>1163</v>
      </c>
      <c r="H363" s="35" t="s">
        <v>1165</v>
      </c>
      <c r="I363" s="40" t="n">
        <v>15.8077872148036</v>
      </c>
      <c r="J363" s="36" t="n">
        <v>25.1227917714587</v>
      </c>
      <c r="K363" s="35"/>
    </row>
    <row r="364" customFormat="false" ht="15" hidden="false" customHeight="false" outlineLevel="0" collapsed="true">
      <c r="A364" s="45" t="n">
        <v>49</v>
      </c>
      <c r="B364" s="45" t="s">
        <v>23</v>
      </c>
      <c r="C364" s="45" t="s">
        <v>283</v>
      </c>
      <c r="D364" s="45" t="s">
        <v>423</v>
      </c>
      <c r="E364" s="45" t="s">
        <v>152</v>
      </c>
      <c r="F364" s="45" t="str">
        <f aca="false">COUNTIFS(Trechos!$L$2:$L$526,A364)&amp;" vãos"</f>
        <v>1 vãos</v>
      </c>
      <c r="G364" s="45"/>
      <c r="H364" s="45"/>
      <c r="I364" s="46" t="n">
        <f aca="false">SUMIFS(Trechos!$F$2:$F$526,Trechos!$L$2:$L$526,A364)</f>
        <v>14.2799542782028</v>
      </c>
      <c r="J364" s="45"/>
      <c r="K364" s="45"/>
      <c r="L364" s="45" t="s">
        <v>153</v>
      </c>
      <c r="M364" s="45" t="s">
        <v>50</v>
      </c>
      <c r="N364" s="45" t="str">
        <f aca="false">Blocos!AU50</f>
        <v>—</v>
      </c>
    </row>
    <row r="365" customFormat="false" ht="15" hidden="true" customHeight="false" outlineLevel="1" collapsed="false">
      <c r="F365" s="35" t="s">
        <v>1166</v>
      </c>
      <c r="G365" s="35" t="s">
        <v>1161</v>
      </c>
      <c r="H365" s="35" t="s">
        <v>1167</v>
      </c>
      <c r="I365" s="40" t="n">
        <v>14.2799542782028</v>
      </c>
      <c r="J365" s="36" t="n">
        <v>14.2799542782027</v>
      </c>
      <c r="K365" s="35"/>
    </row>
    <row r="366" customFormat="false" ht="15" hidden="false" customHeight="false" outlineLevel="0" collapsed="true">
      <c r="A366" s="43" t="n">
        <v>50</v>
      </c>
      <c r="B366" s="43" t="s">
        <v>22</v>
      </c>
      <c r="C366" s="43" t="s">
        <v>283</v>
      </c>
      <c r="D366" s="43" t="s">
        <v>423</v>
      </c>
      <c r="E366" s="43" t="s">
        <v>154</v>
      </c>
      <c r="F366" s="43" t="str">
        <f aca="false">COUNTIFS(Trechos!$L$2:$L$526,A366)&amp;" vãos"</f>
        <v>3 vãos</v>
      </c>
      <c r="G366" s="43"/>
      <c r="H366" s="43"/>
      <c r="I366" s="44" t="n">
        <f aca="false">SUMIFS(Trechos!$F$2:$F$526,Trechos!$L$2:$L$526,A366)</f>
        <v>45.9204251135986</v>
      </c>
      <c r="J366" s="43"/>
      <c r="K366" s="43"/>
      <c r="L366" s="43" t="s">
        <v>155</v>
      </c>
      <c r="M366" s="43" t="s">
        <v>50</v>
      </c>
      <c r="N366" s="43" t="str">
        <f aca="false">Blocos!AU51</f>
        <v>—</v>
      </c>
    </row>
    <row r="367" customFormat="false" ht="15" hidden="true" customHeight="false" outlineLevel="1" collapsed="false">
      <c r="F367" s="35" t="s">
        <v>1168</v>
      </c>
      <c r="G367" s="35" t="s">
        <v>1071</v>
      </c>
      <c r="H367" s="35" t="s">
        <v>1169</v>
      </c>
      <c r="I367" s="40" t="n">
        <v>22.7244254540442</v>
      </c>
      <c r="J367" s="36" t="n">
        <v>22.7244254540442</v>
      </c>
      <c r="K367" s="35"/>
    </row>
    <row r="368" customFormat="false" ht="15" hidden="true" customHeight="false" outlineLevel="1" collapsed="false">
      <c r="F368" s="35" t="s">
        <v>1170</v>
      </c>
      <c r="G368" s="35" t="s">
        <v>1169</v>
      </c>
      <c r="H368" s="35" t="s">
        <v>1171</v>
      </c>
      <c r="I368" s="40" t="n">
        <v>18.5673838804647</v>
      </c>
      <c r="J368" s="36" t="n">
        <v>41.2918093345088</v>
      </c>
      <c r="K368" s="35"/>
    </row>
    <row r="369" customFormat="false" ht="15" hidden="true" customHeight="false" outlineLevel="1" collapsed="false">
      <c r="F369" s="35" t="s">
        <v>1172</v>
      </c>
      <c r="G369" s="35" t="s">
        <v>1169</v>
      </c>
      <c r="H369" s="35" t="s">
        <v>1173</v>
      </c>
      <c r="I369" s="40" t="n">
        <v>4.62861577908961</v>
      </c>
      <c r="J369" s="36" t="n">
        <v>27.3530412331338</v>
      </c>
      <c r="K369" s="35"/>
    </row>
    <row r="370" customFormat="false" ht="15" hidden="false" customHeight="false" outlineLevel="0" collapsed="true">
      <c r="A370" s="43" t="n">
        <v>51</v>
      </c>
      <c r="B370" s="43" t="s">
        <v>22</v>
      </c>
      <c r="C370" s="43" t="s">
        <v>283</v>
      </c>
      <c r="D370" s="43" t="s">
        <v>423</v>
      </c>
      <c r="E370" s="43" t="s">
        <v>156</v>
      </c>
      <c r="F370" s="43" t="str">
        <f aca="false">COUNTIFS(Trechos!$L$2:$L$526,A370)&amp;" vãos"</f>
        <v>1 vãos</v>
      </c>
      <c r="G370" s="43"/>
      <c r="H370" s="43"/>
      <c r="I370" s="44" t="n">
        <f aca="false">SUMIFS(Trechos!$F$2:$F$526,Trechos!$L$2:$L$526,A370)</f>
        <v>28.3500989681362</v>
      </c>
      <c r="J370" s="43"/>
      <c r="K370" s="43"/>
      <c r="L370" s="43" t="s">
        <v>157</v>
      </c>
      <c r="M370" s="43" t="s">
        <v>50</v>
      </c>
      <c r="N370" s="43" t="str">
        <f aca="false">Blocos!AU52</f>
        <v>—</v>
      </c>
    </row>
    <row r="371" customFormat="false" ht="15" hidden="true" customHeight="false" outlineLevel="1" collapsed="false">
      <c r="F371" s="35" t="s">
        <v>1174</v>
      </c>
      <c r="G371" s="35" t="s">
        <v>1073</v>
      </c>
      <c r="H371" s="35" t="s">
        <v>1175</v>
      </c>
      <c r="I371" s="40" t="n">
        <v>28.3500989681362</v>
      </c>
      <c r="J371" s="36" t="n">
        <v>28.3500989681361</v>
      </c>
      <c r="K371" s="35"/>
    </row>
    <row r="372" customFormat="false" ht="15" hidden="false" customHeight="false" outlineLevel="0" collapsed="true">
      <c r="A372" s="41" t="n">
        <v>52</v>
      </c>
      <c r="B372" s="41" t="s">
        <v>21</v>
      </c>
      <c r="C372" s="41" t="s">
        <v>283</v>
      </c>
      <c r="D372" s="41" t="s">
        <v>439</v>
      </c>
      <c r="E372" s="41" t="s">
        <v>41</v>
      </c>
      <c r="F372" s="41" t="str">
        <f aca="false">COUNTIFS(Trechos!$L$2:$L$526,A372)&amp;" vãos"</f>
        <v>6 vãos</v>
      </c>
      <c r="G372" s="41"/>
      <c r="H372" s="41"/>
      <c r="I372" s="42" t="n">
        <f aca="false">SUMIFS(Trechos!$F$2:$F$526,Trechos!$L$2:$L$526,A372)</f>
        <v>139.88952426679</v>
      </c>
      <c r="J372" s="41"/>
      <c r="K372" s="41"/>
      <c r="L372" s="41" t="s">
        <v>160</v>
      </c>
      <c r="M372" s="41" t="s">
        <v>161</v>
      </c>
      <c r="N372" s="41" t="str">
        <f aca="false">Blocos!AU53</f>
        <v>0300588004, 0300591004, 0200593004, 0224749004</v>
      </c>
    </row>
    <row r="373" customFormat="false" ht="15" hidden="true" customHeight="false" outlineLevel="1" collapsed="false">
      <c r="F373" s="35" t="s">
        <v>1176</v>
      </c>
      <c r="G373" s="35" t="s">
        <v>695</v>
      </c>
      <c r="H373" s="35" t="s">
        <v>1177</v>
      </c>
      <c r="I373" s="40" t="n">
        <v>11.4363257873533</v>
      </c>
      <c r="J373" s="36" t="n">
        <v>779.216236467344</v>
      </c>
      <c r="K373" s="35"/>
    </row>
    <row r="374" customFormat="false" ht="15" hidden="true" customHeight="false" outlineLevel="1" collapsed="false">
      <c r="F374" s="35" t="s">
        <v>1178</v>
      </c>
      <c r="G374" s="35" t="s">
        <v>1177</v>
      </c>
      <c r="H374" s="35" t="s">
        <v>1179</v>
      </c>
      <c r="I374" s="40" t="n">
        <v>2.97610380403368</v>
      </c>
      <c r="J374" s="36" t="n">
        <v>782.192340271377</v>
      </c>
      <c r="K374" s="35" t="s">
        <v>161</v>
      </c>
    </row>
    <row r="375" customFormat="false" ht="15" hidden="true" customHeight="false" outlineLevel="1" collapsed="false">
      <c r="F375" s="35" t="s">
        <v>1180</v>
      </c>
      <c r="G375" s="35" t="s">
        <v>1179</v>
      </c>
      <c r="H375" s="35" t="s">
        <v>1181</v>
      </c>
      <c r="I375" s="40" t="n">
        <v>91.9430732206074</v>
      </c>
      <c r="J375" s="36" t="n">
        <v>874.135413491985</v>
      </c>
      <c r="K375" s="35"/>
    </row>
    <row r="376" customFormat="false" ht="15" hidden="true" customHeight="false" outlineLevel="1" collapsed="false">
      <c r="F376" s="35" t="s">
        <v>1182</v>
      </c>
      <c r="G376" s="35" t="s">
        <v>1181</v>
      </c>
      <c r="H376" s="35" t="s">
        <v>1183</v>
      </c>
      <c r="I376" s="40" t="n">
        <v>11.2094707162589</v>
      </c>
      <c r="J376" s="36" t="n">
        <v>885.344884208244</v>
      </c>
      <c r="K376" s="35"/>
    </row>
    <row r="377" customFormat="false" ht="15" hidden="true" customHeight="false" outlineLevel="1" collapsed="false">
      <c r="F377" s="35" t="s">
        <v>1184</v>
      </c>
      <c r="G377" s="35" t="s">
        <v>695</v>
      </c>
      <c r="H377" s="35" t="s">
        <v>1185</v>
      </c>
      <c r="I377" s="40" t="n">
        <v>20.0513461220241</v>
      </c>
      <c r="J377" s="36" t="n">
        <v>787.831256802014</v>
      </c>
      <c r="K377" s="35"/>
    </row>
    <row r="378" customFormat="false" ht="15" hidden="true" customHeight="false" outlineLevel="1" collapsed="false">
      <c r="F378" s="35" t="s">
        <v>1186</v>
      </c>
      <c r="G378" s="35" t="s">
        <v>1185</v>
      </c>
      <c r="H378" s="35" t="s">
        <v>1187</v>
      </c>
      <c r="I378" s="40" t="n">
        <v>2.27320461651226</v>
      </c>
      <c r="J378" s="36" t="n">
        <v>790.104461418527</v>
      </c>
      <c r="K378" s="35"/>
    </row>
    <row r="379" customFormat="false" ht="15" hidden="false" customHeight="false" outlineLevel="0" collapsed="true">
      <c r="A379" s="43" t="n">
        <v>53</v>
      </c>
      <c r="B379" s="43" t="s">
        <v>22</v>
      </c>
      <c r="C379" s="43" t="s">
        <v>283</v>
      </c>
      <c r="D379" s="43" t="s">
        <v>439</v>
      </c>
      <c r="E379" s="43" t="s">
        <v>162</v>
      </c>
      <c r="F379" s="43" t="str">
        <f aca="false">COUNTIFS(Trechos!$L$2:$L$526,A379)&amp;" vãos"</f>
        <v>6 vãos</v>
      </c>
      <c r="G379" s="43"/>
      <c r="H379" s="43"/>
      <c r="I379" s="44" t="n">
        <f aca="false">SUMIFS(Trechos!$F$2:$F$526,Trechos!$L$2:$L$526,A379)</f>
        <v>246.326895394835</v>
      </c>
      <c r="J379" s="43"/>
      <c r="K379" s="43"/>
      <c r="L379" s="43" t="s">
        <v>163</v>
      </c>
      <c r="M379" s="43" t="s">
        <v>50</v>
      </c>
      <c r="N379" s="43" t="str">
        <f aca="false">Blocos!AU54</f>
        <v>0300591004, 0200593004, 0224749004</v>
      </c>
    </row>
    <row r="380" customFormat="false" ht="15" hidden="true" customHeight="false" outlineLevel="1" collapsed="false">
      <c r="F380" s="35" t="s">
        <v>1188</v>
      </c>
      <c r="G380" s="35" t="s">
        <v>1187</v>
      </c>
      <c r="H380" s="35" t="s">
        <v>1189</v>
      </c>
      <c r="I380" s="40" t="n">
        <v>54.0382408321484</v>
      </c>
      <c r="J380" s="36" t="n">
        <v>54.0382408321484</v>
      </c>
      <c r="K380" s="35"/>
    </row>
    <row r="381" customFormat="false" ht="15" hidden="true" customHeight="false" outlineLevel="1" collapsed="false">
      <c r="F381" s="35" t="s">
        <v>1190</v>
      </c>
      <c r="G381" s="35" t="s">
        <v>1189</v>
      </c>
      <c r="H381" s="35" t="s">
        <v>1191</v>
      </c>
      <c r="I381" s="40" t="n">
        <v>115.438180815287</v>
      </c>
      <c r="J381" s="36" t="n">
        <v>169.476421647435</v>
      </c>
      <c r="K381" s="35"/>
    </row>
    <row r="382" customFormat="false" ht="15" hidden="true" customHeight="false" outlineLevel="1" collapsed="false">
      <c r="F382" s="35" t="s">
        <v>1192</v>
      </c>
      <c r="G382" s="35" t="s">
        <v>1191</v>
      </c>
      <c r="H382" s="35" t="s">
        <v>1193</v>
      </c>
      <c r="I382" s="40" t="n">
        <v>24.9843814198236</v>
      </c>
      <c r="J382" s="36" t="n">
        <v>194.460803067258</v>
      </c>
      <c r="K382" s="35"/>
    </row>
    <row r="383" customFormat="false" ht="15" hidden="true" customHeight="false" outlineLevel="1" collapsed="false">
      <c r="F383" s="35" t="s">
        <v>1194</v>
      </c>
      <c r="G383" s="35" t="s">
        <v>1193</v>
      </c>
      <c r="H383" s="35" t="s">
        <v>1195</v>
      </c>
      <c r="I383" s="40" t="n">
        <v>2.44106221790257</v>
      </c>
      <c r="J383" s="36" t="n">
        <v>196.901865285161</v>
      </c>
      <c r="K383" s="35"/>
    </row>
    <row r="384" customFormat="false" ht="15" hidden="true" customHeight="false" outlineLevel="1" collapsed="false">
      <c r="F384" s="35" t="s">
        <v>1196</v>
      </c>
      <c r="G384" s="35" t="s">
        <v>1191</v>
      </c>
      <c r="H384" s="35" t="s">
        <v>1197</v>
      </c>
      <c r="I384" s="40" t="n">
        <v>28.1939813391898</v>
      </c>
      <c r="J384" s="36" t="n">
        <v>197.670402986625</v>
      </c>
      <c r="K384" s="35"/>
    </row>
    <row r="385" customFormat="false" ht="15" hidden="true" customHeight="false" outlineLevel="1" collapsed="false">
      <c r="F385" s="35" t="s">
        <v>1198</v>
      </c>
      <c r="G385" s="35" t="s">
        <v>1191</v>
      </c>
      <c r="H385" s="35" t="s">
        <v>1199</v>
      </c>
      <c r="I385" s="40" t="n">
        <v>21.2310487704843</v>
      </c>
      <c r="J385" s="36" t="n">
        <v>190.70747041792</v>
      </c>
      <c r="K385" s="35"/>
    </row>
    <row r="386" customFormat="false" ht="15" hidden="false" customHeight="false" outlineLevel="0" collapsed="true">
      <c r="A386" s="45" t="n">
        <v>54</v>
      </c>
      <c r="B386" s="45" t="s">
        <v>23</v>
      </c>
      <c r="C386" s="45" t="s">
        <v>283</v>
      </c>
      <c r="D386" s="45" t="s">
        <v>439</v>
      </c>
      <c r="E386" s="45" t="s">
        <v>164</v>
      </c>
      <c r="F386" s="45" t="str">
        <f aca="false">COUNTIFS(Trechos!$L$2:$L$526,A386)&amp;" vãos"</f>
        <v>16 vãos</v>
      </c>
      <c r="G386" s="45"/>
      <c r="H386" s="45"/>
      <c r="I386" s="46" t="n">
        <f aca="false">SUMIFS(Trechos!$F$2:$F$526,Trechos!$L$2:$L$526,A386)</f>
        <v>884.115852375793</v>
      </c>
      <c r="J386" s="45"/>
      <c r="K386" s="45"/>
      <c r="L386" s="45" t="s">
        <v>165</v>
      </c>
      <c r="M386" s="45" t="s">
        <v>50</v>
      </c>
      <c r="N386" s="45" t="str">
        <f aca="false">Blocos!AU55</f>
        <v>0200593004, 0224749004</v>
      </c>
    </row>
    <row r="387" customFormat="false" ht="15" hidden="true" customHeight="false" outlineLevel="1" collapsed="false">
      <c r="F387" s="35" t="s">
        <v>1200</v>
      </c>
      <c r="G387" s="35" t="s">
        <v>1195</v>
      </c>
      <c r="H387" s="35" t="s">
        <v>1201</v>
      </c>
      <c r="I387" s="40" t="n">
        <v>115.708550738923</v>
      </c>
      <c r="J387" s="36" t="n">
        <v>115.708550738923</v>
      </c>
      <c r="K387" s="35"/>
    </row>
    <row r="388" customFormat="false" ht="15" hidden="true" customHeight="false" outlineLevel="1" collapsed="false">
      <c r="F388" s="35" t="s">
        <v>1202</v>
      </c>
      <c r="G388" s="35" t="s">
        <v>1201</v>
      </c>
      <c r="H388" s="35" t="s">
        <v>1203</v>
      </c>
      <c r="I388" s="40" t="n">
        <v>60.0246046307925</v>
      </c>
      <c r="J388" s="36" t="n">
        <v>175.733155369715</v>
      </c>
      <c r="K388" s="35"/>
    </row>
    <row r="389" customFormat="false" ht="15" hidden="true" customHeight="false" outlineLevel="1" collapsed="false">
      <c r="F389" s="35" t="s">
        <v>1204</v>
      </c>
      <c r="G389" s="35" t="s">
        <v>1203</v>
      </c>
      <c r="H389" s="35" t="s">
        <v>1205</v>
      </c>
      <c r="I389" s="40" t="n">
        <v>160.878840688353</v>
      </c>
      <c r="J389" s="36" t="n">
        <v>336.611996058067</v>
      </c>
      <c r="K389" s="35"/>
    </row>
    <row r="390" customFormat="false" ht="15" hidden="true" customHeight="false" outlineLevel="1" collapsed="false">
      <c r="F390" s="35" t="s">
        <v>1206</v>
      </c>
      <c r="G390" s="35" t="s">
        <v>1205</v>
      </c>
      <c r="H390" s="35" t="s">
        <v>1207</v>
      </c>
      <c r="I390" s="40" t="n">
        <v>6.77466965344859</v>
      </c>
      <c r="J390" s="36" t="n">
        <v>343.386665711516</v>
      </c>
      <c r="K390" s="35"/>
    </row>
    <row r="391" customFormat="false" ht="15" hidden="true" customHeight="false" outlineLevel="1" collapsed="false">
      <c r="F391" s="35" t="s">
        <v>1208</v>
      </c>
      <c r="G391" s="35" t="s">
        <v>1205</v>
      </c>
      <c r="H391" s="35" t="s">
        <v>1209</v>
      </c>
      <c r="I391" s="40" t="n">
        <v>206.369316168451</v>
      </c>
      <c r="J391" s="36" t="n">
        <v>542.981312226519</v>
      </c>
      <c r="K391" s="35"/>
    </row>
    <row r="392" customFormat="false" ht="15" hidden="true" customHeight="false" outlineLevel="1" collapsed="false">
      <c r="F392" s="35" t="s">
        <v>1210</v>
      </c>
      <c r="G392" s="35" t="s">
        <v>1209</v>
      </c>
      <c r="H392" s="35" t="s">
        <v>1211</v>
      </c>
      <c r="I392" s="40" t="n">
        <v>67.4621796618189</v>
      </c>
      <c r="J392" s="36" t="n">
        <v>610.443491888337</v>
      </c>
      <c r="K392" s="35"/>
    </row>
    <row r="393" customFormat="false" ht="15" hidden="true" customHeight="false" outlineLevel="1" collapsed="false">
      <c r="F393" s="35" t="s">
        <v>1212</v>
      </c>
      <c r="G393" s="35" t="s">
        <v>1205</v>
      </c>
      <c r="H393" s="35" t="s">
        <v>1213</v>
      </c>
      <c r="I393" s="40" t="n">
        <v>73.4819870953834</v>
      </c>
      <c r="J393" s="36" t="n">
        <v>410.093983153451</v>
      </c>
      <c r="K393" s="35"/>
    </row>
    <row r="394" customFormat="false" ht="15" hidden="true" customHeight="false" outlineLevel="1" collapsed="false">
      <c r="F394" s="35" t="s">
        <v>1214</v>
      </c>
      <c r="G394" s="35" t="s">
        <v>1203</v>
      </c>
      <c r="H394" s="35" t="s">
        <v>1215</v>
      </c>
      <c r="I394" s="40" t="n">
        <v>0.943512482316457</v>
      </c>
      <c r="J394" s="36" t="n">
        <v>176.676667852032</v>
      </c>
      <c r="K394" s="35"/>
    </row>
    <row r="395" customFormat="false" ht="15" hidden="true" customHeight="false" outlineLevel="1" collapsed="false">
      <c r="F395" s="35" t="s">
        <v>1216</v>
      </c>
      <c r="G395" s="35" t="s">
        <v>1201</v>
      </c>
      <c r="H395" s="35" t="s">
        <v>1217</v>
      </c>
      <c r="I395" s="40" t="n">
        <v>36.189922334603</v>
      </c>
      <c r="J395" s="36" t="n">
        <v>151.898473073526</v>
      </c>
      <c r="K395" s="35"/>
    </row>
    <row r="396" customFormat="false" ht="15" hidden="true" customHeight="false" outlineLevel="1" collapsed="false">
      <c r="F396" s="35" t="s">
        <v>1218</v>
      </c>
      <c r="G396" s="35" t="s">
        <v>1217</v>
      </c>
      <c r="H396" s="35" t="s">
        <v>1219</v>
      </c>
      <c r="I396" s="40" t="n">
        <v>43.0846822853661</v>
      </c>
      <c r="J396" s="36" t="n">
        <v>194.983155358892</v>
      </c>
      <c r="K396" s="35"/>
    </row>
    <row r="397" customFormat="false" ht="15" hidden="true" customHeight="false" outlineLevel="1" collapsed="false">
      <c r="F397" s="35" t="s">
        <v>1220</v>
      </c>
      <c r="G397" s="35" t="s">
        <v>1219</v>
      </c>
      <c r="H397" s="35" t="s">
        <v>1221</v>
      </c>
      <c r="I397" s="40" t="n">
        <v>17.7052236957206</v>
      </c>
      <c r="J397" s="36" t="n">
        <v>212.688379054613</v>
      </c>
      <c r="K397" s="35"/>
    </row>
    <row r="398" customFormat="false" ht="15" hidden="true" customHeight="false" outlineLevel="1" collapsed="false">
      <c r="F398" s="35" t="s">
        <v>1222</v>
      </c>
      <c r="G398" s="35" t="s">
        <v>1219</v>
      </c>
      <c r="H398" s="35" t="s">
        <v>1223</v>
      </c>
      <c r="I398" s="40" t="n">
        <v>16.0358884396847</v>
      </c>
      <c r="J398" s="36" t="n">
        <v>211.019043798577</v>
      </c>
      <c r="K398" s="35"/>
    </row>
    <row r="399" customFormat="false" ht="15" hidden="true" customHeight="false" outlineLevel="1" collapsed="false">
      <c r="F399" s="35" t="s">
        <v>1224</v>
      </c>
      <c r="G399" s="35" t="s">
        <v>1219</v>
      </c>
      <c r="H399" s="35" t="s">
        <v>1225</v>
      </c>
      <c r="I399" s="40" t="n">
        <v>40.6040250948513</v>
      </c>
      <c r="J399" s="36" t="n">
        <v>235.587180453743</v>
      </c>
      <c r="K399" s="35"/>
    </row>
    <row r="400" customFormat="false" ht="15" hidden="true" customHeight="false" outlineLevel="1" collapsed="false">
      <c r="F400" s="35" t="s">
        <v>1226</v>
      </c>
      <c r="G400" s="35" t="s">
        <v>1225</v>
      </c>
      <c r="H400" s="35" t="s">
        <v>1227</v>
      </c>
      <c r="I400" s="40" t="n">
        <v>27.3343447693555</v>
      </c>
      <c r="J400" s="36" t="n">
        <v>262.921525223098</v>
      </c>
      <c r="K400" s="35"/>
    </row>
    <row r="401" customFormat="false" ht="15" hidden="true" customHeight="false" outlineLevel="1" collapsed="false">
      <c r="F401" s="35" t="s">
        <v>1228</v>
      </c>
      <c r="G401" s="35" t="s">
        <v>1225</v>
      </c>
      <c r="H401" s="35" t="s">
        <v>1229</v>
      </c>
      <c r="I401" s="40" t="n">
        <v>2.34955586786914</v>
      </c>
      <c r="J401" s="36" t="n">
        <v>237.936736321612</v>
      </c>
      <c r="K401" s="35"/>
    </row>
    <row r="402" customFormat="false" ht="15" hidden="true" customHeight="false" outlineLevel="1" collapsed="false">
      <c r="F402" s="35" t="s">
        <v>1230</v>
      </c>
      <c r="G402" s="35" t="s">
        <v>1201</v>
      </c>
      <c r="H402" s="35" t="s">
        <v>1231</v>
      </c>
      <c r="I402" s="40" t="n">
        <v>9.1685487688558</v>
      </c>
      <c r="J402" s="36" t="n">
        <v>124.877099507779</v>
      </c>
      <c r="K402" s="35"/>
    </row>
    <row r="403" customFormat="false" ht="15" hidden="false" customHeight="false" outlineLevel="0" collapsed="true">
      <c r="A403" s="47" t="n">
        <v>55</v>
      </c>
      <c r="B403" s="47" t="s">
        <v>24</v>
      </c>
      <c r="C403" s="47" t="s">
        <v>283</v>
      </c>
      <c r="D403" s="47" t="s">
        <v>439</v>
      </c>
      <c r="E403" s="47" t="s">
        <v>166</v>
      </c>
      <c r="F403" s="47" t="str">
        <f aca="false">COUNTIFS(Trechos!$L$2:$L$526,A403)&amp;" vãos"</f>
        <v>1 vãos</v>
      </c>
      <c r="G403" s="47"/>
      <c r="H403" s="47"/>
      <c r="I403" s="48" t="n">
        <f aca="false">SUMIFS(Trechos!$F$2:$F$526,Trechos!$L$2:$L$526,A403)</f>
        <v>8.080333236384</v>
      </c>
      <c r="J403" s="47"/>
      <c r="K403" s="47"/>
      <c r="L403" s="47" t="s">
        <v>167</v>
      </c>
      <c r="M403" s="47" t="s">
        <v>50</v>
      </c>
      <c r="N403" s="47" t="str">
        <f aca="false">Blocos!AU56</f>
        <v>—</v>
      </c>
    </row>
    <row r="404" customFormat="false" ht="15" hidden="true" customHeight="false" outlineLevel="1" collapsed="false">
      <c r="F404" s="35" t="s">
        <v>1232</v>
      </c>
      <c r="G404" s="35" t="s">
        <v>1215</v>
      </c>
      <c r="H404" s="35" t="s">
        <v>1233</v>
      </c>
      <c r="I404" s="40" t="n">
        <v>8.080333236384</v>
      </c>
      <c r="J404" s="36" t="n">
        <v>8.08033323638392</v>
      </c>
      <c r="K404" s="35"/>
    </row>
    <row r="405" customFormat="false" ht="15" hidden="false" customHeight="false" outlineLevel="0" collapsed="true">
      <c r="A405" s="47" t="n">
        <v>56</v>
      </c>
      <c r="B405" s="47" t="s">
        <v>24</v>
      </c>
      <c r="C405" s="47" t="s">
        <v>283</v>
      </c>
      <c r="D405" s="47" t="s">
        <v>439</v>
      </c>
      <c r="E405" s="47" t="s">
        <v>168</v>
      </c>
      <c r="F405" s="47" t="str">
        <f aca="false">COUNTIFS(Trechos!$L$2:$L$526,A405)&amp;" vãos"</f>
        <v>2 vãos</v>
      </c>
      <c r="G405" s="47"/>
      <c r="H405" s="47"/>
      <c r="I405" s="48" t="n">
        <f aca="false">SUMIFS(Trechos!$F$2:$F$526,Trechos!$L$2:$L$526,A405)</f>
        <v>28.9084533796218</v>
      </c>
      <c r="J405" s="47"/>
      <c r="K405" s="47"/>
      <c r="L405" s="47" t="s">
        <v>169</v>
      </c>
      <c r="M405" s="47" t="s">
        <v>50</v>
      </c>
      <c r="N405" s="47" t="str">
        <f aca="false">Blocos!AU57</f>
        <v>—</v>
      </c>
    </row>
    <row r="406" customFormat="false" ht="15" hidden="true" customHeight="false" outlineLevel="1" collapsed="false">
      <c r="F406" s="35" t="s">
        <v>1234</v>
      </c>
      <c r="G406" s="35" t="s">
        <v>1229</v>
      </c>
      <c r="H406" s="35" t="s">
        <v>1235</v>
      </c>
      <c r="I406" s="40" t="n">
        <v>21.0684456589855</v>
      </c>
      <c r="J406" s="36" t="n">
        <v>21.0684456589852</v>
      </c>
      <c r="K406" s="35"/>
    </row>
    <row r="407" customFormat="false" ht="15" hidden="true" customHeight="false" outlineLevel="1" collapsed="false">
      <c r="F407" s="35" t="s">
        <v>1236</v>
      </c>
      <c r="G407" s="35" t="s">
        <v>1235</v>
      </c>
      <c r="H407" s="35" t="s">
        <v>1237</v>
      </c>
      <c r="I407" s="40" t="n">
        <v>7.84000772063632</v>
      </c>
      <c r="J407" s="36" t="n">
        <v>28.9084533796213</v>
      </c>
      <c r="K407" s="35"/>
    </row>
    <row r="408" customFormat="false" ht="15" hidden="false" customHeight="false" outlineLevel="0" collapsed="true">
      <c r="A408" s="41" t="n">
        <v>57</v>
      </c>
      <c r="B408" s="41" t="s">
        <v>21</v>
      </c>
      <c r="C408" s="41" t="s">
        <v>283</v>
      </c>
      <c r="D408" s="41" t="s">
        <v>450</v>
      </c>
      <c r="E408" s="41" t="s">
        <v>41</v>
      </c>
      <c r="F408" s="41" t="str">
        <f aca="false">COUNTIFS(Trechos!$L$2:$L$526,A408)&amp;" vãos"</f>
        <v>1 vãos</v>
      </c>
      <c r="G408" s="41"/>
      <c r="H408" s="41"/>
      <c r="I408" s="42" t="n">
        <f aca="false">SUMIFS(Trechos!$F$2:$F$526,Trechos!$L$2:$L$526,A408)</f>
        <v>1.04670240530509</v>
      </c>
      <c r="J408" s="41"/>
      <c r="K408" s="41"/>
      <c r="L408" s="41" t="s">
        <v>172</v>
      </c>
      <c r="M408" s="41" t="s">
        <v>50</v>
      </c>
      <c r="N408" s="41" t="str">
        <f aca="false">Blocos!AU58</f>
        <v>0300596004</v>
      </c>
    </row>
    <row r="409" customFormat="false" ht="15" hidden="true" customHeight="false" outlineLevel="1" collapsed="false">
      <c r="F409" s="35" t="s">
        <v>1238</v>
      </c>
      <c r="G409" s="35" t="s">
        <v>699</v>
      </c>
      <c r="H409" s="35" t="s">
        <v>1239</v>
      </c>
      <c r="I409" s="40" t="n">
        <v>1.04670240530509</v>
      </c>
      <c r="J409" s="36" t="n">
        <v>930.003295300968</v>
      </c>
      <c r="K409" s="35"/>
    </row>
    <row r="410" customFormat="false" ht="15" hidden="false" customHeight="false" outlineLevel="0" collapsed="true">
      <c r="A410" s="43" t="n">
        <v>58</v>
      </c>
      <c r="B410" s="43" t="s">
        <v>22</v>
      </c>
      <c r="C410" s="43" t="s">
        <v>283</v>
      </c>
      <c r="D410" s="43" t="s">
        <v>450</v>
      </c>
      <c r="E410" s="43" t="s">
        <v>172</v>
      </c>
      <c r="F410" s="43" t="str">
        <f aca="false">COUNTIFS(Trechos!$L$2:$L$526,A410)&amp;" vãos"</f>
        <v>1 vãos</v>
      </c>
      <c r="G410" s="43"/>
      <c r="H410" s="43"/>
      <c r="I410" s="44" t="n">
        <f aca="false">SUMIFS(Trechos!$F$2:$F$526,Trechos!$L$2:$L$526,A410)</f>
        <v>7.84550519134476</v>
      </c>
      <c r="J410" s="43"/>
      <c r="K410" s="43"/>
      <c r="L410" s="43" t="s">
        <v>173</v>
      </c>
      <c r="M410" s="43" t="s">
        <v>50</v>
      </c>
      <c r="N410" s="43" t="str">
        <f aca="false">Blocos!AU59</f>
        <v>—</v>
      </c>
    </row>
    <row r="411" customFormat="false" ht="15" hidden="true" customHeight="false" outlineLevel="1" collapsed="false">
      <c r="F411" s="35" t="s">
        <v>1240</v>
      </c>
      <c r="G411" s="35" t="s">
        <v>1239</v>
      </c>
      <c r="H411" s="35" t="s">
        <v>1241</v>
      </c>
      <c r="I411" s="40" t="n">
        <v>7.84550519134476</v>
      </c>
      <c r="J411" s="36" t="n">
        <v>7.84550519134473</v>
      </c>
      <c r="K411" s="35"/>
    </row>
    <row r="412" customFormat="false" ht="15" hidden="false" customHeight="false" outlineLevel="0" collapsed="true">
      <c r="A412" s="41" t="n">
        <v>59</v>
      </c>
      <c r="B412" s="41" t="s">
        <v>21</v>
      </c>
      <c r="C412" s="41" t="s">
        <v>283</v>
      </c>
      <c r="D412" s="41" t="s">
        <v>451</v>
      </c>
      <c r="E412" s="41" t="s">
        <v>41</v>
      </c>
      <c r="F412" s="41" t="str">
        <f aca="false">COUNTIFS(Trechos!$L$2:$L$526,A412)&amp;" vãos"</f>
        <v>1 vãos</v>
      </c>
      <c r="G412" s="41"/>
      <c r="H412" s="41"/>
      <c r="I412" s="42" t="n">
        <f aca="false">SUMIFS(Trechos!$F$2:$F$526,Trechos!$L$2:$L$526,A412)</f>
        <v>1.51139038339779</v>
      </c>
      <c r="J412" s="41"/>
      <c r="K412" s="41"/>
      <c r="L412" s="41" t="s">
        <v>176</v>
      </c>
      <c r="M412" s="41" t="s">
        <v>50</v>
      </c>
      <c r="N412" s="41" t="str">
        <f aca="false">Blocos!AU60</f>
        <v>0203661004</v>
      </c>
    </row>
    <row r="413" customFormat="false" ht="15" hidden="true" customHeight="false" outlineLevel="1" collapsed="false">
      <c r="F413" s="35" t="s">
        <v>1242</v>
      </c>
      <c r="G413" s="35" t="s">
        <v>703</v>
      </c>
      <c r="H413" s="35" t="s">
        <v>1243</v>
      </c>
      <c r="I413" s="40" t="n">
        <v>1.51139038339779</v>
      </c>
      <c r="J413" s="36" t="n">
        <v>1034.78823912153</v>
      </c>
      <c r="K413" s="35"/>
    </row>
    <row r="414" customFormat="false" ht="15" hidden="false" customHeight="false" outlineLevel="0" collapsed="true">
      <c r="A414" s="43" t="n">
        <v>60</v>
      </c>
      <c r="B414" s="43" t="s">
        <v>22</v>
      </c>
      <c r="C414" s="43" t="s">
        <v>283</v>
      </c>
      <c r="D414" s="43" t="s">
        <v>451</v>
      </c>
      <c r="E414" s="43" t="s">
        <v>176</v>
      </c>
      <c r="F414" s="43" t="str">
        <f aca="false">COUNTIFS(Trechos!$L$2:$L$526,A414)&amp;" vãos"</f>
        <v>1 vãos</v>
      </c>
      <c r="G414" s="43"/>
      <c r="H414" s="43"/>
      <c r="I414" s="44" t="n">
        <f aca="false">SUMIFS(Trechos!$F$2:$F$526,Trechos!$L$2:$L$526,A414)</f>
        <v>13.2195307549832</v>
      </c>
      <c r="J414" s="43"/>
      <c r="K414" s="43"/>
      <c r="L414" s="43" t="s">
        <v>177</v>
      </c>
      <c r="M414" s="43" t="s">
        <v>50</v>
      </c>
      <c r="N414" s="43" t="str">
        <f aca="false">Blocos!AU61</f>
        <v>—</v>
      </c>
    </row>
    <row r="415" customFormat="false" ht="15" hidden="true" customHeight="false" outlineLevel="1" collapsed="false">
      <c r="F415" s="35" t="s">
        <v>1244</v>
      </c>
      <c r="G415" s="35" t="s">
        <v>1243</v>
      </c>
      <c r="H415" s="35" t="s">
        <v>1245</v>
      </c>
      <c r="I415" s="40" t="n">
        <v>13.2195307549832</v>
      </c>
      <c r="J415" s="36" t="n">
        <v>13.2195307549832</v>
      </c>
      <c r="K415" s="35"/>
    </row>
    <row r="416" customFormat="false" ht="15" hidden="false" customHeight="false" outlineLevel="0" collapsed="true">
      <c r="A416" s="41" t="n">
        <v>61</v>
      </c>
      <c r="B416" s="41" t="s">
        <v>21</v>
      </c>
      <c r="C416" s="41" t="s">
        <v>283</v>
      </c>
      <c r="D416" s="41" t="s">
        <v>452</v>
      </c>
      <c r="E416" s="41" t="s">
        <v>41</v>
      </c>
      <c r="F416" s="41" t="str">
        <f aca="false">COUNTIFS(Trechos!$L$2:$L$526,A416)&amp;" vãos"</f>
        <v>1 vãos</v>
      </c>
      <c r="G416" s="41"/>
      <c r="H416" s="41"/>
      <c r="I416" s="42" t="n">
        <f aca="false">SUMIFS(Trechos!$F$2:$F$526,Trechos!$L$2:$L$526,A416)</f>
        <v>5.22732582900442</v>
      </c>
      <c r="J416" s="41"/>
      <c r="K416" s="41"/>
      <c r="L416" s="41" t="s">
        <v>180</v>
      </c>
      <c r="M416" s="41" t="s">
        <v>50</v>
      </c>
      <c r="N416" s="41" t="str">
        <f aca="false">Blocos!AU62</f>
        <v>—</v>
      </c>
    </row>
    <row r="417" customFormat="false" ht="15" hidden="true" customHeight="false" outlineLevel="1" collapsed="false">
      <c r="F417" s="35" t="s">
        <v>1246</v>
      </c>
      <c r="G417" s="35" t="s">
        <v>705</v>
      </c>
      <c r="H417" s="35" t="s">
        <v>1247</v>
      </c>
      <c r="I417" s="40" t="n">
        <v>5.22732582900442</v>
      </c>
      <c r="J417" s="36" t="n">
        <v>1068.6562320166</v>
      </c>
      <c r="K417" s="35"/>
    </row>
    <row r="418" customFormat="false" ht="15" hidden="false" customHeight="false" outlineLevel="0" collapsed="true">
      <c r="A418" s="41" t="n">
        <v>62</v>
      </c>
      <c r="B418" s="41" t="s">
        <v>21</v>
      </c>
      <c r="C418" s="41" t="s">
        <v>283</v>
      </c>
      <c r="D418" s="41" t="s">
        <v>453</v>
      </c>
      <c r="E418" s="41" t="s">
        <v>43</v>
      </c>
      <c r="F418" s="41" t="str">
        <f aca="false">COUNTIFS(Trechos!$L$2:$L$526,A418)&amp;" vãos"</f>
        <v>1 vãos</v>
      </c>
      <c r="G418" s="41"/>
      <c r="H418" s="41"/>
      <c r="I418" s="42" t="n">
        <f aca="false">SUMIFS(Trechos!$F$2:$F$526,Trechos!$L$2:$L$526,A418)</f>
        <v>5.07598983515913</v>
      </c>
      <c r="J418" s="41"/>
      <c r="K418" s="41"/>
      <c r="L418" s="41" t="s">
        <v>183</v>
      </c>
      <c r="M418" s="41" t="s">
        <v>50</v>
      </c>
      <c r="N418" s="41" t="str">
        <f aca="false">Blocos!AU63</f>
        <v>—</v>
      </c>
    </row>
    <row r="419" customFormat="false" ht="15" hidden="true" customHeight="false" outlineLevel="1" collapsed="false">
      <c r="F419" s="35" t="s">
        <v>1248</v>
      </c>
      <c r="G419" s="35" t="s">
        <v>717</v>
      </c>
      <c r="H419" s="35" t="s">
        <v>1249</v>
      </c>
      <c r="I419" s="40" t="n">
        <v>5.07598983515913</v>
      </c>
      <c r="J419" s="36" t="n">
        <v>10.2513448994359</v>
      </c>
      <c r="K419" s="35"/>
    </row>
    <row r="420" customFormat="false" ht="15" hidden="false" customHeight="false" outlineLevel="0" collapsed="true">
      <c r="A420" s="41" t="n">
        <v>63</v>
      </c>
      <c r="B420" s="41" t="s">
        <v>21</v>
      </c>
      <c r="C420" s="41" t="s">
        <v>283</v>
      </c>
      <c r="D420" s="41" t="s">
        <v>454</v>
      </c>
      <c r="E420" s="41" t="s">
        <v>43</v>
      </c>
      <c r="F420" s="41" t="str">
        <f aca="false">COUNTIFS(Trechos!$L$2:$L$526,A420)&amp;" vãos"</f>
        <v>1 vãos</v>
      </c>
      <c r="G420" s="41"/>
      <c r="H420" s="41"/>
      <c r="I420" s="42" t="n">
        <f aca="false">SUMIFS(Trechos!$F$2:$F$526,Trechos!$L$2:$L$526,A420)</f>
        <v>1.09645659891133</v>
      </c>
      <c r="J420" s="41"/>
      <c r="K420" s="41"/>
      <c r="L420" s="41" t="s">
        <v>186</v>
      </c>
      <c r="M420" s="41" t="s">
        <v>50</v>
      </c>
      <c r="N420" s="41" t="str">
        <f aca="false">Blocos!AU64</f>
        <v>—</v>
      </c>
    </row>
    <row r="421" customFormat="false" ht="15" hidden="true" customHeight="false" outlineLevel="1" collapsed="false">
      <c r="F421" s="35" t="s">
        <v>1250</v>
      </c>
      <c r="G421" s="35" t="s">
        <v>725</v>
      </c>
      <c r="H421" s="35" t="s">
        <v>1251</v>
      </c>
      <c r="I421" s="40" t="n">
        <v>1.09645659891133</v>
      </c>
      <c r="J421" s="36" t="n">
        <v>64.1378574102178</v>
      </c>
      <c r="K421" s="35"/>
    </row>
    <row r="422" customFormat="false" ht="15" hidden="false" customHeight="false" outlineLevel="0" collapsed="true">
      <c r="A422" s="41" t="n">
        <v>64</v>
      </c>
      <c r="B422" s="41" t="s">
        <v>21</v>
      </c>
      <c r="C422" s="41" t="s">
        <v>283</v>
      </c>
      <c r="D422" s="41" t="s">
        <v>455</v>
      </c>
      <c r="E422" s="41" t="s">
        <v>43</v>
      </c>
      <c r="F422" s="41" t="str">
        <f aca="false">COUNTIFS(Trechos!$L$2:$L$526,A422)&amp;" vãos"</f>
        <v>1 vãos</v>
      </c>
      <c r="G422" s="41"/>
      <c r="H422" s="41"/>
      <c r="I422" s="42" t="n">
        <f aca="false">SUMIFS(Trechos!$F$2:$F$526,Trechos!$L$2:$L$526,A422)</f>
        <v>20.753852847014</v>
      </c>
      <c r="J422" s="41"/>
      <c r="K422" s="41"/>
      <c r="L422" s="41" t="s">
        <v>189</v>
      </c>
      <c r="M422" s="41" t="s">
        <v>50</v>
      </c>
      <c r="N422" s="41" t="str">
        <f aca="false">Blocos!AU65</f>
        <v>—</v>
      </c>
    </row>
    <row r="423" customFormat="false" ht="15" hidden="true" customHeight="false" outlineLevel="1" collapsed="false">
      <c r="F423" s="35" t="s">
        <v>1252</v>
      </c>
      <c r="G423" s="35" t="s">
        <v>729</v>
      </c>
      <c r="H423" s="35" t="s">
        <v>1253</v>
      </c>
      <c r="I423" s="40" t="n">
        <v>20.753852847014</v>
      </c>
      <c r="J423" s="36" t="n">
        <v>206.673067702917</v>
      </c>
      <c r="K423" s="35"/>
    </row>
    <row r="424" customFormat="false" ht="15" hidden="false" customHeight="false" outlineLevel="0" collapsed="true">
      <c r="A424" s="43" t="n">
        <v>65</v>
      </c>
      <c r="B424" s="43" t="s">
        <v>22</v>
      </c>
      <c r="C424" s="43" t="s">
        <v>283</v>
      </c>
      <c r="D424" s="43" t="s">
        <v>456</v>
      </c>
      <c r="E424" s="43" t="s">
        <v>191</v>
      </c>
      <c r="F424" s="43" t="str">
        <f aca="false">COUNTIFS(Trechos!$L$2:$L$526,A424)&amp;" vãos"</f>
        <v>4 vãos</v>
      </c>
      <c r="G424" s="43"/>
      <c r="H424" s="43"/>
      <c r="I424" s="44" t="n">
        <f aca="false">SUMIFS(Trechos!$F$2:$F$526,Trechos!$L$2:$L$526,A424)</f>
        <v>11.4381286034407</v>
      </c>
      <c r="J424" s="43"/>
      <c r="K424" s="43"/>
      <c r="L424" s="43" t="s">
        <v>192</v>
      </c>
      <c r="M424" s="43" t="s">
        <v>50</v>
      </c>
      <c r="N424" s="43" t="str">
        <f aca="false">Blocos!AU66</f>
        <v>—</v>
      </c>
    </row>
    <row r="425" customFormat="false" ht="15" hidden="true" customHeight="false" outlineLevel="1" collapsed="false">
      <c r="F425" s="35" t="s">
        <v>1254</v>
      </c>
      <c r="G425" s="35" t="s">
        <v>825</v>
      </c>
      <c r="H425" s="35" t="s">
        <v>1255</v>
      </c>
      <c r="I425" s="40" t="n">
        <v>3.10748162665976</v>
      </c>
      <c r="J425" s="36" t="n">
        <v>3.10748162666005</v>
      </c>
      <c r="K425" s="35"/>
    </row>
    <row r="426" customFormat="false" ht="15" hidden="true" customHeight="false" outlineLevel="1" collapsed="false">
      <c r="F426" s="35" t="s">
        <v>1256</v>
      </c>
      <c r="G426" s="35" t="s">
        <v>1255</v>
      </c>
      <c r="H426" s="35" t="s">
        <v>1257</v>
      </c>
      <c r="I426" s="40" t="n">
        <v>2.28963901358202</v>
      </c>
      <c r="J426" s="36" t="n">
        <v>5.39712064024207</v>
      </c>
      <c r="K426" s="35"/>
    </row>
    <row r="427" customFormat="false" ht="15" hidden="true" customHeight="false" outlineLevel="1" collapsed="false">
      <c r="F427" s="35" t="s">
        <v>1258</v>
      </c>
      <c r="G427" s="35" t="s">
        <v>1255</v>
      </c>
      <c r="H427" s="35" t="s">
        <v>1259</v>
      </c>
      <c r="I427" s="40" t="n">
        <v>4.02740086171115</v>
      </c>
      <c r="J427" s="36" t="n">
        <v>7.13488248837075</v>
      </c>
      <c r="K427" s="35"/>
    </row>
    <row r="428" customFormat="false" ht="15" hidden="true" customHeight="false" outlineLevel="1" collapsed="false">
      <c r="F428" s="35" t="s">
        <v>1260</v>
      </c>
      <c r="G428" s="35" t="s">
        <v>1259</v>
      </c>
      <c r="H428" s="35" t="s">
        <v>1261</v>
      </c>
      <c r="I428" s="40" t="n">
        <v>2.01360710148781</v>
      </c>
      <c r="J428" s="36" t="n">
        <v>9.1484895898584</v>
      </c>
      <c r="K428" s="35"/>
    </row>
    <row r="429" customFormat="false" ht="15" hidden="false" customHeight="false" outlineLevel="0" collapsed="true">
      <c r="A429" s="41" t="n">
        <v>66</v>
      </c>
      <c r="B429" s="41" t="s">
        <v>21</v>
      </c>
      <c r="C429" s="41" t="s">
        <v>283</v>
      </c>
      <c r="D429" s="41" t="s">
        <v>459</v>
      </c>
      <c r="E429" s="41" t="s">
        <v>43</v>
      </c>
      <c r="F429" s="41" t="str">
        <f aca="false">COUNTIFS(Trechos!$L$2:$L$526,A429)&amp;" vãos"</f>
        <v>1 vãos</v>
      </c>
      <c r="G429" s="41"/>
      <c r="H429" s="41"/>
      <c r="I429" s="42" t="n">
        <f aca="false">SUMIFS(Trechos!$F$2:$F$526,Trechos!$L$2:$L$526,A429)</f>
        <v>21.2250378053289</v>
      </c>
      <c r="J429" s="41"/>
      <c r="K429" s="41"/>
      <c r="L429" s="41" t="s">
        <v>195</v>
      </c>
      <c r="M429" s="41" t="s">
        <v>50</v>
      </c>
      <c r="N429" s="41" t="str">
        <f aca="false">Blocos!AU67</f>
        <v>—</v>
      </c>
    </row>
    <row r="430" customFormat="false" ht="15" hidden="true" customHeight="false" outlineLevel="1" collapsed="false">
      <c r="F430" s="35" t="s">
        <v>1262</v>
      </c>
      <c r="G430" s="35" t="s">
        <v>733</v>
      </c>
      <c r="H430" s="35" t="s">
        <v>1263</v>
      </c>
      <c r="I430" s="40" t="n">
        <v>21.2250378053289</v>
      </c>
      <c r="J430" s="36" t="n">
        <v>285.318301597368</v>
      </c>
      <c r="K430" s="35"/>
    </row>
    <row r="431" customFormat="false" ht="15" hidden="false" customHeight="false" outlineLevel="0" collapsed="true">
      <c r="A431" s="43" t="n">
        <v>67</v>
      </c>
      <c r="B431" s="43" t="s">
        <v>22</v>
      </c>
      <c r="C431" s="43" t="s">
        <v>283</v>
      </c>
      <c r="D431" s="43" t="s">
        <v>460</v>
      </c>
      <c r="E431" s="43" t="s">
        <v>197</v>
      </c>
      <c r="F431" s="43" t="str">
        <f aca="false">COUNTIFS(Trechos!$L$2:$L$526,A431)&amp;" vãos"</f>
        <v>3 vãos</v>
      </c>
      <c r="G431" s="43"/>
      <c r="H431" s="43"/>
      <c r="I431" s="44" t="n">
        <f aca="false">SUMIFS(Trechos!$F$2:$F$526,Trechos!$L$2:$L$526,A431)</f>
        <v>34.6699893134304</v>
      </c>
      <c r="J431" s="43"/>
      <c r="K431" s="43"/>
      <c r="L431" s="43" t="s">
        <v>198</v>
      </c>
      <c r="M431" s="43" t="s">
        <v>50</v>
      </c>
      <c r="N431" s="43" t="str">
        <f aca="false">Blocos!AU68</f>
        <v>—</v>
      </c>
    </row>
    <row r="432" customFormat="false" ht="15" hidden="true" customHeight="false" outlineLevel="1" collapsed="false">
      <c r="F432" s="35" t="s">
        <v>1264</v>
      </c>
      <c r="G432" s="35" t="s">
        <v>816</v>
      </c>
      <c r="H432" s="35" t="s">
        <v>1265</v>
      </c>
      <c r="I432" s="40" t="n">
        <v>11.1913334108057</v>
      </c>
      <c r="J432" s="36" t="n">
        <v>11.1913334108058</v>
      </c>
      <c r="K432" s="35"/>
    </row>
    <row r="433" customFormat="false" ht="15" hidden="true" customHeight="false" outlineLevel="1" collapsed="false">
      <c r="F433" s="35" t="s">
        <v>1266</v>
      </c>
      <c r="G433" s="35" t="s">
        <v>1265</v>
      </c>
      <c r="H433" s="35" t="s">
        <v>1267</v>
      </c>
      <c r="I433" s="40" t="n">
        <v>15.2279556028461</v>
      </c>
      <c r="J433" s="36" t="n">
        <v>26.4192890136519</v>
      </c>
      <c r="K433" s="35"/>
    </row>
    <row r="434" customFormat="false" ht="15" hidden="true" customHeight="false" outlineLevel="1" collapsed="false">
      <c r="F434" s="35" t="s">
        <v>1268</v>
      </c>
      <c r="G434" s="35" t="s">
        <v>1265</v>
      </c>
      <c r="H434" s="35" t="s">
        <v>1269</v>
      </c>
      <c r="I434" s="40" t="n">
        <v>8.25070029977865</v>
      </c>
      <c r="J434" s="36" t="n">
        <v>19.4420337105848</v>
      </c>
      <c r="K434" s="35"/>
    </row>
    <row r="435" customFormat="false" ht="15" hidden="false" customHeight="false" outlineLevel="0" collapsed="true">
      <c r="A435" s="41" t="n">
        <v>68</v>
      </c>
      <c r="B435" s="41" t="s">
        <v>21</v>
      </c>
      <c r="C435" s="41" t="s">
        <v>283</v>
      </c>
      <c r="D435" s="41" t="s">
        <v>463</v>
      </c>
      <c r="E435" s="41" t="s">
        <v>43</v>
      </c>
      <c r="F435" s="41" t="str">
        <f aca="false">COUNTIFS(Trechos!$L$2:$L$526,A435)&amp;" vãos"</f>
        <v>7 vãos</v>
      </c>
      <c r="G435" s="41"/>
      <c r="H435" s="41"/>
      <c r="I435" s="42" t="n">
        <f aca="false">SUMIFS(Trechos!$F$2:$F$526,Trechos!$L$2:$L$526,A435)</f>
        <v>375.072776213874</v>
      </c>
      <c r="J435" s="41"/>
      <c r="K435" s="41"/>
      <c r="L435" s="41" t="s">
        <v>201</v>
      </c>
      <c r="M435" s="41" t="s">
        <v>50</v>
      </c>
      <c r="N435" s="41" t="str">
        <f aca="false">Blocos!AU69</f>
        <v>—</v>
      </c>
    </row>
    <row r="436" customFormat="false" ht="15" hidden="true" customHeight="false" outlineLevel="1" collapsed="false">
      <c r="F436" s="35" t="s">
        <v>1270</v>
      </c>
      <c r="G436" s="35" t="s">
        <v>735</v>
      </c>
      <c r="H436" s="35" t="s">
        <v>1271</v>
      </c>
      <c r="I436" s="40" t="n">
        <v>55.9360441778601</v>
      </c>
      <c r="J436" s="36" t="n">
        <v>399.942989636041</v>
      </c>
      <c r="K436" s="35"/>
    </row>
    <row r="437" customFormat="false" ht="15" hidden="true" customHeight="false" outlineLevel="1" collapsed="false">
      <c r="F437" s="35" t="s">
        <v>1272</v>
      </c>
      <c r="G437" s="35" t="s">
        <v>1271</v>
      </c>
      <c r="H437" s="35" t="s">
        <v>1273</v>
      </c>
      <c r="I437" s="40" t="n">
        <v>42.9213205524429</v>
      </c>
      <c r="J437" s="36" t="n">
        <v>442.864310188484</v>
      </c>
      <c r="K437" s="35"/>
    </row>
    <row r="438" customFormat="false" ht="15" hidden="true" customHeight="false" outlineLevel="1" collapsed="false">
      <c r="F438" s="35" t="s">
        <v>1274</v>
      </c>
      <c r="G438" s="35" t="s">
        <v>1273</v>
      </c>
      <c r="H438" s="35" t="s">
        <v>1275</v>
      </c>
      <c r="I438" s="40" t="n">
        <v>16.4716543239053</v>
      </c>
      <c r="J438" s="36" t="n">
        <v>459.33596451239</v>
      </c>
      <c r="K438" s="35"/>
    </row>
    <row r="439" customFormat="false" ht="15" hidden="true" customHeight="false" outlineLevel="1" collapsed="false">
      <c r="F439" s="35" t="s">
        <v>1276</v>
      </c>
      <c r="G439" s="35" t="s">
        <v>1271</v>
      </c>
      <c r="H439" s="35" t="s">
        <v>1277</v>
      </c>
      <c r="I439" s="40" t="n">
        <v>34.4729699332397</v>
      </c>
      <c r="J439" s="36" t="n">
        <v>434.415959569281</v>
      </c>
      <c r="K439" s="35"/>
    </row>
    <row r="440" customFormat="false" ht="15" hidden="true" customHeight="false" outlineLevel="1" collapsed="false">
      <c r="F440" s="35" t="s">
        <v>1278</v>
      </c>
      <c r="G440" s="35" t="s">
        <v>1271</v>
      </c>
      <c r="H440" s="35" t="s">
        <v>1279</v>
      </c>
      <c r="I440" s="40" t="n">
        <v>140.037812016846</v>
      </c>
      <c r="J440" s="36" t="n">
        <v>539.980801652887</v>
      </c>
      <c r="K440" s="35"/>
    </row>
    <row r="441" customFormat="false" ht="15" hidden="true" customHeight="false" outlineLevel="1" collapsed="false">
      <c r="F441" s="35" t="s">
        <v>1280</v>
      </c>
      <c r="G441" s="35" t="s">
        <v>1279</v>
      </c>
      <c r="H441" s="35" t="s">
        <v>1281</v>
      </c>
      <c r="I441" s="40" t="n">
        <v>64.6287625043365</v>
      </c>
      <c r="J441" s="36" t="n">
        <v>604.609564157224</v>
      </c>
      <c r="K441" s="35"/>
    </row>
    <row r="442" customFormat="false" ht="15" hidden="true" customHeight="false" outlineLevel="1" collapsed="false">
      <c r="F442" s="35" t="s">
        <v>1282</v>
      </c>
      <c r="G442" s="35" t="s">
        <v>735</v>
      </c>
      <c r="H442" s="35" t="s">
        <v>1283</v>
      </c>
      <c r="I442" s="40" t="n">
        <v>20.6042127052428</v>
      </c>
      <c r="J442" s="36" t="n">
        <v>364.611158163424</v>
      </c>
      <c r="K442" s="35"/>
    </row>
    <row r="443" customFormat="false" ht="15" hidden="false" customHeight="false" outlineLevel="0" collapsed="true">
      <c r="A443" s="43" t="n">
        <v>69</v>
      </c>
      <c r="B443" s="43" t="s">
        <v>22</v>
      </c>
      <c r="C443" s="43" t="s">
        <v>283</v>
      </c>
      <c r="D443" s="43" t="s">
        <v>468</v>
      </c>
      <c r="E443" s="43" t="s">
        <v>203</v>
      </c>
      <c r="F443" s="43" t="str">
        <f aca="false">COUNTIFS(Trechos!$L$2:$L$526,A443)&amp;" vãos"</f>
        <v>3 vãos</v>
      </c>
      <c r="G443" s="43"/>
      <c r="H443" s="43"/>
      <c r="I443" s="44" t="n">
        <f aca="false">SUMIFS(Trechos!$F$2:$F$526,Trechos!$L$2:$L$526,A443)</f>
        <v>36.909617539634</v>
      </c>
      <c r="J443" s="43"/>
      <c r="K443" s="43"/>
      <c r="L443" s="43" t="s">
        <v>204</v>
      </c>
      <c r="M443" s="43" t="s">
        <v>50</v>
      </c>
      <c r="N443" s="43" t="str">
        <f aca="false">Blocos!AU70</f>
        <v>—</v>
      </c>
    </row>
    <row r="444" customFormat="false" ht="15" hidden="true" customHeight="false" outlineLevel="1" collapsed="false">
      <c r="F444" s="35" t="s">
        <v>1284</v>
      </c>
      <c r="G444" s="35" t="s">
        <v>812</v>
      </c>
      <c r="H444" s="35" t="s">
        <v>1285</v>
      </c>
      <c r="I444" s="40" t="n">
        <v>12.4566790360217</v>
      </c>
      <c r="J444" s="36" t="n">
        <v>12.4566790360213</v>
      </c>
      <c r="K444" s="35"/>
    </row>
    <row r="445" customFormat="false" ht="15" hidden="true" customHeight="false" outlineLevel="1" collapsed="false">
      <c r="F445" s="35" t="s">
        <v>1286</v>
      </c>
      <c r="G445" s="35" t="s">
        <v>1285</v>
      </c>
      <c r="H445" s="35" t="s">
        <v>1287</v>
      </c>
      <c r="I445" s="40" t="n">
        <v>8.51970636959758</v>
      </c>
      <c r="J445" s="36" t="n">
        <v>20.9763854056191</v>
      </c>
      <c r="K445" s="35"/>
    </row>
    <row r="446" customFormat="false" ht="15" hidden="true" customHeight="false" outlineLevel="1" collapsed="false">
      <c r="F446" s="35" t="s">
        <v>1288</v>
      </c>
      <c r="G446" s="35" t="s">
        <v>1285</v>
      </c>
      <c r="H446" s="35" t="s">
        <v>1289</v>
      </c>
      <c r="I446" s="40" t="n">
        <v>15.9332321340148</v>
      </c>
      <c r="J446" s="36" t="n">
        <v>28.3899111700357</v>
      </c>
      <c r="K446" s="35"/>
    </row>
    <row r="447" customFormat="false" ht="15" hidden="false" customHeight="false" outlineLevel="0" collapsed="true">
      <c r="A447" s="41" t="n">
        <v>70</v>
      </c>
      <c r="B447" s="41" t="s">
        <v>21</v>
      </c>
      <c r="C447" s="41" t="s">
        <v>283</v>
      </c>
      <c r="D447" s="41" t="s">
        <v>471</v>
      </c>
      <c r="E447" s="41" t="s">
        <v>43</v>
      </c>
      <c r="F447" s="41" t="str">
        <f aca="false">COUNTIFS(Trechos!$L$2:$L$526,A447)&amp;" vãos"</f>
        <v>1 vãos</v>
      </c>
      <c r="G447" s="41"/>
      <c r="H447" s="41"/>
      <c r="I447" s="42" t="n">
        <f aca="false">SUMIFS(Trechos!$F$2:$F$526,Trechos!$L$2:$L$526,A447)</f>
        <v>18.2133410321518</v>
      </c>
      <c r="J447" s="41"/>
      <c r="K447" s="41"/>
      <c r="L447" s="41" t="s">
        <v>207</v>
      </c>
      <c r="M447" s="41" t="s">
        <v>50</v>
      </c>
      <c r="N447" s="41" t="str">
        <f aca="false">Blocos!AU71</f>
        <v>—</v>
      </c>
    </row>
    <row r="448" customFormat="false" ht="15" hidden="true" customHeight="false" outlineLevel="1" collapsed="false">
      <c r="F448" s="35" t="s">
        <v>1290</v>
      </c>
      <c r="G448" s="35" t="s">
        <v>748</v>
      </c>
      <c r="H448" s="35" t="s">
        <v>1291</v>
      </c>
      <c r="I448" s="40" t="n">
        <v>18.2133410321518</v>
      </c>
      <c r="J448" s="36" t="n">
        <v>648.848217678832</v>
      </c>
      <c r="K448" s="35"/>
    </row>
    <row r="449" customFormat="false" ht="15" hidden="false" customHeight="false" outlineLevel="0" collapsed="true">
      <c r="A449" s="43" t="n">
        <v>71</v>
      </c>
      <c r="B449" s="43" t="s">
        <v>22</v>
      </c>
      <c r="C449" s="43" t="s">
        <v>283</v>
      </c>
      <c r="D449" s="43" t="s">
        <v>472</v>
      </c>
      <c r="E449" s="43" t="s">
        <v>209</v>
      </c>
      <c r="F449" s="43" t="str">
        <f aca="false">COUNTIFS(Trechos!$L$2:$L$526,A449)&amp;" vãos"</f>
        <v>2 vãos</v>
      </c>
      <c r="G449" s="43"/>
      <c r="H449" s="43"/>
      <c r="I449" s="44" t="n">
        <f aca="false">SUMIFS(Trechos!$F$2:$F$526,Trechos!$L$2:$L$526,A449)</f>
        <v>18.6658749697057</v>
      </c>
      <c r="J449" s="43"/>
      <c r="K449" s="43"/>
      <c r="L449" s="43" t="s">
        <v>210</v>
      </c>
      <c r="M449" s="43" t="s">
        <v>50</v>
      </c>
      <c r="N449" s="43" t="str">
        <f aca="false">Blocos!AU72</f>
        <v>—</v>
      </c>
    </row>
    <row r="450" customFormat="false" ht="15" hidden="true" customHeight="false" outlineLevel="1" collapsed="false">
      <c r="F450" s="35" t="s">
        <v>1292</v>
      </c>
      <c r="G450" s="35" t="s">
        <v>810</v>
      </c>
      <c r="H450" s="35" t="s">
        <v>1293</v>
      </c>
      <c r="I450" s="40" t="n">
        <v>14.1372602645311</v>
      </c>
      <c r="J450" s="36" t="n">
        <v>14.1372602645315</v>
      </c>
      <c r="K450" s="35"/>
    </row>
    <row r="451" customFormat="false" ht="15" hidden="true" customHeight="false" outlineLevel="1" collapsed="false">
      <c r="F451" s="35" t="s">
        <v>1294</v>
      </c>
      <c r="G451" s="35" t="s">
        <v>1293</v>
      </c>
      <c r="H451" s="35" t="s">
        <v>1295</v>
      </c>
      <c r="I451" s="40" t="n">
        <v>4.52861470517461</v>
      </c>
      <c r="J451" s="36" t="n">
        <v>18.6658749697062</v>
      </c>
      <c r="K451" s="35"/>
    </row>
    <row r="452" customFormat="false" ht="15" hidden="false" customHeight="false" outlineLevel="0" collapsed="true">
      <c r="A452" s="41" t="n">
        <v>72</v>
      </c>
      <c r="B452" s="41" t="s">
        <v>21</v>
      </c>
      <c r="C452" s="41" t="s">
        <v>283</v>
      </c>
      <c r="D452" s="41" t="s">
        <v>473</v>
      </c>
      <c r="E452" s="41" t="s">
        <v>43</v>
      </c>
      <c r="F452" s="41" t="str">
        <f aca="false">COUNTIFS(Trechos!$L$2:$L$526,A452)&amp;" vãos"</f>
        <v>2 vãos</v>
      </c>
      <c r="G452" s="41"/>
      <c r="H452" s="41"/>
      <c r="I452" s="42" t="n">
        <f aca="false">SUMIFS(Trechos!$F$2:$F$526,Trechos!$L$2:$L$526,A452)</f>
        <v>35.6945103295697</v>
      </c>
      <c r="J452" s="41"/>
      <c r="K452" s="41"/>
      <c r="L452" s="41" t="s">
        <v>213</v>
      </c>
      <c r="M452" s="41" t="s">
        <v>50</v>
      </c>
      <c r="N452" s="41" t="str">
        <f aca="false">Blocos!AU73</f>
        <v>—</v>
      </c>
    </row>
    <row r="453" customFormat="false" ht="15" hidden="true" customHeight="false" outlineLevel="1" collapsed="false">
      <c r="F453" s="35" t="s">
        <v>1296</v>
      </c>
      <c r="G453" s="35" t="s">
        <v>752</v>
      </c>
      <c r="H453" s="35" t="s">
        <v>1297</v>
      </c>
      <c r="I453" s="40" t="n">
        <v>27.0972491195253</v>
      </c>
      <c r="J453" s="36" t="n">
        <v>768.345792689612</v>
      </c>
      <c r="K453" s="35"/>
    </row>
    <row r="454" customFormat="false" ht="15" hidden="true" customHeight="false" outlineLevel="1" collapsed="false">
      <c r="F454" s="35" t="s">
        <v>1298</v>
      </c>
      <c r="G454" s="35" t="s">
        <v>752</v>
      </c>
      <c r="H454" s="35" t="s">
        <v>1299</v>
      </c>
      <c r="I454" s="40" t="n">
        <v>8.59726121004438</v>
      </c>
      <c r="J454" s="36" t="n">
        <v>749.845804780131</v>
      </c>
      <c r="K454" s="35"/>
    </row>
    <row r="455" customFormat="false" ht="15" hidden="false" customHeight="false" outlineLevel="0" collapsed="true">
      <c r="A455" s="41" t="n">
        <v>73</v>
      </c>
      <c r="B455" s="41" t="s">
        <v>21</v>
      </c>
      <c r="C455" s="41" t="s">
        <v>283</v>
      </c>
      <c r="D455" s="41" t="s">
        <v>476</v>
      </c>
      <c r="E455" s="41" t="s">
        <v>43</v>
      </c>
      <c r="F455" s="41" t="str">
        <f aca="false">COUNTIFS(Trechos!$L$2:$L$526,A455)&amp;" vãos"</f>
        <v>2 vãos</v>
      </c>
      <c r="G455" s="41"/>
      <c r="H455" s="41"/>
      <c r="I455" s="42" t="n">
        <f aca="false">SUMIFS(Trechos!$F$2:$F$526,Trechos!$L$2:$L$526,A455)</f>
        <v>66.2035244962812</v>
      </c>
      <c r="J455" s="41"/>
      <c r="K455" s="41"/>
      <c r="L455" s="41" t="s">
        <v>216</v>
      </c>
      <c r="M455" s="41" t="s">
        <v>50</v>
      </c>
      <c r="N455" s="41" t="str">
        <f aca="false">Blocos!AU74</f>
        <v>—</v>
      </c>
    </row>
    <row r="456" customFormat="false" ht="15" hidden="true" customHeight="false" outlineLevel="1" collapsed="false">
      <c r="F456" s="35" t="s">
        <v>1300</v>
      </c>
      <c r="G456" s="35" t="s">
        <v>754</v>
      </c>
      <c r="H456" s="35" t="s">
        <v>1301</v>
      </c>
      <c r="I456" s="40" t="n">
        <v>18.8952627016858</v>
      </c>
      <c r="J456" s="36" t="n">
        <v>868.382683062235</v>
      </c>
      <c r="K456" s="35"/>
    </row>
    <row r="457" customFormat="false" ht="15" hidden="true" customHeight="false" outlineLevel="1" collapsed="false">
      <c r="F457" s="35" t="s">
        <v>1302</v>
      </c>
      <c r="G457" s="35" t="s">
        <v>754</v>
      </c>
      <c r="H457" s="35" t="s">
        <v>1303</v>
      </c>
      <c r="I457" s="40" t="n">
        <v>47.3082617945954</v>
      </c>
      <c r="J457" s="36" t="n">
        <v>896.795682155145</v>
      </c>
      <c r="K457" s="35"/>
    </row>
    <row r="458" customFormat="false" ht="15" hidden="false" customHeight="false" outlineLevel="0" collapsed="true">
      <c r="A458" s="41" t="n">
        <v>74</v>
      </c>
      <c r="B458" s="41" t="s">
        <v>21</v>
      </c>
      <c r="C458" s="41" t="s">
        <v>283</v>
      </c>
      <c r="D458" s="41" t="s">
        <v>479</v>
      </c>
      <c r="E458" s="41" t="s">
        <v>43</v>
      </c>
      <c r="F458" s="41" t="str">
        <f aca="false">COUNTIFS(Trechos!$L$2:$L$526,A458)&amp;" vãos"</f>
        <v>4 vãos</v>
      </c>
      <c r="G458" s="41"/>
      <c r="H458" s="41"/>
      <c r="I458" s="42" t="n">
        <f aca="false">SUMIFS(Trechos!$F$2:$F$526,Trechos!$L$2:$L$526,A458)</f>
        <v>64.1350858906275</v>
      </c>
      <c r="J458" s="41"/>
      <c r="K458" s="41"/>
      <c r="L458" s="41" t="s">
        <v>219</v>
      </c>
      <c r="M458" s="41" t="s">
        <v>50</v>
      </c>
      <c r="N458" s="41" t="str">
        <f aca="false">Blocos!AU75</f>
        <v>—</v>
      </c>
    </row>
    <row r="459" customFormat="false" ht="15" hidden="true" customHeight="false" outlineLevel="1" collapsed="false">
      <c r="F459" s="35" t="s">
        <v>1304</v>
      </c>
      <c r="G459" s="35" t="s">
        <v>758</v>
      </c>
      <c r="H459" s="35" t="s">
        <v>1305</v>
      </c>
      <c r="I459" s="40" t="n">
        <v>27.0292857462262</v>
      </c>
      <c r="J459" s="36" t="n">
        <v>989.006994477451</v>
      </c>
      <c r="K459" s="35"/>
    </row>
    <row r="460" customFormat="false" ht="15" hidden="true" customHeight="false" outlineLevel="1" collapsed="false">
      <c r="F460" s="35" t="s">
        <v>1306</v>
      </c>
      <c r="G460" s="35" t="s">
        <v>1305</v>
      </c>
      <c r="H460" s="35" t="s">
        <v>1307</v>
      </c>
      <c r="I460" s="40" t="n">
        <v>3.78485972045959</v>
      </c>
      <c r="J460" s="36" t="n">
        <v>992.79185419791</v>
      </c>
      <c r="K460" s="35"/>
    </row>
    <row r="461" customFormat="false" ht="15" hidden="true" customHeight="false" outlineLevel="1" collapsed="false">
      <c r="F461" s="35" t="s">
        <v>1308</v>
      </c>
      <c r="G461" s="35" t="s">
        <v>1307</v>
      </c>
      <c r="H461" s="35" t="s">
        <v>1309</v>
      </c>
      <c r="I461" s="40" t="n">
        <v>19.1666094480376</v>
      </c>
      <c r="J461" s="36" t="n">
        <v>1011.95846364595</v>
      </c>
      <c r="K461" s="35"/>
    </row>
    <row r="462" customFormat="false" ht="15" hidden="true" customHeight="false" outlineLevel="1" collapsed="false">
      <c r="F462" s="35" t="s">
        <v>1310</v>
      </c>
      <c r="G462" s="35" t="s">
        <v>758</v>
      </c>
      <c r="H462" s="35" t="s">
        <v>1311</v>
      </c>
      <c r="I462" s="40" t="n">
        <v>14.1543309759042</v>
      </c>
      <c r="J462" s="36" t="n">
        <v>976.132039707129</v>
      </c>
      <c r="K462" s="35"/>
    </row>
    <row r="463" customFormat="false" ht="15" hidden="false" customHeight="false" outlineLevel="0" collapsed="true">
      <c r="A463" s="41" t="n">
        <v>75</v>
      </c>
      <c r="B463" s="41" t="s">
        <v>21</v>
      </c>
      <c r="C463" s="41" t="s">
        <v>283</v>
      </c>
      <c r="D463" s="41" t="s">
        <v>482</v>
      </c>
      <c r="E463" s="41" t="s">
        <v>43</v>
      </c>
      <c r="F463" s="41" t="str">
        <f aca="false">COUNTIFS(Trechos!$L$2:$L$526,A463)&amp;" vãos"</f>
        <v>4 vãos</v>
      </c>
      <c r="G463" s="41"/>
      <c r="H463" s="41"/>
      <c r="I463" s="42" t="n">
        <f aca="false">SUMIFS(Trechos!$F$2:$F$526,Trechos!$L$2:$L$526,A463)</f>
        <v>83.7280172781619</v>
      </c>
      <c r="J463" s="41"/>
      <c r="K463" s="41"/>
      <c r="L463" s="41" t="s">
        <v>222</v>
      </c>
      <c r="M463" s="41" t="s">
        <v>50</v>
      </c>
      <c r="N463" s="41" t="str">
        <f aca="false">Blocos!AU76</f>
        <v>—</v>
      </c>
    </row>
    <row r="464" customFormat="false" ht="15" hidden="true" customHeight="false" outlineLevel="1" collapsed="false">
      <c r="F464" s="35" t="s">
        <v>1312</v>
      </c>
      <c r="G464" s="35" t="s">
        <v>760</v>
      </c>
      <c r="H464" s="35" t="s">
        <v>1313</v>
      </c>
      <c r="I464" s="40" t="n">
        <v>13.9141206141148</v>
      </c>
      <c r="J464" s="36" t="n">
        <v>1063.66580760584</v>
      </c>
      <c r="K464" s="35"/>
    </row>
    <row r="465" customFormat="false" ht="15" hidden="true" customHeight="false" outlineLevel="1" collapsed="false">
      <c r="F465" s="35" t="s">
        <v>1314</v>
      </c>
      <c r="G465" s="35" t="s">
        <v>1313</v>
      </c>
      <c r="H465" s="35" t="s">
        <v>1315</v>
      </c>
      <c r="I465" s="40" t="n">
        <v>3.26794319200948</v>
      </c>
      <c r="J465" s="36" t="n">
        <v>1066.93375079785</v>
      </c>
      <c r="K465" s="35"/>
    </row>
    <row r="466" customFormat="false" ht="15" hidden="true" customHeight="false" outlineLevel="1" collapsed="false">
      <c r="F466" s="35" t="s">
        <v>1316</v>
      </c>
      <c r="G466" s="35" t="s">
        <v>1315</v>
      </c>
      <c r="H466" s="35" t="s">
        <v>1317</v>
      </c>
      <c r="I466" s="40" t="n">
        <v>52.7715114694485</v>
      </c>
      <c r="J466" s="36" t="n">
        <v>1119.7052622673</v>
      </c>
      <c r="K466" s="35"/>
    </row>
    <row r="467" customFormat="false" ht="15" hidden="true" customHeight="false" outlineLevel="1" collapsed="false">
      <c r="F467" s="35" t="s">
        <v>1318</v>
      </c>
      <c r="G467" s="35" t="s">
        <v>760</v>
      </c>
      <c r="H467" s="35" t="s">
        <v>1319</v>
      </c>
      <c r="I467" s="40" t="n">
        <v>13.7744420025891</v>
      </c>
      <c r="J467" s="36" t="n">
        <v>1063.52612899431</v>
      </c>
      <c r="K467" s="35"/>
    </row>
    <row r="468" customFormat="false" ht="15" hidden="false" customHeight="false" outlineLevel="0" collapsed="true">
      <c r="A468" s="41" t="n">
        <v>76</v>
      </c>
      <c r="B468" s="41" t="s">
        <v>21</v>
      </c>
      <c r="C468" s="41" t="s">
        <v>283</v>
      </c>
      <c r="D468" s="41" t="s">
        <v>485</v>
      </c>
      <c r="E468" s="41" t="s">
        <v>43</v>
      </c>
      <c r="F468" s="41" t="str">
        <f aca="false">COUNTIFS(Trechos!$L$2:$L$526,A468)&amp;" vãos"</f>
        <v>1 vãos</v>
      </c>
      <c r="G468" s="41"/>
      <c r="H468" s="41"/>
      <c r="I468" s="42" t="n">
        <f aca="false">SUMIFS(Trechos!$F$2:$F$526,Trechos!$L$2:$L$526,A468)</f>
        <v>13.753559573682</v>
      </c>
      <c r="J468" s="41"/>
      <c r="K468" s="41"/>
      <c r="L468" s="41" t="s">
        <v>225</v>
      </c>
      <c r="M468" s="41" t="s">
        <v>50</v>
      </c>
      <c r="N468" s="41" t="str">
        <f aca="false">Blocos!AU77</f>
        <v>—</v>
      </c>
    </row>
    <row r="469" customFormat="false" ht="15" hidden="true" customHeight="false" outlineLevel="1" collapsed="false">
      <c r="F469" s="35" t="s">
        <v>1320</v>
      </c>
      <c r="G469" s="35" t="s">
        <v>769</v>
      </c>
      <c r="H469" s="35" t="s">
        <v>1321</v>
      </c>
      <c r="I469" s="40" t="n">
        <v>13.753559573682</v>
      </c>
      <c r="J469" s="36" t="n">
        <v>1202.17006198477</v>
      </c>
      <c r="K469" s="35"/>
    </row>
    <row r="470" customFormat="false" ht="15" hidden="false" customHeight="false" outlineLevel="0" collapsed="true">
      <c r="A470" s="41" t="n">
        <v>77</v>
      </c>
      <c r="B470" s="41" t="s">
        <v>21</v>
      </c>
      <c r="C470" s="41" t="s">
        <v>283</v>
      </c>
      <c r="D470" s="41" t="s">
        <v>486</v>
      </c>
      <c r="E470" s="41" t="s">
        <v>43</v>
      </c>
      <c r="F470" s="41" t="str">
        <f aca="false">COUNTIFS(Trechos!$L$2:$L$526,A470)&amp;" vãos"</f>
        <v>1 vãos</v>
      </c>
      <c r="G470" s="41"/>
      <c r="H470" s="41"/>
      <c r="I470" s="42" t="n">
        <f aca="false">SUMIFS(Trechos!$F$2:$F$526,Trechos!$L$2:$L$526,A470)</f>
        <v>5.11387270273531</v>
      </c>
      <c r="J470" s="41"/>
      <c r="K470" s="41"/>
      <c r="L470" s="41" t="s">
        <v>228</v>
      </c>
      <c r="M470" s="41" t="s">
        <v>50</v>
      </c>
      <c r="N470" s="41" t="str">
        <f aca="false">Blocos!AU78</f>
        <v>—</v>
      </c>
    </row>
    <row r="471" customFormat="false" ht="15" hidden="true" customHeight="false" outlineLevel="1" collapsed="false">
      <c r="F471" s="35" t="s">
        <v>1322</v>
      </c>
      <c r="G471" s="35" t="s">
        <v>775</v>
      </c>
      <c r="H471" s="35" t="s">
        <v>1323</v>
      </c>
      <c r="I471" s="40" t="n">
        <v>5.11387270273531</v>
      </c>
      <c r="J471" s="36" t="n">
        <v>1248.46906512298</v>
      </c>
      <c r="K471" s="35"/>
    </row>
    <row r="472" customFormat="false" ht="15" hidden="false" customHeight="false" outlineLevel="0" collapsed="true">
      <c r="A472" s="41" t="n">
        <v>78</v>
      </c>
      <c r="B472" s="41" t="s">
        <v>21</v>
      </c>
      <c r="C472" s="41" t="s">
        <v>283</v>
      </c>
      <c r="D472" s="41" t="s">
        <v>487</v>
      </c>
      <c r="E472" s="41" t="s">
        <v>230</v>
      </c>
      <c r="F472" s="41" t="str">
        <f aca="false">COUNTIFS(Trechos!$L$2:$L$526,A472)&amp;" vãos"</f>
        <v>91 vãos</v>
      </c>
      <c r="G472" s="41"/>
      <c r="H472" s="41"/>
      <c r="I472" s="42" t="n">
        <f aca="false">SUMIFS(Trechos!$F$2:$F$526,Trechos!$L$2:$L$526,A472)</f>
        <v>1736.31371865627</v>
      </c>
      <c r="J472" s="41"/>
      <c r="K472" s="41"/>
      <c r="L472" s="41" t="s">
        <v>231</v>
      </c>
      <c r="M472" s="41" t="s">
        <v>232</v>
      </c>
      <c r="N472" s="41" t="str">
        <f aca="false">Blocos!AU79</f>
        <v>0330915004, 0203711004, 0202227004, 0204190004, 0200482004, 0200484004, 0200489004, 0200490004, 0230938004, 0200492004, 0202676004, 0303862004, 0229036004, 0200495004, 0201153004</v>
      </c>
    </row>
    <row r="473" customFormat="false" ht="15" hidden="true" customHeight="false" outlineLevel="1" collapsed="false">
      <c r="F473" s="35" t="s">
        <v>1324</v>
      </c>
      <c r="G473" s="35" t="s">
        <v>781</v>
      </c>
      <c r="H473" s="35" t="s">
        <v>1325</v>
      </c>
      <c r="I473" s="40" t="n">
        <v>2.04197237448375</v>
      </c>
      <c r="J473" s="36" t="n">
        <v>2.04197237448352</v>
      </c>
      <c r="K473" s="35"/>
    </row>
    <row r="474" customFormat="false" ht="15" hidden="true" customHeight="false" outlineLevel="1" collapsed="false">
      <c r="F474" s="35" t="s">
        <v>1326</v>
      </c>
      <c r="G474" s="35" t="s">
        <v>1325</v>
      </c>
      <c r="H474" s="35" t="s">
        <v>1327</v>
      </c>
      <c r="I474" s="40" t="n">
        <v>0.351353840256877</v>
      </c>
      <c r="J474" s="36" t="n">
        <v>2.39332621474023</v>
      </c>
      <c r="K474" s="35"/>
    </row>
    <row r="475" customFormat="false" ht="15" hidden="true" customHeight="false" outlineLevel="1" collapsed="false">
      <c r="F475" s="35" t="s">
        <v>1328</v>
      </c>
      <c r="G475" s="35" t="s">
        <v>1327</v>
      </c>
      <c r="H475" s="35" t="s">
        <v>1329</v>
      </c>
      <c r="I475" s="40" t="n">
        <v>2.86200495186962</v>
      </c>
      <c r="J475" s="36" t="n">
        <v>5.25533116660972</v>
      </c>
      <c r="K475" s="35"/>
    </row>
    <row r="476" customFormat="false" ht="15" hidden="true" customHeight="false" outlineLevel="1" collapsed="false">
      <c r="F476" s="35" t="s">
        <v>1330</v>
      </c>
      <c r="G476" s="35" t="s">
        <v>1329</v>
      </c>
      <c r="H476" s="35" t="s">
        <v>1331</v>
      </c>
      <c r="I476" s="40" t="n">
        <v>100.090223558677</v>
      </c>
      <c r="J476" s="36" t="n">
        <v>105.345554725287</v>
      </c>
      <c r="K476" s="35"/>
    </row>
    <row r="477" customFormat="false" ht="15" hidden="true" customHeight="false" outlineLevel="1" collapsed="false">
      <c r="F477" s="35" t="s">
        <v>1332</v>
      </c>
      <c r="G477" s="35" t="s">
        <v>1331</v>
      </c>
      <c r="H477" s="35" t="s">
        <v>1333</v>
      </c>
      <c r="I477" s="40" t="n">
        <v>22.8970076602246</v>
      </c>
      <c r="J477" s="36" t="n">
        <v>128.242562385512</v>
      </c>
      <c r="K477" s="35"/>
    </row>
    <row r="478" customFormat="false" ht="15" hidden="true" customHeight="false" outlineLevel="1" collapsed="false">
      <c r="F478" s="35" t="s">
        <v>1334</v>
      </c>
      <c r="G478" s="35" t="s">
        <v>1333</v>
      </c>
      <c r="H478" s="35" t="s">
        <v>1335</v>
      </c>
      <c r="I478" s="40" t="n">
        <v>105.116086667758</v>
      </c>
      <c r="J478" s="36" t="n">
        <v>233.35864905327</v>
      </c>
      <c r="K478" s="35"/>
    </row>
    <row r="479" customFormat="false" ht="15" hidden="true" customHeight="false" outlineLevel="1" collapsed="false">
      <c r="F479" s="35" t="s">
        <v>1336</v>
      </c>
      <c r="G479" s="35" t="s">
        <v>1335</v>
      </c>
      <c r="H479" s="35" t="s">
        <v>1337</v>
      </c>
      <c r="I479" s="40" t="n">
        <v>13.2674088321104</v>
      </c>
      <c r="J479" s="36" t="n">
        <v>246.62605788538</v>
      </c>
      <c r="K479" s="35"/>
    </row>
    <row r="480" customFormat="false" ht="15" hidden="true" customHeight="false" outlineLevel="1" collapsed="false">
      <c r="F480" s="35" t="s">
        <v>1338</v>
      </c>
      <c r="G480" s="35" t="s">
        <v>1337</v>
      </c>
      <c r="H480" s="35" t="s">
        <v>1339</v>
      </c>
      <c r="I480" s="40" t="n">
        <v>1.71354333076682</v>
      </c>
      <c r="J480" s="36" t="n">
        <v>248.339601216147</v>
      </c>
      <c r="K480" s="35" t="s">
        <v>1340</v>
      </c>
    </row>
    <row r="481" customFormat="false" ht="15" hidden="true" customHeight="false" outlineLevel="1" collapsed="false">
      <c r="F481" s="35" t="s">
        <v>1341</v>
      </c>
      <c r="G481" s="35" t="s">
        <v>1339</v>
      </c>
      <c r="H481" s="35" t="s">
        <v>1342</v>
      </c>
      <c r="I481" s="40" t="n">
        <v>15.3980383934369</v>
      </c>
      <c r="J481" s="36" t="n">
        <v>263.737639609583</v>
      </c>
      <c r="K481" s="35"/>
    </row>
    <row r="482" customFormat="false" ht="15" hidden="true" customHeight="false" outlineLevel="1" collapsed="false">
      <c r="F482" s="35" t="s">
        <v>1343</v>
      </c>
      <c r="G482" s="35" t="s">
        <v>1342</v>
      </c>
      <c r="H482" s="35" t="s">
        <v>1344</v>
      </c>
      <c r="I482" s="40" t="n">
        <v>30.5598260969807</v>
      </c>
      <c r="J482" s="36" t="n">
        <v>294.297465706564</v>
      </c>
      <c r="K482" s="35"/>
    </row>
    <row r="483" customFormat="false" ht="15" hidden="true" customHeight="false" outlineLevel="1" collapsed="false">
      <c r="F483" s="35" t="s">
        <v>1345</v>
      </c>
      <c r="G483" s="35" t="s">
        <v>1344</v>
      </c>
      <c r="H483" s="35" t="s">
        <v>1346</v>
      </c>
      <c r="I483" s="40" t="n">
        <v>29.812920747405</v>
      </c>
      <c r="J483" s="36" t="n">
        <v>324.110386453969</v>
      </c>
      <c r="K483" s="35"/>
    </row>
    <row r="484" customFormat="false" ht="15" hidden="true" customHeight="false" outlineLevel="1" collapsed="false">
      <c r="F484" s="35" t="s">
        <v>1347</v>
      </c>
      <c r="G484" s="35" t="s">
        <v>1346</v>
      </c>
      <c r="H484" s="35" t="s">
        <v>1348</v>
      </c>
      <c r="I484" s="40" t="n">
        <v>29.7063506691495</v>
      </c>
      <c r="J484" s="36" t="n">
        <v>353.816737123118</v>
      </c>
      <c r="K484" s="35"/>
    </row>
    <row r="485" customFormat="false" ht="15" hidden="true" customHeight="false" outlineLevel="1" collapsed="false">
      <c r="F485" s="35" t="s">
        <v>1349</v>
      </c>
      <c r="G485" s="35" t="s">
        <v>1348</v>
      </c>
      <c r="H485" s="35" t="s">
        <v>1350</v>
      </c>
      <c r="I485" s="40" t="n">
        <v>37.498237149433</v>
      </c>
      <c r="J485" s="36" t="n">
        <v>391.314974272552</v>
      </c>
      <c r="K485" s="35"/>
    </row>
    <row r="486" customFormat="false" ht="15" hidden="true" customHeight="false" outlineLevel="1" collapsed="false">
      <c r="F486" s="35" t="s">
        <v>1351</v>
      </c>
      <c r="G486" s="35" t="s">
        <v>1348</v>
      </c>
      <c r="H486" s="35" t="s">
        <v>1352</v>
      </c>
      <c r="I486" s="40" t="n">
        <v>9.38789294057289</v>
      </c>
      <c r="J486" s="36" t="n">
        <v>363.204630063691</v>
      </c>
      <c r="K486" s="35"/>
    </row>
    <row r="487" customFormat="false" ht="15" hidden="true" customHeight="false" outlineLevel="1" collapsed="false">
      <c r="F487" s="35" t="s">
        <v>1353</v>
      </c>
      <c r="G487" s="35" t="s">
        <v>1352</v>
      </c>
      <c r="H487" s="35" t="s">
        <v>1354</v>
      </c>
      <c r="I487" s="40" t="n">
        <v>31.4624012209987</v>
      </c>
      <c r="J487" s="36" t="n">
        <v>394.66703128469</v>
      </c>
      <c r="K487" s="35"/>
    </row>
    <row r="488" customFormat="false" ht="15" hidden="true" customHeight="false" outlineLevel="1" collapsed="false">
      <c r="F488" s="35" t="s">
        <v>1355</v>
      </c>
      <c r="G488" s="35" t="s">
        <v>1354</v>
      </c>
      <c r="H488" s="35" t="s">
        <v>1356</v>
      </c>
      <c r="I488" s="40" t="n">
        <v>30.9418194444797</v>
      </c>
      <c r="J488" s="36" t="n">
        <v>425.60885072917</v>
      </c>
      <c r="K488" s="35"/>
    </row>
    <row r="489" customFormat="false" ht="15" hidden="true" customHeight="false" outlineLevel="1" collapsed="false">
      <c r="F489" s="35" t="s">
        <v>1357</v>
      </c>
      <c r="G489" s="35" t="s">
        <v>1356</v>
      </c>
      <c r="H489" s="35" t="s">
        <v>1358</v>
      </c>
      <c r="I489" s="40" t="n">
        <v>1.30031201947912</v>
      </c>
      <c r="J489" s="36" t="n">
        <v>426.909162748649</v>
      </c>
      <c r="K489" s="35" t="s">
        <v>1359</v>
      </c>
    </row>
    <row r="490" customFormat="false" ht="15" hidden="true" customHeight="false" outlineLevel="1" collapsed="false">
      <c r="F490" s="35" t="s">
        <v>1360</v>
      </c>
      <c r="G490" s="35" t="s">
        <v>1358</v>
      </c>
      <c r="H490" s="35" t="s">
        <v>1361</v>
      </c>
      <c r="I490" s="40" t="n">
        <v>10.8684601030174</v>
      </c>
      <c r="J490" s="36" t="n">
        <v>437.777622851666</v>
      </c>
      <c r="K490" s="35"/>
    </row>
    <row r="491" customFormat="false" ht="15" hidden="true" customHeight="false" outlineLevel="1" collapsed="false">
      <c r="F491" s="35" t="s">
        <v>1362</v>
      </c>
      <c r="G491" s="35" t="s">
        <v>1361</v>
      </c>
      <c r="H491" s="35" t="s">
        <v>1363</v>
      </c>
      <c r="I491" s="40" t="n">
        <v>14.9755127896219</v>
      </c>
      <c r="J491" s="36" t="n">
        <v>452.753135641287</v>
      </c>
      <c r="K491" s="35"/>
    </row>
    <row r="492" customFormat="false" ht="15" hidden="true" customHeight="false" outlineLevel="1" collapsed="false">
      <c r="F492" s="35" t="s">
        <v>1364</v>
      </c>
      <c r="G492" s="35" t="s">
        <v>1363</v>
      </c>
      <c r="H492" s="35" t="s">
        <v>1365</v>
      </c>
      <c r="I492" s="40" t="n">
        <v>31.5689124527314</v>
      </c>
      <c r="J492" s="36" t="n">
        <v>484.322048094019</v>
      </c>
      <c r="K492" s="35"/>
    </row>
    <row r="493" customFormat="false" ht="15" hidden="true" customHeight="false" outlineLevel="1" collapsed="false">
      <c r="F493" s="35" t="s">
        <v>1366</v>
      </c>
      <c r="G493" s="35" t="s">
        <v>1365</v>
      </c>
      <c r="H493" s="35" t="s">
        <v>1367</v>
      </c>
      <c r="I493" s="40" t="n">
        <v>35.0415473845152</v>
      </c>
      <c r="J493" s="36" t="n">
        <v>519.363595478534</v>
      </c>
      <c r="K493" s="35"/>
    </row>
    <row r="494" customFormat="false" ht="15" hidden="true" customHeight="false" outlineLevel="1" collapsed="false">
      <c r="F494" s="35" t="s">
        <v>1368</v>
      </c>
      <c r="G494" s="35" t="s">
        <v>1367</v>
      </c>
      <c r="H494" s="35" t="s">
        <v>1369</v>
      </c>
      <c r="I494" s="40" t="n">
        <v>6.36535197037655</v>
      </c>
      <c r="J494" s="36" t="n">
        <v>525.728947448911</v>
      </c>
      <c r="K494" s="35"/>
    </row>
    <row r="495" customFormat="false" ht="15" hidden="true" customHeight="false" outlineLevel="1" collapsed="false">
      <c r="F495" s="35" t="s">
        <v>1370</v>
      </c>
      <c r="G495" s="35" t="s">
        <v>1369</v>
      </c>
      <c r="H495" s="35" t="s">
        <v>1371</v>
      </c>
      <c r="I495" s="40" t="n">
        <v>50.1754386331962</v>
      </c>
      <c r="J495" s="36" t="n">
        <v>575.904386082107</v>
      </c>
      <c r="K495" s="35"/>
    </row>
    <row r="496" customFormat="false" ht="15" hidden="true" customHeight="false" outlineLevel="1" collapsed="false">
      <c r="F496" s="35" t="s">
        <v>1372</v>
      </c>
      <c r="G496" s="35" t="s">
        <v>1371</v>
      </c>
      <c r="H496" s="35" t="s">
        <v>1373</v>
      </c>
      <c r="I496" s="40" t="n">
        <v>38.4363936368477</v>
      </c>
      <c r="J496" s="36" t="n">
        <v>614.340779718955</v>
      </c>
      <c r="K496" s="35"/>
    </row>
    <row r="497" customFormat="false" ht="15" hidden="true" customHeight="false" outlineLevel="1" collapsed="false">
      <c r="F497" s="35" t="s">
        <v>1374</v>
      </c>
      <c r="G497" s="35" t="s">
        <v>1363</v>
      </c>
      <c r="H497" s="35" t="s">
        <v>1375</v>
      </c>
      <c r="I497" s="40" t="n">
        <v>1.60725373850292</v>
      </c>
      <c r="J497" s="36" t="n">
        <v>454.36038937979</v>
      </c>
      <c r="K497" s="35" t="s">
        <v>1376</v>
      </c>
    </row>
    <row r="498" customFormat="false" ht="15" hidden="true" customHeight="false" outlineLevel="1" collapsed="false">
      <c r="F498" s="35" t="s">
        <v>1377</v>
      </c>
      <c r="G498" s="35" t="s">
        <v>1375</v>
      </c>
      <c r="H498" s="35" t="s">
        <v>1378</v>
      </c>
      <c r="I498" s="40" t="n">
        <v>14.0015601713899</v>
      </c>
      <c r="J498" s="36" t="n">
        <v>468.361949551179</v>
      </c>
      <c r="K498" s="35"/>
    </row>
    <row r="499" customFormat="false" ht="15" hidden="true" customHeight="false" outlineLevel="1" collapsed="false">
      <c r="F499" s="35" t="s">
        <v>1379</v>
      </c>
      <c r="G499" s="35" t="s">
        <v>1378</v>
      </c>
      <c r="H499" s="35" t="s">
        <v>1380</v>
      </c>
      <c r="I499" s="40" t="n">
        <v>53.5685967213713</v>
      </c>
      <c r="J499" s="36" t="n">
        <v>521.930546272551</v>
      </c>
      <c r="K499" s="35"/>
    </row>
    <row r="500" customFormat="false" ht="15" hidden="true" customHeight="false" outlineLevel="1" collapsed="false">
      <c r="F500" s="35" t="s">
        <v>1381</v>
      </c>
      <c r="G500" s="35" t="s">
        <v>1380</v>
      </c>
      <c r="H500" s="35" t="s">
        <v>1382</v>
      </c>
      <c r="I500" s="40" t="n">
        <v>1.92912537228788</v>
      </c>
      <c r="J500" s="36" t="n">
        <v>523.859671644838</v>
      </c>
      <c r="K500" s="35"/>
    </row>
    <row r="501" customFormat="false" ht="15" hidden="true" customHeight="false" outlineLevel="1" collapsed="false">
      <c r="F501" s="35" t="s">
        <v>1383</v>
      </c>
      <c r="G501" s="35" t="s">
        <v>1382</v>
      </c>
      <c r="H501" s="35" t="s">
        <v>1384</v>
      </c>
      <c r="I501" s="40" t="n">
        <v>13.4112563809549</v>
      </c>
      <c r="J501" s="36" t="n">
        <v>537.270928025793</v>
      </c>
      <c r="K501" s="35"/>
    </row>
    <row r="502" customFormat="false" ht="15" hidden="true" customHeight="false" outlineLevel="1" collapsed="false">
      <c r="F502" s="35" t="s">
        <v>1385</v>
      </c>
      <c r="G502" s="35" t="s">
        <v>1384</v>
      </c>
      <c r="H502" s="35" t="s">
        <v>1386</v>
      </c>
      <c r="I502" s="40" t="n">
        <v>13.0254070278481</v>
      </c>
      <c r="J502" s="36" t="n">
        <v>550.296335053641</v>
      </c>
      <c r="K502" s="35"/>
    </row>
    <row r="503" customFormat="false" ht="15" hidden="true" customHeight="false" outlineLevel="1" collapsed="false">
      <c r="F503" s="35" t="s">
        <v>1387</v>
      </c>
      <c r="G503" s="35" t="s">
        <v>1380</v>
      </c>
      <c r="H503" s="35" t="s">
        <v>1388</v>
      </c>
      <c r="I503" s="40" t="n">
        <v>15.9244329383117</v>
      </c>
      <c r="J503" s="36" t="n">
        <v>537.854979210862</v>
      </c>
      <c r="K503" s="35"/>
    </row>
    <row r="504" customFormat="false" ht="15" hidden="true" customHeight="false" outlineLevel="1" collapsed="false">
      <c r="F504" s="35" t="s">
        <v>1389</v>
      </c>
      <c r="G504" s="35" t="s">
        <v>1388</v>
      </c>
      <c r="H504" s="35" t="s">
        <v>1390</v>
      </c>
      <c r="I504" s="40" t="n">
        <v>24.9337245557702</v>
      </c>
      <c r="J504" s="36" t="n">
        <v>562.788703766632</v>
      </c>
      <c r="K504" s="35"/>
    </row>
    <row r="505" customFormat="false" ht="15" hidden="true" customHeight="false" outlineLevel="1" collapsed="false">
      <c r="F505" s="35" t="s">
        <v>1391</v>
      </c>
      <c r="G505" s="35" t="s">
        <v>1390</v>
      </c>
      <c r="H505" s="35" t="s">
        <v>1392</v>
      </c>
      <c r="I505" s="40" t="n">
        <v>26.3298684171045</v>
      </c>
      <c r="J505" s="36" t="n">
        <v>589.118572183736</v>
      </c>
      <c r="K505" s="35"/>
    </row>
    <row r="506" customFormat="false" ht="15" hidden="true" customHeight="false" outlineLevel="1" collapsed="false">
      <c r="F506" s="35" t="s">
        <v>1393</v>
      </c>
      <c r="G506" s="35" t="s">
        <v>1392</v>
      </c>
      <c r="H506" s="35" t="s">
        <v>1394</v>
      </c>
      <c r="I506" s="40" t="n">
        <v>31.632848537148</v>
      </c>
      <c r="J506" s="36" t="n">
        <v>620.751420720884</v>
      </c>
      <c r="K506" s="35"/>
    </row>
    <row r="507" customFormat="false" ht="15" hidden="true" customHeight="false" outlineLevel="1" collapsed="false">
      <c r="F507" s="35" t="s">
        <v>1395</v>
      </c>
      <c r="G507" s="35" t="s">
        <v>1394</v>
      </c>
      <c r="H507" s="35" t="s">
        <v>1396</v>
      </c>
      <c r="I507" s="40" t="n">
        <v>3.83168342978909</v>
      </c>
      <c r="J507" s="36" t="n">
        <v>624.583104150674</v>
      </c>
      <c r="K507" s="35"/>
    </row>
    <row r="508" customFormat="false" ht="15" hidden="true" customHeight="false" outlineLevel="1" collapsed="false">
      <c r="F508" s="35" t="s">
        <v>1397</v>
      </c>
      <c r="G508" s="35" t="s">
        <v>1396</v>
      </c>
      <c r="H508" s="35" t="s">
        <v>1398</v>
      </c>
      <c r="I508" s="40" t="n">
        <v>63.7556567107083</v>
      </c>
      <c r="J508" s="36" t="n">
        <v>688.338760861382</v>
      </c>
      <c r="K508" s="35"/>
    </row>
    <row r="509" customFormat="false" ht="15" hidden="true" customHeight="false" outlineLevel="1" collapsed="false">
      <c r="F509" s="35" t="s">
        <v>1399</v>
      </c>
      <c r="G509" s="35" t="s">
        <v>1398</v>
      </c>
      <c r="H509" s="35" t="s">
        <v>1400</v>
      </c>
      <c r="I509" s="40" t="n">
        <v>31.890123395006</v>
      </c>
      <c r="J509" s="36" t="n">
        <v>720.228884256389</v>
      </c>
      <c r="K509" s="35"/>
    </row>
    <row r="510" customFormat="false" ht="15" hidden="true" customHeight="false" outlineLevel="1" collapsed="false">
      <c r="F510" s="35" t="s">
        <v>1401</v>
      </c>
      <c r="G510" s="35" t="s">
        <v>1400</v>
      </c>
      <c r="H510" s="35" t="s">
        <v>1402</v>
      </c>
      <c r="I510" s="40" t="n">
        <v>4.23061034948215</v>
      </c>
      <c r="J510" s="36" t="n">
        <v>724.459494605871</v>
      </c>
      <c r="K510" s="35"/>
    </row>
    <row r="511" customFormat="false" ht="15" hidden="true" customHeight="false" outlineLevel="1" collapsed="false">
      <c r="F511" s="35" t="s">
        <v>1403</v>
      </c>
      <c r="G511" s="35" t="s">
        <v>1402</v>
      </c>
      <c r="H511" s="35" t="s">
        <v>1404</v>
      </c>
      <c r="I511" s="40" t="n">
        <v>17.3006902546738</v>
      </c>
      <c r="J511" s="36" t="n">
        <v>741.760184860545</v>
      </c>
      <c r="K511" s="35"/>
    </row>
    <row r="512" customFormat="false" ht="15" hidden="true" customHeight="false" outlineLevel="1" collapsed="false">
      <c r="F512" s="35" t="s">
        <v>1405</v>
      </c>
      <c r="G512" s="35" t="s">
        <v>1404</v>
      </c>
      <c r="H512" s="35" t="s">
        <v>1406</v>
      </c>
      <c r="I512" s="40" t="n">
        <v>24.828368293906</v>
      </c>
      <c r="J512" s="36" t="n">
        <v>766.588553154451</v>
      </c>
      <c r="K512" s="35"/>
    </row>
    <row r="513" customFormat="false" ht="15" hidden="true" customHeight="false" outlineLevel="1" collapsed="false">
      <c r="F513" s="35" t="s">
        <v>1407</v>
      </c>
      <c r="G513" s="35" t="s">
        <v>1404</v>
      </c>
      <c r="H513" s="35" t="s">
        <v>1408</v>
      </c>
      <c r="I513" s="40" t="n">
        <v>0.783182191523194</v>
      </c>
      <c r="J513" s="36" t="n">
        <v>742.543367052068</v>
      </c>
      <c r="K513" s="35"/>
    </row>
    <row r="514" customFormat="false" ht="15" hidden="true" customHeight="false" outlineLevel="1" collapsed="false">
      <c r="F514" s="35" t="s">
        <v>1409</v>
      </c>
      <c r="G514" s="35" t="s">
        <v>1398</v>
      </c>
      <c r="H514" s="35" t="s">
        <v>1410</v>
      </c>
      <c r="I514" s="40" t="n">
        <v>50.2249837669704</v>
      </c>
      <c r="J514" s="36" t="n">
        <v>738.563744628353</v>
      </c>
      <c r="K514" s="35"/>
    </row>
    <row r="515" customFormat="false" ht="15" hidden="true" customHeight="false" outlineLevel="1" collapsed="false">
      <c r="F515" s="35" t="s">
        <v>1411</v>
      </c>
      <c r="G515" s="35" t="s">
        <v>1410</v>
      </c>
      <c r="H515" s="35" t="s">
        <v>1412</v>
      </c>
      <c r="I515" s="40" t="n">
        <v>32.2390501807261</v>
      </c>
      <c r="J515" s="36" t="n">
        <v>770.802794809079</v>
      </c>
      <c r="K515" s="35"/>
    </row>
    <row r="516" customFormat="false" ht="15" hidden="true" customHeight="false" outlineLevel="1" collapsed="false">
      <c r="F516" s="35" t="s">
        <v>1413</v>
      </c>
      <c r="G516" s="35" t="s">
        <v>1410</v>
      </c>
      <c r="H516" s="35" t="s">
        <v>1414</v>
      </c>
      <c r="I516" s="40" t="n">
        <v>15.5601411275504</v>
      </c>
      <c r="J516" s="36" t="n">
        <v>754.123885755903</v>
      </c>
      <c r="K516" s="35"/>
    </row>
    <row r="517" customFormat="false" ht="15" hidden="true" customHeight="false" outlineLevel="1" collapsed="false">
      <c r="F517" s="35" t="s">
        <v>1415</v>
      </c>
      <c r="G517" s="35" t="s">
        <v>1398</v>
      </c>
      <c r="H517" s="35" t="s">
        <v>1416</v>
      </c>
      <c r="I517" s="40" t="n">
        <v>46.4697542375884</v>
      </c>
      <c r="J517" s="36" t="n">
        <v>734.80851509897</v>
      </c>
      <c r="K517" s="35"/>
    </row>
    <row r="518" customFormat="false" ht="15" hidden="true" customHeight="false" outlineLevel="1" collapsed="false">
      <c r="F518" s="35" t="s">
        <v>1417</v>
      </c>
      <c r="G518" s="35" t="s">
        <v>1416</v>
      </c>
      <c r="H518" s="35" t="s">
        <v>1418</v>
      </c>
      <c r="I518" s="40" t="n">
        <v>37.2208328864097</v>
      </c>
      <c r="J518" s="36" t="n">
        <v>772.02934798538</v>
      </c>
      <c r="K518" s="35"/>
    </row>
    <row r="519" customFormat="false" ht="15" hidden="true" customHeight="false" outlineLevel="1" collapsed="false">
      <c r="F519" s="35" t="s">
        <v>1419</v>
      </c>
      <c r="G519" s="35" t="s">
        <v>1392</v>
      </c>
      <c r="H519" s="35" t="s">
        <v>1420</v>
      </c>
      <c r="I519" s="40" t="n">
        <v>36.4774356442136</v>
      </c>
      <c r="J519" s="36" t="n">
        <v>625.59600782795</v>
      </c>
      <c r="K519" s="35"/>
    </row>
    <row r="520" customFormat="false" ht="15" hidden="true" customHeight="false" outlineLevel="1" collapsed="false">
      <c r="F520" s="35" t="s">
        <v>1421</v>
      </c>
      <c r="G520" s="35" t="s">
        <v>1420</v>
      </c>
      <c r="H520" s="35" t="s">
        <v>1422</v>
      </c>
      <c r="I520" s="40" t="n">
        <v>3.66605687940877</v>
      </c>
      <c r="J520" s="36" t="n">
        <v>629.262064707359</v>
      </c>
      <c r="K520" s="35"/>
    </row>
    <row r="521" customFormat="false" ht="15" hidden="true" customHeight="false" outlineLevel="1" collapsed="false">
      <c r="F521" s="35" t="s">
        <v>1423</v>
      </c>
      <c r="G521" s="35" t="s">
        <v>1422</v>
      </c>
      <c r="H521" s="35" t="s">
        <v>1424</v>
      </c>
      <c r="I521" s="40" t="n">
        <v>10.7519795204491</v>
      </c>
      <c r="J521" s="36" t="n">
        <v>640.014044227808</v>
      </c>
      <c r="K521" s="35"/>
    </row>
    <row r="522" customFormat="false" ht="15" hidden="true" customHeight="false" outlineLevel="1" collapsed="false">
      <c r="F522" s="35" t="s">
        <v>1425</v>
      </c>
      <c r="G522" s="35" t="s">
        <v>1424</v>
      </c>
      <c r="H522" s="35" t="s">
        <v>1426</v>
      </c>
      <c r="I522" s="40" t="n">
        <v>18.8071944275262</v>
      </c>
      <c r="J522" s="36" t="n">
        <v>658.821238655334</v>
      </c>
      <c r="K522" s="35"/>
    </row>
    <row r="523" customFormat="false" ht="15" hidden="true" customHeight="false" outlineLevel="1" collapsed="false">
      <c r="F523" s="35" t="s">
        <v>1427</v>
      </c>
      <c r="G523" s="35" t="s">
        <v>1424</v>
      </c>
      <c r="H523" s="35" t="s">
        <v>1428</v>
      </c>
      <c r="I523" s="40" t="n">
        <v>1.64150618337416</v>
      </c>
      <c r="J523" s="36" t="n">
        <v>641.655550411182</v>
      </c>
      <c r="K523" s="35"/>
    </row>
    <row r="524" customFormat="false" ht="15" hidden="true" customHeight="false" outlineLevel="1" collapsed="false">
      <c r="F524" s="35" t="s">
        <v>1429</v>
      </c>
      <c r="G524" s="35" t="s">
        <v>1420</v>
      </c>
      <c r="H524" s="35" t="s">
        <v>1430</v>
      </c>
      <c r="I524" s="40" t="n">
        <v>3.9706153041147</v>
      </c>
      <c r="J524" s="36" t="n">
        <v>629.566623132065</v>
      </c>
      <c r="K524" s="35"/>
    </row>
    <row r="525" customFormat="false" ht="15" hidden="true" customHeight="false" outlineLevel="1" collapsed="false">
      <c r="F525" s="35" t="s">
        <v>1431</v>
      </c>
      <c r="G525" s="35" t="s">
        <v>1392</v>
      </c>
      <c r="H525" s="35" t="s">
        <v>1432</v>
      </c>
      <c r="I525" s="40" t="n">
        <v>30.1772083490265</v>
      </c>
      <c r="J525" s="36" t="n">
        <v>619.295780532763</v>
      </c>
      <c r="K525" s="35"/>
    </row>
    <row r="526" customFormat="false" ht="15" hidden="true" customHeight="false" outlineLevel="1" collapsed="false">
      <c r="F526" s="35" t="s">
        <v>1433</v>
      </c>
      <c r="G526" s="35" t="s">
        <v>1432</v>
      </c>
      <c r="H526" s="35" t="s">
        <v>1434</v>
      </c>
      <c r="I526" s="40" t="n">
        <v>26.3298762474634</v>
      </c>
      <c r="J526" s="36" t="n">
        <v>645.625656780227</v>
      </c>
      <c r="K526" s="35"/>
    </row>
    <row r="527" customFormat="false" ht="15" hidden="true" customHeight="false" outlineLevel="1" collapsed="false">
      <c r="F527" s="35" t="s">
        <v>1435</v>
      </c>
      <c r="G527" s="35" t="s">
        <v>1434</v>
      </c>
      <c r="H527" s="35" t="s">
        <v>1436</v>
      </c>
      <c r="I527" s="40" t="n">
        <v>11.979962681337</v>
      </c>
      <c r="J527" s="36" t="n">
        <v>657.605619461564</v>
      </c>
      <c r="K527" s="35"/>
    </row>
    <row r="528" customFormat="false" ht="15" hidden="true" customHeight="false" outlineLevel="1" collapsed="false">
      <c r="F528" s="35" t="s">
        <v>1437</v>
      </c>
      <c r="G528" s="35" t="s">
        <v>1436</v>
      </c>
      <c r="H528" s="35" t="s">
        <v>1438</v>
      </c>
      <c r="I528" s="40" t="n">
        <v>16.4096574891642</v>
      </c>
      <c r="J528" s="36" t="n">
        <v>674.015276950729</v>
      </c>
      <c r="K528" s="35"/>
    </row>
    <row r="529" customFormat="false" ht="15" hidden="true" customHeight="false" outlineLevel="1" collapsed="false">
      <c r="F529" s="35" t="s">
        <v>1439</v>
      </c>
      <c r="G529" s="35" t="s">
        <v>1434</v>
      </c>
      <c r="H529" s="35" t="s">
        <v>1440</v>
      </c>
      <c r="I529" s="40" t="n">
        <v>1.13362852754135</v>
      </c>
      <c r="J529" s="36" t="n">
        <v>646.759285307768</v>
      </c>
      <c r="K529" s="35"/>
    </row>
    <row r="530" customFormat="false" ht="15" hidden="true" customHeight="false" outlineLevel="1" collapsed="false">
      <c r="F530" s="35" t="s">
        <v>1441</v>
      </c>
      <c r="G530" s="35" t="s">
        <v>1432</v>
      </c>
      <c r="H530" s="35" t="s">
        <v>1442</v>
      </c>
      <c r="I530" s="40" t="n">
        <v>0.15663628271462</v>
      </c>
      <c r="J530" s="36" t="n">
        <v>619.452416815478</v>
      </c>
      <c r="K530" s="35"/>
    </row>
    <row r="531" customFormat="false" ht="15" hidden="true" customHeight="false" outlineLevel="1" collapsed="false">
      <c r="F531" s="35" t="s">
        <v>1443</v>
      </c>
      <c r="G531" s="35" t="s">
        <v>1388</v>
      </c>
      <c r="H531" s="35" t="s">
        <v>1444</v>
      </c>
      <c r="I531" s="40" t="n">
        <v>1.89353021812622</v>
      </c>
      <c r="J531" s="36" t="n">
        <v>539.748509428989</v>
      </c>
      <c r="K531" s="35"/>
    </row>
    <row r="532" customFormat="false" ht="15" hidden="true" customHeight="false" outlineLevel="1" collapsed="false">
      <c r="F532" s="35" t="s">
        <v>1445</v>
      </c>
      <c r="G532" s="35" t="s">
        <v>1378</v>
      </c>
      <c r="H532" s="35" t="s">
        <v>1446</v>
      </c>
      <c r="I532" s="40" t="n">
        <v>1.02478857112366</v>
      </c>
      <c r="J532" s="36" t="n">
        <v>469.386738122303</v>
      </c>
      <c r="K532" s="35"/>
    </row>
    <row r="533" customFormat="false" ht="15" hidden="true" customHeight="false" outlineLevel="1" collapsed="false">
      <c r="F533" s="35" t="s">
        <v>1447</v>
      </c>
      <c r="G533" s="35" t="s">
        <v>1354</v>
      </c>
      <c r="H533" s="35" t="s">
        <v>1448</v>
      </c>
      <c r="I533" s="40" t="n">
        <v>1.44652754570713</v>
      </c>
      <c r="J533" s="36" t="n">
        <v>396.113558830397</v>
      </c>
      <c r="K533" s="35"/>
    </row>
    <row r="534" customFormat="false" ht="15" hidden="true" customHeight="false" outlineLevel="1" collapsed="false">
      <c r="F534" s="35" t="s">
        <v>1449</v>
      </c>
      <c r="G534" s="35" t="s">
        <v>1352</v>
      </c>
      <c r="H534" s="35" t="s">
        <v>1450</v>
      </c>
      <c r="I534" s="40" t="n">
        <v>1.58010205439812</v>
      </c>
      <c r="J534" s="36" t="n">
        <v>364.784732118089</v>
      </c>
      <c r="K534" s="35"/>
    </row>
    <row r="535" customFormat="false" ht="15" hidden="true" customHeight="false" outlineLevel="1" collapsed="false">
      <c r="F535" s="35" t="s">
        <v>1451</v>
      </c>
      <c r="G535" s="35" t="s">
        <v>1348</v>
      </c>
      <c r="H535" s="35" t="s">
        <v>1452</v>
      </c>
      <c r="I535" s="40" t="n">
        <v>52.7712806715288</v>
      </c>
      <c r="J535" s="36" t="n">
        <v>406.588017794647</v>
      </c>
      <c r="K535" s="35"/>
    </row>
    <row r="536" customFormat="false" ht="15" hidden="true" customHeight="false" outlineLevel="1" collapsed="false">
      <c r="F536" s="35" t="s">
        <v>1453</v>
      </c>
      <c r="G536" s="35" t="s">
        <v>1452</v>
      </c>
      <c r="H536" s="35" t="s">
        <v>1454</v>
      </c>
      <c r="I536" s="40" t="n">
        <v>25.2827774548129</v>
      </c>
      <c r="J536" s="36" t="n">
        <v>431.870795249461</v>
      </c>
      <c r="K536" s="35"/>
    </row>
    <row r="537" customFormat="false" ht="15" hidden="true" customHeight="false" outlineLevel="1" collapsed="false">
      <c r="F537" s="35" t="s">
        <v>1455</v>
      </c>
      <c r="G537" s="35" t="s">
        <v>1452</v>
      </c>
      <c r="H537" s="35" t="s">
        <v>1456</v>
      </c>
      <c r="I537" s="40" t="n">
        <v>1.48949774546007</v>
      </c>
      <c r="J537" s="36" t="n">
        <v>408.077515540107</v>
      </c>
      <c r="K537" s="35"/>
    </row>
    <row r="538" customFormat="false" ht="15" hidden="true" customHeight="false" outlineLevel="1" collapsed="false">
      <c r="F538" s="35" t="s">
        <v>1457</v>
      </c>
      <c r="G538" s="35" t="s">
        <v>1344</v>
      </c>
      <c r="H538" s="35" t="s">
        <v>1458</v>
      </c>
      <c r="I538" s="40" t="n">
        <v>0.34914220195775</v>
      </c>
      <c r="J538" s="36" t="n">
        <v>294.646607908522</v>
      </c>
      <c r="K538" s="35"/>
    </row>
    <row r="539" customFormat="false" ht="15" hidden="true" customHeight="false" outlineLevel="1" collapsed="false">
      <c r="F539" s="35" t="s">
        <v>1459</v>
      </c>
      <c r="G539" s="35" t="s">
        <v>1342</v>
      </c>
      <c r="H539" s="35" t="s">
        <v>1460</v>
      </c>
      <c r="I539" s="40" t="n">
        <v>9.46284508729101</v>
      </c>
      <c r="J539" s="36" t="n">
        <v>273.200484696874</v>
      </c>
      <c r="K539" s="35"/>
    </row>
    <row r="540" customFormat="false" ht="15" hidden="true" customHeight="false" outlineLevel="1" collapsed="false">
      <c r="F540" s="35" t="s">
        <v>1461</v>
      </c>
      <c r="G540" s="35" t="s">
        <v>1460</v>
      </c>
      <c r="H540" s="35" t="s">
        <v>1462</v>
      </c>
      <c r="I540" s="40" t="n">
        <v>3.70124387737861</v>
      </c>
      <c r="J540" s="36" t="n">
        <v>276.901728574253</v>
      </c>
      <c r="K540" s="35" t="s">
        <v>1463</v>
      </c>
    </row>
    <row r="541" customFormat="false" ht="15" hidden="true" customHeight="false" outlineLevel="1" collapsed="false">
      <c r="F541" s="35" t="s">
        <v>1464</v>
      </c>
      <c r="G541" s="35" t="s">
        <v>1462</v>
      </c>
      <c r="H541" s="35" t="s">
        <v>1465</v>
      </c>
      <c r="I541" s="40" t="n">
        <v>32.6794754637511</v>
      </c>
      <c r="J541" s="36" t="n">
        <v>309.581204038004</v>
      </c>
      <c r="K541" s="35"/>
    </row>
    <row r="542" customFormat="false" ht="15" hidden="true" customHeight="false" outlineLevel="1" collapsed="false">
      <c r="F542" s="35" t="s">
        <v>1466</v>
      </c>
      <c r="G542" s="35" t="s">
        <v>1465</v>
      </c>
      <c r="H542" s="35" t="s">
        <v>1467</v>
      </c>
      <c r="I542" s="40" t="n">
        <v>3.80661350400159</v>
      </c>
      <c r="J542" s="36" t="n">
        <v>313.387817542006</v>
      </c>
      <c r="K542" s="35"/>
    </row>
    <row r="543" customFormat="false" ht="15" hidden="true" customHeight="false" outlineLevel="1" collapsed="false">
      <c r="F543" s="35" t="s">
        <v>1468</v>
      </c>
      <c r="G543" s="35" t="s">
        <v>1467</v>
      </c>
      <c r="H543" s="35" t="s">
        <v>1469</v>
      </c>
      <c r="I543" s="40" t="n">
        <v>31.6793134856474</v>
      </c>
      <c r="J543" s="36" t="n">
        <v>345.067131027653</v>
      </c>
      <c r="K543" s="35"/>
    </row>
    <row r="544" customFormat="false" ht="15" hidden="true" customHeight="false" outlineLevel="1" collapsed="false">
      <c r="F544" s="35" t="s">
        <v>1470</v>
      </c>
      <c r="G544" s="35" t="s">
        <v>1469</v>
      </c>
      <c r="H544" s="35" t="s">
        <v>1471</v>
      </c>
      <c r="I544" s="40" t="n">
        <v>65.5343074755156</v>
      </c>
      <c r="J544" s="36" t="n">
        <v>410.601438503169</v>
      </c>
      <c r="K544" s="35"/>
    </row>
    <row r="545" customFormat="false" ht="15" hidden="true" customHeight="false" outlineLevel="1" collapsed="false">
      <c r="F545" s="35" t="s">
        <v>1472</v>
      </c>
      <c r="G545" s="35" t="s">
        <v>1471</v>
      </c>
      <c r="H545" s="35" t="s">
        <v>1473</v>
      </c>
      <c r="I545" s="40" t="n">
        <v>35.8786500210865</v>
      </c>
      <c r="J545" s="36" t="n">
        <v>446.480088524255</v>
      </c>
      <c r="K545" s="35"/>
    </row>
    <row r="546" customFormat="false" ht="15" hidden="true" customHeight="false" outlineLevel="1" collapsed="false">
      <c r="F546" s="35" t="s">
        <v>1474</v>
      </c>
      <c r="G546" s="35" t="s">
        <v>1473</v>
      </c>
      <c r="H546" s="35" t="s">
        <v>1475</v>
      </c>
      <c r="I546" s="40" t="n">
        <v>21.9276198700961</v>
      </c>
      <c r="J546" s="36" t="n">
        <v>468.407708394351</v>
      </c>
      <c r="K546" s="35"/>
    </row>
    <row r="547" customFormat="false" ht="15" hidden="true" customHeight="false" outlineLevel="1" collapsed="false">
      <c r="F547" s="35" t="s">
        <v>1476</v>
      </c>
      <c r="G547" s="35" t="s">
        <v>1473</v>
      </c>
      <c r="H547" s="35" t="s">
        <v>1477</v>
      </c>
      <c r="I547" s="40" t="n">
        <v>0.894752792444758</v>
      </c>
      <c r="J547" s="36" t="n">
        <v>447.3748413167</v>
      </c>
      <c r="K547" s="35"/>
    </row>
    <row r="548" customFormat="false" ht="15" hidden="true" customHeight="false" outlineLevel="1" collapsed="false">
      <c r="F548" s="35" t="s">
        <v>1478</v>
      </c>
      <c r="G548" s="35" t="s">
        <v>1471</v>
      </c>
      <c r="H548" s="35" t="s">
        <v>1479</v>
      </c>
      <c r="I548" s="40" t="n">
        <v>0.222389853107463</v>
      </c>
      <c r="J548" s="36" t="n">
        <v>410.823828356276</v>
      </c>
      <c r="K548" s="35"/>
    </row>
    <row r="549" customFormat="false" ht="15" hidden="true" customHeight="false" outlineLevel="1" collapsed="false">
      <c r="F549" s="35" t="s">
        <v>1480</v>
      </c>
      <c r="G549" s="35" t="s">
        <v>1465</v>
      </c>
      <c r="H549" s="35" t="s">
        <v>1481</v>
      </c>
      <c r="I549" s="40" t="n">
        <v>1.64716425735826</v>
      </c>
      <c r="J549" s="36" t="n">
        <v>311.228368295362</v>
      </c>
      <c r="K549" s="35"/>
    </row>
    <row r="550" customFormat="false" ht="15" hidden="true" customHeight="false" outlineLevel="1" collapsed="false">
      <c r="F550" s="35" t="s">
        <v>1482</v>
      </c>
      <c r="G550" s="35" t="s">
        <v>1481</v>
      </c>
      <c r="H550" s="35" t="s">
        <v>1483</v>
      </c>
      <c r="I550" s="40" t="n">
        <v>0.949132287293016</v>
      </c>
      <c r="J550" s="36" t="n">
        <v>312.177500582655</v>
      </c>
      <c r="K550" s="35"/>
    </row>
    <row r="551" customFormat="false" ht="15" hidden="true" customHeight="false" outlineLevel="1" collapsed="false">
      <c r="F551" s="35" t="s">
        <v>1484</v>
      </c>
      <c r="G551" s="35" t="s">
        <v>1342</v>
      </c>
      <c r="H551" s="35" t="s">
        <v>1485</v>
      </c>
      <c r="I551" s="40" t="n">
        <v>43.35234134183</v>
      </c>
      <c r="J551" s="36" t="n">
        <v>307.089980951413</v>
      </c>
      <c r="K551" s="35"/>
    </row>
    <row r="552" customFormat="false" ht="15" hidden="true" customHeight="false" outlineLevel="1" collapsed="false">
      <c r="F552" s="35" t="s">
        <v>1486</v>
      </c>
      <c r="G552" s="35" t="s">
        <v>1335</v>
      </c>
      <c r="H552" s="35" t="s">
        <v>1487</v>
      </c>
      <c r="I552" s="40" t="n">
        <v>1.0540613346973</v>
      </c>
      <c r="J552" s="36" t="n">
        <v>234.412710387967</v>
      </c>
      <c r="K552" s="35"/>
    </row>
    <row r="553" customFormat="false" ht="15" hidden="true" customHeight="false" outlineLevel="1" collapsed="false">
      <c r="F553" s="35" t="s">
        <v>1488</v>
      </c>
      <c r="G553" s="35" t="s">
        <v>1333</v>
      </c>
      <c r="H553" s="35" t="s">
        <v>1489</v>
      </c>
      <c r="I553" s="40" t="n">
        <v>8.43267657437755</v>
      </c>
      <c r="J553" s="36" t="n">
        <v>136.675238959889</v>
      </c>
      <c r="K553" s="35"/>
    </row>
    <row r="554" customFormat="false" ht="15" hidden="true" customHeight="false" outlineLevel="1" collapsed="false">
      <c r="F554" s="35" t="s">
        <v>1490</v>
      </c>
      <c r="G554" s="35" t="s">
        <v>1333</v>
      </c>
      <c r="H554" s="35" t="s">
        <v>1491</v>
      </c>
      <c r="I554" s="40" t="n">
        <v>2.91661050831304</v>
      </c>
      <c r="J554" s="36" t="n">
        <v>131.159172893825</v>
      </c>
      <c r="K554" s="35"/>
    </row>
    <row r="555" customFormat="false" ht="15" hidden="true" customHeight="false" outlineLevel="1" collapsed="false">
      <c r="F555" s="35" t="s">
        <v>1492</v>
      </c>
      <c r="G555" s="35" t="s">
        <v>1491</v>
      </c>
      <c r="H555" s="35" t="s">
        <v>1493</v>
      </c>
      <c r="I555" s="40" t="n">
        <v>3.4506234920786</v>
      </c>
      <c r="J555" s="36" t="n">
        <v>134.609796385903</v>
      </c>
      <c r="K555" s="35"/>
    </row>
    <row r="556" customFormat="false" ht="15" hidden="true" customHeight="false" outlineLevel="1" collapsed="false">
      <c r="F556" s="35" t="s">
        <v>1494</v>
      </c>
      <c r="G556" s="35" t="s">
        <v>1493</v>
      </c>
      <c r="H556" s="35" t="s">
        <v>1495</v>
      </c>
      <c r="I556" s="40" t="n">
        <v>11.4637750033534</v>
      </c>
      <c r="J556" s="36" t="n">
        <v>146.073571389256</v>
      </c>
      <c r="K556" s="35"/>
    </row>
    <row r="557" customFormat="false" ht="15" hidden="true" customHeight="false" outlineLevel="1" collapsed="false">
      <c r="F557" s="35" t="s">
        <v>1496</v>
      </c>
      <c r="G557" s="35" t="s">
        <v>1495</v>
      </c>
      <c r="H557" s="35" t="s">
        <v>1497</v>
      </c>
      <c r="I557" s="40" t="n">
        <v>11.3264573733896</v>
      </c>
      <c r="J557" s="36" t="n">
        <v>157.400028762646</v>
      </c>
      <c r="K557" s="35"/>
    </row>
    <row r="558" customFormat="false" ht="15" hidden="true" customHeight="false" outlineLevel="1" collapsed="false">
      <c r="F558" s="35" t="s">
        <v>1498</v>
      </c>
      <c r="G558" s="35" t="s">
        <v>1497</v>
      </c>
      <c r="H558" s="35" t="s">
        <v>1499</v>
      </c>
      <c r="I558" s="40" t="n">
        <v>9.1435189584076</v>
      </c>
      <c r="J558" s="36" t="n">
        <v>166.543547721053</v>
      </c>
      <c r="K558" s="35"/>
    </row>
    <row r="559" customFormat="false" ht="15" hidden="true" customHeight="false" outlineLevel="1" collapsed="false">
      <c r="F559" s="35" t="s">
        <v>1500</v>
      </c>
      <c r="G559" s="35" t="s">
        <v>1499</v>
      </c>
      <c r="H559" s="35" t="s">
        <v>1501</v>
      </c>
      <c r="I559" s="40" t="n">
        <v>4.65583571716799</v>
      </c>
      <c r="J559" s="36" t="n">
        <v>171.199383438221</v>
      </c>
      <c r="K559" s="35"/>
    </row>
    <row r="560" customFormat="false" ht="15" hidden="true" customHeight="false" outlineLevel="1" collapsed="false">
      <c r="F560" s="35" t="s">
        <v>1502</v>
      </c>
      <c r="G560" s="35" t="s">
        <v>1499</v>
      </c>
      <c r="H560" s="35" t="s">
        <v>1503</v>
      </c>
      <c r="I560" s="40" t="n">
        <v>0.351353732124142</v>
      </c>
      <c r="J560" s="36" t="n">
        <v>166.894901453177</v>
      </c>
      <c r="K560" s="35"/>
    </row>
    <row r="561" customFormat="false" ht="15" hidden="true" customHeight="false" outlineLevel="1" collapsed="false">
      <c r="F561" s="35" t="s">
        <v>1504</v>
      </c>
      <c r="G561" s="35" t="s">
        <v>1503</v>
      </c>
      <c r="H561" s="35" t="s">
        <v>1505</v>
      </c>
      <c r="I561" s="40" t="n">
        <v>2.78152815683998</v>
      </c>
      <c r="J561" s="36" t="n">
        <v>169.676429610017</v>
      </c>
      <c r="K561" s="35"/>
    </row>
    <row r="562" customFormat="false" ht="15" hidden="true" customHeight="false" outlineLevel="1" collapsed="false">
      <c r="F562" s="35" t="s">
        <v>1506</v>
      </c>
      <c r="G562" s="35" t="s">
        <v>1495</v>
      </c>
      <c r="H562" s="35" t="s">
        <v>1507</v>
      </c>
      <c r="I562" s="40" t="n">
        <v>1.02176056550597</v>
      </c>
      <c r="J562" s="36" t="n">
        <v>147.095331954763</v>
      </c>
      <c r="K562" s="35"/>
    </row>
    <row r="563" customFormat="false" ht="15" hidden="true" customHeight="false" outlineLevel="1" collapsed="false">
      <c r="F563" s="35" t="s">
        <v>1508</v>
      </c>
      <c r="G563" s="35" t="s">
        <v>1329</v>
      </c>
      <c r="H563" s="35" t="s">
        <v>1509</v>
      </c>
      <c r="I563" s="40" t="n">
        <v>4.10209637035242</v>
      </c>
      <c r="J563" s="36" t="n">
        <v>9.35742753696195</v>
      </c>
      <c r="K563" s="35"/>
    </row>
    <row r="564" customFormat="false" ht="15" hidden="false" customHeight="false" outlineLevel="0" collapsed="true">
      <c r="A564" s="43" t="n">
        <v>79</v>
      </c>
      <c r="B564" s="43" t="s">
        <v>22</v>
      </c>
      <c r="C564" s="43" t="s">
        <v>283</v>
      </c>
      <c r="D564" s="43" t="s">
        <v>487</v>
      </c>
      <c r="E564" s="43" t="s">
        <v>233</v>
      </c>
      <c r="F564" s="43" t="str">
        <f aca="false">COUNTIFS(Trechos!$L$2:$L$526,A564)&amp;" vãos"</f>
        <v>1 vãos</v>
      </c>
      <c r="G564" s="43"/>
      <c r="H564" s="43"/>
      <c r="I564" s="44" t="n">
        <f aca="false">SUMIFS(Trechos!$F$2:$F$526,Trechos!$L$2:$L$526,A564)</f>
        <v>7.67275007256756</v>
      </c>
      <c r="J564" s="43"/>
      <c r="K564" s="43"/>
      <c r="L564" s="43" t="s">
        <v>234</v>
      </c>
      <c r="M564" s="43" t="s">
        <v>50</v>
      </c>
      <c r="N564" s="43" t="str">
        <f aca="false">Blocos!AU80</f>
        <v>—</v>
      </c>
    </row>
    <row r="565" customFormat="false" ht="15" hidden="true" customHeight="false" outlineLevel="1" collapsed="false">
      <c r="F565" s="35" t="s">
        <v>1510</v>
      </c>
      <c r="G565" s="35" t="s">
        <v>1408</v>
      </c>
      <c r="H565" s="35" t="s">
        <v>1511</v>
      </c>
      <c r="I565" s="40" t="n">
        <v>7.67275007256756</v>
      </c>
      <c r="J565" s="36" t="n">
        <v>7.6727500725674</v>
      </c>
      <c r="K565" s="35"/>
    </row>
    <row r="566" customFormat="false" ht="15" hidden="false" customHeight="false" outlineLevel="0" collapsed="true">
      <c r="A566" s="43" t="n">
        <v>80</v>
      </c>
      <c r="B566" s="43" t="s">
        <v>22</v>
      </c>
      <c r="C566" s="43" t="s">
        <v>283</v>
      </c>
      <c r="D566" s="43" t="s">
        <v>487</v>
      </c>
      <c r="E566" s="43" t="s">
        <v>235</v>
      </c>
      <c r="F566" s="43" t="str">
        <f aca="false">COUNTIFS(Trechos!$L$2:$L$526,A566)&amp;" vãos"</f>
        <v>2 vãos</v>
      </c>
      <c r="G566" s="43"/>
      <c r="H566" s="43"/>
      <c r="I566" s="44" t="n">
        <f aca="false">SUMIFS(Trechos!$F$2:$F$526,Trechos!$L$2:$L$526,A566)</f>
        <v>33.3949492340605</v>
      </c>
      <c r="J566" s="43"/>
      <c r="K566" s="43"/>
      <c r="L566" s="43" t="s">
        <v>236</v>
      </c>
      <c r="M566" s="43" t="s">
        <v>50</v>
      </c>
      <c r="N566" s="43" t="str">
        <f aca="false">Blocos!AU81</f>
        <v>—</v>
      </c>
    </row>
    <row r="567" customFormat="false" ht="15" hidden="true" customHeight="false" outlineLevel="1" collapsed="false">
      <c r="F567" s="35" t="s">
        <v>1512</v>
      </c>
      <c r="G567" s="35" t="s">
        <v>1428</v>
      </c>
      <c r="H567" s="35" t="s">
        <v>1513</v>
      </c>
      <c r="I567" s="40" t="n">
        <v>14.6322481297854</v>
      </c>
      <c r="J567" s="36" t="n">
        <v>14.6322481297857</v>
      </c>
      <c r="K567" s="35"/>
    </row>
    <row r="568" customFormat="false" ht="15" hidden="true" customHeight="false" outlineLevel="1" collapsed="false">
      <c r="F568" s="35" t="s">
        <v>1514</v>
      </c>
      <c r="G568" s="35" t="s">
        <v>1513</v>
      </c>
      <c r="H568" s="35" t="s">
        <v>1515</v>
      </c>
      <c r="I568" s="40" t="n">
        <v>18.7627011042751</v>
      </c>
      <c r="J568" s="36" t="n">
        <v>33.3949492340607</v>
      </c>
      <c r="K568" s="35"/>
    </row>
    <row r="569" customFormat="false" ht="15" hidden="false" customHeight="false" outlineLevel="0" collapsed="true">
      <c r="A569" s="43" t="n">
        <v>81</v>
      </c>
      <c r="B569" s="43" t="s">
        <v>22</v>
      </c>
      <c r="C569" s="43" t="s">
        <v>283</v>
      </c>
      <c r="D569" s="43" t="s">
        <v>487</v>
      </c>
      <c r="E569" s="43" t="s">
        <v>237</v>
      </c>
      <c r="F569" s="43" t="str">
        <f aca="false">COUNTIFS(Trechos!$L$2:$L$526,A569)&amp;" vãos"</f>
        <v>2 vãos</v>
      </c>
      <c r="G569" s="43"/>
      <c r="H569" s="43"/>
      <c r="I569" s="44" t="n">
        <f aca="false">SUMIFS(Trechos!$F$2:$F$526,Trechos!$L$2:$L$526,A569)</f>
        <v>26.9077187038947</v>
      </c>
      <c r="J569" s="43"/>
      <c r="K569" s="43"/>
      <c r="L569" s="43" t="s">
        <v>238</v>
      </c>
      <c r="M569" s="43" t="s">
        <v>50</v>
      </c>
      <c r="N569" s="43" t="str">
        <f aca="false">Blocos!AU82</f>
        <v>—</v>
      </c>
    </row>
    <row r="570" customFormat="false" ht="15" hidden="true" customHeight="false" outlineLevel="1" collapsed="false">
      <c r="F570" s="35" t="s">
        <v>1516</v>
      </c>
      <c r="G570" s="35" t="s">
        <v>1440</v>
      </c>
      <c r="H570" s="35" t="s">
        <v>1517</v>
      </c>
      <c r="I570" s="40" t="n">
        <v>9.40770284558604</v>
      </c>
      <c r="J570" s="36" t="n">
        <v>9.40770284558585</v>
      </c>
      <c r="K570" s="35"/>
    </row>
    <row r="571" customFormat="false" ht="15" hidden="true" customHeight="false" outlineLevel="1" collapsed="false">
      <c r="F571" s="35" t="s">
        <v>1518</v>
      </c>
      <c r="G571" s="35" t="s">
        <v>1517</v>
      </c>
      <c r="H571" s="35" t="s">
        <v>1519</v>
      </c>
      <c r="I571" s="40" t="n">
        <v>17.5000158583087</v>
      </c>
      <c r="J571" s="36" t="n">
        <v>26.9077187038947</v>
      </c>
      <c r="K571" s="35"/>
    </row>
    <row r="572" customFormat="false" ht="15" hidden="false" customHeight="false" outlineLevel="0" collapsed="true">
      <c r="A572" s="43" t="n">
        <v>82</v>
      </c>
      <c r="B572" s="43" t="s">
        <v>22</v>
      </c>
      <c r="C572" s="43" t="s">
        <v>283</v>
      </c>
      <c r="D572" s="43" t="s">
        <v>487</v>
      </c>
      <c r="E572" s="43" t="s">
        <v>239</v>
      </c>
      <c r="F572" s="43" t="str">
        <f aca="false">COUNTIFS(Trechos!$L$2:$L$526,A572)&amp;" vãos"</f>
        <v>2 vãos</v>
      </c>
      <c r="G572" s="43"/>
      <c r="H572" s="43"/>
      <c r="I572" s="44" t="n">
        <f aca="false">SUMIFS(Trechos!$F$2:$F$526,Trechos!$L$2:$L$526,A572)</f>
        <v>27.0321653418223</v>
      </c>
      <c r="J572" s="43"/>
      <c r="K572" s="43"/>
      <c r="L572" s="43" t="s">
        <v>240</v>
      </c>
      <c r="M572" s="43" t="s">
        <v>50</v>
      </c>
      <c r="N572" s="43" t="str">
        <f aca="false">Blocos!AU83</f>
        <v>—</v>
      </c>
    </row>
    <row r="573" customFormat="false" ht="15" hidden="true" customHeight="false" outlineLevel="1" collapsed="false">
      <c r="F573" s="35" t="s">
        <v>1520</v>
      </c>
      <c r="G573" s="35" t="s">
        <v>1442</v>
      </c>
      <c r="H573" s="35" t="s">
        <v>1521</v>
      </c>
      <c r="I573" s="40" t="n">
        <v>10.5825066424304</v>
      </c>
      <c r="J573" s="36" t="n">
        <v>10.5825066424304</v>
      </c>
      <c r="K573" s="35"/>
    </row>
    <row r="574" customFormat="false" ht="15" hidden="true" customHeight="false" outlineLevel="1" collapsed="false">
      <c r="F574" s="35" t="s">
        <v>1522</v>
      </c>
      <c r="G574" s="35" t="s">
        <v>1521</v>
      </c>
      <c r="H574" s="35" t="s">
        <v>1523</v>
      </c>
      <c r="I574" s="40" t="n">
        <v>16.4496586993919</v>
      </c>
      <c r="J574" s="36" t="n">
        <v>27.0321653418223</v>
      </c>
      <c r="K574" s="35"/>
    </row>
    <row r="575" customFormat="false" ht="15" hidden="false" customHeight="false" outlineLevel="0" collapsed="true">
      <c r="A575" s="43" t="n">
        <v>83</v>
      </c>
      <c r="B575" s="43" t="s">
        <v>22</v>
      </c>
      <c r="C575" s="43" t="s">
        <v>283</v>
      </c>
      <c r="D575" s="43" t="s">
        <v>487</v>
      </c>
      <c r="E575" s="43" t="s">
        <v>241</v>
      </c>
      <c r="F575" s="43" t="str">
        <f aca="false">COUNTIFS(Trechos!$L$2:$L$526,A575)&amp;" vãos"</f>
        <v>2 vãos</v>
      </c>
      <c r="G575" s="43"/>
      <c r="H575" s="43"/>
      <c r="I575" s="44" t="n">
        <f aca="false">SUMIFS(Trechos!$F$2:$F$526,Trechos!$L$2:$L$526,A575)</f>
        <v>37.3787539570412</v>
      </c>
      <c r="J575" s="43"/>
      <c r="K575" s="43"/>
      <c r="L575" s="43" t="s">
        <v>242</v>
      </c>
      <c r="M575" s="43" t="s">
        <v>50</v>
      </c>
      <c r="N575" s="43" t="str">
        <f aca="false">Blocos!AU84</f>
        <v>—</v>
      </c>
    </row>
    <row r="576" customFormat="false" ht="15" hidden="true" customHeight="false" outlineLevel="1" collapsed="false">
      <c r="F576" s="35" t="s">
        <v>1524</v>
      </c>
      <c r="G576" s="35" t="s">
        <v>1444</v>
      </c>
      <c r="H576" s="35" t="s">
        <v>1525</v>
      </c>
      <c r="I576" s="40" t="n">
        <v>17.738066325087</v>
      </c>
      <c r="J576" s="36" t="n">
        <v>17.738066325087</v>
      </c>
      <c r="K576" s="35"/>
    </row>
    <row r="577" customFormat="false" ht="15" hidden="true" customHeight="false" outlineLevel="1" collapsed="false">
      <c r="F577" s="35" t="s">
        <v>1526</v>
      </c>
      <c r="G577" s="35" t="s">
        <v>1525</v>
      </c>
      <c r="H577" s="35" t="s">
        <v>1527</v>
      </c>
      <c r="I577" s="40" t="n">
        <v>19.6406876319542</v>
      </c>
      <c r="J577" s="36" t="n">
        <v>37.3787539570412</v>
      </c>
      <c r="K577" s="35"/>
    </row>
    <row r="578" customFormat="false" ht="15" hidden="false" customHeight="false" outlineLevel="0" collapsed="true">
      <c r="A578" s="43" t="n">
        <v>84</v>
      </c>
      <c r="B578" s="43" t="s">
        <v>22</v>
      </c>
      <c r="C578" s="43" t="s">
        <v>283</v>
      </c>
      <c r="D578" s="43" t="s">
        <v>487</v>
      </c>
      <c r="E578" s="43" t="s">
        <v>243</v>
      </c>
      <c r="F578" s="43" t="str">
        <f aca="false">COUNTIFS(Trechos!$L$2:$L$526,A578)&amp;" vãos"</f>
        <v>3 vãos</v>
      </c>
      <c r="G578" s="43"/>
      <c r="H578" s="43"/>
      <c r="I578" s="44" t="n">
        <f aca="false">SUMIFS(Trechos!$F$2:$F$526,Trechos!$L$2:$L$526,A578)</f>
        <v>30.4339159032701</v>
      </c>
      <c r="J578" s="43"/>
      <c r="K578" s="43"/>
      <c r="L578" s="43" t="s">
        <v>244</v>
      </c>
      <c r="M578" s="43" t="s">
        <v>50</v>
      </c>
      <c r="N578" s="43" t="str">
        <f aca="false">Blocos!AU85</f>
        <v>—</v>
      </c>
    </row>
    <row r="579" customFormat="false" ht="15" hidden="true" customHeight="false" outlineLevel="1" collapsed="false">
      <c r="F579" s="35" t="s">
        <v>1528</v>
      </c>
      <c r="G579" s="35" t="s">
        <v>1446</v>
      </c>
      <c r="H579" s="35" t="s">
        <v>1529</v>
      </c>
      <c r="I579" s="40" t="n">
        <v>9.1021835946555</v>
      </c>
      <c r="J579" s="36" t="n">
        <v>9.1021835946558</v>
      </c>
      <c r="K579" s="35"/>
    </row>
    <row r="580" customFormat="false" ht="15" hidden="true" customHeight="false" outlineLevel="1" collapsed="false">
      <c r="F580" s="35" t="s">
        <v>1530</v>
      </c>
      <c r="G580" s="35" t="s">
        <v>1529</v>
      </c>
      <c r="H580" s="35" t="s">
        <v>1531</v>
      </c>
      <c r="I580" s="40" t="n">
        <v>3.85824909793711</v>
      </c>
      <c r="J580" s="36" t="n">
        <v>12.9604326925928</v>
      </c>
      <c r="K580" s="35"/>
    </row>
    <row r="581" customFormat="false" ht="15" hidden="true" customHeight="false" outlineLevel="1" collapsed="false">
      <c r="F581" s="35" t="s">
        <v>1532</v>
      </c>
      <c r="G581" s="35" t="s">
        <v>1529</v>
      </c>
      <c r="H581" s="35" t="s">
        <v>1533</v>
      </c>
      <c r="I581" s="40" t="n">
        <v>17.4734832106775</v>
      </c>
      <c r="J581" s="36" t="n">
        <v>26.5756668053336</v>
      </c>
      <c r="K581" s="35"/>
    </row>
    <row r="582" customFormat="false" ht="15" hidden="false" customHeight="false" outlineLevel="0" collapsed="true">
      <c r="A582" s="43" t="n">
        <v>85</v>
      </c>
      <c r="B582" s="43" t="s">
        <v>22</v>
      </c>
      <c r="C582" s="43" t="s">
        <v>283</v>
      </c>
      <c r="D582" s="43" t="s">
        <v>487</v>
      </c>
      <c r="E582" s="43" t="s">
        <v>245</v>
      </c>
      <c r="F582" s="43" t="str">
        <f aca="false">COUNTIFS(Trechos!$L$2:$L$526,A582)&amp;" vãos"</f>
        <v>2 vãos</v>
      </c>
      <c r="G582" s="43"/>
      <c r="H582" s="43"/>
      <c r="I582" s="44" t="n">
        <f aca="false">SUMIFS(Trechos!$F$2:$F$526,Trechos!$L$2:$L$526,A582)</f>
        <v>30.7543304164767</v>
      </c>
      <c r="J582" s="43"/>
      <c r="K582" s="43"/>
      <c r="L582" s="43" t="s">
        <v>246</v>
      </c>
      <c r="M582" s="43" t="s">
        <v>50</v>
      </c>
      <c r="N582" s="43" t="str">
        <f aca="false">Blocos!AU86</f>
        <v>—</v>
      </c>
    </row>
    <row r="583" customFormat="false" ht="15" hidden="true" customHeight="false" outlineLevel="1" collapsed="false">
      <c r="F583" s="35" t="s">
        <v>1534</v>
      </c>
      <c r="G583" s="35" t="s">
        <v>1448</v>
      </c>
      <c r="H583" s="35" t="s">
        <v>1535</v>
      </c>
      <c r="I583" s="40" t="n">
        <v>14.330244436202</v>
      </c>
      <c r="J583" s="36" t="n">
        <v>14.3302444362016</v>
      </c>
      <c r="K583" s="35"/>
    </row>
    <row r="584" customFormat="false" ht="15" hidden="true" customHeight="false" outlineLevel="1" collapsed="false">
      <c r="F584" s="35" t="s">
        <v>1536</v>
      </c>
      <c r="G584" s="35" t="s">
        <v>1535</v>
      </c>
      <c r="H584" s="35" t="s">
        <v>1537</v>
      </c>
      <c r="I584" s="40" t="n">
        <v>16.4240859802747</v>
      </c>
      <c r="J584" s="36" t="n">
        <v>30.7543304164765</v>
      </c>
      <c r="K584" s="35"/>
    </row>
    <row r="585" customFormat="false" ht="15" hidden="false" customHeight="false" outlineLevel="0" collapsed="true">
      <c r="A585" s="43" t="n">
        <v>86</v>
      </c>
      <c r="B585" s="43" t="s">
        <v>22</v>
      </c>
      <c r="C585" s="43" t="s">
        <v>283</v>
      </c>
      <c r="D585" s="43" t="s">
        <v>487</v>
      </c>
      <c r="E585" s="43" t="s">
        <v>247</v>
      </c>
      <c r="F585" s="43" t="str">
        <f aca="false">COUNTIFS(Trechos!$L$2:$L$526,A585)&amp;" vãos"</f>
        <v>2 vãos</v>
      </c>
      <c r="G585" s="43"/>
      <c r="H585" s="43"/>
      <c r="I585" s="44" t="n">
        <f aca="false">SUMIFS(Trechos!$F$2:$F$526,Trechos!$L$2:$L$526,A585)</f>
        <v>29.7262078697369</v>
      </c>
      <c r="J585" s="43"/>
      <c r="K585" s="43"/>
      <c r="L585" s="43" t="s">
        <v>248</v>
      </c>
      <c r="M585" s="43" t="s">
        <v>50</v>
      </c>
      <c r="N585" s="43" t="str">
        <f aca="false">Blocos!AU87</f>
        <v>—</v>
      </c>
    </row>
    <row r="586" customFormat="false" ht="15" hidden="true" customHeight="false" outlineLevel="1" collapsed="false">
      <c r="F586" s="35" t="s">
        <v>1538</v>
      </c>
      <c r="G586" s="35" t="s">
        <v>1450</v>
      </c>
      <c r="H586" s="35" t="s">
        <v>1539</v>
      </c>
      <c r="I586" s="40" t="n">
        <v>14.6086061346965</v>
      </c>
      <c r="J586" s="36" t="n">
        <v>14.6086061346969</v>
      </c>
      <c r="K586" s="35"/>
    </row>
    <row r="587" customFormat="false" ht="15" hidden="true" customHeight="false" outlineLevel="1" collapsed="false">
      <c r="F587" s="35" t="s">
        <v>1540</v>
      </c>
      <c r="G587" s="35" t="s">
        <v>1539</v>
      </c>
      <c r="H587" s="35" t="s">
        <v>1541</v>
      </c>
      <c r="I587" s="40" t="n">
        <v>15.1176017350404</v>
      </c>
      <c r="J587" s="36" t="n">
        <v>29.7262078697377</v>
      </c>
      <c r="K587" s="35"/>
    </row>
    <row r="588" customFormat="false" ht="15" hidden="false" customHeight="false" outlineLevel="0" collapsed="true">
      <c r="A588" s="43" t="n">
        <v>87</v>
      </c>
      <c r="B588" s="43" t="s">
        <v>22</v>
      </c>
      <c r="C588" s="43" t="s">
        <v>283</v>
      </c>
      <c r="D588" s="43" t="s">
        <v>487</v>
      </c>
      <c r="E588" s="43" t="s">
        <v>249</v>
      </c>
      <c r="F588" s="43" t="str">
        <f aca="false">COUNTIFS(Trechos!$L$2:$L$526,A588)&amp;" vãos"</f>
        <v>2 vãos</v>
      </c>
      <c r="G588" s="43"/>
      <c r="H588" s="43"/>
      <c r="I588" s="44" t="n">
        <f aca="false">SUMIFS(Trechos!$F$2:$F$526,Trechos!$L$2:$L$526,A588)</f>
        <v>27.6228375750084</v>
      </c>
      <c r="J588" s="43"/>
      <c r="K588" s="43"/>
      <c r="L588" s="43" t="s">
        <v>250</v>
      </c>
      <c r="M588" s="43" t="s">
        <v>50</v>
      </c>
      <c r="N588" s="43" t="str">
        <f aca="false">Blocos!AU88</f>
        <v>—</v>
      </c>
    </row>
    <row r="589" customFormat="false" ht="15" hidden="true" customHeight="false" outlineLevel="1" collapsed="false">
      <c r="F589" s="35" t="s">
        <v>1542</v>
      </c>
      <c r="G589" s="35" t="s">
        <v>1456</v>
      </c>
      <c r="H589" s="35" t="s">
        <v>1543</v>
      </c>
      <c r="I589" s="40" t="n">
        <v>13.6050628697199</v>
      </c>
      <c r="J589" s="36" t="n">
        <v>13.6050628697203</v>
      </c>
      <c r="K589" s="35"/>
    </row>
    <row r="590" customFormat="false" ht="15" hidden="true" customHeight="false" outlineLevel="1" collapsed="false">
      <c r="F590" s="35" t="s">
        <v>1544</v>
      </c>
      <c r="G590" s="35" t="s">
        <v>1543</v>
      </c>
      <c r="H590" s="35" t="s">
        <v>1545</v>
      </c>
      <c r="I590" s="40" t="n">
        <v>14.0177747052886</v>
      </c>
      <c r="J590" s="36" t="n">
        <v>27.6228375750088</v>
      </c>
      <c r="K590" s="35"/>
    </row>
    <row r="591" customFormat="false" ht="15" hidden="false" customHeight="false" outlineLevel="0" collapsed="true">
      <c r="A591" s="43" t="n">
        <v>88</v>
      </c>
      <c r="B591" s="43" t="s">
        <v>22</v>
      </c>
      <c r="C591" s="43" t="s">
        <v>283</v>
      </c>
      <c r="D591" s="43" t="s">
        <v>487</v>
      </c>
      <c r="E591" s="43" t="s">
        <v>251</v>
      </c>
      <c r="F591" s="43" t="str">
        <f aca="false">COUNTIFS(Trechos!$L$2:$L$526,A591)&amp;" vãos"</f>
        <v>2 vãos</v>
      </c>
      <c r="G591" s="43"/>
      <c r="H591" s="43"/>
      <c r="I591" s="44" t="n">
        <f aca="false">SUMIFS(Trechos!$F$2:$F$526,Trechos!$L$2:$L$526,A591)</f>
        <v>23.8505795969808</v>
      </c>
      <c r="J591" s="43"/>
      <c r="K591" s="43"/>
      <c r="L591" s="43" t="s">
        <v>252</v>
      </c>
      <c r="M591" s="43" t="s">
        <v>50</v>
      </c>
      <c r="N591" s="43" t="str">
        <f aca="false">Blocos!AU89</f>
        <v>—</v>
      </c>
    </row>
    <row r="592" customFormat="false" ht="15" hidden="true" customHeight="false" outlineLevel="1" collapsed="false">
      <c r="F592" s="35" t="s">
        <v>1546</v>
      </c>
      <c r="G592" s="35" t="s">
        <v>1458</v>
      </c>
      <c r="H592" s="35" t="s">
        <v>1547</v>
      </c>
      <c r="I592" s="40" t="n">
        <v>2.33224710537229</v>
      </c>
      <c r="J592" s="36" t="n">
        <v>2.33224710537252</v>
      </c>
      <c r="K592" s="35"/>
    </row>
    <row r="593" customFormat="false" ht="15" hidden="true" customHeight="false" outlineLevel="1" collapsed="false">
      <c r="F593" s="35" t="s">
        <v>1548</v>
      </c>
      <c r="G593" s="35" t="s">
        <v>1547</v>
      </c>
      <c r="H593" s="35" t="s">
        <v>1549</v>
      </c>
      <c r="I593" s="40" t="n">
        <v>21.5183324916085</v>
      </c>
      <c r="J593" s="36" t="n">
        <v>23.8505795969813</v>
      </c>
      <c r="K593" s="35"/>
    </row>
    <row r="594" customFormat="false" ht="15" hidden="false" customHeight="false" outlineLevel="0" collapsed="true">
      <c r="A594" s="43" t="n">
        <v>89</v>
      </c>
      <c r="B594" s="43" t="s">
        <v>22</v>
      </c>
      <c r="C594" s="43" t="s">
        <v>283</v>
      </c>
      <c r="D594" s="43" t="s">
        <v>487</v>
      </c>
      <c r="E594" s="43" t="s">
        <v>253</v>
      </c>
      <c r="F594" s="43" t="str">
        <f aca="false">COUNTIFS(Trechos!$L$2:$L$526,A594)&amp;" vãos"</f>
        <v>3 vãos</v>
      </c>
      <c r="G594" s="43"/>
      <c r="H594" s="43"/>
      <c r="I594" s="44" t="n">
        <f aca="false">SUMIFS(Trechos!$F$2:$F$526,Trechos!$L$2:$L$526,A594)</f>
        <v>27.2070548561962</v>
      </c>
      <c r="J594" s="43"/>
      <c r="K594" s="43"/>
      <c r="L594" s="43" t="s">
        <v>254</v>
      </c>
      <c r="M594" s="43" t="s">
        <v>50</v>
      </c>
      <c r="N594" s="43" t="str">
        <f aca="false">Blocos!AU90</f>
        <v>—</v>
      </c>
    </row>
    <row r="595" customFormat="false" ht="15" hidden="true" customHeight="false" outlineLevel="1" collapsed="false">
      <c r="F595" s="35" t="s">
        <v>1550</v>
      </c>
      <c r="G595" s="35" t="s">
        <v>1477</v>
      </c>
      <c r="H595" s="35" t="s">
        <v>1551</v>
      </c>
      <c r="I595" s="40" t="n">
        <v>7.25134474813969</v>
      </c>
      <c r="J595" s="36" t="n">
        <v>7.25134474813967</v>
      </c>
      <c r="K595" s="35"/>
    </row>
    <row r="596" customFormat="false" ht="15" hidden="true" customHeight="false" outlineLevel="1" collapsed="false">
      <c r="F596" s="35" t="s">
        <v>1552</v>
      </c>
      <c r="G596" s="35" t="s">
        <v>1551</v>
      </c>
      <c r="H596" s="35" t="s">
        <v>1553</v>
      </c>
      <c r="I596" s="40" t="n">
        <v>16.18190595827</v>
      </c>
      <c r="J596" s="36" t="n">
        <v>23.43325070641</v>
      </c>
      <c r="K596" s="35"/>
    </row>
    <row r="597" customFormat="false" ht="15" hidden="true" customHeight="false" outlineLevel="1" collapsed="false">
      <c r="F597" s="35" t="s">
        <v>1554</v>
      </c>
      <c r="G597" s="35" t="s">
        <v>1551</v>
      </c>
      <c r="H597" s="35" t="s">
        <v>1555</v>
      </c>
      <c r="I597" s="40" t="n">
        <v>3.7738041497866</v>
      </c>
      <c r="J597" s="36" t="n">
        <v>11.0251488979266</v>
      </c>
      <c r="K597" s="35"/>
    </row>
    <row r="598" customFormat="false" ht="15" hidden="false" customHeight="false" outlineLevel="0" collapsed="true">
      <c r="A598" s="43" t="n">
        <v>90</v>
      </c>
      <c r="B598" s="43" t="s">
        <v>22</v>
      </c>
      <c r="C598" s="43" t="s">
        <v>283</v>
      </c>
      <c r="D598" s="43" t="s">
        <v>487</v>
      </c>
      <c r="E598" s="43" t="s">
        <v>255</v>
      </c>
      <c r="F598" s="43" t="str">
        <f aca="false">COUNTIFS(Trechos!$L$2:$L$526,A598)&amp;" vãos"</f>
        <v>1 vãos</v>
      </c>
      <c r="G598" s="43"/>
      <c r="H598" s="43"/>
      <c r="I598" s="44" t="n">
        <f aca="false">SUMIFS(Trechos!$F$2:$F$526,Trechos!$L$2:$L$526,A598)</f>
        <v>1.88703335202875</v>
      </c>
      <c r="J598" s="43"/>
      <c r="K598" s="43"/>
      <c r="L598" s="43" t="s">
        <v>256</v>
      </c>
      <c r="M598" s="43" t="s">
        <v>50</v>
      </c>
      <c r="N598" s="43" t="str">
        <f aca="false">Blocos!AU91</f>
        <v>—</v>
      </c>
    </row>
    <row r="599" customFormat="false" ht="15" hidden="true" customHeight="false" outlineLevel="1" collapsed="false">
      <c r="F599" s="35" t="s">
        <v>1556</v>
      </c>
      <c r="G599" s="35" t="s">
        <v>1479</v>
      </c>
      <c r="H599" s="35" t="s">
        <v>1557</v>
      </c>
      <c r="I599" s="40" t="n">
        <v>1.88703335202875</v>
      </c>
      <c r="J599" s="36" t="n">
        <v>1.88703335202899</v>
      </c>
      <c r="K599" s="35"/>
    </row>
    <row r="600" customFormat="false" ht="15" hidden="false" customHeight="false" outlineLevel="0" collapsed="true">
      <c r="A600" s="43" t="n">
        <v>91</v>
      </c>
      <c r="B600" s="43" t="s">
        <v>22</v>
      </c>
      <c r="C600" s="43" t="s">
        <v>283</v>
      </c>
      <c r="D600" s="43" t="s">
        <v>487</v>
      </c>
      <c r="E600" s="43" t="s">
        <v>257</v>
      </c>
      <c r="F600" s="43" t="str">
        <f aca="false">COUNTIFS(Trechos!$L$2:$L$526,A600)&amp;" vãos"</f>
        <v>3 vãos</v>
      </c>
      <c r="G600" s="43"/>
      <c r="H600" s="43"/>
      <c r="I600" s="44" t="n">
        <f aca="false">SUMIFS(Trechos!$F$2:$F$526,Trechos!$L$2:$L$526,A600)</f>
        <v>29.0262403300082</v>
      </c>
      <c r="J600" s="43"/>
      <c r="K600" s="43"/>
      <c r="L600" s="43" t="s">
        <v>258</v>
      </c>
      <c r="M600" s="43" t="s">
        <v>50</v>
      </c>
      <c r="N600" s="43" t="str">
        <f aca="false">Blocos!AU92</f>
        <v>—</v>
      </c>
    </row>
    <row r="601" customFormat="false" ht="15" hidden="true" customHeight="false" outlineLevel="1" collapsed="false">
      <c r="F601" s="35" t="s">
        <v>1558</v>
      </c>
      <c r="G601" s="35" t="s">
        <v>1483</v>
      </c>
      <c r="H601" s="35" t="s">
        <v>1559</v>
      </c>
      <c r="I601" s="40" t="n">
        <v>8.54219049312292</v>
      </c>
      <c r="J601" s="36" t="n">
        <v>8.54219049312269</v>
      </c>
      <c r="K601" s="35"/>
    </row>
    <row r="602" customFormat="false" ht="15" hidden="true" customHeight="false" outlineLevel="1" collapsed="false">
      <c r="F602" s="35" t="s">
        <v>1560</v>
      </c>
      <c r="G602" s="35" t="s">
        <v>1559</v>
      </c>
      <c r="H602" s="35" t="s">
        <v>1561</v>
      </c>
      <c r="I602" s="40" t="n">
        <v>3.84056657645055</v>
      </c>
      <c r="J602" s="36" t="n">
        <v>12.382757069573</v>
      </c>
      <c r="K602" s="35"/>
    </row>
    <row r="603" customFormat="false" ht="15" hidden="true" customHeight="false" outlineLevel="1" collapsed="false">
      <c r="F603" s="35" t="s">
        <v>1562</v>
      </c>
      <c r="G603" s="35" t="s">
        <v>1559</v>
      </c>
      <c r="H603" s="35" t="s">
        <v>1563</v>
      </c>
      <c r="I603" s="40" t="n">
        <v>16.6434832604347</v>
      </c>
      <c r="J603" s="36" t="n">
        <v>25.1856737535572</v>
      </c>
      <c r="K603" s="35"/>
    </row>
    <row r="604" customFormat="false" ht="15" hidden="false" customHeight="false" outlineLevel="0" collapsed="true">
      <c r="A604" s="43" t="n">
        <v>92</v>
      </c>
      <c r="B604" s="43" t="s">
        <v>22</v>
      </c>
      <c r="C604" s="43" t="s">
        <v>283</v>
      </c>
      <c r="D604" s="43" t="s">
        <v>487</v>
      </c>
      <c r="E604" s="43" t="s">
        <v>259</v>
      </c>
      <c r="F604" s="43" t="str">
        <f aca="false">COUNTIFS(Trechos!$L$2:$L$526,A604)&amp;" vãos"</f>
        <v>2 vãos</v>
      </c>
      <c r="G604" s="43"/>
      <c r="H604" s="43"/>
      <c r="I604" s="44" t="n">
        <f aca="false">SUMIFS(Trechos!$F$2:$F$526,Trechos!$L$2:$L$526,A604)</f>
        <v>26.0020817843394</v>
      </c>
      <c r="J604" s="43"/>
      <c r="K604" s="43"/>
      <c r="L604" s="43" t="s">
        <v>260</v>
      </c>
      <c r="M604" s="43" t="s">
        <v>50</v>
      </c>
      <c r="N604" s="43" t="str">
        <f aca="false">Blocos!AU93</f>
        <v>—</v>
      </c>
    </row>
    <row r="605" customFormat="false" ht="15" hidden="true" customHeight="false" outlineLevel="1" collapsed="false">
      <c r="F605" s="35" t="s">
        <v>1564</v>
      </c>
      <c r="G605" s="35" t="s">
        <v>1487</v>
      </c>
      <c r="H605" s="35" t="s">
        <v>1565</v>
      </c>
      <c r="I605" s="40" t="n">
        <v>9.13921258765121</v>
      </c>
      <c r="J605" s="36" t="n">
        <v>9.13921258765095</v>
      </c>
      <c r="K605" s="35"/>
    </row>
    <row r="606" customFormat="false" ht="15" hidden="true" customHeight="false" outlineLevel="1" collapsed="false">
      <c r="F606" s="35" t="s">
        <v>1566</v>
      </c>
      <c r="G606" s="35" t="s">
        <v>1565</v>
      </c>
      <c r="H606" s="35" t="s">
        <v>1567</v>
      </c>
      <c r="I606" s="40" t="n">
        <v>16.8628691966882</v>
      </c>
      <c r="J606" s="36" t="n">
        <v>26.0020817843388</v>
      </c>
      <c r="K606" s="35"/>
    </row>
    <row r="607" customFormat="false" ht="15" hidden="false" customHeight="false" outlineLevel="0" collapsed="true">
      <c r="A607" s="43" t="n">
        <v>93</v>
      </c>
      <c r="B607" s="43" t="s">
        <v>22</v>
      </c>
      <c r="C607" s="43" t="s">
        <v>283</v>
      </c>
      <c r="D607" s="43" t="s">
        <v>487</v>
      </c>
      <c r="E607" s="43" t="s">
        <v>261</v>
      </c>
      <c r="F607" s="43" t="str">
        <f aca="false">COUNTIFS(Trechos!$L$2:$L$526,A607)&amp;" vãos"</f>
        <v>1 vãos</v>
      </c>
      <c r="G607" s="43"/>
      <c r="H607" s="43"/>
      <c r="I607" s="44" t="n">
        <f aca="false">SUMIFS(Trechos!$F$2:$F$526,Trechos!$L$2:$L$526,A607)</f>
        <v>8.2459817408769</v>
      </c>
      <c r="J607" s="43"/>
      <c r="K607" s="43"/>
      <c r="L607" s="43" t="s">
        <v>262</v>
      </c>
      <c r="M607" s="43" t="s">
        <v>50</v>
      </c>
      <c r="N607" s="43" t="str">
        <f aca="false">Blocos!AU94</f>
        <v>—</v>
      </c>
    </row>
    <row r="608" customFormat="false" ht="15" hidden="true" customHeight="false" outlineLevel="1" collapsed="false">
      <c r="F608" s="35" t="s">
        <v>1568</v>
      </c>
      <c r="G608" s="35" t="s">
        <v>1507</v>
      </c>
      <c r="H608" s="35" t="s">
        <v>1569</v>
      </c>
      <c r="I608" s="40" t="n">
        <v>8.2459817408769</v>
      </c>
      <c r="J608" s="36" t="n">
        <v>8.24598174087714</v>
      </c>
      <c r="K608" s="35"/>
    </row>
    <row r="609" customFormat="false" ht="15" hidden="false" customHeight="false" outlineLevel="0" collapsed="true">
      <c r="A609" s="41" t="n">
        <v>94</v>
      </c>
      <c r="B609" s="41" t="s">
        <v>21</v>
      </c>
      <c r="C609" s="41" t="s">
        <v>283</v>
      </c>
      <c r="D609" s="41" t="s">
        <v>511</v>
      </c>
      <c r="E609" s="41" t="s">
        <v>43</v>
      </c>
      <c r="F609" s="41" t="str">
        <f aca="false">COUNTIFS(Trechos!$L$2:$L$526,A609)&amp;" vãos"</f>
        <v>7 vãos</v>
      </c>
      <c r="G609" s="41"/>
      <c r="H609" s="41"/>
      <c r="I609" s="42" t="n">
        <f aca="false">SUMIFS(Trechos!$F$2:$F$526,Trechos!$L$2:$L$526,A609)</f>
        <v>82.888623314302</v>
      </c>
      <c r="J609" s="41"/>
      <c r="K609" s="41"/>
      <c r="L609" s="41" t="s">
        <v>265</v>
      </c>
      <c r="M609" s="41" t="s">
        <v>50</v>
      </c>
      <c r="N609" s="41" t="str">
        <f aca="false">Blocos!AU95</f>
        <v>—</v>
      </c>
    </row>
    <row r="610" customFormat="false" ht="15" hidden="true" customHeight="false" outlineLevel="1" collapsed="false">
      <c r="F610" s="35" t="s">
        <v>1570</v>
      </c>
      <c r="G610" s="35" t="s">
        <v>794</v>
      </c>
      <c r="H610" s="35" t="s">
        <v>1571</v>
      </c>
      <c r="I610" s="40" t="n">
        <v>29.4163240943626</v>
      </c>
      <c r="J610" s="36" t="n">
        <v>1492.3817557574</v>
      </c>
      <c r="K610" s="35"/>
    </row>
    <row r="611" customFormat="false" ht="15" hidden="true" customHeight="false" outlineLevel="1" collapsed="false">
      <c r="F611" s="35" t="s">
        <v>1572</v>
      </c>
      <c r="G611" s="35" t="s">
        <v>1571</v>
      </c>
      <c r="H611" s="35" t="s">
        <v>1573</v>
      </c>
      <c r="I611" s="40" t="n">
        <v>3.81475555738846</v>
      </c>
      <c r="J611" s="36" t="n">
        <v>1496.19651131479</v>
      </c>
      <c r="K611" s="35"/>
    </row>
    <row r="612" customFormat="false" ht="15" hidden="true" customHeight="false" outlineLevel="1" collapsed="false">
      <c r="F612" s="35" t="s">
        <v>1574</v>
      </c>
      <c r="G612" s="35" t="s">
        <v>1573</v>
      </c>
      <c r="H612" s="35" t="s">
        <v>1575</v>
      </c>
      <c r="I612" s="40" t="n">
        <v>30.8477077741338</v>
      </c>
      <c r="J612" s="36" t="n">
        <v>1527.04421908892</v>
      </c>
      <c r="K612" s="35"/>
    </row>
    <row r="613" customFormat="false" ht="15" hidden="true" customHeight="false" outlineLevel="1" collapsed="false">
      <c r="F613" s="35" t="s">
        <v>1576</v>
      </c>
      <c r="G613" s="35" t="s">
        <v>1575</v>
      </c>
      <c r="H613" s="35" t="s">
        <v>1577</v>
      </c>
      <c r="I613" s="40" t="n">
        <v>5.40340587098869</v>
      </c>
      <c r="J613" s="36" t="n">
        <v>1532.44762495991</v>
      </c>
      <c r="K613" s="35"/>
    </row>
    <row r="614" customFormat="false" ht="15" hidden="true" customHeight="false" outlineLevel="1" collapsed="false">
      <c r="F614" s="35" t="s">
        <v>1578</v>
      </c>
      <c r="G614" s="35" t="s">
        <v>1575</v>
      </c>
      <c r="H614" s="35" t="s">
        <v>1579</v>
      </c>
      <c r="I614" s="40" t="n">
        <v>0.351353804936706</v>
      </c>
      <c r="J614" s="36" t="n">
        <v>1527.39557289386</v>
      </c>
      <c r="K614" s="35"/>
    </row>
    <row r="615" customFormat="false" ht="15" hidden="true" customHeight="false" outlineLevel="1" collapsed="false">
      <c r="F615" s="35" t="s">
        <v>1580</v>
      </c>
      <c r="G615" s="35" t="s">
        <v>1579</v>
      </c>
      <c r="H615" s="35" t="s">
        <v>1581</v>
      </c>
      <c r="I615" s="40" t="n">
        <v>2.75303709839501</v>
      </c>
      <c r="J615" s="36" t="n">
        <v>1530.14860999226</v>
      </c>
      <c r="K615" s="35"/>
    </row>
    <row r="616" customFormat="false" ht="15" hidden="true" customHeight="false" outlineLevel="1" collapsed="false">
      <c r="F616" s="35" t="s">
        <v>1582</v>
      </c>
      <c r="G616" s="35" t="s">
        <v>794</v>
      </c>
      <c r="H616" s="35" t="s">
        <v>1583</v>
      </c>
      <c r="I616" s="40" t="n">
        <v>10.3020391140967</v>
      </c>
      <c r="J616" s="36" t="n">
        <v>1473.26747077714</v>
      </c>
      <c r="K616" s="35"/>
    </row>
    <row r="617" customFormat="false" ht="15" hidden="false" customHeight="false" outlineLevel="0" collapsed="true">
      <c r="A617" s="41" t="n">
        <v>95</v>
      </c>
      <c r="B617" s="41" t="s">
        <v>21</v>
      </c>
      <c r="C617" s="41" t="s">
        <v>283</v>
      </c>
      <c r="D617" s="41" t="s">
        <v>515</v>
      </c>
      <c r="E617" s="41" t="s">
        <v>43</v>
      </c>
      <c r="F617" s="41" t="str">
        <f aca="false">COUNTIFS(Trechos!$L$2:$L$526,A617)&amp;" vãos"</f>
        <v>2 vãos</v>
      </c>
      <c r="G617" s="41"/>
      <c r="H617" s="41"/>
      <c r="I617" s="42" t="n">
        <f aca="false">SUMIFS(Trechos!$F$2:$F$526,Trechos!$L$2:$L$526,A617)</f>
        <v>58.4720798475716</v>
      </c>
      <c r="J617" s="41"/>
      <c r="K617" s="41"/>
      <c r="L617" s="41" t="s">
        <v>268</v>
      </c>
      <c r="M617" s="41" t="s">
        <v>50</v>
      </c>
      <c r="N617" s="41" t="str">
        <f aca="false">Blocos!AU96</f>
        <v>—</v>
      </c>
    </row>
    <row r="618" customFormat="false" ht="15" hidden="true" customHeight="false" outlineLevel="1" collapsed="false">
      <c r="F618" s="35" t="s">
        <v>1584</v>
      </c>
      <c r="G618" s="35" t="s">
        <v>800</v>
      </c>
      <c r="H618" s="35" t="s">
        <v>1585</v>
      </c>
      <c r="I618" s="40" t="n">
        <v>19.9927998700289</v>
      </c>
      <c r="J618" s="36" t="n">
        <v>1547.34006137617</v>
      </c>
      <c r="K618" s="35"/>
    </row>
    <row r="619" customFormat="false" ht="15" hidden="true" customHeight="false" outlineLevel="1" collapsed="false">
      <c r="F619" s="35" t="s">
        <v>1586</v>
      </c>
      <c r="G619" s="35" t="s">
        <v>1585</v>
      </c>
      <c r="H619" s="35" t="s">
        <v>1587</v>
      </c>
      <c r="I619" s="40" t="n">
        <v>38.4792799775428</v>
      </c>
      <c r="J619" s="36" t="n">
        <v>1585.81934135371</v>
      </c>
      <c r="K619" s="35"/>
    </row>
    <row r="620" customFormat="false" ht="15" hidden="false" customHeight="false" outlineLevel="0" collapsed="true">
      <c r="A620" s="41" t="n">
        <v>96</v>
      </c>
      <c r="B620" s="41" t="s">
        <v>21</v>
      </c>
      <c r="C620" s="41" t="s">
        <v>283</v>
      </c>
      <c r="D620" s="41" t="s">
        <v>516</v>
      </c>
      <c r="E620" s="41" t="s">
        <v>43</v>
      </c>
      <c r="F620" s="41" t="str">
        <f aca="false">COUNTIFS(Trechos!$L$2:$L$526,A620)&amp;" vãos"</f>
        <v>1 vãos</v>
      </c>
      <c r="G620" s="41"/>
      <c r="H620" s="41"/>
      <c r="I620" s="42" t="n">
        <f aca="false">SUMIFS(Trechos!$F$2:$F$526,Trechos!$L$2:$L$526,A620)</f>
        <v>30.0082558648023</v>
      </c>
      <c r="J620" s="41"/>
      <c r="K620" s="41"/>
      <c r="L620" s="41" t="s">
        <v>271</v>
      </c>
      <c r="M620" s="41" t="s">
        <v>50</v>
      </c>
      <c r="N620" s="41" t="str">
        <f aca="false">Blocos!AU97</f>
        <v>—</v>
      </c>
    </row>
    <row r="621" customFormat="false" ht="15" hidden="true" customHeight="false" outlineLevel="1" collapsed="false">
      <c r="F621" s="35" t="s">
        <v>1588</v>
      </c>
      <c r="G621" s="35" t="s">
        <v>804</v>
      </c>
      <c r="H621" s="35" t="s">
        <v>1589</v>
      </c>
      <c r="I621" s="40" t="n">
        <v>30.0082558648023</v>
      </c>
      <c r="J621" s="36" t="n">
        <v>1653.58788331963</v>
      </c>
      <c r="K621" s="35"/>
    </row>
    <row r="622" customFormat="false" ht="15" hidden="false" customHeight="false" outlineLevel="0" collapsed="true">
      <c r="A622" s="43" t="n">
        <v>97</v>
      </c>
      <c r="B622" s="43" t="s">
        <v>22</v>
      </c>
      <c r="C622" s="43" t="s">
        <v>283</v>
      </c>
      <c r="D622" s="43" t="s">
        <v>517</v>
      </c>
      <c r="E622" s="43" t="s">
        <v>273</v>
      </c>
      <c r="F622" s="43" t="str">
        <f aca="false">COUNTIFS(Trechos!$L$2:$L$526,A622)&amp;" vãos"</f>
        <v>1 vãos</v>
      </c>
      <c r="G622" s="43"/>
      <c r="H622" s="43"/>
      <c r="I622" s="44" t="n">
        <f aca="false">SUMIFS(Trechos!$F$2:$F$526,Trechos!$L$2:$L$526,A622)</f>
        <v>20.6350272599065</v>
      </c>
      <c r="J622" s="43"/>
      <c r="K622" s="43"/>
      <c r="L622" s="43" t="s">
        <v>274</v>
      </c>
      <c r="M622" s="43" t="s">
        <v>50</v>
      </c>
      <c r="N622" s="43" t="str">
        <f aca="false">Blocos!AU98</f>
        <v>—</v>
      </c>
    </row>
    <row r="623" customFormat="false" ht="15" hidden="true" customHeight="false" outlineLevel="1" collapsed="false">
      <c r="F623" s="35" t="s">
        <v>1590</v>
      </c>
      <c r="G623" s="35" t="s">
        <v>806</v>
      </c>
      <c r="H623" s="35" t="s">
        <v>278</v>
      </c>
      <c r="I623" s="40" t="n">
        <v>20.6350272599065</v>
      </c>
      <c r="J623" s="36" t="n">
        <v>20.6350272599066</v>
      </c>
      <c r="K623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7"/>
    <col collapsed="false" customWidth="true" hidden="false" outlineLevel="0" max="10" min="10" style="0" width="11"/>
    <col collapsed="false" customWidth="true" hidden="false" outlineLevel="0" max="11" min="11" style="0" width="17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34"/>
    <col collapsed="false" customWidth="true" hidden="false" outlineLevel="0" max="17" min="17" style="0" width="11"/>
    <col collapsed="false" customWidth="true" hidden="false" outlineLevel="0" max="18" min="18" style="0" width="12"/>
    <col collapsed="false" customWidth="true" hidden="false" outlineLevel="0" max="23" min="19" style="0" width="8"/>
    <col collapsed="false" customWidth="true" hidden="false" outlineLevel="0" max="24" min="24" style="0" width="34"/>
    <col collapsed="false" customWidth="true" hidden="false" outlineLevel="0" max="26" min="25" style="0" width="13"/>
    <col collapsed="false" customWidth="true" hidden="false" outlineLevel="0" max="27" min="27" style="0" width="8"/>
    <col collapsed="false" customWidth="true" hidden="false" outlineLevel="0" max="28" min="28" style="0" width="26"/>
  </cols>
  <sheetData>
    <row r="1" customFormat="false" ht="31.5" hidden="false" customHeight="true" outlineLevel="0" collapsed="false">
      <c r="A1" s="16" t="s">
        <v>1591</v>
      </c>
      <c r="B1" s="16" t="s">
        <v>519</v>
      </c>
      <c r="C1" s="16" t="s">
        <v>1592</v>
      </c>
      <c r="D1" s="16" t="s">
        <v>281</v>
      </c>
      <c r="E1" s="16" t="s">
        <v>520</v>
      </c>
      <c r="F1" s="16" t="s">
        <v>36</v>
      </c>
      <c r="G1" s="16" t="s">
        <v>1593</v>
      </c>
      <c r="H1" s="16" t="s">
        <v>521</v>
      </c>
      <c r="I1" s="16" t="s">
        <v>1</v>
      </c>
      <c r="J1" s="16" t="s">
        <v>282</v>
      </c>
      <c r="K1" s="16" t="s">
        <v>283</v>
      </c>
      <c r="L1" s="16" t="s">
        <v>11</v>
      </c>
      <c r="M1" s="16" t="s">
        <v>7</v>
      </c>
      <c r="N1" s="16" t="s">
        <v>1594</v>
      </c>
      <c r="O1" s="16" t="s">
        <v>1595</v>
      </c>
      <c r="P1" s="16" t="s">
        <v>9</v>
      </c>
      <c r="Q1" s="16" t="s">
        <v>324</v>
      </c>
      <c r="R1" s="16" t="s">
        <v>286</v>
      </c>
      <c r="S1" s="16" t="s">
        <v>28</v>
      </c>
      <c r="T1" s="16" t="s">
        <v>29</v>
      </c>
      <c r="U1" s="16" t="s">
        <v>30</v>
      </c>
      <c r="V1" s="16" t="s">
        <v>31</v>
      </c>
      <c r="W1" s="16" t="s">
        <v>32</v>
      </c>
      <c r="X1" s="16" t="s">
        <v>287</v>
      </c>
      <c r="Y1" s="16" t="s">
        <v>1596</v>
      </c>
      <c r="Z1" s="16" t="s">
        <v>1597</v>
      </c>
      <c r="AA1" s="16" t="s">
        <v>1598</v>
      </c>
      <c r="AB1" s="16" t="s">
        <v>1599</v>
      </c>
    </row>
    <row r="2" customFormat="false" ht="15" hidden="false" customHeight="false" outlineLevel="0" collapsed="false">
      <c r="A2" s="35" t="n">
        <v>1</v>
      </c>
      <c r="B2" s="35" t="s">
        <v>524</v>
      </c>
      <c r="C2" s="35" t="s">
        <v>1600</v>
      </c>
      <c r="D2" s="35" t="s">
        <v>525</v>
      </c>
      <c r="E2" s="35" t="s">
        <v>526</v>
      </c>
      <c r="F2" s="40" t="n">
        <v>41.8227890679907</v>
      </c>
      <c r="G2" s="36" t="n">
        <v>41.8227890679907</v>
      </c>
      <c r="H2" s="36" t="n">
        <v>41.8227890679907</v>
      </c>
      <c r="I2" s="5" t="s">
        <v>20</v>
      </c>
      <c r="J2" s="35" t="s">
        <v>5</v>
      </c>
      <c r="K2" s="35" t="s">
        <v>5</v>
      </c>
      <c r="L2" s="35" t="n">
        <v>1</v>
      </c>
      <c r="M2" s="35" t="s">
        <v>40</v>
      </c>
      <c r="N2" s="35" t="s">
        <v>1601</v>
      </c>
      <c r="O2" s="35" t="s">
        <v>41</v>
      </c>
      <c r="P2" s="35" t="s">
        <v>1602</v>
      </c>
      <c r="Q2" s="35" t="n">
        <v>53</v>
      </c>
      <c r="R2" s="35"/>
      <c r="S2" s="35" t="s">
        <v>40</v>
      </c>
      <c r="T2" s="35"/>
      <c r="U2" s="35"/>
      <c r="V2" s="35"/>
      <c r="W2" s="35"/>
      <c r="X2" s="35" t="s">
        <v>40</v>
      </c>
      <c r="Y2" s="35" t="n">
        <v>-7.195443</v>
      </c>
      <c r="Z2" s="35" t="n">
        <v>-48.238039</v>
      </c>
      <c r="AA2" s="49" t="s">
        <v>1603</v>
      </c>
      <c r="AB2" s="35" t="s">
        <v>1604</v>
      </c>
    </row>
    <row r="3" customFormat="false" ht="15" hidden="false" customHeight="false" outlineLevel="0" collapsed="false">
      <c r="A3" s="35" t="n">
        <v>2</v>
      </c>
      <c r="B3" s="35" t="s">
        <v>527</v>
      </c>
      <c r="C3" s="35" t="s">
        <v>1605</v>
      </c>
      <c r="D3" s="35" t="s">
        <v>526</v>
      </c>
      <c r="E3" s="35" t="s">
        <v>528</v>
      </c>
      <c r="F3" s="40" t="n">
        <v>0.799900259667424</v>
      </c>
      <c r="G3" s="36" t="n">
        <v>42.6226893276581</v>
      </c>
      <c r="H3" s="36" t="n">
        <v>42.6226893276581</v>
      </c>
      <c r="I3" s="5" t="s">
        <v>20</v>
      </c>
      <c r="J3" s="35" t="s">
        <v>5</v>
      </c>
      <c r="K3" s="35" t="s">
        <v>5</v>
      </c>
      <c r="L3" s="35" t="n">
        <v>1</v>
      </c>
      <c r="M3" s="35" t="s">
        <v>40</v>
      </c>
      <c r="N3" s="35" t="s">
        <v>1601</v>
      </c>
      <c r="O3" s="35" t="s">
        <v>41</v>
      </c>
      <c r="P3" s="35" t="s">
        <v>1602</v>
      </c>
      <c r="Q3" s="35" t="n">
        <v>53</v>
      </c>
      <c r="R3" s="35" t="s">
        <v>529</v>
      </c>
      <c r="S3" s="35" t="s">
        <v>40</v>
      </c>
      <c r="T3" s="35"/>
      <c r="U3" s="35"/>
      <c r="V3" s="35"/>
      <c r="W3" s="35"/>
      <c r="X3" s="35" t="s">
        <v>40</v>
      </c>
      <c r="Y3" s="35" t="n">
        <v>-7.195577</v>
      </c>
      <c r="Z3" s="35" t="n">
        <v>-48.238177</v>
      </c>
      <c r="AA3" s="49" t="s">
        <v>1603</v>
      </c>
      <c r="AB3" s="35" t="s">
        <v>1604</v>
      </c>
    </row>
    <row r="4" customFormat="false" ht="15" hidden="false" customHeight="false" outlineLevel="0" collapsed="false">
      <c r="A4" s="35" t="n">
        <v>3</v>
      </c>
      <c r="B4" s="35" t="s">
        <v>530</v>
      </c>
      <c r="C4" s="35" t="s">
        <v>1606</v>
      </c>
      <c r="D4" s="35" t="s">
        <v>528</v>
      </c>
      <c r="E4" s="35" t="s">
        <v>531</v>
      </c>
      <c r="F4" s="40" t="n">
        <v>11.266548297878</v>
      </c>
      <c r="G4" s="36" t="n">
        <v>53.889237625536</v>
      </c>
      <c r="H4" s="36" t="n">
        <v>53.889237625536</v>
      </c>
      <c r="I4" s="5" t="s">
        <v>20</v>
      </c>
      <c r="J4" s="35" t="s">
        <v>5</v>
      </c>
      <c r="K4" s="35" t="s">
        <v>5</v>
      </c>
      <c r="L4" s="35" t="n">
        <v>1</v>
      </c>
      <c r="M4" s="35" t="s">
        <v>40</v>
      </c>
      <c r="N4" s="35" t="s">
        <v>1601</v>
      </c>
      <c r="O4" s="35" t="s">
        <v>41</v>
      </c>
      <c r="P4" s="35" t="s">
        <v>1602</v>
      </c>
      <c r="Q4" s="35" t="n">
        <v>53</v>
      </c>
      <c r="R4" s="35"/>
      <c r="S4" s="35" t="s">
        <v>40</v>
      </c>
      <c r="T4" s="35"/>
      <c r="U4" s="35"/>
      <c r="V4" s="35"/>
      <c r="W4" s="35"/>
      <c r="X4" s="35" t="s">
        <v>40</v>
      </c>
      <c r="Y4" s="35" t="n">
        <v>-7.195623</v>
      </c>
      <c r="Z4" s="35" t="n">
        <v>-48.238206</v>
      </c>
      <c r="AA4" s="49" t="s">
        <v>1603</v>
      </c>
      <c r="AB4" s="35" t="s">
        <v>1604</v>
      </c>
    </row>
    <row r="5" customFormat="false" ht="15" hidden="false" customHeight="false" outlineLevel="0" collapsed="false">
      <c r="A5" s="35" t="n">
        <v>4</v>
      </c>
      <c r="B5" s="35" t="s">
        <v>532</v>
      </c>
      <c r="C5" s="35" t="s">
        <v>1607</v>
      </c>
      <c r="D5" s="35" t="s">
        <v>531</v>
      </c>
      <c r="E5" s="35" t="s">
        <v>533</v>
      </c>
      <c r="F5" s="40" t="n">
        <v>2.19971685054003</v>
      </c>
      <c r="G5" s="36" t="n">
        <v>56.0889544760761</v>
      </c>
      <c r="H5" s="36" t="n">
        <v>56.0889544760761</v>
      </c>
      <c r="I5" s="5" t="s">
        <v>20</v>
      </c>
      <c r="J5" s="35" t="s">
        <v>5</v>
      </c>
      <c r="K5" s="35" t="s">
        <v>5</v>
      </c>
      <c r="L5" s="35" t="n">
        <v>1</v>
      </c>
      <c r="M5" s="35" t="s">
        <v>40</v>
      </c>
      <c r="N5" s="35" t="s">
        <v>1601</v>
      </c>
      <c r="O5" s="35" t="s">
        <v>41</v>
      </c>
      <c r="P5" s="35" t="s">
        <v>1602</v>
      </c>
      <c r="Q5" s="35" t="n">
        <v>53</v>
      </c>
      <c r="R5" s="35" t="s">
        <v>534</v>
      </c>
      <c r="S5" s="35" t="s">
        <v>40</v>
      </c>
      <c r="T5" s="35"/>
      <c r="U5" s="35"/>
      <c r="V5" s="35"/>
      <c r="W5" s="35"/>
      <c r="X5" s="35" t="s">
        <v>40</v>
      </c>
      <c r="Y5" s="35" t="n">
        <v>-7.1956735</v>
      </c>
      <c r="Z5" s="35" t="n">
        <v>-48.2382265</v>
      </c>
      <c r="AA5" s="49" t="s">
        <v>1603</v>
      </c>
      <c r="AB5" s="35" t="s">
        <v>1604</v>
      </c>
    </row>
    <row r="6" customFormat="false" ht="15" hidden="false" customHeight="false" outlineLevel="0" collapsed="false">
      <c r="A6" s="35" t="n">
        <v>5</v>
      </c>
      <c r="B6" s="35" t="s">
        <v>535</v>
      </c>
      <c r="C6" s="35" t="s">
        <v>1608</v>
      </c>
      <c r="D6" s="35" t="s">
        <v>533</v>
      </c>
      <c r="E6" s="35" t="s">
        <v>536</v>
      </c>
      <c r="F6" s="40" t="n">
        <v>19.6834068553361</v>
      </c>
      <c r="G6" s="36" t="n">
        <v>75.7723613314122</v>
      </c>
      <c r="H6" s="36" t="n">
        <v>75.7723613314122</v>
      </c>
      <c r="I6" s="5" t="s">
        <v>20</v>
      </c>
      <c r="J6" s="35" t="s">
        <v>5</v>
      </c>
      <c r="K6" s="35" t="s">
        <v>5</v>
      </c>
      <c r="L6" s="35" t="n">
        <v>1</v>
      </c>
      <c r="M6" s="35" t="s">
        <v>40</v>
      </c>
      <c r="N6" s="35" t="s">
        <v>1601</v>
      </c>
      <c r="O6" s="35" t="s">
        <v>41</v>
      </c>
      <c r="P6" s="35" t="s">
        <v>1602</v>
      </c>
      <c r="Q6" s="35" t="n">
        <v>53</v>
      </c>
      <c r="R6" s="35"/>
      <c r="S6" s="35" t="s">
        <v>40</v>
      </c>
      <c r="T6" s="35"/>
      <c r="U6" s="35"/>
      <c r="V6" s="35"/>
      <c r="W6" s="35"/>
      <c r="X6" s="35" t="s">
        <v>40</v>
      </c>
      <c r="Y6" s="35" t="n">
        <v>-7.1957465</v>
      </c>
      <c r="Z6" s="35" t="n">
        <v>-48.23816</v>
      </c>
      <c r="AA6" s="49" t="s">
        <v>1603</v>
      </c>
      <c r="AB6" s="35" t="s">
        <v>1604</v>
      </c>
    </row>
    <row r="7" customFormat="false" ht="15" hidden="false" customHeight="false" outlineLevel="0" collapsed="false">
      <c r="A7" s="35" t="n">
        <v>6</v>
      </c>
      <c r="B7" s="35" t="s">
        <v>537</v>
      </c>
      <c r="C7" s="35" t="s">
        <v>1609</v>
      </c>
      <c r="D7" s="35" t="s">
        <v>536</v>
      </c>
      <c r="E7" s="35" t="s">
        <v>538</v>
      </c>
      <c r="F7" s="40" t="n">
        <v>3.75924769599223</v>
      </c>
      <c r="G7" s="36" t="n">
        <v>79.5316090274044</v>
      </c>
      <c r="H7" s="36" t="n">
        <v>79.5316090274044</v>
      </c>
      <c r="I7" s="5" t="s">
        <v>20</v>
      </c>
      <c r="J7" s="35" t="s">
        <v>5</v>
      </c>
      <c r="K7" s="35" t="s">
        <v>5</v>
      </c>
      <c r="L7" s="35" t="n">
        <v>1</v>
      </c>
      <c r="M7" s="35" t="s">
        <v>40</v>
      </c>
      <c r="N7" s="35" t="s">
        <v>1601</v>
      </c>
      <c r="O7" s="35" t="s">
        <v>41</v>
      </c>
      <c r="P7" s="35" t="s">
        <v>1602</v>
      </c>
      <c r="Q7" s="35" t="n">
        <v>53</v>
      </c>
      <c r="R7" s="35"/>
      <c r="S7" s="35" t="s">
        <v>40</v>
      </c>
      <c r="T7" s="35"/>
      <c r="U7" s="35"/>
      <c r="V7" s="35"/>
      <c r="W7" s="35"/>
      <c r="X7" s="35" t="s">
        <v>40</v>
      </c>
      <c r="Y7" s="35" t="n">
        <v>-7.195824</v>
      </c>
      <c r="Z7" s="35" t="n">
        <v>-48.238088</v>
      </c>
      <c r="AA7" s="49" t="s">
        <v>1603</v>
      </c>
      <c r="AB7" s="35" t="s">
        <v>1604</v>
      </c>
    </row>
    <row r="8" customFormat="false" ht="15" hidden="false" customHeight="false" outlineLevel="0" collapsed="false">
      <c r="A8" s="35" t="n">
        <v>7</v>
      </c>
      <c r="B8" s="35" t="s">
        <v>539</v>
      </c>
      <c r="C8" s="35" t="s">
        <v>1610</v>
      </c>
      <c r="D8" s="35" t="s">
        <v>538</v>
      </c>
      <c r="E8" s="35" t="s">
        <v>540</v>
      </c>
      <c r="F8" s="40" t="n">
        <v>23.4962792207272</v>
      </c>
      <c r="G8" s="36" t="n">
        <v>103.027888248132</v>
      </c>
      <c r="H8" s="36" t="n">
        <v>103.027888248132</v>
      </c>
      <c r="I8" s="5" t="s">
        <v>20</v>
      </c>
      <c r="J8" s="35" t="s">
        <v>5</v>
      </c>
      <c r="K8" s="35" t="s">
        <v>5</v>
      </c>
      <c r="L8" s="35" t="n">
        <v>1</v>
      </c>
      <c r="M8" s="35" t="s">
        <v>40</v>
      </c>
      <c r="N8" s="35" t="s">
        <v>1601</v>
      </c>
      <c r="O8" s="35" t="s">
        <v>41</v>
      </c>
      <c r="P8" s="35" t="s">
        <v>1602</v>
      </c>
      <c r="Q8" s="35" t="n">
        <v>53</v>
      </c>
      <c r="R8" s="35"/>
      <c r="S8" s="35" t="s">
        <v>40</v>
      </c>
      <c r="T8" s="35"/>
      <c r="U8" s="35"/>
      <c r="V8" s="35"/>
      <c r="W8" s="35"/>
      <c r="X8" s="35" t="s">
        <v>40</v>
      </c>
      <c r="Y8" s="35" t="n">
        <v>-7.1959095</v>
      </c>
      <c r="Z8" s="35" t="n">
        <v>-48.2379995</v>
      </c>
      <c r="AA8" s="49" t="s">
        <v>1603</v>
      </c>
      <c r="AB8" s="35" t="s">
        <v>1604</v>
      </c>
    </row>
    <row r="9" customFormat="false" ht="15" hidden="false" customHeight="false" outlineLevel="0" collapsed="false">
      <c r="A9" s="35" t="n">
        <v>8</v>
      </c>
      <c r="B9" s="35" t="s">
        <v>541</v>
      </c>
      <c r="C9" s="35" t="s">
        <v>1611</v>
      </c>
      <c r="D9" s="35" t="s">
        <v>540</v>
      </c>
      <c r="E9" s="35" t="s">
        <v>542</v>
      </c>
      <c r="F9" s="40" t="n">
        <v>3.69861950077131</v>
      </c>
      <c r="G9" s="36" t="n">
        <v>106.726507748903</v>
      </c>
      <c r="H9" s="36" t="n">
        <v>106.726507748903</v>
      </c>
      <c r="I9" s="5" t="s">
        <v>20</v>
      </c>
      <c r="J9" s="35" t="s">
        <v>5</v>
      </c>
      <c r="K9" s="35" t="s">
        <v>5</v>
      </c>
      <c r="L9" s="35" t="n">
        <v>1</v>
      </c>
      <c r="M9" s="35" t="s">
        <v>40</v>
      </c>
      <c r="N9" s="35" t="s">
        <v>1601</v>
      </c>
      <c r="O9" s="35" t="s">
        <v>41</v>
      </c>
      <c r="P9" s="35" t="s">
        <v>1602</v>
      </c>
      <c r="Q9" s="35" t="n">
        <v>53</v>
      </c>
      <c r="R9" s="35"/>
      <c r="S9" s="35" t="s">
        <v>40</v>
      </c>
      <c r="T9" s="35"/>
      <c r="U9" s="35"/>
      <c r="V9" s="35"/>
      <c r="W9" s="35"/>
      <c r="X9" s="35" t="s">
        <v>40</v>
      </c>
      <c r="Y9" s="35" t="n">
        <v>-7.1959935</v>
      </c>
      <c r="Z9" s="35" t="n">
        <v>-48.23791</v>
      </c>
      <c r="AA9" s="49" t="s">
        <v>1603</v>
      </c>
      <c r="AB9" s="35" t="s">
        <v>1604</v>
      </c>
    </row>
    <row r="10" customFormat="false" ht="15" hidden="false" customHeight="false" outlineLevel="0" collapsed="false">
      <c r="A10" s="35" t="n">
        <v>9</v>
      </c>
      <c r="B10" s="35" t="s">
        <v>543</v>
      </c>
      <c r="C10" s="35" t="s">
        <v>1612</v>
      </c>
      <c r="D10" s="35" t="s">
        <v>542</v>
      </c>
      <c r="E10" s="35" t="s">
        <v>544</v>
      </c>
      <c r="F10" s="40" t="n">
        <v>137.818386877409</v>
      </c>
      <c r="G10" s="36" t="n">
        <v>244.544894626312</v>
      </c>
      <c r="H10" s="36" t="n">
        <v>244.544894626312</v>
      </c>
      <c r="I10" s="5" t="s">
        <v>20</v>
      </c>
      <c r="J10" s="35" t="s">
        <v>5</v>
      </c>
      <c r="K10" s="35" t="s">
        <v>5</v>
      </c>
      <c r="L10" s="35" t="n">
        <v>1</v>
      </c>
      <c r="M10" s="35" t="s">
        <v>40</v>
      </c>
      <c r="N10" s="35" t="s">
        <v>1601</v>
      </c>
      <c r="O10" s="35" t="s">
        <v>41</v>
      </c>
      <c r="P10" s="35" t="s">
        <v>1602</v>
      </c>
      <c r="Q10" s="35" t="n">
        <v>53</v>
      </c>
      <c r="R10" s="35"/>
      <c r="S10" s="35" t="s">
        <v>40</v>
      </c>
      <c r="T10" s="35"/>
      <c r="U10" s="35"/>
      <c r="V10" s="35"/>
      <c r="W10" s="35"/>
      <c r="X10" s="35" t="s">
        <v>40</v>
      </c>
      <c r="Y10" s="35" t="n">
        <v>-7.1962755</v>
      </c>
      <c r="Z10" s="35" t="n">
        <v>-48.2373355</v>
      </c>
      <c r="AA10" s="49" t="s">
        <v>1603</v>
      </c>
      <c r="AB10" s="35" t="s">
        <v>1604</v>
      </c>
    </row>
    <row r="11" customFormat="false" ht="15" hidden="false" customHeight="false" outlineLevel="0" collapsed="false">
      <c r="A11" s="35" t="n">
        <v>10</v>
      </c>
      <c r="B11" s="35" t="s">
        <v>545</v>
      </c>
      <c r="C11" s="35" t="s">
        <v>1613</v>
      </c>
      <c r="D11" s="35" t="s">
        <v>544</v>
      </c>
      <c r="E11" s="35" t="s">
        <v>546</v>
      </c>
      <c r="F11" s="40" t="n">
        <v>3.70477603871176</v>
      </c>
      <c r="G11" s="36" t="n">
        <v>248.249670665024</v>
      </c>
      <c r="H11" s="36" t="n">
        <v>248.249670665024</v>
      </c>
      <c r="I11" s="5" t="s">
        <v>20</v>
      </c>
      <c r="J11" s="35" t="s">
        <v>5</v>
      </c>
      <c r="K11" s="35" t="s">
        <v>5</v>
      </c>
      <c r="L11" s="35" t="n">
        <v>1</v>
      </c>
      <c r="M11" s="35" t="s">
        <v>40</v>
      </c>
      <c r="N11" s="35" t="s">
        <v>1601</v>
      </c>
      <c r="O11" s="35" t="s">
        <v>41</v>
      </c>
      <c r="P11" s="35" t="s">
        <v>1602</v>
      </c>
      <c r="Q11" s="35" t="n">
        <v>53</v>
      </c>
      <c r="R11" s="35"/>
      <c r="S11" s="35" t="s">
        <v>40</v>
      </c>
      <c r="T11" s="35"/>
      <c r="U11" s="35"/>
      <c r="V11" s="35"/>
      <c r="W11" s="35"/>
      <c r="X11" s="35" t="s">
        <v>40</v>
      </c>
      <c r="Y11" s="35" t="n">
        <v>-7.196534</v>
      </c>
      <c r="Z11" s="35" t="n">
        <v>-48.2367635</v>
      </c>
      <c r="AA11" s="49" t="s">
        <v>1603</v>
      </c>
      <c r="AB11" s="35" t="s">
        <v>1604</v>
      </c>
    </row>
    <row r="12" customFormat="false" ht="15" hidden="false" customHeight="false" outlineLevel="0" collapsed="false">
      <c r="A12" s="35" t="n">
        <v>11</v>
      </c>
      <c r="B12" s="35" t="s">
        <v>547</v>
      </c>
      <c r="C12" s="35" t="s">
        <v>1614</v>
      </c>
      <c r="D12" s="35" t="s">
        <v>546</v>
      </c>
      <c r="E12" s="35" t="s">
        <v>548</v>
      </c>
      <c r="F12" s="40" t="n">
        <v>20.4406509098437</v>
      </c>
      <c r="G12" s="36" t="n">
        <v>268.690321574867</v>
      </c>
      <c r="H12" s="36" t="n">
        <v>268.690321574867</v>
      </c>
      <c r="I12" s="5" t="s">
        <v>20</v>
      </c>
      <c r="J12" s="35" t="s">
        <v>5</v>
      </c>
      <c r="K12" s="35" t="s">
        <v>5</v>
      </c>
      <c r="L12" s="35" t="n">
        <v>1</v>
      </c>
      <c r="M12" s="35" t="s">
        <v>40</v>
      </c>
      <c r="N12" s="35" t="s">
        <v>1601</v>
      </c>
      <c r="O12" s="35" t="s">
        <v>41</v>
      </c>
      <c r="P12" s="35" t="s">
        <v>1602</v>
      </c>
      <c r="Q12" s="35" t="n">
        <v>53</v>
      </c>
      <c r="R12" s="35"/>
      <c r="S12" s="35" t="s">
        <v>40</v>
      </c>
      <c r="T12" s="35"/>
      <c r="U12" s="35"/>
      <c r="V12" s="35"/>
      <c r="W12" s="35"/>
      <c r="X12" s="35" t="s">
        <v>40</v>
      </c>
      <c r="Y12" s="35" t="n">
        <v>-7.1964355</v>
      </c>
      <c r="Z12" s="35" t="n">
        <v>-48.236719</v>
      </c>
      <c r="AA12" s="49" t="s">
        <v>1603</v>
      </c>
      <c r="AB12" s="35" t="s">
        <v>1604</v>
      </c>
    </row>
    <row r="13" customFormat="false" ht="15" hidden="false" customHeight="false" outlineLevel="0" collapsed="false">
      <c r="A13" s="35" t="n">
        <v>12</v>
      </c>
      <c r="B13" s="35" t="s">
        <v>549</v>
      </c>
      <c r="C13" s="35" t="s">
        <v>1615</v>
      </c>
      <c r="D13" s="35" t="s">
        <v>548</v>
      </c>
      <c r="E13" s="35" t="s">
        <v>550</v>
      </c>
      <c r="F13" s="40" t="n">
        <v>3.67603812725738</v>
      </c>
      <c r="G13" s="36" t="n">
        <v>272.366359702125</v>
      </c>
      <c r="H13" s="36" t="n">
        <v>272.366359702125</v>
      </c>
      <c r="I13" s="5" t="s">
        <v>20</v>
      </c>
      <c r="J13" s="35" t="s">
        <v>5</v>
      </c>
      <c r="K13" s="35" t="s">
        <v>5</v>
      </c>
      <c r="L13" s="35" t="n">
        <v>1</v>
      </c>
      <c r="M13" s="35" t="s">
        <v>40</v>
      </c>
      <c r="N13" s="35" t="s">
        <v>1601</v>
      </c>
      <c r="O13" s="35" t="s">
        <v>41</v>
      </c>
      <c r="P13" s="35" t="s">
        <v>1602</v>
      </c>
      <c r="Q13" s="35" t="n">
        <v>53</v>
      </c>
      <c r="R13" s="35"/>
      <c r="S13" s="35" t="s">
        <v>40</v>
      </c>
      <c r="T13" s="35"/>
      <c r="U13" s="35"/>
      <c r="V13" s="35"/>
      <c r="W13" s="35"/>
      <c r="X13" s="35" t="s">
        <v>40</v>
      </c>
      <c r="Y13" s="35" t="n">
        <v>-7.196335</v>
      </c>
      <c r="Z13" s="35" t="n">
        <v>-48.236678</v>
      </c>
      <c r="AA13" s="49" t="s">
        <v>1603</v>
      </c>
      <c r="AB13" s="35" t="s">
        <v>1604</v>
      </c>
    </row>
    <row r="14" customFormat="false" ht="15" hidden="false" customHeight="false" outlineLevel="0" collapsed="false">
      <c r="A14" s="35" t="n">
        <v>13</v>
      </c>
      <c r="B14" s="35" t="s">
        <v>551</v>
      </c>
      <c r="C14" s="35" t="s">
        <v>1616</v>
      </c>
      <c r="D14" s="35" t="s">
        <v>550</v>
      </c>
      <c r="E14" s="35" t="s">
        <v>552</v>
      </c>
      <c r="F14" s="40" t="n">
        <v>12.673458959616</v>
      </c>
      <c r="G14" s="36" t="n">
        <v>285.039818661741</v>
      </c>
      <c r="H14" s="36" t="n">
        <v>285.039818661741</v>
      </c>
      <c r="I14" s="5" t="s">
        <v>20</v>
      </c>
      <c r="J14" s="35" t="s">
        <v>5</v>
      </c>
      <c r="K14" s="35" t="s">
        <v>5</v>
      </c>
      <c r="L14" s="35" t="n">
        <v>1</v>
      </c>
      <c r="M14" s="35" t="s">
        <v>40</v>
      </c>
      <c r="N14" s="35" t="s">
        <v>1601</v>
      </c>
      <c r="O14" s="35" t="s">
        <v>41</v>
      </c>
      <c r="P14" s="35" t="s">
        <v>1602</v>
      </c>
      <c r="Q14" s="35" t="n">
        <v>53</v>
      </c>
      <c r="R14" s="35"/>
      <c r="S14" s="35" t="s">
        <v>40</v>
      </c>
      <c r="T14" s="35"/>
      <c r="U14" s="35"/>
      <c r="V14" s="35"/>
      <c r="W14" s="35"/>
      <c r="X14" s="35" t="s">
        <v>40</v>
      </c>
      <c r="Y14" s="35" t="n">
        <v>-7.196268</v>
      </c>
      <c r="Z14" s="35" t="n">
        <v>-48.2366475</v>
      </c>
      <c r="AA14" s="49" t="s">
        <v>1603</v>
      </c>
      <c r="AB14" s="35" t="s">
        <v>1604</v>
      </c>
    </row>
    <row r="15" customFormat="false" ht="15" hidden="false" customHeight="false" outlineLevel="0" collapsed="false">
      <c r="A15" s="35" t="n">
        <v>14</v>
      </c>
      <c r="B15" s="35" t="s">
        <v>553</v>
      </c>
      <c r="C15" s="35" t="s">
        <v>1617</v>
      </c>
      <c r="D15" s="35" t="s">
        <v>552</v>
      </c>
      <c r="E15" s="35" t="s">
        <v>554</v>
      </c>
      <c r="F15" s="40" t="n">
        <v>1.14270141687815</v>
      </c>
      <c r="G15" s="36" t="n">
        <v>286.182520078619</v>
      </c>
      <c r="H15" s="36" t="n">
        <v>286.182520078619</v>
      </c>
      <c r="I15" s="5" t="s">
        <v>20</v>
      </c>
      <c r="J15" s="35" t="s">
        <v>5</v>
      </c>
      <c r="K15" s="35" t="s">
        <v>5</v>
      </c>
      <c r="L15" s="35" t="n">
        <v>1</v>
      </c>
      <c r="M15" s="35" t="s">
        <v>40</v>
      </c>
      <c r="N15" s="35" t="s">
        <v>1601</v>
      </c>
      <c r="O15" s="35" t="s">
        <v>41</v>
      </c>
      <c r="P15" s="35" t="s">
        <v>1602</v>
      </c>
      <c r="Q15" s="35" t="n">
        <v>53</v>
      </c>
      <c r="R15" s="35" t="s">
        <v>555</v>
      </c>
      <c r="S15" s="35" t="s">
        <v>40</v>
      </c>
      <c r="T15" s="35"/>
      <c r="U15" s="35"/>
      <c r="V15" s="35"/>
      <c r="W15" s="35"/>
      <c r="X15" s="35" t="s">
        <v>40</v>
      </c>
      <c r="Y15" s="35" t="n">
        <v>-7.1962115</v>
      </c>
      <c r="Z15" s="35" t="n">
        <v>-48.2366215</v>
      </c>
      <c r="AA15" s="49" t="s">
        <v>1603</v>
      </c>
      <c r="AB15" s="35" t="s">
        <v>1604</v>
      </c>
    </row>
    <row r="16" customFormat="false" ht="15" hidden="false" customHeight="false" outlineLevel="0" collapsed="false">
      <c r="A16" s="35" t="n">
        <v>15</v>
      </c>
      <c r="B16" s="35" t="s">
        <v>556</v>
      </c>
      <c r="C16" s="35" t="s">
        <v>1618</v>
      </c>
      <c r="D16" s="35" t="s">
        <v>554</v>
      </c>
      <c r="E16" s="35" t="s">
        <v>557</v>
      </c>
      <c r="F16" s="40" t="n">
        <v>256.512021952124</v>
      </c>
      <c r="G16" s="36" t="n">
        <v>542.694542030743</v>
      </c>
      <c r="H16" s="36" t="n">
        <v>542.694542030743</v>
      </c>
      <c r="I16" s="5" t="s">
        <v>20</v>
      </c>
      <c r="J16" s="35" t="s">
        <v>5</v>
      </c>
      <c r="K16" s="35" t="s">
        <v>5</v>
      </c>
      <c r="L16" s="35" t="n">
        <v>1</v>
      </c>
      <c r="M16" s="35" t="s">
        <v>40</v>
      </c>
      <c r="N16" s="35" t="s">
        <v>1601</v>
      </c>
      <c r="O16" s="35" t="s">
        <v>41</v>
      </c>
      <c r="P16" s="35" t="s">
        <v>1602</v>
      </c>
      <c r="Q16" s="35" t="n">
        <v>53</v>
      </c>
      <c r="R16" s="35"/>
      <c r="S16" s="35" t="s">
        <v>40</v>
      </c>
      <c r="T16" s="35"/>
      <c r="U16" s="35"/>
      <c r="V16" s="35"/>
      <c r="W16" s="35"/>
      <c r="X16" s="35" t="s">
        <v>40</v>
      </c>
      <c r="Y16" s="35" t="n">
        <v>-7.1951585</v>
      </c>
      <c r="Z16" s="35" t="n">
        <v>-48.2361345</v>
      </c>
      <c r="AA16" s="49" t="s">
        <v>1603</v>
      </c>
      <c r="AB16" s="35" t="s">
        <v>1604</v>
      </c>
    </row>
    <row r="17" customFormat="false" ht="15" hidden="false" customHeight="false" outlineLevel="0" collapsed="false">
      <c r="A17" s="35" t="n">
        <v>16</v>
      </c>
      <c r="B17" s="35" t="s">
        <v>558</v>
      </c>
      <c r="C17" s="35" t="s">
        <v>1619</v>
      </c>
      <c r="D17" s="35" t="s">
        <v>557</v>
      </c>
      <c r="E17" s="35" t="s">
        <v>559</v>
      </c>
      <c r="F17" s="40" t="n">
        <v>3.82366899923944</v>
      </c>
      <c r="G17" s="36" t="n">
        <v>546.518211029982</v>
      </c>
      <c r="H17" s="36" t="n">
        <v>546.518211029982</v>
      </c>
      <c r="I17" s="5" t="s">
        <v>20</v>
      </c>
      <c r="J17" s="35" t="s">
        <v>5</v>
      </c>
      <c r="K17" s="35" t="s">
        <v>5</v>
      </c>
      <c r="L17" s="35" t="n">
        <v>1</v>
      </c>
      <c r="M17" s="35" t="s">
        <v>40</v>
      </c>
      <c r="N17" s="35" t="s">
        <v>1601</v>
      </c>
      <c r="O17" s="35" t="s">
        <v>41</v>
      </c>
      <c r="P17" s="35" t="s">
        <v>1602</v>
      </c>
      <c r="Q17" s="35" t="n">
        <v>53</v>
      </c>
      <c r="R17" s="35"/>
      <c r="S17" s="35" t="s">
        <v>40</v>
      </c>
      <c r="T17" s="35"/>
      <c r="U17" s="35"/>
      <c r="V17" s="35"/>
      <c r="W17" s="35"/>
      <c r="X17" s="35" t="s">
        <v>40</v>
      </c>
      <c r="Y17" s="35" t="n">
        <v>-7.1940945</v>
      </c>
      <c r="Z17" s="35" t="n">
        <v>-48.2356425</v>
      </c>
      <c r="AA17" s="49" t="s">
        <v>1603</v>
      </c>
      <c r="AB17" s="35" t="s">
        <v>1604</v>
      </c>
    </row>
    <row r="18" customFormat="false" ht="15" hidden="false" customHeight="false" outlineLevel="0" collapsed="false">
      <c r="A18" s="35" t="n">
        <v>17</v>
      </c>
      <c r="B18" s="35" t="s">
        <v>560</v>
      </c>
      <c r="C18" s="35" t="s">
        <v>1620</v>
      </c>
      <c r="D18" s="35" t="s">
        <v>559</v>
      </c>
      <c r="E18" s="35" t="s">
        <v>561</v>
      </c>
      <c r="F18" s="40" t="n">
        <v>89.4506522636549</v>
      </c>
      <c r="G18" s="36" t="n">
        <v>635.968863293637</v>
      </c>
      <c r="H18" s="36" t="n">
        <v>635.968863293637</v>
      </c>
      <c r="I18" s="5" t="s">
        <v>20</v>
      </c>
      <c r="J18" s="35" t="s">
        <v>5</v>
      </c>
      <c r="K18" s="35" t="s">
        <v>5</v>
      </c>
      <c r="L18" s="35" t="n">
        <v>1</v>
      </c>
      <c r="M18" s="35" t="s">
        <v>40</v>
      </c>
      <c r="N18" s="35" t="s">
        <v>1601</v>
      </c>
      <c r="O18" s="35" t="s">
        <v>41</v>
      </c>
      <c r="P18" s="35" t="s">
        <v>1602</v>
      </c>
      <c r="Q18" s="35" t="n">
        <v>53</v>
      </c>
      <c r="R18" s="35"/>
      <c r="S18" s="35" t="s">
        <v>40</v>
      </c>
      <c r="T18" s="35"/>
      <c r="U18" s="35"/>
      <c r="V18" s="35"/>
      <c r="W18" s="35"/>
      <c r="X18" s="35" t="s">
        <v>40</v>
      </c>
      <c r="Y18" s="35" t="n">
        <v>-7.193709</v>
      </c>
      <c r="Z18" s="35" t="n">
        <v>-48.235476</v>
      </c>
      <c r="AA18" s="49" t="s">
        <v>1603</v>
      </c>
      <c r="AB18" s="35" t="s">
        <v>1604</v>
      </c>
    </row>
    <row r="19" customFormat="false" ht="15" hidden="false" customHeight="false" outlineLevel="0" collapsed="false">
      <c r="A19" s="35" t="n">
        <v>18</v>
      </c>
      <c r="B19" s="35" t="s">
        <v>562</v>
      </c>
      <c r="C19" s="35" t="s">
        <v>1621</v>
      </c>
      <c r="D19" s="35" t="s">
        <v>561</v>
      </c>
      <c r="E19" s="35" t="s">
        <v>563</v>
      </c>
      <c r="F19" s="40" t="n">
        <v>3.7965246515908</v>
      </c>
      <c r="G19" s="36" t="n">
        <v>639.765387945228</v>
      </c>
      <c r="H19" s="36" t="n">
        <v>639.765387945228</v>
      </c>
      <c r="I19" s="5" t="s">
        <v>20</v>
      </c>
      <c r="J19" s="35" t="s">
        <v>5</v>
      </c>
      <c r="K19" s="35" t="s">
        <v>5</v>
      </c>
      <c r="L19" s="35" t="n">
        <v>1</v>
      </c>
      <c r="M19" s="35" t="s">
        <v>40</v>
      </c>
      <c r="N19" s="35" t="s">
        <v>1601</v>
      </c>
      <c r="O19" s="35" t="s">
        <v>41</v>
      </c>
      <c r="P19" s="35" t="s">
        <v>1602</v>
      </c>
      <c r="Q19" s="35" t="n">
        <v>53</v>
      </c>
      <c r="R19" s="35"/>
      <c r="S19" s="35" t="s">
        <v>40</v>
      </c>
      <c r="T19" s="35"/>
      <c r="U19" s="35"/>
      <c r="V19" s="35"/>
      <c r="W19" s="35"/>
      <c r="X19" s="35" t="s">
        <v>40</v>
      </c>
      <c r="Y19" s="35" t="n">
        <v>-7.193323</v>
      </c>
      <c r="Z19" s="35" t="n">
        <v>-48.235311</v>
      </c>
      <c r="AA19" s="49" t="s">
        <v>1603</v>
      </c>
      <c r="AB19" s="35" t="s">
        <v>1604</v>
      </c>
    </row>
    <row r="20" customFormat="false" ht="15" hidden="false" customHeight="false" outlineLevel="0" collapsed="false">
      <c r="A20" s="35" t="n">
        <v>19</v>
      </c>
      <c r="B20" s="35" t="s">
        <v>564</v>
      </c>
      <c r="C20" s="35" t="s">
        <v>1622</v>
      </c>
      <c r="D20" s="35" t="s">
        <v>563</v>
      </c>
      <c r="E20" s="35" t="s">
        <v>565</v>
      </c>
      <c r="F20" s="40" t="n">
        <v>56.8834942058795</v>
      </c>
      <c r="G20" s="36" t="n">
        <v>696.648882151108</v>
      </c>
      <c r="H20" s="36" t="n">
        <v>696.648882151108</v>
      </c>
      <c r="I20" s="5" t="s">
        <v>20</v>
      </c>
      <c r="J20" s="35" t="s">
        <v>5</v>
      </c>
      <c r="K20" s="35" t="s">
        <v>5</v>
      </c>
      <c r="L20" s="35" t="n">
        <v>1</v>
      </c>
      <c r="M20" s="35" t="s">
        <v>40</v>
      </c>
      <c r="N20" s="35" t="s">
        <v>1601</v>
      </c>
      <c r="O20" s="35" t="s">
        <v>41</v>
      </c>
      <c r="P20" s="35" t="s">
        <v>1602</v>
      </c>
      <c r="Q20" s="35" t="n">
        <v>53</v>
      </c>
      <c r="R20" s="35"/>
      <c r="S20" s="35" t="s">
        <v>40</v>
      </c>
      <c r="T20" s="35"/>
      <c r="U20" s="35"/>
      <c r="V20" s="35"/>
      <c r="W20" s="35"/>
      <c r="X20" s="35" t="s">
        <v>40</v>
      </c>
      <c r="Y20" s="35" t="n">
        <v>-7.1930645</v>
      </c>
      <c r="Z20" s="35" t="n">
        <v>-48.235223</v>
      </c>
      <c r="AA20" s="49" t="s">
        <v>1603</v>
      </c>
      <c r="AB20" s="35" t="s">
        <v>1604</v>
      </c>
    </row>
    <row r="21" customFormat="false" ht="15" hidden="false" customHeight="false" outlineLevel="0" collapsed="false">
      <c r="A21" s="35" t="n">
        <v>20</v>
      </c>
      <c r="B21" s="35" t="s">
        <v>566</v>
      </c>
      <c r="C21" s="35" t="s">
        <v>1623</v>
      </c>
      <c r="D21" s="35" t="s">
        <v>565</v>
      </c>
      <c r="E21" s="35" t="s">
        <v>567</v>
      </c>
      <c r="F21" s="40" t="n">
        <v>3.58893142327609</v>
      </c>
      <c r="G21" s="36" t="n">
        <v>700.237813574384</v>
      </c>
      <c r="H21" s="36" t="n">
        <v>700.237813574384</v>
      </c>
      <c r="I21" s="5" t="s">
        <v>20</v>
      </c>
      <c r="J21" s="35" t="s">
        <v>5</v>
      </c>
      <c r="K21" s="35" t="s">
        <v>5</v>
      </c>
      <c r="L21" s="35" t="n">
        <v>1</v>
      </c>
      <c r="M21" s="35" t="s">
        <v>40</v>
      </c>
      <c r="N21" s="35" t="s">
        <v>1601</v>
      </c>
      <c r="O21" s="35" t="s">
        <v>41</v>
      </c>
      <c r="P21" s="35" t="s">
        <v>1602</v>
      </c>
      <c r="Q21" s="35" t="n">
        <v>53</v>
      </c>
      <c r="R21" s="35"/>
      <c r="S21" s="35" t="s">
        <v>40</v>
      </c>
      <c r="T21" s="35"/>
      <c r="U21" s="35"/>
      <c r="V21" s="35"/>
      <c r="W21" s="35"/>
      <c r="X21" s="35" t="s">
        <v>40</v>
      </c>
      <c r="Y21" s="35" t="n">
        <v>-7.192807</v>
      </c>
      <c r="Z21" s="35" t="n">
        <v>-48.235135</v>
      </c>
      <c r="AA21" s="49" t="s">
        <v>1603</v>
      </c>
      <c r="AB21" s="35" t="s">
        <v>1604</v>
      </c>
    </row>
    <row r="22" customFormat="false" ht="15" hidden="false" customHeight="false" outlineLevel="0" collapsed="false">
      <c r="A22" s="35" t="n">
        <v>21</v>
      </c>
      <c r="B22" s="35" t="s">
        <v>568</v>
      </c>
      <c r="C22" s="35" t="s">
        <v>1624</v>
      </c>
      <c r="D22" s="35" t="s">
        <v>567</v>
      </c>
      <c r="E22" s="35" t="s">
        <v>569</v>
      </c>
      <c r="F22" s="40" t="n">
        <v>148.499886695988</v>
      </c>
      <c r="G22" s="36" t="n">
        <v>848.737700270372</v>
      </c>
      <c r="H22" s="36" t="n">
        <v>848.737700270372</v>
      </c>
      <c r="I22" s="5" t="s">
        <v>20</v>
      </c>
      <c r="J22" s="35" t="s">
        <v>5</v>
      </c>
      <c r="K22" s="35" t="s">
        <v>5</v>
      </c>
      <c r="L22" s="35" t="n">
        <v>1</v>
      </c>
      <c r="M22" s="35" t="s">
        <v>40</v>
      </c>
      <c r="N22" s="35" t="s">
        <v>1601</v>
      </c>
      <c r="O22" s="35" t="s">
        <v>41</v>
      </c>
      <c r="P22" s="35" t="s">
        <v>1602</v>
      </c>
      <c r="Q22" s="35" t="n">
        <v>53</v>
      </c>
      <c r="R22" s="35"/>
      <c r="S22" s="35" t="s">
        <v>40</v>
      </c>
      <c r="T22" s="35"/>
      <c r="U22" s="35"/>
      <c r="V22" s="35"/>
      <c r="W22" s="35"/>
      <c r="X22" s="35" t="s">
        <v>40</v>
      </c>
      <c r="Y22" s="35" t="n">
        <v>-7.192196</v>
      </c>
      <c r="Z22" s="35" t="n">
        <v>-48.2348255</v>
      </c>
      <c r="AA22" s="49" t="s">
        <v>1603</v>
      </c>
      <c r="AB22" s="35" t="s">
        <v>1604</v>
      </c>
    </row>
    <row r="23" customFormat="false" ht="15" hidden="false" customHeight="false" outlineLevel="0" collapsed="false">
      <c r="A23" s="35" t="n">
        <v>22</v>
      </c>
      <c r="B23" s="35" t="s">
        <v>570</v>
      </c>
      <c r="C23" s="35" t="s">
        <v>1625</v>
      </c>
      <c r="D23" s="35" t="s">
        <v>569</v>
      </c>
      <c r="E23" s="35" t="s">
        <v>571</v>
      </c>
      <c r="F23" s="40" t="n">
        <v>3.62446650931296</v>
      </c>
      <c r="G23" s="36" t="n">
        <v>852.362166779685</v>
      </c>
      <c r="H23" s="36" t="n">
        <v>852.362166779685</v>
      </c>
      <c r="I23" s="5" t="s">
        <v>20</v>
      </c>
      <c r="J23" s="35" t="s">
        <v>5</v>
      </c>
      <c r="K23" s="35" t="s">
        <v>5</v>
      </c>
      <c r="L23" s="35" t="n">
        <v>1</v>
      </c>
      <c r="M23" s="35" t="s">
        <v>40</v>
      </c>
      <c r="N23" s="35" t="s">
        <v>1601</v>
      </c>
      <c r="O23" s="35" t="s">
        <v>41</v>
      </c>
      <c r="P23" s="35" t="s">
        <v>1602</v>
      </c>
      <c r="Q23" s="35" t="n">
        <v>53</v>
      </c>
      <c r="R23" s="35"/>
      <c r="S23" s="35" t="s">
        <v>40</v>
      </c>
      <c r="T23" s="35"/>
      <c r="U23" s="35"/>
      <c r="V23" s="35"/>
      <c r="W23" s="35"/>
      <c r="X23" s="35" t="s">
        <v>40</v>
      </c>
      <c r="Y23" s="35" t="n">
        <v>-7.1915855</v>
      </c>
      <c r="Z23" s="35" t="n">
        <v>-48.2345145</v>
      </c>
      <c r="AA23" s="49" t="s">
        <v>1603</v>
      </c>
      <c r="AB23" s="35" t="s">
        <v>1604</v>
      </c>
    </row>
    <row r="24" customFormat="false" ht="15" hidden="false" customHeight="false" outlineLevel="0" collapsed="false">
      <c r="A24" s="35" t="n">
        <v>23</v>
      </c>
      <c r="B24" s="35" t="s">
        <v>572</v>
      </c>
      <c r="C24" s="35" t="s">
        <v>1626</v>
      </c>
      <c r="D24" s="35" t="s">
        <v>571</v>
      </c>
      <c r="E24" s="35" t="s">
        <v>573</v>
      </c>
      <c r="F24" s="40" t="n">
        <v>164.31483123339</v>
      </c>
      <c r="G24" s="36" t="n">
        <v>1016.67699801308</v>
      </c>
      <c r="H24" s="36" t="n">
        <v>1016.67699801308</v>
      </c>
      <c r="I24" s="5" t="s">
        <v>20</v>
      </c>
      <c r="J24" s="35" t="s">
        <v>5</v>
      </c>
      <c r="K24" s="35" t="s">
        <v>5</v>
      </c>
      <c r="L24" s="35" t="n">
        <v>1</v>
      </c>
      <c r="M24" s="35" t="s">
        <v>40</v>
      </c>
      <c r="N24" s="35" t="s">
        <v>1601</v>
      </c>
      <c r="O24" s="35" t="s">
        <v>41</v>
      </c>
      <c r="P24" s="35" t="s">
        <v>1602</v>
      </c>
      <c r="Q24" s="35" t="n">
        <v>53</v>
      </c>
      <c r="R24" s="35"/>
      <c r="S24" s="35" t="s">
        <v>40</v>
      </c>
      <c r="T24" s="35"/>
      <c r="U24" s="35"/>
      <c r="V24" s="35"/>
      <c r="W24" s="35"/>
      <c r="X24" s="35" t="s">
        <v>40</v>
      </c>
      <c r="Y24" s="35" t="n">
        <v>-7.1909295</v>
      </c>
      <c r="Z24" s="35" t="n">
        <v>-48.2341375</v>
      </c>
      <c r="AA24" s="49" t="s">
        <v>1603</v>
      </c>
      <c r="AB24" s="35" t="s">
        <v>1604</v>
      </c>
    </row>
    <row r="25" customFormat="false" ht="15" hidden="false" customHeight="false" outlineLevel="0" collapsed="false">
      <c r="A25" s="35" t="n">
        <v>24</v>
      </c>
      <c r="B25" s="35" t="s">
        <v>574</v>
      </c>
      <c r="C25" s="35" t="s">
        <v>1627</v>
      </c>
      <c r="D25" s="35" t="s">
        <v>573</v>
      </c>
      <c r="E25" s="35" t="s">
        <v>575</v>
      </c>
      <c r="F25" s="40" t="n">
        <v>2.5170796475029</v>
      </c>
      <c r="G25" s="36" t="n">
        <v>1019.19407766058</v>
      </c>
      <c r="H25" s="36" t="n">
        <v>1019.19407766058</v>
      </c>
      <c r="I25" s="5" t="s">
        <v>20</v>
      </c>
      <c r="J25" s="35" t="s">
        <v>5</v>
      </c>
      <c r="K25" s="35" t="s">
        <v>5</v>
      </c>
      <c r="L25" s="35" t="n">
        <v>1</v>
      </c>
      <c r="M25" s="35" t="s">
        <v>40</v>
      </c>
      <c r="N25" s="35" t="s">
        <v>1601</v>
      </c>
      <c r="O25" s="35" t="s">
        <v>41</v>
      </c>
      <c r="P25" s="35" t="s">
        <v>1602</v>
      </c>
      <c r="Q25" s="35" t="n">
        <v>53</v>
      </c>
      <c r="R25" s="35"/>
      <c r="S25" s="35" t="s">
        <v>40</v>
      </c>
      <c r="T25" s="35"/>
      <c r="U25" s="35"/>
      <c r="V25" s="35"/>
      <c r="W25" s="35"/>
      <c r="X25" s="35" t="s">
        <v>40</v>
      </c>
      <c r="Y25" s="35" t="n">
        <v>-7.190285</v>
      </c>
      <c r="Z25" s="35" t="n">
        <v>-48.233757</v>
      </c>
      <c r="AA25" s="49" t="s">
        <v>1603</v>
      </c>
      <c r="AB25" s="35" t="s">
        <v>1604</v>
      </c>
    </row>
    <row r="26" customFormat="false" ht="15" hidden="false" customHeight="false" outlineLevel="0" collapsed="false">
      <c r="A26" s="35" t="n">
        <v>25</v>
      </c>
      <c r="B26" s="35" t="s">
        <v>576</v>
      </c>
      <c r="C26" s="35" t="s">
        <v>1628</v>
      </c>
      <c r="D26" s="35" t="s">
        <v>575</v>
      </c>
      <c r="E26" s="35" t="s">
        <v>577</v>
      </c>
      <c r="F26" s="40" t="n">
        <v>71.4099236647656</v>
      </c>
      <c r="G26" s="36" t="n">
        <v>1090.60400132534</v>
      </c>
      <c r="H26" s="36" t="n">
        <v>1090.60400132534</v>
      </c>
      <c r="I26" s="5" t="s">
        <v>20</v>
      </c>
      <c r="J26" s="35" t="s">
        <v>5</v>
      </c>
      <c r="K26" s="35" t="s">
        <v>5</v>
      </c>
      <c r="L26" s="35" t="n">
        <v>1</v>
      </c>
      <c r="M26" s="35" t="s">
        <v>40</v>
      </c>
      <c r="N26" s="35" t="s">
        <v>1601</v>
      </c>
      <c r="O26" s="35" t="s">
        <v>41</v>
      </c>
      <c r="P26" s="35" t="s">
        <v>1602</v>
      </c>
      <c r="Q26" s="35" t="n">
        <v>53</v>
      </c>
      <c r="R26" s="35"/>
      <c r="S26" s="35" t="s">
        <v>40</v>
      </c>
      <c r="T26" s="35"/>
      <c r="U26" s="35"/>
      <c r="V26" s="35"/>
      <c r="W26" s="35"/>
      <c r="X26" s="35" t="s">
        <v>40</v>
      </c>
      <c r="Y26" s="35" t="n">
        <v>-7.1904285</v>
      </c>
      <c r="Z26" s="35" t="n">
        <v>-48.233458</v>
      </c>
      <c r="AA26" s="49" t="s">
        <v>1603</v>
      </c>
      <c r="AB26" s="35" t="s">
        <v>1604</v>
      </c>
    </row>
    <row r="27" customFormat="false" ht="15" hidden="false" customHeight="false" outlineLevel="0" collapsed="false">
      <c r="A27" s="35" t="n">
        <v>26</v>
      </c>
      <c r="B27" s="35" t="s">
        <v>578</v>
      </c>
      <c r="C27" s="35" t="s">
        <v>1629</v>
      </c>
      <c r="D27" s="35" t="s">
        <v>577</v>
      </c>
      <c r="E27" s="35" t="s">
        <v>579</v>
      </c>
      <c r="F27" s="40" t="n">
        <v>37.3181457414032</v>
      </c>
      <c r="G27" s="36" t="n">
        <v>1127.92214706675</v>
      </c>
      <c r="H27" s="36" t="n">
        <v>1127.92214706675</v>
      </c>
      <c r="I27" s="5" t="s">
        <v>20</v>
      </c>
      <c r="J27" s="35" t="s">
        <v>5</v>
      </c>
      <c r="K27" s="35" t="s">
        <v>5</v>
      </c>
      <c r="L27" s="35" t="n">
        <v>1</v>
      </c>
      <c r="M27" s="35" t="s">
        <v>40</v>
      </c>
      <c r="N27" s="35" t="s">
        <v>1601</v>
      </c>
      <c r="O27" s="35" t="s">
        <v>41</v>
      </c>
      <c r="P27" s="35" t="s">
        <v>1602</v>
      </c>
      <c r="Q27" s="35" t="n">
        <v>53</v>
      </c>
      <c r="R27" s="35"/>
      <c r="S27" s="35" t="s">
        <v>40</v>
      </c>
      <c r="T27" s="35"/>
      <c r="U27" s="35"/>
      <c r="V27" s="35"/>
      <c r="W27" s="35"/>
      <c r="X27" s="35" t="s">
        <v>40</v>
      </c>
      <c r="Y27" s="35" t="n">
        <v>-7.190432</v>
      </c>
      <c r="Z27" s="35" t="n">
        <v>-48.2330815</v>
      </c>
      <c r="AA27" s="49" t="s">
        <v>1603</v>
      </c>
      <c r="AB27" s="35" t="s">
        <v>1604</v>
      </c>
    </row>
    <row r="28" customFormat="false" ht="15" hidden="false" customHeight="false" outlineLevel="0" collapsed="false">
      <c r="A28" s="35" t="n">
        <v>27</v>
      </c>
      <c r="B28" s="35" t="s">
        <v>580</v>
      </c>
      <c r="C28" s="35" t="s">
        <v>1630</v>
      </c>
      <c r="D28" s="35" t="s">
        <v>579</v>
      </c>
      <c r="E28" s="35" t="s">
        <v>581</v>
      </c>
      <c r="F28" s="40" t="n">
        <v>5.9434263579936</v>
      </c>
      <c r="G28" s="36" t="n">
        <v>1133.86557342474</v>
      </c>
      <c r="H28" s="36" t="n">
        <v>1133.86557342474</v>
      </c>
      <c r="I28" s="5" t="s">
        <v>20</v>
      </c>
      <c r="J28" s="35" t="s">
        <v>5</v>
      </c>
      <c r="K28" s="35" t="s">
        <v>5</v>
      </c>
      <c r="L28" s="35" t="n">
        <v>1</v>
      </c>
      <c r="M28" s="35" t="s">
        <v>40</v>
      </c>
      <c r="N28" s="35" t="s">
        <v>1601</v>
      </c>
      <c r="O28" s="35" t="s">
        <v>41</v>
      </c>
      <c r="P28" s="35" t="s">
        <v>1602</v>
      </c>
      <c r="Q28" s="35" t="n">
        <v>53</v>
      </c>
      <c r="R28" s="35" t="s">
        <v>582</v>
      </c>
      <c r="S28" s="35" t="s">
        <v>40</v>
      </c>
      <c r="T28" s="35"/>
      <c r="U28" s="35"/>
      <c r="V28" s="35"/>
      <c r="W28" s="35"/>
      <c r="X28" s="35" t="s">
        <v>40</v>
      </c>
      <c r="Y28" s="35" t="n">
        <v>-7.1902675</v>
      </c>
      <c r="Z28" s="35" t="n">
        <v>-48.232977</v>
      </c>
      <c r="AA28" s="49" t="s">
        <v>1603</v>
      </c>
      <c r="AB28" s="35" t="s">
        <v>1604</v>
      </c>
    </row>
    <row r="29" customFormat="false" ht="15" hidden="false" customHeight="false" outlineLevel="0" collapsed="false">
      <c r="A29" s="35" t="n">
        <v>28</v>
      </c>
      <c r="B29" s="35" t="s">
        <v>583</v>
      </c>
      <c r="C29" s="35" t="s">
        <v>1631</v>
      </c>
      <c r="D29" s="35" t="s">
        <v>581</v>
      </c>
      <c r="E29" s="35" t="s">
        <v>584</v>
      </c>
      <c r="F29" s="40" t="n">
        <v>90.7210719031223</v>
      </c>
      <c r="G29" s="36" t="n">
        <v>1224.58664532786</v>
      </c>
      <c r="H29" s="36" t="n">
        <v>1224.58664532786</v>
      </c>
      <c r="I29" s="5" t="s">
        <v>20</v>
      </c>
      <c r="J29" s="35" t="s">
        <v>5</v>
      </c>
      <c r="K29" s="35" t="s">
        <v>5</v>
      </c>
      <c r="L29" s="35" t="n">
        <v>1</v>
      </c>
      <c r="M29" s="35" t="s">
        <v>40</v>
      </c>
      <c r="N29" s="35" t="s">
        <v>1601</v>
      </c>
      <c r="O29" s="35" t="s">
        <v>41</v>
      </c>
      <c r="P29" s="35" t="s">
        <v>1602</v>
      </c>
      <c r="Q29" s="35" t="n">
        <v>53</v>
      </c>
      <c r="R29" s="35"/>
      <c r="S29" s="35" t="s">
        <v>40</v>
      </c>
      <c r="T29" s="35"/>
      <c r="U29" s="35"/>
      <c r="V29" s="35"/>
      <c r="W29" s="35"/>
      <c r="X29" s="35" t="s">
        <v>40</v>
      </c>
      <c r="Y29" s="35" t="n">
        <v>-7.1899195</v>
      </c>
      <c r="Z29" s="35" t="n">
        <v>-48.2327145</v>
      </c>
      <c r="AA29" s="49" t="s">
        <v>1603</v>
      </c>
      <c r="AB29" s="35" t="s">
        <v>1604</v>
      </c>
    </row>
    <row r="30" customFormat="false" ht="15" hidden="false" customHeight="false" outlineLevel="0" collapsed="false">
      <c r="A30" s="35" t="n">
        <v>29</v>
      </c>
      <c r="B30" s="35" t="s">
        <v>585</v>
      </c>
      <c r="C30" s="35" t="s">
        <v>1632</v>
      </c>
      <c r="D30" s="35" t="s">
        <v>584</v>
      </c>
      <c r="E30" s="35" t="s">
        <v>586</v>
      </c>
      <c r="F30" s="40" t="n">
        <v>79.7912588970459</v>
      </c>
      <c r="G30" s="36" t="n">
        <v>1304.37790422491</v>
      </c>
      <c r="H30" s="36" t="n">
        <v>1304.37790422491</v>
      </c>
      <c r="I30" s="5" t="s">
        <v>20</v>
      </c>
      <c r="J30" s="35" t="s">
        <v>5</v>
      </c>
      <c r="K30" s="35" t="s">
        <v>5</v>
      </c>
      <c r="L30" s="35" t="n">
        <v>1</v>
      </c>
      <c r="M30" s="35" t="s">
        <v>40</v>
      </c>
      <c r="N30" s="35" t="s">
        <v>1601</v>
      </c>
      <c r="O30" s="35" t="s">
        <v>41</v>
      </c>
      <c r="P30" s="35" t="s">
        <v>1602</v>
      </c>
      <c r="Q30" s="35" t="n">
        <v>53</v>
      </c>
      <c r="R30" s="35"/>
      <c r="S30" s="35" t="s">
        <v>40</v>
      </c>
      <c r="T30" s="35"/>
      <c r="U30" s="35"/>
      <c r="V30" s="35"/>
      <c r="W30" s="35"/>
      <c r="X30" s="35" t="s">
        <v>40</v>
      </c>
      <c r="Y30" s="35" t="n">
        <v>-7.189322</v>
      </c>
      <c r="Z30" s="35" t="n">
        <v>-48.232231</v>
      </c>
      <c r="AA30" s="49" t="s">
        <v>1603</v>
      </c>
      <c r="AB30" s="35" t="s">
        <v>1604</v>
      </c>
    </row>
    <row r="31" customFormat="false" ht="15" hidden="false" customHeight="false" outlineLevel="0" collapsed="false">
      <c r="A31" s="35" t="n">
        <v>30</v>
      </c>
      <c r="B31" s="35" t="s">
        <v>587</v>
      </c>
      <c r="C31" s="35" t="s">
        <v>1633</v>
      </c>
      <c r="D31" s="35" t="s">
        <v>586</v>
      </c>
      <c r="E31" s="35" t="s">
        <v>588</v>
      </c>
      <c r="F31" s="40" t="n">
        <v>39.7068110347261</v>
      </c>
      <c r="G31" s="36" t="n">
        <v>1344.08471525964</v>
      </c>
      <c r="H31" s="36" t="n">
        <v>1344.08471525964</v>
      </c>
      <c r="I31" s="5" t="s">
        <v>20</v>
      </c>
      <c r="J31" s="35" t="s">
        <v>5</v>
      </c>
      <c r="K31" s="35" t="s">
        <v>5</v>
      </c>
      <c r="L31" s="35" t="n">
        <v>1</v>
      </c>
      <c r="M31" s="35" t="s">
        <v>40</v>
      </c>
      <c r="N31" s="35" t="s">
        <v>1601</v>
      </c>
      <c r="O31" s="35" t="s">
        <v>41</v>
      </c>
      <c r="P31" s="35" t="s">
        <v>1602</v>
      </c>
      <c r="Q31" s="35" t="n">
        <v>53</v>
      </c>
      <c r="R31" s="35"/>
      <c r="S31" s="35" t="s">
        <v>40</v>
      </c>
      <c r="T31" s="35"/>
      <c r="U31" s="35"/>
      <c r="V31" s="35"/>
      <c r="W31" s="35"/>
      <c r="X31" s="35" t="s">
        <v>40</v>
      </c>
      <c r="Y31" s="35" t="n">
        <v>-7.188926</v>
      </c>
      <c r="Z31" s="35" t="n">
        <v>-48.2318655</v>
      </c>
      <c r="AA31" s="49" t="s">
        <v>1603</v>
      </c>
      <c r="AB31" s="35" t="s">
        <v>1604</v>
      </c>
    </row>
    <row r="32" customFormat="false" ht="15" hidden="false" customHeight="false" outlineLevel="0" collapsed="false">
      <c r="A32" s="35" t="n">
        <v>31</v>
      </c>
      <c r="B32" s="35" t="s">
        <v>589</v>
      </c>
      <c r="C32" s="35" t="s">
        <v>1634</v>
      </c>
      <c r="D32" s="35" t="s">
        <v>588</v>
      </c>
      <c r="E32" s="35" t="s">
        <v>590</v>
      </c>
      <c r="F32" s="40" t="n">
        <v>83.8552301557725</v>
      </c>
      <c r="G32" s="36" t="n">
        <v>1427.93994541541</v>
      </c>
      <c r="H32" s="36" t="n">
        <v>1427.93994541541</v>
      </c>
      <c r="I32" s="5" t="s">
        <v>20</v>
      </c>
      <c r="J32" s="35" t="s">
        <v>5</v>
      </c>
      <c r="K32" s="35" t="s">
        <v>5</v>
      </c>
      <c r="L32" s="35" t="n">
        <v>1</v>
      </c>
      <c r="M32" s="35" t="s">
        <v>40</v>
      </c>
      <c r="N32" s="35" t="s">
        <v>1601</v>
      </c>
      <c r="O32" s="35" t="s">
        <v>41</v>
      </c>
      <c r="P32" s="35" t="s">
        <v>1602</v>
      </c>
      <c r="Q32" s="35" t="n">
        <v>53</v>
      </c>
      <c r="R32" s="35"/>
      <c r="S32" s="35" t="s">
        <v>40</v>
      </c>
      <c r="T32" s="35"/>
      <c r="U32" s="35"/>
      <c r="V32" s="35"/>
      <c r="W32" s="35"/>
      <c r="X32" s="35" t="s">
        <v>40</v>
      </c>
      <c r="Y32" s="35" t="n">
        <v>-7.188517</v>
      </c>
      <c r="Z32" s="35" t="n">
        <v>-48.231487</v>
      </c>
      <c r="AA32" s="49" t="s">
        <v>1603</v>
      </c>
      <c r="AB32" s="35" t="s">
        <v>1604</v>
      </c>
    </row>
    <row r="33" customFormat="false" ht="15" hidden="false" customHeight="false" outlineLevel="0" collapsed="false">
      <c r="A33" s="35" t="n">
        <v>32</v>
      </c>
      <c r="B33" s="35" t="s">
        <v>591</v>
      </c>
      <c r="C33" s="35" t="s">
        <v>1635</v>
      </c>
      <c r="D33" s="35" t="s">
        <v>590</v>
      </c>
      <c r="E33" s="35" t="s">
        <v>592</v>
      </c>
      <c r="F33" s="40" t="n">
        <v>43.4848033231133</v>
      </c>
      <c r="G33" s="36" t="n">
        <v>1471.42474873852</v>
      </c>
      <c r="H33" s="36" t="n">
        <v>1471.42474873852</v>
      </c>
      <c r="I33" s="5" t="s">
        <v>20</v>
      </c>
      <c r="J33" s="35" t="s">
        <v>5</v>
      </c>
      <c r="K33" s="35" t="s">
        <v>5</v>
      </c>
      <c r="L33" s="35" t="n">
        <v>1</v>
      </c>
      <c r="M33" s="35" t="s">
        <v>40</v>
      </c>
      <c r="N33" s="35" t="s">
        <v>1601</v>
      </c>
      <c r="O33" s="35" t="s">
        <v>41</v>
      </c>
      <c r="P33" s="35" t="s">
        <v>1602</v>
      </c>
      <c r="Q33" s="35" t="n">
        <v>53</v>
      </c>
      <c r="R33" s="35"/>
      <c r="S33" s="35" t="s">
        <v>40</v>
      </c>
      <c r="T33" s="35"/>
      <c r="U33" s="35"/>
      <c r="V33" s="35"/>
      <c r="W33" s="35"/>
      <c r="X33" s="35" t="s">
        <v>40</v>
      </c>
      <c r="Y33" s="35" t="n">
        <v>-7.1880995</v>
      </c>
      <c r="Z33" s="35" t="n">
        <v>-48.231093</v>
      </c>
      <c r="AA33" s="49" t="s">
        <v>1603</v>
      </c>
      <c r="AB33" s="35" t="s">
        <v>1604</v>
      </c>
    </row>
    <row r="34" customFormat="false" ht="15" hidden="false" customHeight="false" outlineLevel="0" collapsed="false">
      <c r="A34" s="35" t="n">
        <v>33</v>
      </c>
      <c r="B34" s="35" t="s">
        <v>593</v>
      </c>
      <c r="C34" s="35" t="s">
        <v>1636</v>
      </c>
      <c r="D34" s="35" t="s">
        <v>592</v>
      </c>
      <c r="E34" s="35" t="s">
        <v>594</v>
      </c>
      <c r="F34" s="40" t="n">
        <v>2.74934513014936</v>
      </c>
      <c r="G34" s="36" t="n">
        <v>1474.17409386867</v>
      </c>
      <c r="H34" s="36" t="n">
        <v>1474.17409386867</v>
      </c>
      <c r="I34" s="5" t="s">
        <v>20</v>
      </c>
      <c r="J34" s="35" t="s">
        <v>5</v>
      </c>
      <c r="K34" s="35" t="s">
        <v>5</v>
      </c>
      <c r="L34" s="35" t="n">
        <v>1</v>
      </c>
      <c r="M34" s="35" t="s">
        <v>40</v>
      </c>
      <c r="N34" s="35" t="s">
        <v>1601</v>
      </c>
      <c r="O34" s="35" t="s">
        <v>41</v>
      </c>
      <c r="P34" s="35" t="s">
        <v>1602</v>
      </c>
      <c r="Q34" s="35" t="n">
        <v>53</v>
      </c>
      <c r="R34" s="35" t="s">
        <v>595</v>
      </c>
      <c r="S34" s="35" t="s">
        <v>40</v>
      </c>
      <c r="T34" s="35"/>
      <c r="U34" s="35"/>
      <c r="V34" s="35"/>
      <c r="W34" s="35"/>
      <c r="X34" s="35" t="s">
        <v>40</v>
      </c>
      <c r="Y34" s="35" t="n">
        <v>-7.187958</v>
      </c>
      <c r="Z34" s="35" t="n">
        <v>-48.2309395</v>
      </c>
      <c r="AA34" s="49" t="s">
        <v>1603</v>
      </c>
      <c r="AB34" s="35" t="s">
        <v>1604</v>
      </c>
    </row>
    <row r="35" customFormat="false" ht="15" hidden="false" customHeight="false" outlineLevel="0" collapsed="false">
      <c r="A35" s="35" t="n">
        <v>34</v>
      </c>
      <c r="B35" s="35" t="s">
        <v>596</v>
      </c>
      <c r="C35" s="35" t="s">
        <v>1637</v>
      </c>
      <c r="D35" s="35" t="s">
        <v>594</v>
      </c>
      <c r="E35" s="35" t="s">
        <v>597</v>
      </c>
      <c r="F35" s="40" t="n">
        <v>71.2898906409701</v>
      </c>
      <c r="G35" s="36" t="n">
        <v>1545.46398450964</v>
      </c>
      <c r="H35" s="36" t="n">
        <v>1545.46398450964</v>
      </c>
      <c r="I35" s="5" t="s">
        <v>20</v>
      </c>
      <c r="J35" s="35" t="s">
        <v>5</v>
      </c>
      <c r="K35" s="35" t="s">
        <v>5</v>
      </c>
      <c r="L35" s="35" t="n">
        <v>1</v>
      </c>
      <c r="M35" s="35" t="s">
        <v>40</v>
      </c>
      <c r="N35" s="35" t="s">
        <v>1601</v>
      </c>
      <c r="O35" s="35" t="s">
        <v>41</v>
      </c>
      <c r="P35" s="35" t="s">
        <v>1602</v>
      </c>
      <c r="Q35" s="35" t="n">
        <v>53</v>
      </c>
      <c r="R35" s="35"/>
      <c r="S35" s="35" t="s">
        <v>40</v>
      </c>
      <c r="T35" s="35"/>
      <c r="U35" s="35"/>
      <c r="V35" s="35"/>
      <c r="W35" s="35"/>
      <c r="X35" s="35" t="s">
        <v>40</v>
      </c>
      <c r="Y35" s="35" t="n">
        <v>-7.18773</v>
      </c>
      <c r="Z35" s="35" t="n">
        <v>-48.230695</v>
      </c>
      <c r="AA35" s="49" t="s">
        <v>1603</v>
      </c>
      <c r="AB35" s="35" t="s">
        <v>1604</v>
      </c>
    </row>
    <row r="36" customFormat="false" ht="15" hidden="false" customHeight="false" outlineLevel="0" collapsed="false">
      <c r="A36" s="35" t="n">
        <v>35</v>
      </c>
      <c r="B36" s="35" t="s">
        <v>598</v>
      </c>
      <c r="C36" s="35" t="s">
        <v>1638</v>
      </c>
      <c r="D36" s="35" t="s">
        <v>597</v>
      </c>
      <c r="E36" s="35" t="s">
        <v>599</v>
      </c>
      <c r="F36" s="40" t="n">
        <v>97.5876983437074</v>
      </c>
      <c r="G36" s="36" t="n">
        <v>1643.05168285335</v>
      </c>
      <c r="H36" s="36" t="n">
        <v>1643.05168285335</v>
      </c>
      <c r="I36" s="5" t="s">
        <v>20</v>
      </c>
      <c r="J36" s="35" t="s">
        <v>5</v>
      </c>
      <c r="K36" s="35" t="s">
        <v>5</v>
      </c>
      <c r="L36" s="35" t="n">
        <v>1</v>
      </c>
      <c r="M36" s="35" t="s">
        <v>40</v>
      </c>
      <c r="N36" s="35" t="s">
        <v>1601</v>
      </c>
      <c r="O36" s="35" t="s">
        <v>41</v>
      </c>
      <c r="P36" s="35" t="s">
        <v>1639</v>
      </c>
      <c r="Q36" s="35" t="n">
        <v>52</v>
      </c>
      <c r="R36" s="35"/>
      <c r="S36" s="35" t="s">
        <v>40</v>
      </c>
      <c r="T36" s="35"/>
      <c r="U36" s="35"/>
      <c r="V36" s="35"/>
      <c r="W36" s="35"/>
      <c r="X36" s="35" t="s">
        <v>40</v>
      </c>
      <c r="Y36" s="35" t="n">
        <v>-7.1871975</v>
      </c>
      <c r="Z36" s="35" t="n">
        <v>-48.2301495</v>
      </c>
      <c r="AA36" s="49" t="s">
        <v>1603</v>
      </c>
      <c r="AB36" s="35" t="s">
        <v>1604</v>
      </c>
    </row>
    <row r="37" customFormat="false" ht="15" hidden="false" customHeight="false" outlineLevel="0" collapsed="false">
      <c r="A37" s="35" t="n">
        <v>36</v>
      </c>
      <c r="B37" s="35" t="s">
        <v>600</v>
      </c>
      <c r="C37" s="35" t="s">
        <v>1640</v>
      </c>
      <c r="D37" s="35" t="s">
        <v>599</v>
      </c>
      <c r="E37" s="35" t="s">
        <v>601</v>
      </c>
      <c r="F37" s="40" t="n">
        <v>36.7482400842279</v>
      </c>
      <c r="G37" s="36" t="n">
        <v>1679.79992293758</v>
      </c>
      <c r="H37" s="36" t="n">
        <v>1679.79992293758</v>
      </c>
      <c r="I37" s="5" t="s">
        <v>20</v>
      </c>
      <c r="J37" s="35" t="s">
        <v>5</v>
      </c>
      <c r="K37" s="35" t="s">
        <v>5</v>
      </c>
      <c r="L37" s="35" t="n">
        <v>1</v>
      </c>
      <c r="M37" s="35" t="s">
        <v>40</v>
      </c>
      <c r="N37" s="35" t="s">
        <v>1601</v>
      </c>
      <c r="O37" s="35" t="s">
        <v>41</v>
      </c>
      <c r="P37" s="35" t="s">
        <v>1641</v>
      </c>
      <c r="Q37" s="35" t="n">
        <v>51</v>
      </c>
      <c r="R37" s="35"/>
      <c r="S37" s="35" t="s">
        <v>40</v>
      </c>
      <c r="T37" s="35"/>
      <c r="U37" s="35"/>
      <c r="V37" s="35"/>
      <c r="W37" s="35"/>
      <c r="X37" s="35" t="s">
        <v>40</v>
      </c>
      <c r="Y37" s="35" t="n">
        <v>-7.186765</v>
      </c>
      <c r="Z37" s="35" t="n">
        <v>-48.2297245</v>
      </c>
      <c r="AA37" s="49" t="s">
        <v>1603</v>
      </c>
      <c r="AB37" s="35" t="s">
        <v>1604</v>
      </c>
    </row>
    <row r="38" customFormat="false" ht="15" hidden="false" customHeight="false" outlineLevel="0" collapsed="false">
      <c r="A38" s="35" t="n">
        <v>37</v>
      </c>
      <c r="B38" s="35" t="s">
        <v>602</v>
      </c>
      <c r="C38" s="35" t="s">
        <v>1642</v>
      </c>
      <c r="D38" s="35" t="s">
        <v>601</v>
      </c>
      <c r="E38" s="35" t="s">
        <v>603</v>
      </c>
      <c r="F38" s="40" t="n">
        <v>107.291374993095</v>
      </c>
      <c r="G38" s="36" t="n">
        <v>1787.09129793067</v>
      </c>
      <c r="H38" s="36" t="n">
        <v>1787.09129793067</v>
      </c>
      <c r="I38" s="5" t="s">
        <v>20</v>
      </c>
      <c r="J38" s="35" t="s">
        <v>5</v>
      </c>
      <c r="K38" s="35" t="s">
        <v>5</v>
      </c>
      <c r="L38" s="35" t="n">
        <v>1</v>
      </c>
      <c r="M38" s="35" t="s">
        <v>40</v>
      </c>
      <c r="N38" s="35" t="s">
        <v>1601</v>
      </c>
      <c r="O38" s="35" t="s">
        <v>41</v>
      </c>
      <c r="P38" s="35" t="s">
        <v>1643</v>
      </c>
      <c r="Q38" s="35" t="n">
        <v>50</v>
      </c>
      <c r="R38" s="35"/>
      <c r="S38" s="35" t="s">
        <v>40</v>
      </c>
      <c r="T38" s="35"/>
      <c r="U38" s="35"/>
      <c r="V38" s="35"/>
      <c r="W38" s="35"/>
      <c r="X38" s="35" t="s">
        <v>40</v>
      </c>
      <c r="Y38" s="35" t="n">
        <v>-7.1862925</v>
      </c>
      <c r="Z38" s="35" t="n">
        <v>-48.229278</v>
      </c>
      <c r="AA38" s="49" t="s">
        <v>1603</v>
      </c>
      <c r="AB38" s="35" t="s">
        <v>1604</v>
      </c>
    </row>
    <row r="39" customFormat="false" ht="15" hidden="false" customHeight="false" outlineLevel="0" collapsed="false">
      <c r="A39" s="35" t="n">
        <v>38</v>
      </c>
      <c r="B39" s="35" t="s">
        <v>604</v>
      </c>
      <c r="C39" s="35" t="s">
        <v>1644</v>
      </c>
      <c r="D39" s="35" t="s">
        <v>603</v>
      </c>
      <c r="E39" s="35" t="s">
        <v>605</v>
      </c>
      <c r="F39" s="40" t="n">
        <v>43.1824728234174</v>
      </c>
      <c r="G39" s="36" t="n">
        <v>1830.27377075409</v>
      </c>
      <c r="H39" s="36" t="n">
        <v>1830.27377075409</v>
      </c>
      <c r="I39" s="5" t="s">
        <v>20</v>
      </c>
      <c r="J39" s="35" t="s">
        <v>5</v>
      </c>
      <c r="K39" s="35" t="s">
        <v>5</v>
      </c>
      <c r="L39" s="35" t="n">
        <v>1</v>
      </c>
      <c r="M39" s="35" t="s">
        <v>40</v>
      </c>
      <c r="N39" s="35" t="s">
        <v>1601</v>
      </c>
      <c r="O39" s="35" t="s">
        <v>41</v>
      </c>
      <c r="P39" s="35" t="s">
        <v>1645</v>
      </c>
      <c r="Q39" s="35" t="n">
        <v>49</v>
      </c>
      <c r="R39" s="35"/>
      <c r="S39" s="35" t="s">
        <v>40</v>
      </c>
      <c r="T39" s="35"/>
      <c r="U39" s="35"/>
      <c r="V39" s="35"/>
      <c r="W39" s="35"/>
      <c r="X39" s="35" t="s">
        <v>40</v>
      </c>
      <c r="Y39" s="35" t="n">
        <v>-7.1858085</v>
      </c>
      <c r="Z39" s="35" t="n">
        <v>-48.228802</v>
      </c>
      <c r="AA39" s="49" t="s">
        <v>1603</v>
      </c>
      <c r="AB39" s="35" t="s">
        <v>1604</v>
      </c>
    </row>
    <row r="40" customFormat="false" ht="15" hidden="false" customHeight="false" outlineLevel="0" collapsed="false">
      <c r="A40" s="35" t="n">
        <v>39</v>
      </c>
      <c r="B40" s="35" t="s">
        <v>606</v>
      </c>
      <c r="C40" s="35" t="s">
        <v>1646</v>
      </c>
      <c r="D40" s="35" t="s">
        <v>605</v>
      </c>
      <c r="E40" s="35" t="s">
        <v>607</v>
      </c>
      <c r="F40" s="40" t="n">
        <v>3.91782369814774</v>
      </c>
      <c r="G40" s="36" t="n">
        <v>1834.19159445224</v>
      </c>
      <c r="H40" s="36" t="n">
        <v>1834.19159445224</v>
      </c>
      <c r="I40" s="5" t="s">
        <v>20</v>
      </c>
      <c r="J40" s="35" t="s">
        <v>5</v>
      </c>
      <c r="K40" s="35" t="s">
        <v>5</v>
      </c>
      <c r="L40" s="35" t="n">
        <v>1</v>
      </c>
      <c r="M40" s="35" t="s">
        <v>40</v>
      </c>
      <c r="N40" s="35" t="s">
        <v>1601</v>
      </c>
      <c r="O40" s="35" t="s">
        <v>41</v>
      </c>
      <c r="P40" s="35" t="s">
        <v>1645</v>
      </c>
      <c r="Q40" s="35" t="n">
        <v>49</v>
      </c>
      <c r="R40" s="35"/>
      <c r="S40" s="35" t="s">
        <v>40</v>
      </c>
      <c r="T40" s="35"/>
      <c r="U40" s="35"/>
      <c r="V40" s="35"/>
      <c r="W40" s="35"/>
      <c r="X40" s="35" t="s">
        <v>40</v>
      </c>
      <c r="Y40" s="35" t="n">
        <v>-7.185665</v>
      </c>
      <c r="Z40" s="35" t="n">
        <v>-48.228645</v>
      </c>
      <c r="AA40" s="49" t="s">
        <v>1603</v>
      </c>
      <c r="AB40" s="35" t="s">
        <v>1604</v>
      </c>
    </row>
    <row r="41" customFormat="false" ht="15" hidden="false" customHeight="false" outlineLevel="0" collapsed="false">
      <c r="A41" s="35" t="n">
        <v>40</v>
      </c>
      <c r="B41" s="35" t="s">
        <v>608</v>
      </c>
      <c r="C41" s="35" t="s">
        <v>1647</v>
      </c>
      <c r="D41" s="35" t="s">
        <v>607</v>
      </c>
      <c r="E41" s="35" t="s">
        <v>609</v>
      </c>
      <c r="F41" s="40" t="n">
        <v>127.979009312424</v>
      </c>
      <c r="G41" s="36" t="n">
        <v>1962.17060376466</v>
      </c>
      <c r="H41" s="36" t="n">
        <v>1962.17060376466</v>
      </c>
      <c r="I41" s="5" t="s">
        <v>20</v>
      </c>
      <c r="J41" s="35" t="s">
        <v>5</v>
      </c>
      <c r="K41" s="35" t="s">
        <v>5</v>
      </c>
      <c r="L41" s="35" t="n">
        <v>1</v>
      </c>
      <c r="M41" s="35" t="s">
        <v>40</v>
      </c>
      <c r="N41" s="35" t="s">
        <v>1601</v>
      </c>
      <c r="O41" s="35" t="s">
        <v>41</v>
      </c>
      <c r="P41" s="35" t="s">
        <v>1645</v>
      </c>
      <c r="Q41" s="35" t="n">
        <v>49</v>
      </c>
      <c r="R41" s="35"/>
      <c r="S41" s="35" t="s">
        <v>40</v>
      </c>
      <c r="T41" s="35"/>
      <c r="U41" s="35"/>
      <c r="V41" s="35"/>
      <c r="W41" s="35"/>
      <c r="X41" s="35" t="s">
        <v>40</v>
      </c>
      <c r="Y41" s="35" t="n">
        <v>-7.1852425</v>
      </c>
      <c r="Z41" s="35" t="n">
        <v>-48.2282255</v>
      </c>
      <c r="AA41" s="49" t="s">
        <v>1603</v>
      </c>
      <c r="AB41" s="35" t="s">
        <v>1604</v>
      </c>
    </row>
    <row r="42" customFormat="false" ht="15" hidden="false" customHeight="false" outlineLevel="0" collapsed="false">
      <c r="A42" s="35" t="n">
        <v>41</v>
      </c>
      <c r="B42" s="35" t="s">
        <v>610</v>
      </c>
      <c r="C42" s="35" t="s">
        <v>1648</v>
      </c>
      <c r="D42" s="35" t="s">
        <v>609</v>
      </c>
      <c r="E42" s="35" t="s">
        <v>611</v>
      </c>
      <c r="F42" s="40" t="n">
        <v>163.850651044911</v>
      </c>
      <c r="G42" s="36" t="n">
        <v>2126.02125480957</v>
      </c>
      <c r="H42" s="36" t="n">
        <v>2126.02125480957</v>
      </c>
      <c r="I42" s="5" t="s">
        <v>20</v>
      </c>
      <c r="J42" s="35" t="s">
        <v>5</v>
      </c>
      <c r="K42" s="35" t="s">
        <v>5</v>
      </c>
      <c r="L42" s="35" t="n">
        <v>1</v>
      </c>
      <c r="M42" s="35" t="s">
        <v>40</v>
      </c>
      <c r="N42" s="35" t="s">
        <v>1601</v>
      </c>
      <c r="O42" s="35" t="s">
        <v>41</v>
      </c>
      <c r="P42" s="35" t="s">
        <v>1645</v>
      </c>
      <c r="Q42" s="35" t="n">
        <v>49</v>
      </c>
      <c r="R42" s="35"/>
      <c r="S42" s="35" t="s">
        <v>40</v>
      </c>
      <c r="T42" s="35"/>
      <c r="U42" s="35"/>
      <c r="V42" s="35"/>
      <c r="W42" s="35"/>
      <c r="X42" s="35" t="s">
        <v>40</v>
      </c>
      <c r="Y42" s="35" t="n">
        <v>-7.1843065</v>
      </c>
      <c r="Z42" s="35" t="n">
        <v>-48.2272985</v>
      </c>
      <c r="AA42" s="49" t="s">
        <v>1603</v>
      </c>
      <c r="AB42" s="35" t="s">
        <v>1604</v>
      </c>
    </row>
    <row r="43" customFormat="false" ht="15" hidden="false" customHeight="false" outlineLevel="0" collapsed="false">
      <c r="A43" s="35" t="n">
        <v>42</v>
      </c>
      <c r="B43" s="35" t="s">
        <v>612</v>
      </c>
      <c r="C43" s="35" t="s">
        <v>1649</v>
      </c>
      <c r="D43" s="35" t="s">
        <v>611</v>
      </c>
      <c r="E43" s="35" t="s">
        <v>613</v>
      </c>
      <c r="F43" s="40" t="n">
        <v>25.4000563383387</v>
      </c>
      <c r="G43" s="36" t="n">
        <v>2151.42131114791</v>
      </c>
      <c r="H43" s="36" t="n">
        <v>2151.42131114791</v>
      </c>
      <c r="I43" s="5" t="s">
        <v>20</v>
      </c>
      <c r="J43" s="35" t="s">
        <v>5</v>
      </c>
      <c r="K43" s="35" t="s">
        <v>5</v>
      </c>
      <c r="L43" s="35" t="n">
        <v>1</v>
      </c>
      <c r="M43" s="35" t="s">
        <v>40</v>
      </c>
      <c r="N43" s="35" t="s">
        <v>1601</v>
      </c>
      <c r="O43" s="35" t="s">
        <v>41</v>
      </c>
      <c r="P43" s="35" t="s">
        <v>1650</v>
      </c>
      <c r="Q43" s="35" t="n">
        <v>48</v>
      </c>
      <c r="R43" s="35"/>
      <c r="S43" s="35" t="s">
        <v>40</v>
      </c>
      <c r="T43" s="35"/>
      <c r="U43" s="35"/>
      <c r="V43" s="35"/>
      <c r="W43" s="35"/>
      <c r="X43" s="35" t="s">
        <v>40</v>
      </c>
      <c r="Y43" s="35" t="n">
        <v>-7.183697</v>
      </c>
      <c r="Z43" s="35" t="n">
        <v>-48.2267</v>
      </c>
      <c r="AA43" s="49" t="s">
        <v>1603</v>
      </c>
      <c r="AB43" s="35" t="s">
        <v>1604</v>
      </c>
    </row>
    <row r="44" customFormat="false" ht="15" hidden="false" customHeight="false" outlineLevel="0" collapsed="false">
      <c r="A44" s="35" t="n">
        <v>43</v>
      </c>
      <c r="B44" s="35" t="s">
        <v>614</v>
      </c>
      <c r="C44" s="35" t="s">
        <v>1651</v>
      </c>
      <c r="D44" s="35" t="s">
        <v>613</v>
      </c>
      <c r="E44" s="35" t="s">
        <v>615</v>
      </c>
      <c r="F44" s="40" t="n">
        <v>46.96916623286</v>
      </c>
      <c r="G44" s="36" t="n">
        <v>2198.39047738077</v>
      </c>
      <c r="H44" s="36" t="n">
        <v>2198.39047738077</v>
      </c>
      <c r="I44" s="5" t="s">
        <v>20</v>
      </c>
      <c r="J44" s="35" t="s">
        <v>5</v>
      </c>
      <c r="K44" s="35" t="s">
        <v>5</v>
      </c>
      <c r="L44" s="35" t="n">
        <v>1</v>
      </c>
      <c r="M44" s="35" t="s">
        <v>40</v>
      </c>
      <c r="N44" s="35" t="s">
        <v>1601</v>
      </c>
      <c r="O44" s="35" t="s">
        <v>41</v>
      </c>
      <c r="P44" s="35" t="s">
        <v>1650</v>
      </c>
      <c r="Q44" s="35" t="n">
        <v>48</v>
      </c>
      <c r="R44" s="35"/>
      <c r="S44" s="35" t="s">
        <v>40</v>
      </c>
      <c r="T44" s="35"/>
      <c r="U44" s="35"/>
      <c r="V44" s="35"/>
      <c r="W44" s="35"/>
      <c r="X44" s="35" t="s">
        <v>40</v>
      </c>
      <c r="Y44" s="35" t="n">
        <v>-7.183457</v>
      </c>
      <c r="Z44" s="35" t="n">
        <v>-48.2264785</v>
      </c>
      <c r="AA44" s="49" t="s">
        <v>1603</v>
      </c>
      <c r="AB44" s="35" t="s">
        <v>1604</v>
      </c>
    </row>
    <row r="45" customFormat="false" ht="15" hidden="false" customHeight="false" outlineLevel="0" collapsed="false">
      <c r="A45" s="35" t="n">
        <v>44</v>
      </c>
      <c r="B45" s="35" t="s">
        <v>616</v>
      </c>
      <c r="C45" s="35" t="s">
        <v>1652</v>
      </c>
      <c r="D45" s="35" t="s">
        <v>615</v>
      </c>
      <c r="E45" s="35" t="s">
        <v>617</v>
      </c>
      <c r="F45" s="40" t="n">
        <v>3.76986894054451</v>
      </c>
      <c r="G45" s="36" t="n">
        <v>2202.16034632131</v>
      </c>
      <c r="H45" s="36" t="n">
        <v>2202.16034632131</v>
      </c>
      <c r="I45" s="5" t="s">
        <v>20</v>
      </c>
      <c r="J45" s="35" t="s">
        <v>5</v>
      </c>
      <c r="K45" s="35" t="s">
        <v>5</v>
      </c>
      <c r="L45" s="35" t="n">
        <v>1</v>
      </c>
      <c r="M45" s="35" t="s">
        <v>40</v>
      </c>
      <c r="N45" s="35" t="s">
        <v>1601</v>
      </c>
      <c r="O45" s="35" t="s">
        <v>41</v>
      </c>
      <c r="P45" s="35" t="s">
        <v>1650</v>
      </c>
      <c r="Q45" s="35" t="n">
        <v>48</v>
      </c>
      <c r="R45" s="35"/>
      <c r="S45" s="35" t="s">
        <v>40</v>
      </c>
      <c r="T45" s="35"/>
      <c r="U45" s="35"/>
      <c r="V45" s="35"/>
      <c r="W45" s="35"/>
      <c r="X45" s="35" t="s">
        <v>40</v>
      </c>
      <c r="Y45" s="35" t="n">
        <v>-7.18329</v>
      </c>
      <c r="Z45" s="35" t="n">
        <v>-48.226322</v>
      </c>
      <c r="AA45" s="49" t="s">
        <v>1603</v>
      </c>
      <c r="AB45" s="35" t="s">
        <v>1604</v>
      </c>
    </row>
    <row r="46" customFormat="false" ht="15" hidden="false" customHeight="false" outlineLevel="0" collapsed="false">
      <c r="A46" s="35" t="n">
        <v>45</v>
      </c>
      <c r="B46" s="35" t="s">
        <v>618</v>
      </c>
      <c r="C46" s="35" t="s">
        <v>1653</v>
      </c>
      <c r="D46" s="35" t="s">
        <v>617</v>
      </c>
      <c r="E46" s="35" t="s">
        <v>619</v>
      </c>
      <c r="F46" s="40" t="n">
        <v>15.9198688434486</v>
      </c>
      <c r="G46" s="36" t="n">
        <v>2218.08021516476</v>
      </c>
      <c r="H46" s="36" t="n">
        <v>2218.08021516476</v>
      </c>
      <c r="I46" s="5" t="s">
        <v>20</v>
      </c>
      <c r="J46" s="35" t="s">
        <v>5</v>
      </c>
      <c r="K46" s="35" t="s">
        <v>5</v>
      </c>
      <c r="L46" s="35" t="n">
        <v>1</v>
      </c>
      <c r="M46" s="35" t="s">
        <v>40</v>
      </c>
      <c r="N46" s="35" t="s">
        <v>1601</v>
      </c>
      <c r="O46" s="35" t="s">
        <v>41</v>
      </c>
      <c r="P46" s="35" t="s">
        <v>1650</v>
      </c>
      <c r="Q46" s="35" t="n">
        <v>48</v>
      </c>
      <c r="R46" s="35"/>
      <c r="S46" s="35" t="s">
        <v>40</v>
      </c>
      <c r="T46" s="35"/>
      <c r="U46" s="35"/>
      <c r="V46" s="35"/>
      <c r="W46" s="35"/>
      <c r="X46" s="35" t="s">
        <v>40</v>
      </c>
      <c r="Y46" s="35" t="n">
        <v>-7.183226</v>
      </c>
      <c r="Z46" s="35" t="n">
        <v>-48.2262605</v>
      </c>
      <c r="AA46" s="49" t="s">
        <v>1603</v>
      </c>
      <c r="AB46" s="35" t="s">
        <v>1604</v>
      </c>
    </row>
    <row r="47" customFormat="false" ht="15" hidden="false" customHeight="false" outlineLevel="0" collapsed="false">
      <c r="A47" s="35" t="n">
        <v>46</v>
      </c>
      <c r="B47" s="35" t="s">
        <v>620</v>
      </c>
      <c r="C47" s="35" t="s">
        <v>1654</v>
      </c>
      <c r="D47" s="35" t="s">
        <v>619</v>
      </c>
      <c r="E47" s="35" t="s">
        <v>621</v>
      </c>
      <c r="F47" s="40" t="n">
        <v>8.31016194643081</v>
      </c>
      <c r="G47" s="36" t="n">
        <v>2226.39037711119</v>
      </c>
      <c r="H47" s="36" t="n">
        <v>2226.39037711119</v>
      </c>
      <c r="I47" s="5" t="s">
        <v>20</v>
      </c>
      <c r="J47" s="35" t="s">
        <v>5</v>
      </c>
      <c r="K47" s="35" t="s">
        <v>5</v>
      </c>
      <c r="L47" s="35" t="n">
        <v>1</v>
      </c>
      <c r="M47" s="35" t="s">
        <v>40</v>
      </c>
      <c r="N47" s="35" t="s">
        <v>1601</v>
      </c>
      <c r="O47" s="35" t="s">
        <v>41</v>
      </c>
      <c r="P47" s="35" t="s">
        <v>1655</v>
      </c>
      <c r="Q47" s="35" t="n">
        <v>47</v>
      </c>
      <c r="R47" s="35"/>
      <c r="S47" s="35" t="s">
        <v>40</v>
      </c>
      <c r="T47" s="35"/>
      <c r="U47" s="35"/>
      <c r="V47" s="35"/>
      <c r="W47" s="35"/>
      <c r="X47" s="35" t="s">
        <v>40</v>
      </c>
      <c r="Y47" s="35" t="n">
        <v>-7.1831455</v>
      </c>
      <c r="Z47" s="35" t="n">
        <v>-48.2261865</v>
      </c>
      <c r="AA47" s="49" t="s">
        <v>1603</v>
      </c>
      <c r="AB47" s="35" t="s">
        <v>1604</v>
      </c>
    </row>
    <row r="48" customFormat="false" ht="15" hidden="false" customHeight="false" outlineLevel="0" collapsed="false">
      <c r="A48" s="35" t="n">
        <v>47</v>
      </c>
      <c r="B48" s="35" t="s">
        <v>622</v>
      </c>
      <c r="C48" s="35" t="s">
        <v>1656</v>
      </c>
      <c r="D48" s="35" t="s">
        <v>621</v>
      </c>
      <c r="E48" s="35" t="s">
        <v>623</v>
      </c>
      <c r="F48" s="40" t="n">
        <v>100.895537291834</v>
      </c>
      <c r="G48" s="36" t="n">
        <v>2327.28591440303</v>
      </c>
      <c r="H48" s="36" t="n">
        <v>2327.28591440303</v>
      </c>
      <c r="I48" s="5" t="s">
        <v>20</v>
      </c>
      <c r="J48" s="35" t="s">
        <v>5</v>
      </c>
      <c r="K48" s="35" t="s">
        <v>5</v>
      </c>
      <c r="L48" s="35" t="n">
        <v>1</v>
      </c>
      <c r="M48" s="35" t="s">
        <v>40</v>
      </c>
      <c r="N48" s="35" t="s">
        <v>1601</v>
      </c>
      <c r="O48" s="35" t="s">
        <v>41</v>
      </c>
      <c r="P48" s="35" t="s">
        <v>1657</v>
      </c>
      <c r="Q48" s="35" t="n">
        <v>46</v>
      </c>
      <c r="R48" s="35"/>
      <c r="S48" s="35" t="s">
        <v>40</v>
      </c>
      <c r="T48" s="35"/>
      <c r="U48" s="35"/>
      <c r="V48" s="35"/>
      <c r="W48" s="35"/>
      <c r="X48" s="35" t="s">
        <v>40</v>
      </c>
      <c r="Y48" s="35" t="n">
        <v>-7.1827915</v>
      </c>
      <c r="Z48" s="35" t="n">
        <v>-48.2258435</v>
      </c>
      <c r="AA48" s="49" t="s">
        <v>1603</v>
      </c>
      <c r="AB48" s="35" t="s">
        <v>1604</v>
      </c>
    </row>
    <row r="49" customFormat="false" ht="15" hidden="false" customHeight="false" outlineLevel="0" collapsed="false">
      <c r="A49" s="35" t="n">
        <v>48</v>
      </c>
      <c r="B49" s="35" t="s">
        <v>624</v>
      </c>
      <c r="C49" s="35" t="s">
        <v>1658</v>
      </c>
      <c r="D49" s="35" t="s">
        <v>623</v>
      </c>
      <c r="E49" s="35" t="s">
        <v>625</v>
      </c>
      <c r="F49" s="40" t="n">
        <v>39.9441360744549</v>
      </c>
      <c r="G49" s="36" t="n">
        <v>2367.23005047748</v>
      </c>
      <c r="H49" s="36" t="n">
        <v>2367.23005047748</v>
      </c>
      <c r="I49" s="5" t="s">
        <v>20</v>
      </c>
      <c r="J49" s="35" t="s">
        <v>5</v>
      </c>
      <c r="K49" s="35" t="s">
        <v>5</v>
      </c>
      <c r="L49" s="35" t="n">
        <v>1</v>
      </c>
      <c r="M49" s="35" t="s">
        <v>40</v>
      </c>
      <c r="N49" s="35" t="s">
        <v>1601</v>
      </c>
      <c r="O49" s="35" t="s">
        <v>41</v>
      </c>
      <c r="P49" s="35" t="s">
        <v>1657</v>
      </c>
      <c r="Q49" s="35" t="n">
        <v>46</v>
      </c>
      <c r="R49" s="35"/>
      <c r="S49" s="35" t="s">
        <v>40</v>
      </c>
      <c r="T49" s="35"/>
      <c r="U49" s="35"/>
      <c r="V49" s="35"/>
      <c r="W49" s="35"/>
      <c r="X49" s="35" t="s">
        <v>40</v>
      </c>
      <c r="Y49" s="35" t="n">
        <v>-7.182337</v>
      </c>
      <c r="Z49" s="35" t="n">
        <v>-48.225399</v>
      </c>
      <c r="AA49" s="49" t="s">
        <v>1603</v>
      </c>
      <c r="AB49" s="35" t="s">
        <v>1604</v>
      </c>
    </row>
    <row r="50" customFormat="false" ht="15" hidden="false" customHeight="false" outlineLevel="0" collapsed="false">
      <c r="A50" s="35" t="n">
        <v>49</v>
      </c>
      <c r="B50" s="35" t="s">
        <v>626</v>
      </c>
      <c r="C50" s="35" t="s">
        <v>1659</v>
      </c>
      <c r="D50" s="35" t="s">
        <v>625</v>
      </c>
      <c r="E50" s="35" t="s">
        <v>627</v>
      </c>
      <c r="F50" s="40" t="n">
        <v>172.468118917458</v>
      </c>
      <c r="G50" s="36" t="n">
        <v>2539.69816939494</v>
      </c>
      <c r="H50" s="36" t="n">
        <v>2539.69816939494</v>
      </c>
      <c r="I50" s="5" t="s">
        <v>20</v>
      </c>
      <c r="J50" s="35" t="s">
        <v>5</v>
      </c>
      <c r="K50" s="35" t="s">
        <v>5</v>
      </c>
      <c r="L50" s="35" t="n">
        <v>1</v>
      </c>
      <c r="M50" s="35" t="s">
        <v>40</v>
      </c>
      <c r="N50" s="35" t="s">
        <v>1601</v>
      </c>
      <c r="O50" s="35" t="s">
        <v>41</v>
      </c>
      <c r="P50" s="35" t="s">
        <v>1657</v>
      </c>
      <c r="Q50" s="35" t="n">
        <v>46</v>
      </c>
      <c r="R50" s="35"/>
      <c r="S50" s="35" t="s">
        <v>40</v>
      </c>
      <c r="T50" s="35"/>
      <c r="U50" s="35"/>
      <c r="V50" s="35"/>
      <c r="W50" s="35"/>
      <c r="X50" s="35" t="s">
        <v>40</v>
      </c>
      <c r="Y50" s="35" t="n">
        <v>-7.1816555</v>
      </c>
      <c r="Z50" s="35" t="n">
        <v>-48.2247245</v>
      </c>
      <c r="AA50" s="49" t="s">
        <v>1603</v>
      </c>
      <c r="AB50" s="35" t="s">
        <v>1604</v>
      </c>
    </row>
    <row r="51" customFormat="false" ht="15" hidden="false" customHeight="false" outlineLevel="0" collapsed="false">
      <c r="A51" s="35" t="n">
        <v>50</v>
      </c>
      <c r="B51" s="35" t="s">
        <v>628</v>
      </c>
      <c r="C51" s="35" t="s">
        <v>1660</v>
      </c>
      <c r="D51" s="35" t="s">
        <v>627</v>
      </c>
      <c r="E51" s="35" t="s">
        <v>629</v>
      </c>
      <c r="F51" s="40" t="n">
        <v>3.68663332092408</v>
      </c>
      <c r="G51" s="36" t="n">
        <v>2543.38480271587</v>
      </c>
      <c r="H51" s="36" t="n">
        <v>2543.38480271587</v>
      </c>
      <c r="I51" s="5" t="s">
        <v>20</v>
      </c>
      <c r="J51" s="35" t="s">
        <v>5</v>
      </c>
      <c r="K51" s="35" t="s">
        <v>5</v>
      </c>
      <c r="L51" s="35" t="n">
        <v>1</v>
      </c>
      <c r="M51" s="35" t="s">
        <v>40</v>
      </c>
      <c r="N51" s="35" t="s">
        <v>1601</v>
      </c>
      <c r="O51" s="35" t="s">
        <v>41</v>
      </c>
      <c r="P51" s="35" t="s">
        <v>1657</v>
      </c>
      <c r="Q51" s="35" t="n">
        <v>46</v>
      </c>
      <c r="R51" s="35"/>
      <c r="S51" s="35" t="s">
        <v>40</v>
      </c>
      <c r="T51" s="35"/>
      <c r="U51" s="35"/>
      <c r="V51" s="35"/>
      <c r="W51" s="35"/>
      <c r="X51" s="35" t="s">
        <v>40</v>
      </c>
      <c r="Y51" s="35" t="n">
        <v>-7.181091</v>
      </c>
      <c r="Z51" s="35" t="n">
        <v>-48.2241645</v>
      </c>
      <c r="AA51" s="49" t="s">
        <v>1603</v>
      </c>
      <c r="AB51" s="35" t="s">
        <v>1604</v>
      </c>
    </row>
    <row r="52" customFormat="false" ht="15" hidden="false" customHeight="false" outlineLevel="0" collapsed="false">
      <c r="A52" s="35" t="n">
        <v>51</v>
      </c>
      <c r="B52" s="35" t="s">
        <v>630</v>
      </c>
      <c r="C52" s="35" t="s">
        <v>1661</v>
      </c>
      <c r="D52" s="35" t="s">
        <v>629</v>
      </c>
      <c r="E52" s="35" t="s">
        <v>631</v>
      </c>
      <c r="F52" s="40" t="n">
        <v>118.036590369989</v>
      </c>
      <c r="G52" s="36" t="n">
        <v>2661.42139308585</v>
      </c>
      <c r="H52" s="36" t="n">
        <v>2661.42139308585</v>
      </c>
      <c r="I52" s="5" t="s">
        <v>20</v>
      </c>
      <c r="J52" s="35" t="s">
        <v>5</v>
      </c>
      <c r="K52" s="35" t="s">
        <v>5</v>
      </c>
      <c r="L52" s="35" t="n">
        <v>1</v>
      </c>
      <c r="M52" s="35" t="s">
        <v>40</v>
      </c>
      <c r="N52" s="35" t="s">
        <v>1601</v>
      </c>
      <c r="O52" s="35" t="s">
        <v>41</v>
      </c>
      <c r="P52" s="35" t="s">
        <v>1657</v>
      </c>
      <c r="Q52" s="35" t="n">
        <v>46</v>
      </c>
      <c r="R52" s="35"/>
      <c r="S52" s="35" t="s">
        <v>40</v>
      </c>
      <c r="T52" s="35"/>
      <c r="U52" s="35"/>
      <c r="V52" s="35"/>
      <c r="W52" s="35"/>
      <c r="X52" s="35" t="s">
        <v>40</v>
      </c>
      <c r="Y52" s="35" t="n">
        <v>-7.1807005</v>
      </c>
      <c r="Z52" s="35" t="n">
        <v>-48.223778</v>
      </c>
      <c r="AA52" s="49" t="s">
        <v>1603</v>
      </c>
      <c r="AB52" s="35" t="s">
        <v>1604</v>
      </c>
    </row>
    <row r="53" customFormat="false" ht="15" hidden="false" customHeight="false" outlineLevel="0" collapsed="false">
      <c r="A53" s="35" t="n">
        <v>52</v>
      </c>
      <c r="B53" s="35" t="s">
        <v>632</v>
      </c>
      <c r="C53" s="35" t="s">
        <v>1662</v>
      </c>
      <c r="D53" s="35" t="s">
        <v>631</v>
      </c>
      <c r="E53" s="35" t="s">
        <v>633</v>
      </c>
      <c r="F53" s="40" t="n">
        <v>168.548653940151</v>
      </c>
      <c r="G53" s="36" t="n">
        <v>2829.97004702601</v>
      </c>
      <c r="H53" s="36" t="n">
        <v>2829.97004702601</v>
      </c>
      <c r="I53" s="5" t="s">
        <v>20</v>
      </c>
      <c r="J53" s="35" t="s">
        <v>5</v>
      </c>
      <c r="K53" s="35" t="s">
        <v>5</v>
      </c>
      <c r="L53" s="35" t="n">
        <v>1</v>
      </c>
      <c r="M53" s="35" t="s">
        <v>40</v>
      </c>
      <c r="N53" s="35" t="s">
        <v>1601</v>
      </c>
      <c r="O53" s="35" t="s">
        <v>41</v>
      </c>
      <c r="P53" s="35" t="s">
        <v>1657</v>
      </c>
      <c r="Q53" s="35" t="n">
        <v>46</v>
      </c>
      <c r="R53" s="35"/>
      <c r="S53" s="35" t="s">
        <v>40</v>
      </c>
      <c r="T53" s="35"/>
      <c r="U53" s="35"/>
      <c r="V53" s="35"/>
      <c r="W53" s="35"/>
      <c r="X53" s="35" t="s">
        <v>40</v>
      </c>
      <c r="Y53" s="35" t="n">
        <v>-7.179781</v>
      </c>
      <c r="Z53" s="35" t="n">
        <v>-48.222868</v>
      </c>
      <c r="AA53" s="49" t="s">
        <v>1603</v>
      </c>
      <c r="AB53" s="35" t="s">
        <v>1604</v>
      </c>
    </row>
    <row r="54" customFormat="false" ht="15" hidden="false" customHeight="false" outlineLevel="0" collapsed="false">
      <c r="A54" s="35" t="n">
        <v>53</v>
      </c>
      <c r="B54" s="35" t="s">
        <v>634</v>
      </c>
      <c r="C54" s="35" t="s">
        <v>1663</v>
      </c>
      <c r="D54" s="35" t="s">
        <v>633</v>
      </c>
      <c r="E54" s="35" t="s">
        <v>635</v>
      </c>
      <c r="F54" s="40" t="n">
        <v>3.13276316746266</v>
      </c>
      <c r="G54" s="36" t="n">
        <v>2833.10281019347</v>
      </c>
      <c r="H54" s="36" t="n">
        <v>2833.10281019347</v>
      </c>
      <c r="I54" s="5" t="s">
        <v>20</v>
      </c>
      <c r="J54" s="35" t="s">
        <v>5</v>
      </c>
      <c r="K54" s="35" t="s">
        <v>5</v>
      </c>
      <c r="L54" s="35" t="n">
        <v>1</v>
      </c>
      <c r="M54" s="35" t="s">
        <v>40</v>
      </c>
      <c r="N54" s="35" t="s">
        <v>1601</v>
      </c>
      <c r="O54" s="35" t="s">
        <v>41</v>
      </c>
      <c r="P54" s="35" t="s">
        <v>1657</v>
      </c>
      <c r="Q54" s="35" t="n">
        <v>46</v>
      </c>
      <c r="R54" s="35" t="s">
        <v>636</v>
      </c>
      <c r="S54" s="35" t="s">
        <v>40</v>
      </c>
      <c r="T54" s="35"/>
      <c r="U54" s="35"/>
      <c r="V54" s="35"/>
      <c r="W54" s="35"/>
      <c r="X54" s="35" t="s">
        <v>40</v>
      </c>
      <c r="Y54" s="35" t="n">
        <v>-7.179231</v>
      </c>
      <c r="Z54" s="35" t="n">
        <v>-48.222322</v>
      </c>
      <c r="AA54" s="49" t="s">
        <v>1603</v>
      </c>
      <c r="AB54" s="35" t="s">
        <v>1604</v>
      </c>
    </row>
    <row r="55" customFormat="false" ht="15" hidden="false" customHeight="false" outlineLevel="0" collapsed="false">
      <c r="A55" s="35" t="n">
        <v>54</v>
      </c>
      <c r="B55" s="35" t="s">
        <v>637</v>
      </c>
      <c r="C55" s="35" t="s">
        <v>1664</v>
      </c>
      <c r="D55" s="35" t="s">
        <v>635</v>
      </c>
      <c r="E55" s="35" t="s">
        <v>638</v>
      </c>
      <c r="F55" s="40" t="n">
        <v>53.0265548846926</v>
      </c>
      <c r="G55" s="36" t="n">
        <v>2886.12936507816</v>
      </c>
      <c r="H55" s="36" t="n">
        <v>2886.12936507816</v>
      </c>
      <c r="I55" s="5" t="s">
        <v>20</v>
      </c>
      <c r="J55" s="35" t="s">
        <v>5</v>
      </c>
      <c r="K55" s="35" t="s">
        <v>5</v>
      </c>
      <c r="L55" s="35" t="n">
        <v>1</v>
      </c>
      <c r="M55" s="35" t="s">
        <v>40</v>
      </c>
      <c r="N55" s="35" t="s">
        <v>1601</v>
      </c>
      <c r="O55" s="35" t="s">
        <v>41</v>
      </c>
      <c r="P55" s="35" t="s">
        <v>1657</v>
      </c>
      <c r="Q55" s="35" t="n">
        <v>46</v>
      </c>
      <c r="R55" s="35"/>
      <c r="S55" s="35" t="s">
        <v>40</v>
      </c>
      <c r="T55" s="35"/>
      <c r="U55" s="35"/>
      <c r="V55" s="35"/>
      <c r="W55" s="35"/>
      <c r="X55" s="35" t="s">
        <v>40</v>
      </c>
      <c r="Y55" s="35" t="n">
        <v>-7.1790505</v>
      </c>
      <c r="Z55" s="35" t="n">
        <v>-48.222144</v>
      </c>
      <c r="AA55" s="49" t="s">
        <v>1603</v>
      </c>
      <c r="AB55" s="35" t="s">
        <v>1604</v>
      </c>
    </row>
    <row r="56" customFormat="false" ht="15" hidden="false" customHeight="false" outlineLevel="0" collapsed="false">
      <c r="A56" s="35" t="n">
        <v>55</v>
      </c>
      <c r="B56" s="35" t="s">
        <v>639</v>
      </c>
      <c r="C56" s="35" t="s">
        <v>1665</v>
      </c>
      <c r="D56" s="35" t="s">
        <v>638</v>
      </c>
      <c r="E56" s="35" t="s">
        <v>640</v>
      </c>
      <c r="F56" s="40" t="n">
        <v>1.81843083128046</v>
      </c>
      <c r="G56" s="36" t="n">
        <v>2887.94779590944</v>
      </c>
      <c r="H56" s="36" t="n">
        <v>2887.94779590944</v>
      </c>
      <c r="I56" s="5" t="s">
        <v>20</v>
      </c>
      <c r="J56" s="35" t="s">
        <v>5</v>
      </c>
      <c r="K56" s="35" t="s">
        <v>5</v>
      </c>
      <c r="L56" s="35" t="n">
        <v>1</v>
      </c>
      <c r="M56" s="35" t="s">
        <v>40</v>
      </c>
      <c r="N56" s="35" t="s">
        <v>1601</v>
      </c>
      <c r="O56" s="35" t="s">
        <v>41</v>
      </c>
      <c r="P56" s="35" t="s">
        <v>1657</v>
      </c>
      <c r="Q56" s="35" t="n">
        <v>46</v>
      </c>
      <c r="R56" s="35"/>
      <c r="S56" s="35" t="s">
        <v>40</v>
      </c>
      <c r="T56" s="35"/>
      <c r="U56" s="35"/>
      <c r="V56" s="35"/>
      <c r="W56" s="35"/>
      <c r="X56" s="35" t="s">
        <v>40</v>
      </c>
      <c r="Y56" s="35" t="n">
        <v>-7.1788735</v>
      </c>
      <c r="Z56" s="35" t="n">
        <v>-48.221981</v>
      </c>
      <c r="AA56" s="49" t="s">
        <v>1603</v>
      </c>
      <c r="AB56" s="35" t="s">
        <v>1604</v>
      </c>
    </row>
    <row r="57" customFormat="false" ht="15" hidden="false" customHeight="false" outlineLevel="0" collapsed="false">
      <c r="A57" s="35" t="n">
        <v>56</v>
      </c>
      <c r="B57" s="35" t="s">
        <v>641</v>
      </c>
      <c r="C57" s="35" t="s">
        <v>1666</v>
      </c>
      <c r="D57" s="35" t="s">
        <v>640</v>
      </c>
      <c r="E57" s="35" t="s">
        <v>642</v>
      </c>
      <c r="F57" s="40" t="n">
        <v>3.63470808570895</v>
      </c>
      <c r="G57" s="36" t="n">
        <v>2891.58250399515</v>
      </c>
      <c r="H57" s="36" t="n">
        <v>2891.58250399515</v>
      </c>
      <c r="I57" s="5" t="s">
        <v>20</v>
      </c>
      <c r="J57" s="35" t="s">
        <v>5</v>
      </c>
      <c r="K57" s="35" t="s">
        <v>5</v>
      </c>
      <c r="L57" s="35" t="n">
        <v>1</v>
      </c>
      <c r="M57" s="35" t="s">
        <v>40</v>
      </c>
      <c r="N57" s="35" t="s">
        <v>1601</v>
      </c>
      <c r="O57" s="35" t="s">
        <v>41</v>
      </c>
      <c r="P57" s="35" t="s">
        <v>1657</v>
      </c>
      <c r="Q57" s="35" t="n">
        <v>46</v>
      </c>
      <c r="R57" s="35"/>
      <c r="S57" s="35" t="s">
        <v>40</v>
      </c>
      <c r="T57" s="35"/>
      <c r="U57" s="35"/>
      <c r="V57" s="35"/>
      <c r="W57" s="35"/>
      <c r="X57" s="35" t="s">
        <v>40</v>
      </c>
      <c r="Y57" s="35" t="n">
        <v>-7.178881</v>
      </c>
      <c r="Z57" s="35" t="n">
        <v>-48.2219775</v>
      </c>
      <c r="AA57" s="49" t="s">
        <v>1603</v>
      </c>
      <c r="AB57" s="35" t="s">
        <v>1604</v>
      </c>
    </row>
    <row r="58" customFormat="false" ht="15" hidden="false" customHeight="false" outlineLevel="0" collapsed="false">
      <c r="A58" s="35" t="n">
        <v>57</v>
      </c>
      <c r="B58" s="35" t="s">
        <v>643</v>
      </c>
      <c r="C58" s="35" t="s">
        <v>1667</v>
      </c>
      <c r="D58" s="35" t="s">
        <v>642</v>
      </c>
      <c r="E58" s="35" t="s">
        <v>644</v>
      </c>
      <c r="F58" s="40" t="n">
        <v>20.70810642369</v>
      </c>
      <c r="G58" s="36" t="n">
        <v>2912.29061041884</v>
      </c>
      <c r="H58" s="36" t="n">
        <v>2912.29061041884</v>
      </c>
      <c r="I58" s="5" t="s">
        <v>20</v>
      </c>
      <c r="J58" s="35" t="s">
        <v>5</v>
      </c>
      <c r="K58" s="35" t="s">
        <v>5</v>
      </c>
      <c r="L58" s="35" t="n">
        <v>1</v>
      </c>
      <c r="M58" s="35" t="s">
        <v>40</v>
      </c>
      <c r="N58" s="35" t="s">
        <v>1601</v>
      </c>
      <c r="O58" s="35" t="s">
        <v>41</v>
      </c>
      <c r="P58" s="35" t="s">
        <v>1657</v>
      </c>
      <c r="Q58" s="35" t="n">
        <v>46</v>
      </c>
      <c r="R58" s="35"/>
      <c r="S58" s="35" t="s">
        <v>40</v>
      </c>
      <c r="T58" s="35"/>
      <c r="U58" s="35"/>
      <c r="V58" s="35"/>
      <c r="W58" s="35"/>
      <c r="X58" s="35" t="s">
        <v>40</v>
      </c>
      <c r="Y58" s="35" t="n">
        <v>-7.178979</v>
      </c>
      <c r="Z58" s="35" t="n">
        <v>-48.2219285</v>
      </c>
      <c r="AA58" s="49" t="s">
        <v>1603</v>
      </c>
      <c r="AB58" s="35" t="s">
        <v>1604</v>
      </c>
    </row>
    <row r="59" customFormat="false" ht="15" hidden="false" customHeight="false" outlineLevel="0" collapsed="false">
      <c r="A59" s="35" t="n">
        <v>58</v>
      </c>
      <c r="B59" s="35" t="s">
        <v>645</v>
      </c>
      <c r="C59" s="35" t="s">
        <v>1668</v>
      </c>
      <c r="D59" s="35" t="s">
        <v>644</v>
      </c>
      <c r="E59" s="35" t="s">
        <v>646</v>
      </c>
      <c r="F59" s="40" t="n">
        <v>4.12094829753194</v>
      </c>
      <c r="G59" s="36" t="n">
        <v>2916.41155871637</v>
      </c>
      <c r="H59" s="36" t="n">
        <v>2916.41155871637</v>
      </c>
      <c r="I59" s="5" t="s">
        <v>20</v>
      </c>
      <c r="J59" s="35" t="s">
        <v>5</v>
      </c>
      <c r="K59" s="35" t="s">
        <v>5</v>
      </c>
      <c r="L59" s="35" t="n">
        <v>1</v>
      </c>
      <c r="M59" s="35" t="s">
        <v>40</v>
      </c>
      <c r="N59" s="35" t="s">
        <v>1601</v>
      </c>
      <c r="O59" s="35" t="s">
        <v>41</v>
      </c>
      <c r="P59" s="35" t="s">
        <v>1657</v>
      </c>
      <c r="Q59" s="35" t="n">
        <v>46</v>
      </c>
      <c r="R59" s="35" t="s">
        <v>647</v>
      </c>
      <c r="S59" s="35" t="s">
        <v>40</v>
      </c>
      <c r="T59" s="35"/>
      <c r="U59" s="35"/>
      <c r="V59" s="35"/>
      <c r="W59" s="35"/>
      <c r="X59" s="35" t="s">
        <v>40</v>
      </c>
      <c r="Y59" s="35" t="n">
        <v>-7.1790795</v>
      </c>
      <c r="Z59" s="35" t="n">
        <v>-48.2218795</v>
      </c>
      <c r="AA59" s="49" t="s">
        <v>1603</v>
      </c>
      <c r="AB59" s="35" t="s">
        <v>1604</v>
      </c>
    </row>
    <row r="60" customFormat="false" ht="15" hidden="false" customHeight="false" outlineLevel="0" collapsed="false">
      <c r="A60" s="35" t="n">
        <v>59</v>
      </c>
      <c r="B60" s="35" t="s">
        <v>648</v>
      </c>
      <c r="C60" s="35" t="s">
        <v>1669</v>
      </c>
      <c r="D60" s="35" t="s">
        <v>646</v>
      </c>
      <c r="E60" s="35" t="s">
        <v>649</v>
      </c>
      <c r="F60" s="40" t="n">
        <v>51.9864232600094</v>
      </c>
      <c r="G60" s="36" t="n">
        <v>2968.39798197638</v>
      </c>
      <c r="H60" s="36" t="n">
        <v>2968.39798197638</v>
      </c>
      <c r="I60" s="5" t="s">
        <v>20</v>
      </c>
      <c r="J60" s="35" t="s">
        <v>5</v>
      </c>
      <c r="K60" s="35" t="s">
        <v>5</v>
      </c>
      <c r="L60" s="35" t="n">
        <v>1</v>
      </c>
      <c r="M60" s="35" t="s">
        <v>40</v>
      </c>
      <c r="N60" s="35" t="s">
        <v>1601</v>
      </c>
      <c r="O60" s="35" t="s">
        <v>41</v>
      </c>
      <c r="P60" s="35" t="s">
        <v>1657</v>
      </c>
      <c r="Q60" s="35" t="n">
        <v>46</v>
      </c>
      <c r="R60" s="35"/>
      <c r="S60" s="35" t="s">
        <v>40</v>
      </c>
      <c r="T60" s="35"/>
      <c r="U60" s="35"/>
      <c r="V60" s="35"/>
      <c r="W60" s="35"/>
      <c r="X60" s="35" t="s">
        <v>40</v>
      </c>
      <c r="Y60" s="35" t="n">
        <v>-7.179306</v>
      </c>
      <c r="Z60" s="35" t="n">
        <v>-48.2217675</v>
      </c>
      <c r="AA60" s="49" t="s">
        <v>1603</v>
      </c>
      <c r="AB60" s="35" t="s">
        <v>1604</v>
      </c>
    </row>
    <row r="61" customFormat="false" ht="15" hidden="false" customHeight="false" outlineLevel="0" collapsed="false">
      <c r="A61" s="35" t="n">
        <v>60</v>
      </c>
      <c r="B61" s="35" t="s">
        <v>650</v>
      </c>
      <c r="C61" s="35" t="s">
        <v>1670</v>
      </c>
      <c r="D61" s="35" t="s">
        <v>649</v>
      </c>
      <c r="E61" s="35" t="s">
        <v>651</v>
      </c>
      <c r="F61" s="40" t="n">
        <v>0.398745429560228</v>
      </c>
      <c r="G61" s="36" t="n">
        <v>2968.79672740594</v>
      </c>
      <c r="H61" s="36" t="n">
        <v>2968.79672740594</v>
      </c>
      <c r="I61" s="5" t="s">
        <v>20</v>
      </c>
      <c r="J61" s="35" t="s">
        <v>5</v>
      </c>
      <c r="K61" s="35" t="s">
        <v>5</v>
      </c>
      <c r="L61" s="35" t="n">
        <v>1</v>
      </c>
      <c r="M61" s="35" t="s">
        <v>40</v>
      </c>
      <c r="N61" s="35" t="s">
        <v>1601</v>
      </c>
      <c r="O61" s="35" t="s">
        <v>41</v>
      </c>
      <c r="P61" s="35" t="s">
        <v>1657</v>
      </c>
      <c r="Q61" s="35" t="n">
        <v>46</v>
      </c>
      <c r="R61" s="35"/>
      <c r="S61" s="35" t="s">
        <v>40</v>
      </c>
      <c r="T61" s="35"/>
      <c r="U61" s="35"/>
      <c r="V61" s="35"/>
      <c r="W61" s="35"/>
      <c r="X61" s="35" t="s">
        <v>40</v>
      </c>
      <c r="Y61" s="35" t="n">
        <v>-7.179517</v>
      </c>
      <c r="Z61" s="35" t="n">
        <v>-48.2216625</v>
      </c>
      <c r="AA61" s="49" t="s">
        <v>1603</v>
      </c>
      <c r="AB61" s="35" t="s">
        <v>1604</v>
      </c>
    </row>
    <row r="62" customFormat="false" ht="15" hidden="false" customHeight="false" outlineLevel="0" collapsed="false">
      <c r="A62" s="35" t="n">
        <v>61</v>
      </c>
      <c r="B62" s="35" t="s">
        <v>652</v>
      </c>
      <c r="C62" s="35" t="s">
        <v>1671</v>
      </c>
      <c r="D62" s="35" t="s">
        <v>651</v>
      </c>
      <c r="E62" s="35" t="s">
        <v>653</v>
      </c>
      <c r="F62" s="40" t="n">
        <v>3.01664903101086</v>
      </c>
      <c r="G62" s="36" t="n">
        <v>2971.81337643695</v>
      </c>
      <c r="H62" s="36" t="n">
        <v>2971.81337643695</v>
      </c>
      <c r="I62" s="5" t="s">
        <v>20</v>
      </c>
      <c r="J62" s="35" t="s">
        <v>5</v>
      </c>
      <c r="K62" s="35" t="s">
        <v>5</v>
      </c>
      <c r="L62" s="35" t="n">
        <v>1</v>
      </c>
      <c r="M62" s="35" t="s">
        <v>40</v>
      </c>
      <c r="N62" s="35" t="s">
        <v>1601</v>
      </c>
      <c r="O62" s="35" t="s">
        <v>41</v>
      </c>
      <c r="P62" s="35" t="s">
        <v>1657</v>
      </c>
      <c r="Q62" s="35" t="n">
        <v>46</v>
      </c>
      <c r="R62" s="35"/>
      <c r="S62" s="35" t="s">
        <v>40</v>
      </c>
      <c r="T62" s="35"/>
      <c r="U62" s="35"/>
      <c r="V62" s="35"/>
      <c r="W62" s="35"/>
      <c r="X62" s="35" t="s">
        <v>40</v>
      </c>
      <c r="Y62" s="35" t="n">
        <v>-7.1795245</v>
      </c>
      <c r="Z62" s="35" t="n">
        <v>-48.221649</v>
      </c>
      <c r="AA62" s="49" t="s">
        <v>1603</v>
      </c>
      <c r="AB62" s="35" t="s">
        <v>1604</v>
      </c>
    </row>
    <row r="63" customFormat="false" ht="15" hidden="false" customHeight="false" outlineLevel="0" collapsed="false">
      <c r="A63" s="35" t="n">
        <v>62</v>
      </c>
      <c r="B63" s="35" t="s">
        <v>654</v>
      </c>
      <c r="C63" s="35" t="s">
        <v>1672</v>
      </c>
      <c r="D63" s="35" t="s">
        <v>653</v>
      </c>
      <c r="E63" s="35" t="s">
        <v>655</v>
      </c>
      <c r="F63" s="40" t="n">
        <v>0.351354508128741</v>
      </c>
      <c r="G63" s="36" t="n">
        <v>2972.16473094508</v>
      </c>
      <c r="H63" s="36" t="n">
        <v>2972.16473094508</v>
      </c>
      <c r="I63" s="5" t="s">
        <v>20</v>
      </c>
      <c r="J63" s="35" t="s">
        <v>5</v>
      </c>
      <c r="K63" s="35" t="s">
        <v>5</v>
      </c>
      <c r="L63" s="35" t="n">
        <v>1</v>
      </c>
      <c r="M63" s="35" t="s">
        <v>40</v>
      </c>
      <c r="N63" s="35" t="s">
        <v>1601</v>
      </c>
      <c r="O63" s="35" t="s">
        <v>41</v>
      </c>
      <c r="P63" s="35" t="s">
        <v>1657</v>
      </c>
      <c r="Q63" s="35" t="n">
        <v>46</v>
      </c>
      <c r="R63" s="35"/>
      <c r="S63" s="35" t="s">
        <v>40</v>
      </c>
      <c r="T63" s="35"/>
      <c r="U63" s="35"/>
      <c r="V63" s="35"/>
      <c r="W63" s="35"/>
      <c r="X63" s="35" t="s">
        <v>40</v>
      </c>
      <c r="Y63" s="35" t="n">
        <v>-7.1795325</v>
      </c>
      <c r="Z63" s="35" t="n">
        <v>-48.2216365</v>
      </c>
      <c r="AA63" s="49" t="s">
        <v>1603</v>
      </c>
      <c r="AB63" s="35" t="s">
        <v>1604</v>
      </c>
    </row>
    <row r="64" customFormat="false" ht="15" hidden="false" customHeight="false" outlineLevel="0" collapsed="false">
      <c r="A64" s="35" t="n">
        <v>63</v>
      </c>
      <c r="B64" s="35" t="s">
        <v>656</v>
      </c>
      <c r="C64" s="35" t="s">
        <v>1673</v>
      </c>
      <c r="D64" s="35" t="s">
        <v>655</v>
      </c>
      <c r="E64" s="35" t="s">
        <v>657</v>
      </c>
      <c r="F64" s="40" t="n">
        <v>2.09341401245377</v>
      </c>
      <c r="G64" s="36" t="n">
        <v>2974.25814495753</v>
      </c>
      <c r="H64" s="36" t="n">
        <v>2.09341401245365</v>
      </c>
      <c r="I64" s="6" t="s">
        <v>21</v>
      </c>
      <c r="J64" s="35" t="s">
        <v>5</v>
      </c>
      <c r="K64" s="35" t="s">
        <v>5</v>
      </c>
      <c r="L64" s="35" t="n">
        <v>2</v>
      </c>
      <c r="M64" s="35" t="s">
        <v>41</v>
      </c>
      <c r="N64" s="35" t="s">
        <v>1674</v>
      </c>
      <c r="O64" s="35" t="s">
        <v>43</v>
      </c>
      <c r="P64" s="35" t="s">
        <v>1675</v>
      </c>
      <c r="Q64" s="35" t="n">
        <v>45</v>
      </c>
      <c r="R64" s="35"/>
      <c r="S64" s="35" t="s">
        <v>40</v>
      </c>
      <c r="T64" s="35" t="s">
        <v>41</v>
      </c>
      <c r="U64" s="35"/>
      <c r="V64" s="35"/>
      <c r="W64" s="35"/>
      <c r="X64" s="35" t="s">
        <v>1676</v>
      </c>
      <c r="Y64" s="35" t="n">
        <v>-7.179542</v>
      </c>
      <c r="Z64" s="35" t="n">
        <v>-48.221631</v>
      </c>
      <c r="AA64" s="49" t="s">
        <v>1603</v>
      </c>
      <c r="AB64" s="35" t="s">
        <v>1677</v>
      </c>
    </row>
    <row r="65" customFormat="false" ht="15" hidden="false" customHeight="false" outlineLevel="0" collapsed="false">
      <c r="A65" s="35" t="n">
        <v>64</v>
      </c>
      <c r="B65" s="35" t="s">
        <v>658</v>
      </c>
      <c r="C65" s="35" t="s">
        <v>1678</v>
      </c>
      <c r="D65" s="35" t="s">
        <v>657</v>
      </c>
      <c r="E65" s="35" t="s">
        <v>659</v>
      </c>
      <c r="F65" s="40" t="n">
        <v>0.351354506435586</v>
      </c>
      <c r="G65" s="36" t="n">
        <v>2974.60949946397</v>
      </c>
      <c r="H65" s="36" t="n">
        <v>2.44476851888931</v>
      </c>
      <c r="I65" s="6" t="s">
        <v>21</v>
      </c>
      <c r="J65" s="35" t="s">
        <v>5</v>
      </c>
      <c r="K65" s="35" t="s">
        <v>5</v>
      </c>
      <c r="L65" s="35" t="n">
        <v>2</v>
      </c>
      <c r="M65" s="35" t="s">
        <v>41</v>
      </c>
      <c r="N65" s="35" t="s">
        <v>1674</v>
      </c>
      <c r="O65" s="35" t="s">
        <v>43</v>
      </c>
      <c r="P65" s="35" t="s">
        <v>1675</v>
      </c>
      <c r="Q65" s="35" t="n">
        <v>45</v>
      </c>
      <c r="R65" s="35"/>
      <c r="S65" s="35" t="s">
        <v>40</v>
      </c>
      <c r="T65" s="35" t="s">
        <v>41</v>
      </c>
      <c r="U65" s="35"/>
      <c r="V65" s="35"/>
      <c r="W65" s="35"/>
      <c r="X65" s="35" t="s">
        <v>1676</v>
      </c>
      <c r="Y65" s="35" t="n">
        <v>-7.1795515</v>
      </c>
      <c r="Z65" s="35" t="n">
        <v>-48.2216265</v>
      </c>
      <c r="AA65" s="49" t="s">
        <v>1603</v>
      </c>
      <c r="AB65" s="35" t="s">
        <v>1677</v>
      </c>
    </row>
    <row r="66" customFormat="false" ht="15" hidden="false" customHeight="false" outlineLevel="0" collapsed="false">
      <c r="A66" s="35" t="n">
        <v>65</v>
      </c>
      <c r="B66" s="35" t="s">
        <v>660</v>
      </c>
      <c r="C66" s="35" t="s">
        <v>1679</v>
      </c>
      <c r="D66" s="35" t="s">
        <v>659</v>
      </c>
      <c r="E66" s="35" t="s">
        <v>661</v>
      </c>
      <c r="F66" s="40" t="n">
        <v>2.32032051207618</v>
      </c>
      <c r="G66" s="36" t="n">
        <v>2976.92981997605</v>
      </c>
      <c r="H66" s="36" t="n">
        <v>4.76508903096556</v>
      </c>
      <c r="I66" s="6" t="s">
        <v>21</v>
      </c>
      <c r="J66" s="35" t="s">
        <v>5</v>
      </c>
      <c r="K66" s="35" t="s">
        <v>5</v>
      </c>
      <c r="L66" s="35" t="n">
        <v>2</v>
      </c>
      <c r="M66" s="35" t="s">
        <v>41</v>
      </c>
      <c r="N66" s="35" t="s">
        <v>1674</v>
      </c>
      <c r="O66" s="35" t="s">
        <v>43</v>
      </c>
      <c r="P66" s="35" t="s">
        <v>1675</v>
      </c>
      <c r="Q66" s="35" t="n">
        <v>45</v>
      </c>
      <c r="R66" s="35"/>
      <c r="S66" s="35" t="s">
        <v>40</v>
      </c>
      <c r="T66" s="35" t="s">
        <v>41</v>
      </c>
      <c r="U66" s="35"/>
      <c r="V66" s="35"/>
      <c r="W66" s="35"/>
      <c r="X66" s="35" t="s">
        <v>1676</v>
      </c>
      <c r="Y66" s="35" t="n">
        <v>-7.179563</v>
      </c>
      <c r="Z66" s="35" t="n">
        <v>-48.22163</v>
      </c>
      <c r="AA66" s="49" t="s">
        <v>1603</v>
      </c>
      <c r="AB66" s="35" t="s">
        <v>1677</v>
      </c>
    </row>
    <row r="67" customFormat="false" ht="15" hidden="false" customHeight="false" outlineLevel="0" collapsed="false">
      <c r="A67" s="35" t="n">
        <v>66</v>
      </c>
      <c r="B67" s="35" t="s">
        <v>662</v>
      </c>
      <c r="C67" s="35" t="s">
        <v>1680</v>
      </c>
      <c r="D67" s="35" t="s">
        <v>661</v>
      </c>
      <c r="E67" s="35" t="s">
        <v>663</v>
      </c>
      <c r="F67" s="40" t="n">
        <v>54.4154778752166</v>
      </c>
      <c r="G67" s="36" t="n">
        <v>3031.34529785126</v>
      </c>
      <c r="H67" s="36" t="n">
        <v>59.1805669061823</v>
      </c>
      <c r="I67" s="6" t="s">
        <v>21</v>
      </c>
      <c r="J67" s="35" t="s">
        <v>5</v>
      </c>
      <c r="K67" s="35" t="s">
        <v>5</v>
      </c>
      <c r="L67" s="35" t="n">
        <v>2</v>
      </c>
      <c r="M67" s="35" t="s">
        <v>41</v>
      </c>
      <c r="N67" s="35" t="s">
        <v>1674</v>
      </c>
      <c r="O67" s="35" t="s">
        <v>43</v>
      </c>
      <c r="P67" s="35" t="s">
        <v>1675</v>
      </c>
      <c r="Q67" s="35" t="n">
        <v>45</v>
      </c>
      <c r="R67" s="35"/>
      <c r="S67" s="35" t="s">
        <v>40</v>
      </c>
      <c r="T67" s="35" t="s">
        <v>41</v>
      </c>
      <c r="U67" s="35"/>
      <c r="V67" s="35"/>
      <c r="W67" s="35"/>
      <c r="X67" s="35" t="s">
        <v>1676</v>
      </c>
      <c r="Y67" s="35" t="n">
        <v>-7.1797915</v>
      </c>
      <c r="Z67" s="35" t="n">
        <v>-48.221522</v>
      </c>
      <c r="AA67" s="49" t="s">
        <v>1603</v>
      </c>
      <c r="AB67" s="35" t="s">
        <v>1677</v>
      </c>
    </row>
    <row r="68" customFormat="false" ht="15" hidden="false" customHeight="false" outlineLevel="0" collapsed="false">
      <c r="A68" s="35" t="n">
        <v>67</v>
      </c>
      <c r="B68" s="35" t="s">
        <v>664</v>
      </c>
      <c r="C68" s="35" t="s">
        <v>1681</v>
      </c>
      <c r="D68" s="35" t="s">
        <v>663</v>
      </c>
      <c r="E68" s="35" t="s">
        <v>665</v>
      </c>
      <c r="F68" s="40" t="n">
        <v>43.7917578389176</v>
      </c>
      <c r="G68" s="36" t="n">
        <v>3075.13705569018</v>
      </c>
      <c r="H68" s="36" t="n">
        <v>102.9723247451</v>
      </c>
      <c r="I68" s="6" t="s">
        <v>21</v>
      </c>
      <c r="J68" s="35" t="s">
        <v>5</v>
      </c>
      <c r="K68" s="35" t="s">
        <v>5</v>
      </c>
      <c r="L68" s="35" t="n">
        <v>2</v>
      </c>
      <c r="M68" s="35" t="s">
        <v>41</v>
      </c>
      <c r="N68" s="35" t="s">
        <v>1674</v>
      </c>
      <c r="O68" s="35" t="s">
        <v>43</v>
      </c>
      <c r="P68" s="35" t="s">
        <v>1675</v>
      </c>
      <c r="Q68" s="35" t="n">
        <v>45</v>
      </c>
      <c r="R68" s="35"/>
      <c r="S68" s="35" t="s">
        <v>40</v>
      </c>
      <c r="T68" s="35" t="s">
        <v>41</v>
      </c>
      <c r="U68" s="35"/>
      <c r="V68" s="35"/>
      <c r="W68" s="35"/>
      <c r="X68" s="35" t="s">
        <v>1676</v>
      </c>
      <c r="Y68" s="35" t="n">
        <v>-7.1801865</v>
      </c>
      <c r="Z68" s="35" t="n">
        <v>-48.221323</v>
      </c>
      <c r="AA68" s="49" t="s">
        <v>1603</v>
      </c>
      <c r="AB68" s="35" t="s">
        <v>1677</v>
      </c>
    </row>
    <row r="69" customFormat="false" ht="15" hidden="false" customHeight="false" outlineLevel="0" collapsed="false">
      <c r="A69" s="35" t="n">
        <v>68</v>
      </c>
      <c r="B69" s="35" t="s">
        <v>666</v>
      </c>
      <c r="C69" s="35" t="s">
        <v>1682</v>
      </c>
      <c r="D69" s="35" t="s">
        <v>665</v>
      </c>
      <c r="E69" s="35" t="s">
        <v>667</v>
      </c>
      <c r="F69" s="40" t="n">
        <v>31.5770135816434</v>
      </c>
      <c r="G69" s="36" t="n">
        <v>3106.71406927182</v>
      </c>
      <c r="H69" s="36" t="n">
        <v>134.549338326743</v>
      </c>
      <c r="I69" s="6" t="s">
        <v>21</v>
      </c>
      <c r="J69" s="35" t="s">
        <v>5</v>
      </c>
      <c r="K69" s="35" t="s">
        <v>5</v>
      </c>
      <c r="L69" s="35" t="n">
        <v>2</v>
      </c>
      <c r="M69" s="35" t="s">
        <v>41</v>
      </c>
      <c r="N69" s="35" t="s">
        <v>1674</v>
      </c>
      <c r="O69" s="35" t="s">
        <v>43</v>
      </c>
      <c r="P69" s="35" t="s">
        <v>1683</v>
      </c>
      <c r="Q69" s="35" t="n">
        <v>44</v>
      </c>
      <c r="R69" s="35"/>
      <c r="S69" s="35" t="s">
        <v>40</v>
      </c>
      <c r="T69" s="35" t="s">
        <v>41</v>
      </c>
      <c r="U69" s="35"/>
      <c r="V69" s="35"/>
      <c r="W69" s="35"/>
      <c r="X69" s="35" t="s">
        <v>1676</v>
      </c>
      <c r="Y69" s="35" t="n">
        <v>-7.18049</v>
      </c>
      <c r="Z69" s="35" t="n">
        <v>-48.221171</v>
      </c>
      <c r="AA69" s="49" t="s">
        <v>1603</v>
      </c>
      <c r="AB69" s="35" t="s">
        <v>1677</v>
      </c>
    </row>
    <row r="70" customFormat="false" ht="15" hidden="false" customHeight="false" outlineLevel="0" collapsed="false">
      <c r="A70" s="35" t="n">
        <v>69</v>
      </c>
      <c r="B70" s="35" t="s">
        <v>668</v>
      </c>
      <c r="C70" s="35" t="s">
        <v>1684</v>
      </c>
      <c r="D70" s="35" t="s">
        <v>667</v>
      </c>
      <c r="E70" s="35" t="s">
        <v>669</v>
      </c>
      <c r="F70" s="40" t="n">
        <v>113.301885615572</v>
      </c>
      <c r="G70" s="36" t="n">
        <v>3220.0159548874</v>
      </c>
      <c r="H70" s="36" t="n">
        <v>247.851223942315</v>
      </c>
      <c r="I70" s="6" t="s">
        <v>21</v>
      </c>
      <c r="J70" s="35" t="s">
        <v>5</v>
      </c>
      <c r="K70" s="35" t="s">
        <v>5</v>
      </c>
      <c r="L70" s="35" t="n">
        <v>2</v>
      </c>
      <c r="M70" s="35" t="s">
        <v>41</v>
      </c>
      <c r="N70" s="35" t="s">
        <v>1674</v>
      </c>
      <c r="O70" s="35" t="s">
        <v>43</v>
      </c>
      <c r="P70" s="35" t="s">
        <v>1685</v>
      </c>
      <c r="Q70" s="35" t="n">
        <v>43</v>
      </c>
      <c r="R70" s="35"/>
      <c r="S70" s="35" t="s">
        <v>40</v>
      </c>
      <c r="T70" s="35" t="s">
        <v>41</v>
      </c>
      <c r="U70" s="35"/>
      <c r="V70" s="35"/>
      <c r="W70" s="35"/>
      <c r="X70" s="35" t="s">
        <v>1676</v>
      </c>
      <c r="Y70" s="35" t="n">
        <v>-7.1810735</v>
      </c>
      <c r="Z70" s="35" t="n">
        <v>-48.220879</v>
      </c>
      <c r="AA70" s="49" t="s">
        <v>1603</v>
      </c>
      <c r="AB70" s="35" t="s">
        <v>1677</v>
      </c>
    </row>
    <row r="71" customFormat="false" ht="15" hidden="false" customHeight="false" outlineLevel="0" collapsed="false">
      <c r="A71" s="35" t="n">
        <v>70</v>
      </c>
      <c r="B71" s="35" t="s">
        <v>670</v>
      </c>
      <c r="C71" s="35" t="s">
        <v>1686</v>
      </c>
      <c r="D71" s="35" t="s">
        <v>669</v>
      </c>
      <c r="E71" s="35" t="s">
        <v>671</v>
      </c>
      <c r="F71" s="40" t="n">
        <v>39.8265165167423</v>
      </c>
      <c r="G71" s="36" t="n">
        <v>3259.84247140414</v>
      </c>
      <c r="H71" s="36" t="n">
        <v>287.677740459057</v>
      </c>
      <c r="I71" s="6" t="s">
        <v>21</v>
      </c>
      <c r="J71" s="35" t="s">
        <v>5</v>
      </c>
      <c r="K71" s="35" t="s">
        <v>5</v>
      </c>
      <c r="L71" s="35" t="n">
        <v>2</v>
      </c>
      <c r="M71" s="35" t="s">
        <v>41</v>
      </c>
      <c r="N71" s="35" t="s">
        <v>1674</v>
      </c>
      <c r="O71" s="35" t="s">
        <v>43</v>
      </c>
      <c r="P71" s="35" t="s">
        <v>1685</v>
      </c>
      <c r="Q71" s="35" t="n">
        <v>43</v>
      </c>
      <c r="R71" s="35"/>
      <c r="S71" s="35" t="s">
        <v>40</v>
      </c>
      <c r="T71" s="35" t="s">
        <v>41</v>
      </c>
      <c r="U71" s="35"/>
      <c r="V71" s="35"/>
      <c r="W71" s="35"/>
      <c r="X71" s="35" t="s">
        <v>1676</v>
      </c>
      <c r="Y71" s="35" t="n">
        <v>-7.1816915</v>
      </c>
      <c r="Z71" s="35" t="n">
        <v>-48.220573</v>
      </c>
      <c r="AA71" s="49" t="s">
        <v>1603</v>
      </c>
      <c r="AB71" s="35" t="s">
        <v>1677</v>
      </c>
    </row>
    <row r="72" customFormat="false" ht="15" hidden="false" customHeight="false" outlineLevel="0" collapsed="false">
      <c r="A72" s="35" t="n">
        <v>71</v>
      </c>
      <c r="B72" s="35" t="s">
        <v>672</v>
      </c>
      <c r="C72" s="35" t="s">
        <v>1687</v>
      </c>
      <c r="D72" s="35" t="s">
        <v>671</v>
      </c>
      <c r="E72" s="35" t="s">
        <v>673</v>
      </c>
      <c r="F72" s="40" t="n">
        <v>36.9008659541896</v>
      </c>
      <c r="G72" s="36" t="n">
        <v>3296.74333735833</v>
      </c>
      <c r="H72" s="36" t="n">
        <v>324.578606413247</v>
      </c>
      <c r="I72" s="6" t="s">
        <v>21</v>
      </c>
      <c r="J72" s="35" t="s">
        <v>5</v>
      </c>
      <c r="K72" s="35" t="s">
        <v>5</v>
      </c>
      <c r="L72" s="35" t="n">
        <v>2</v>
      </c>
      <c r="M72" s="35" t="s">
        <v>41</v>
      </c>
      <c r="N72" s="35" t="s">
        <v>1674</v>
      </c>
      <c r="O72" s="35" t="s">
        <v>43</v>
      </c>
      <c r="P72" s="35" t="s">
        <v>1685</v>
      </c>
      <c r="Q72" s="35" t="n">
        <v>43</v>
      </c>
      <c r="R72" s="35"/>
      <c r="S72" s="35" t="s">
        <v>40</v>
      </c>
      <c r="T72" s="35" t="s">
        <v>41</v>
      </c>
      <c r="U72" s="35"/>
      <c r="V72" s="35"/>
      <c r="W72" s="35"/>
      <c r="X72" s="35" t="s">
        <v>1676</v>
      </c>
      <c r="Y72" s="35" t="n">
        <v>-7.182003</v>
      </c>
      <c r="Z72" s="35" t="n">
        <v>-48.2204235</v>
      </c>
      <c r="AA72" s="49" t="s">
        <v>1603</v>
      </c>
      <c r="AB72" s="35" t="s">
        <v>1677</v>
      </c>
    </row>
    <row r="73" customFormat="false" ht="15" hidden="false" customHeight="false" outlineLevel="0" collapsed="false">
      <c r="A73" s="35" t="n">
        <v>72</v>
      </c>
      <c r="B73" s="35" t="s">
        <v>674</v>
      </c>
      <c r="C73" s="35" t="s">
        <v>1688</v>
      </c>
      <c r="D73" s="35" t="s">
        <v>673</v>
      </c>
      <c r="E73" s="35" t="s">
        <v>675</v>
      </c>
      <c r="F73" s="40" t="n">
        <v>3.7740783955984</v>
      </c>
      <c r="G73" s="36" t="n">
        <v>3300.51741575393</v>
      </c>
      <c r="H73" s="36" t="n">
        <v>328.352684808845</v>
      </c>
      <c r="I73" s="6" t="s">
        <v>21</v>
      </c>
      <c r="J73" s="35" t="s">
        <v>5</v>
      </c>
      <c r="K73" s="35" t="s">
        <v>5</v>
      </c>
      <c r="L73" s="35" t="n">
        <v>2</v>
      </c>
      <c r="M73" s="35" t="s">
        <v>41</v>
      </c>
      <c r="N73" s="35" t="s">
        <v>1674</v>
      </c>
      <c r="O73" s="35" t="s">
        <v>43</v>
      </c>
      <c r="P73" s="35" t="s">
        <v>1685</v>
      </c>
      <c r="Q73" s="35" t="n">
        <v>43</v>
      </c>
      <c r="R73" s="35"/>
      <c r="S73" s="35" t="s">
        <v>40</v>
      </c>
      <c r="T73" s="35" t="s">
        <v>41</v>
      </c>
      <c r="U73" s="35"/>
      <c r="V73" s="35"/>
      <c r="W73" s="35"/>
      <c r="X73" s="35" t="s">
        <v>1676</v>
      </c>
      <c r="Y73" s="35" t="n">
        <v>-7.182168</v>
      </c>
      <c r="Z73" s="35" t="n">
        <v>-48.220344</v>
      </c>
      <c r="AA73" s="49" t="s">
        <v>1603</v>
      </c>
      <c r="AB73" s="35" t="s">
        <v>1677</v>
      </c>
    </row>
    <row r="74" customFormat="false" ht="15" hidden="false" customHeight="false" outlineLevel="0" collapsed="false">
      <c r="A74" s="35" t="n">
        <v>73</v>
      </c>
      <c r="B74" s="35" t="s">
        <v>676</v>
      </c>
      <c r="C74" s="35" t="s">
        <v>1689</v>
      </c>
      <c r="D74" s="35" t="s">
        <v>675</v>
      </c>
      <c r="E74" s="35" t="s">
        <v>677</v>
      </c>
      <c r="F74" s="40" t="n">
        <v>93.7593411977211</v>
      </c>
      <c r="G74" s="36" t="n">
        <v>3394.27675695165</v>
      </c>
      <c r="H74" s="36" t="n">
        <v>422.112026006566</v>
      </c>
      <c r="I74" s="6" t="s">
        <v>21</v>
      </c>
      <c r="J74" s="35" t="s">
        <v>5</v>
      </c>
      <c r="K74" s="35" t="s">
        <v>5</v>
      </c>
      <c r="L74" s="35" t="n">
        <v>2</v>
      </c>
      <c r="M74" s="35" t="s">
        <v>41</v>
      </c>
      <c r="N74" s="35" t="s">
        <v>1674</v>
      </c>
      <c r="O74" s="35" t="s">
        <v>43</v>
      </c>
      <c r="P74" s="35" t="s">
        <v>1690</v>
      </c>
      <c r="Q74" s="35" t="n">
        <v>42</v>
      </c>
      <c r="R74" s="35"/>
      <c r="S74" s="35" t="s">
        <v>40</v>
      </c>
      <c r="T74" s="35" t="s">
        <v>41</v>
      </c>
      <c r="U74" s="35"/>
      <c r="V74" s="35"/>
      <c r="W74" s="35"/>
      <c r="X74" s="35" t="s">
        <v>1676</v>
      </c>
      <c r="Y74" s="35" t="n">
        <v>-7.1825635</v>
      </c>
      <c r="Z74" s="35" t="n">
        <v>-48.220153</v>
      </c>
      <c r="AA74" s="49" t="s">
        <v>1603</v>
      </c>
      <c r="AB74" s="35" t="s">
        <v>1677</v>
      </c>
    </row>
    <row r="75" customFormat="false" ht="15" hidden="false" customHeight="false" outlineLevel="0" collapsed="false">
      <c r="A75" s="35" t="n">
        <v>74</v>
      </c>
      <c r="B75" s="35" t="s">
        <v>678</v>
      </c>
      <c r="C75" s="35" t="s">
        <v>1691</v>
      </c>
      <c r="D75" s="35" t="s">
        <v>677</v>
      </c>
      <c r="E75" s="35" t="s">
        <v>679</v>
      </c>
      <c r="F75" s="40" t="n">
        <v>32.0788745448866</v>
      </c>
      <c r="G75" s="36" t="n">
        <v>3426.35563149653</v>
      </c>
      <c r="H75" s="36" t="n">
        <v>454.190900551453</v>
      </c>
      <c r="I75" s="6" t="s">
        <v>21</v>
      </c>
      <c r="J75" s="35" t="s">
        <v>5</v>
      </c>
      <c r="K75" s="35" t="s">
        <v>5</v>
      </c>
      <c r="L75" s="35" t="n">
        <v>2</v>
      </c>
      <c r="M75" s="35" t="s">
        <v>41</v>
      </c>
      <c r="N75" s="35" t="s">
        <v>1674</v>
      </c>
      <c r="O75" s="35" t="s">
        <v>43</v>
      </c>
      <c r="P75" s="35" t="s">
        <v>1690</v>
      </c>
      <c r="Q75" s="35" t="n">
        <v>42</v>
      </c>
      <c r="R75" s="35"/>
      <c r="S75" s="35" t="s">
        <v>40</v>
      </c>
      <c r="T75" s="35" t="s">
        <v>41</v>
      </c>
      <c r="U75" s="35"/>
      <c r="V75" s="35"/>
      <c r="W75" s="35"/>
      <c r="X75" s="35" t="s">
        <v>1676</v>
      </c>
      <c r="Y75" s="35" t="n">
        <v>-7.183074</v>
      </c>
      <c r="Z75" s="35" t="n">
        <v>-48.219907</v>
      </c>
      <c r="AA75" s="49" t="s">
        <v>1603</v>
      </c>
      <c r="AB75" s="35" t="s">
        <v>1677</v>
      </c>
    </row>
    <row r="76" customFormat="false" ht="15" hidden="false" customHeight="false" outlineLevel="0" collapsed="false">
      <c r="A76" s="35" t="n">
        <v>75</v>
      </c>
      <c r="B76" s="35" t="s">
        <v>680</v>
      </c>
      <c r="C76" s="35" t="s">
        <v>1692</v>
      </c>
      <c r="D76" s="35" t="s">
        <v>679</v>
      </c>
      <c r="E76" s="35" t="s">
        <v>681</v>
      </c>
      <c r="F76" s="40" t="n">
        <v>62.7802707427525</v>
      </c>
      <c r="G76" s="36" t="n">
        <v>3489.13590223929</v>
      </c>
      <c r="H76" s="36" t="n">
        <v>516.971171294206</v>
      </c>
      <c r="I76" s="6" t="s">
        <v>21</v>
      </c>
      <c r="J76" s="35" t="s">
        <v>5</v>
      </c>
      <c r="K76" s="35" t="s">
        <v>5</v>
      </c>
      <c r="L76" s="35" t="n">
        <v>2</v>
      </c>
      <c r="M76" s="35" t="s">
        <v>41</v>
      </c>
      <c r="N76" s="35" t="s">
        <v>1674</v>
      </c>
      <c r="O76" s="35" t="s">
        <v>43</v>
      </c>
      <c r="P76" s="35" t="s">
        <v>1693</v>
      </c>
      <c r="Q76" s="35" t="n">
        <v>41</v>
      </c>
      <c r="R76" s="35"/>
      <c r="S76" s="35" t="s">
        <v>40</v>
      </c>
      <c r="T76" s="35" t="s">
        <v>41</v>
      </c>
      <c r="U76" s="35"/>
      <c r="V76" s="35"/>
      <c r="W76" s="35"/>
      <c r="X76" s="35" t="s">
        <v>1676</v>
      </c>
      <c r="Y76" s="35" t="n">
        <v>-7.1834595</v>
      </c>
      <c r="Z76" s="35" t="n">
        <v>-48.219723</v>
      </c>
      <c r="AA76" s="49" t="s">
        <v>1603</v>
      </c>
      <c r="AB76" s="35" t="s">
        <v>1677</v>
      </c>
    </row>
    <row r="77" customFormat="false" ht="15" hidden="false" customHeight="false" outlineLevel="0" collapsed="false">
      <c r="A77" s="35" t="n">
        <v>76</v>
      </c>
      <c r="B77" s="35" t="s">
        <v>682</v>
      </c>
      <c r="C77" s="35" t="s">
        <v>1694</v>
      </c>
      <c r="D77" s="35" t="s">
        <v>681</v>
      </c>
      <c r="E77" s="35" t="s">
        <v>683</v>
      </c>
      <c r="F77" s="40" t="n">
        <v>35.3501458725994</v>
      </c>
      <c r="G77" s="36" t="n">
        <v>3524.48604811189</v>
      </c>
      <c r="H77" s="36" t="n">
        <v>552.321317166805</v>
      </c>
      <c r="I77" s="6" t="s">
        <v>21</v>
      </c>
      <c r="J77" s="35" t="s">
        <v>5</v>
      </c>
      <c r="K77" s="35" t="s">
        <v>5</v>
      </c>
      <c r="L77" s="35" t="n">
        <v>2</v>
      </c>
      <c r="M77" s="35" t="s">
        <v>41</v>
      </c>
      <c r="N77" s="35" t="s">
        <v>1674</v>
      </c>
      <c r="O77" s="35" t="s">
        <v>43</v>
      </c>
      <c r="P77" s="35" t="s">
        <v>1695</v>
      </c>
      <c r="Q77" s="35" t="n">
        <v>40</v>
      </c>
      <c r="R77" s="35"/>
      <c r="S77" s="35" t="s">
        <v>40</v>
      </c>
      <c r="T77" s="35" t="s">
        <v>41</v>
      </c>
      <c r="U77" s="35"/>
      <c r="V77" s="35"/>
      <c r="W77" s="35"/>
      <c r="X77" s="35" t="s">
        <v>1676</v>
      </c>
      <c r="Y77" s="35" t="n">
        <v>-7.183857</v>
      </c>
      <c r="Z77" s="35" t="n">
        <v>-48.21953</v>
      </c>
      <c r="AA77" s="49" t="s">
        <v>1603</v>
      </c>
      <c r="AB77" s="35" t="s">
        <v>1677</v>
      </c>
    </row>
    <row r="78" customFormat="false" ht="15" hidden="false" customHeight="false" outlineLevel="0" collapsed="false">
      <c r="A78" s="35" t="n">
        <v>77</v>
      </c>
      <c r="B78" s="35" t="s">
        <v>684</v>
      </c>
      <c r="C78" s="35" t="s">
        <v>1696</v>
      </c>
      <c r="D78" s="35" t="s">
        <v>683</v>
      </c>
      <c r="E78" s="35" t="s">
        <v>685</v>
      </c>
      <c r="F78" s="40" t="n">
        <v>26.7114610687708</v>
      </c>
      <c r="G78" s="36" t="n">
        <v>3551.19750918066</v>
      </c>
      <c r="H78" s="36" t="n">
        <v>579.032778235576</v>
      </c>
      <c r="I78" s="6" t="s">
        <v>21</v>
      </c>
      <c r="J78" s="35" t="s">
        <v>5</v>
      </c>
      <c r="K78" s="35" t="s">
        <v>5</v>
      </c>
      <c r="L78" s="35" t="n">
        <v>2</v>
      </c>
      <c r="M78" s="35" t="s">
        <v>41</v>
      </c>
      <c r="N78" s="35" t="s">
        <v>1674</v>
      </c>
      <c r="O78" s="35" t="s">
        <v>43</v>
      </c>
      <c r="P78" s="35" t="s">
        <v>1697</v>
      </c>
      <c r="Q78" s="35" t="n">
        <v>39</v>
      </c>
      <c r="R78" s="35"/>
      <c r="S78" s="35" t="s">
        <v>40</v>
      </c>
      <c r="T78" s="35" t="s">
        <v>41</v>
      </c>
      <c r="U78" s="35"/>
      <c r="V78" s="35"/>
      <c r="W78" s="35"/>
      <c r="X78" s="35" t="s">
        <v>1676</v>
      </c>
      <c r="Y78" s="35" t="n">
        <v>-7.1841065</v>
      </c>
      <c r="Z78" s="35" t="n">
        <v>-48.219404</v>
      </c>
      <c r="AA78" s="49" t="s">
        <v>1603</v>
      </c>
      <c r="AB78" s="35" t="s">
        <v>1677</v>
      </c>
    </row>
    <row r="79" customFormat="false" ht="15" hidden="false" customHeight="false" outlineLevel="0" collapsed="false">
      <c r="A79" s="35" t="n">
        <v>78</v>
      </c>
      <c r="B79" s="35" t="s">
        <v>686</v>
      </c>
      <c r="C79" s="35" t="s">
        <v>1698</v>
      </c>
      <c r="D79" s="35" t="s">
        <v>685</v>
      </c>
      <c r="E79" s="35" t="s">
        <v>687</v>
      </c>
      <c r="F79" s="40" t="n">
        <v>12.8592818363308</v>
      </c>
      <c r="G79" s="36" t="n">
        <v>3564.05679101699</v>
      </c>
      <c r="H79" s="36" t="n">
        <v>591.892060071907</v>
      </c>
      <c r="I79" s="6" t="s">
        <v>21</v>
      </c>
      <c r="J79" s="35" t="s">
        <v>5</v>
      </c>
      <c r="K79" s="35" t="s">
        <v>5</v>
      </c>
      <c r="L79" s="35" t="n">
        <v>2</v>
      </c>
      <c r="M79" s="35" t="s">
        <v>41</v>
      </c>
      <c r="N79" s="35" t="s">
        <v>1674</v>
      </c>
      <c r="O79" s="35" t="s">
        <v>43</v>
      </c>
      <c r="P79" s="35" t="s">
        <v>1699</v>
      </c>
      <c r="Q79" s="35" t="n">
        <v>38</v>
      </c>
      <c r="R79" s="35"/>
      <c r="S79" s="35" t="s">
        <v>40</v>
      </c>
      <c r="T79" s="35" t="s">
        <v>41</v>
      </c>
      <c r="U79" s="35"/>
      <c r="V79" s="35"/>
      <c r="W79" s="35"/>
      <c r="X79" s="35" t="s">
        <v>1676</v>
      </c>
      <c r="Y79" s="35" t="n">
        <v>-7.1842655</v>
      </c>
      <c r="Z79" s="35" t="n">
        <v>-48.2193235</v>
      </c>
      <c r="AA79" s="49" t="s">
        <v>1603</v>
      </c>
      <c r="AB79" s="35" t="s">
        <v>1677</v>
      </c>
    </row>
    <row r="80" customFormat="false" ht="15" hidden="false" customHeight="false" outlineLevel="0" collapsed="false">
      <c r="A80" s="35" t="n">
        <v>79</v>
      </c>
      <c r="B80" s="35" t="s">
        <v>688</v>
      </c>
      <c r="C80" s="35" t="s">
        <v>1700</v>
      </c>
      <c r="D80" s="35" t="s">
        <v>687</v>
      </c>
      <c r="E80" s="35" t="s">
        <v>689</v>
      </c>
      <c r="F80" s="40" t="n">
        <v>38.2796869042778</v>
      </c>
      <c r="G80" s="36" t="n">
        <v>3602.33647792127</v>
      </c>
      <c r="H80" s="36" t="n">
        <v>630.171746976185</v>
      </c>
      <c r="I80" s="6" t="s">
        <v>21</v>
      </c>
      <c r="J80" s="35" t="s">
        <v>5</v>
      </c>
      <c r="K80" s="35" t="s">
        <v>5</v>
      </c>
      <c r="L80" s="35" t="n">
        <v>2</v>
      </c>
      <c r="M80" s="35" t="s">
        <v>41</v>
      </c>
      <c r="N80" s="35" t="s">
        <v>1674</v>
      </c>
      <c r="O80" s="35" t="s">
        <v>43</v>
      </c>
      <c r="P80" s="35" t="s">
        <v>1699</v>
      </c>
      <c r="Q80" s="35" t="n">
        <v>38</v>
      </c>
      <c r="R80" s="35"/>
      <c r="S80" s="35" t="s">
        <v>40</v>
      </c>
      <c r="T80" s="35" t="s">
        <v>41</v>
      </c>
      <c r="U80" s="35"/>
      <c r="V80" s="35"/>
      <c r="W80" s="35"/>
      <c r="X80" s="35" t="s">
        <v>1676</v>
      </c>
      <c r="Y80" s="35" t="n">
        <v>-7.184471</v>
      </c>
      <c r="Z80" s="35" t="n">
        <v>-48.2192195</v>
      </c>
      <c r="AA80" s="49" t="s">
        <v>1603</v>
      </c>
      <c r="AB80" s="35" t="s">
        <v>1677</v>
      </c>
    </row>
    <row r="81" customFormat="false" ht="15" hidden="false" customHeight="false" outlineLevel="0" collapsed="false">
      <c r="A81" s="35" t="n">
        <v>80</v>
      </c>
      <c r="B81" s="35" t="s">
        <v>690</v>
      </c>
      <c r="C81" s="35" t="s">
        <v>1701</v>
      </c>
      <c r="D81" s="35" t="s">
        <v>689</v>
      </c>
      <c r="E81" s="35" t="s">
        <v>691</v>
      </c>
      <c r="F81" s="40" t="n">
        <v>114.196489505138</v>
      </c>
      <c r="G81" s="36" t="n">
        <v>3716.5329674264</v>
      </c>
      <c r="H81" s="36" t="n">
        <v>744.368236481323</v>
      </c>
      <c r="I81" s="6" t="s">
        <v>21</v>
      </c>
      <c r="J81" s="35" t="s">
        <v>5</v>
      </c>
      <c r="K81" s="35" t="s">
        <v>5</v>
      </c>
      <c r="L81" s="35" t="n">
        <v>2</v>
      </c>
      <c r="M81" s="35" t="s">
        <v>41</v>
      </c>
      <c r="N81" s="35" t="s">
        <v>1674</v>
      </c>
      <c r="O81" s="35" t="s">
        <v>43</v>
      </c>
      <c r="P81" s="35" t="s">
        <v>1702</v>
      </c>
      <c r="Q81" s="35" t="n">
        <v>28</v>
      </c>
      <c r="R81" s="35"/>
      <c r="S81" s="35" t="s">
        <v>40</v>
      </c>
      <c r="T81" s="35" t="s">
        <v>41</v>
      </c>
      <c r="U81" s="35"/>
      <c r="V81" s="35"/>
      <c r="W81" s="35"/>
      <c r="X81" s="35" t="s">
        <v>1676</v>
      </c>
      <c r="Y81" s="35" t="n">
        <v>-7.185071</v>
      </c>
      <c r="Z81" s="35" t="n">
        <v>-48.2188855</v>
      </c>
      <c r="AA81" s="49" t="s">
        <v>1603</v>
      </c>
      <c r="AB81" s="35" t="s">
        <v>1677</v>
      </c>
    </row>
    <row r="82" customFormat="false" ht="15" hidden="false" customHeight="false" outlineLevel="0" collapsed="false">
      <c r="A82" s="35" t="n">
        <v>81</v>
      </c>
      <c r="B82" s="35" t="s">
        <v>692</v>
      </c>
      <c r="C82" s="35" t="s">
        <v>1703</v>
      </c>
      <c r="D82" s="35" t="s">
        <v>691</v>
      </c>
      <c r="E82" s="35" t="s">
        <v>693</v>
      </c>
      <c r="F82" s="40" t="n">
        <v>2.30778909190713</v>
      </c>
      <c r="G82" s="36" t="n">
        <v>3718.84075651831</v>
      </c>
      <c r="H82" s="36" t="n">
        <v>746.67602557323</v>
      </c>
      <c r="I82" s="6" t="s">
        <v>21</v>
      </c>
      <c r="J82" s="35" t="s">
        <v>5</v>
      </c>
      <c r="K82" s="35" t="s">
        <v>5</v>
      </c>
      <c r="L82" s="35" t="n">
        <v>2</v>
      </c>
      <c r="M82" s="35" t="s">
        <v>41</v>
      </c>
      <c r="N82" s="35" t="s">
        <v>1674</v>
      </c>
      <c r="O82" s="35" t="s">
        <v>43</v>
      </c>
      <c r="P82" s="35" t="s">
        <v>1702</v>
      </c>
      <c r="Q82" s="35" t="n">
        <v>28</v>
      </c>
      <c r="R82" s="35" t="s">
        <v>44</v>
      </c>
      <c r="S82" s="35" t="s">
        <v>40</v>
      </c>
      <c r="T82" s="35" t="s">
        <v>41</v>
      </c>
      <c r="U82" s="35"/>
      <c r="V82" s="35"/>
      <c r="W82" s="35"/>
      <c r="X82" s="35" t="s">
        <v>1676</v>
      </c>
      <c r="Y82" s="35" t="n">
        <v>-7.1855255</v>
      </c>
      <c r="Z82" s="35" t="n">
        <v>-48.218623</v>
      </c>
      <c r="AA82" s="49" t="s">
        <v>1603</v>
      </c>
      <c r="AB82" s="35" t="s">
        <v>1677</v>
      </c>
    </row>
    <row r="83" customFormat="false" ht="15" hidden="false" customHeight="false" outlineLevel="0" collapsed="false">
      <c r="A83" s="35" t="n">
        <v>82</v>
      </c>
      <c r="B83" s="35" t="s">
        <v>694</v>
      </c>
      <c r="C83" s="35" t="s">
        <v>1704</v>
      </c>
      <c r="D83" s="35" t="s">
        <v>693</v>
      </c>
      <c r="E83" s="35" t="s">
        <v>695</v>
      </c>
      <c r="F83" s="40" t="n">
        <v>21.1038851067604</v>
      </c>
      <c r="G83" s="36" t="n">
        <v>3739.94464162507</v>
      </c>
      <c r="H83" s="36" t="n">
        <v>767.77991067999</v>
      </c>
      <c r="I83" s="6" t="s">
        <v>21</v>
      </c>
      <c r="J83" s="35" t="s">
        <v>5</v>
      </c>
      <c r="K83" s="35" t="s">
        <v>5</v>
      </c>
      <c r="L83" s="35" t="n">
        <v>2</v>
      </c>
      <c r="M83" s="35" t="s">
        <v>41</v>
      </c>
      <c r="N83" s="35" t="s">
        <v>1674</v>
      </c>
      <c r="O83" s="35" t="s">
        <v>43</v>
      </c>
      <c r="P83" s="35" t="s">
        <v>1702</v>
      </c>
      <c r="Q83" s="35" t="n">
        <v>28</v>
      </c>
      <c r="R83" s="35"/>
      <c r="S83" s="35" t="s">
        <v>40</v>
      </c>
      <c r="T83" s="35" t="s">
        <v>41</v>
      </c>
      <c r="U83" s="35"/>
      <c r="V83" s="35"/>
      <c r="W83" s="35"/>
      <c r="X83" s="35" t="s">
        <v>1676</v>
      </c>
      <c r="Y83" s="35" t="n">
        <v>-7.1856075</v>
      </c>
      <c r="Z83" s="35" t="n">
        <v>-48.2185565</v>
      </c>
      <c r="AA83" s="49" t="s">
        <v>1603</v>
      </c>
      <c r="AB83" s="35" t="s">
        <v>1677</v>
      </c>
    </row>
    <row r="84" customFormat="false" ht="15" hidden="false" customHeight="false" outlineLevel="0" collapsed="false">
      <c r="A84" s="35" t="n">
        <v>83</v>
      </c>
      <c r="B84" s="35" t="s">
        <v>696</v>
      </c>
      <c r="C84" s="35" t="s">
        <v>1705</v>
      </c>
      <c r="D84" s="35" t="s">
        <v>695</v>
      </c>
      <c r="E84" s="35" t="s">
        <v>697</v>
      </c>
      <c r="F84" s="40" t="n">
        <v>153.110120390332</v>
      </c>
      <c r="G84" s="36" t="n">
        <v>3893.0547620154</v>
      </c>
      <c r="H84" s="36" t="n">
        <v>920.890031070322</v>
      </c>
      <c r="I84" s="6" t="s">
        <v>21</v>
      </c>
      <c r="J84" s="35" t="s">
        <v>5</v>
      </c>
      <c r="K84" s="35" t="s">
        <v>5</v>
      </c>
      <c r="L84" s="35" t="n">
        <v>2</v>
      </c>
      <c r="M84" s="35" t="s">
        <v>41</v>
      </c>
      <c r="N84" s="35" t="s">
        <v>1674</v>
      </c>
      <c r="O84" s="35" t="s">
        <v>43</v>
      </c>
      <c r="P84" s="35" t="s">
        <v>1706</v>
      </c>
      <c r="Q84" s="35" t="n">
        <v>24</v>
      </c>
      <c r="R84" s="35"/>
      <c r="S84" s="35" t="s">
        <v>40</v>
      </c>
      <c r="T84" s="35" t="s">
        <v>41</v>
      </c>
      <c r="U84" s="35"/>
      <c r="V84" s="35"/>
      <c r="W84" s="35"/>
      <c r="X84" s="35" t="s">
        <v>1676</v>
      </c>
      <c r="Y84" s="35" t="n">
        <v>-7.1861815</v>
      </c>
      <c r="Z84" s="35" t="n">
        <v>-48.2180195</v>
      </c>
      <c r="AA84" s="49" t="s">
        <v>1603</v>
      </c>
      <c r="AB84" s="35" t="s">
        <v>1677</v>
      </c>
    </row>
    <row r="85" customFormat="false" ht="15" hidden="false" customHeight="false" outlineLevel="0" collapsed="false">
      <c r="A85" s="35" t="n">
        <v>84</v>
      </c>
      <c r="B85" s="35" t="s">
        <v>698</v>
      </c>
      <c r="C85" s="35" t="s">
        <v>1707</v>
      </c>
      <c r="D85" s="35" t="s">
        <v>697</v>
      </c>
      <c r="E85" s="35" t="s">
        <v>699</v>
      </c>
      <c r="F85" s="40" t="n">
        <v>8.06656182534051</v>
      </c>
      <c r="G85" s="36" t="n">
        <v>3901.12132384074</v>
      </c>
      <c r="H85" s="36" t="n">
        <v>928.956592895663</v>
      </c>
      <c r="I85" s="6" t="s">
        <v>21</v>
      </c>
      <c r="J85" s="35" t="s">
        <v>5</v>
      </c>
      <c r="K85" s="35" t="s">
        <v>5</v>
      </c>
      <c r="L85" s="35" t="n">
        <v>2</v>
      </c>
      <c r="M85" s="35" t="s">
        <v>41</v>
      </c>
      <c r="N85" s="35" t="s">
        <v>1674</v>
      </c>
      <c r="O85" s="35" t="s">
        <v>43</v>
      </c>
      <c r="P85" s="35" t="s">
        <v>1706</v>
      </c>
      <c r="Q85" s="35" t="n">
        <v>24</v>
      </c>
      <c r="R85" s="35"/>
      <c r="S85" s="35" t="s">
        <v>40</v>
      </c>
      <c r="T85" s="35" t="s">
        <v>41</v>
      </c>
      <c r="U85" s="35"/>
      <c r="V85" s="35"/>
      <c r="W85" s="35"/>
      <c r="X85" s="35" t="s">
        <v>1676</v>
      </c>
      <c r="Y85" s="35" t="n">
        <v>-7.1867075</v>
      </c>
      <c r="Z85" s="35" t="n">
        <v>-48.217517</v>
      </c>
      <c r="AA85" s="49" t="s">
        <v>1603</v>
      </c>
      <c r="AB85" s="35" t="s">
        <v>1677</v>
      </c>
    </row>
    <row r="86" customFormat="false" ht="15" hidden="false" customHeight="false" outlineLevel="0" collapsed="false">
      <c r="A86" s="35" t="n">
        <v>85</v>
      </c>
      <c r="B86" s="35" t="s">
        <v>700</v>
      </c>
      <c r="C86" s="35" t="s">
        <v>1708</v>
      </c>
      <c r="D86" s="35" t="s">
        <v>699</v>
      </c>
      <c r="E86" s="35" t="s">
        <v>701</v>
      </c>
      <c r="F86" s="40" t="n">
        <v>33.7559514180943</v>
      </c>
      <c r="G86" s="36" t="n">
        <v>3934.87727525884</v>
      </c>
      <c r="H86" s="36" t="n">
        <v>962.712544313757</v>
      </c>
      <c r="I86" s="6" t="s">
        <v>21</v>
      </c>
      <c r="J86" s="35" t="s">
        <v>5</v>
      </c>
      <c r="K86" s="35" t="s">
        <v>5</v>
      </c>
      <c r="L86" s="35" t="n">
        <v>2</v>
      </c>
      <c r="M86" s="35" t="s">
        <v>41</v>
      </c>
      <c r="N86" s="35" t="s">
        <v>1674</v>
      </c>
      <c r="O86" s="35" t="s">
        <v>43</v>
      </c>
      <c r="P86" s="35" t="s">
        <v>1709</v>
      </c>
      <c r="Q86" s="35" t="n">
        <v>23</v>
      </c>
      <c r="R86" s="35"/>
      <c r="S86" s="35" t="s">
        <v>40</v>
      </c>
      <c r="T86" s="35" t="s">
        <v>41</v>
      </c>
      <c r="U86" s="35"/>
      <c r="V86" s="35"/>
      <c r="W86" s="35"/>
      <c r="X86" s="35" t="s">
        <v>1676</v>
      </c>
      <c r="Y86" s="35" t="n">
        <v>-7.186841</v>
      </c>
      <c r="Z86" s="35" t="n">
        <v>-48.2173835</v>
      </c>
      <c r="AA86" s="49" t="s">
        <v>1603</v>
      </c>
      <c r="AB86" s="35" t="s">
        <v>1677</v>
      </c>
    </row>
    <row r="87" customFormat="false" ht="15" hidden="false" customHeight="false" outlineLevel="0" collapsed="false">
      <c r="A87" s="35" t="n">
        <v>86</v>
      </c>
      <c r="B87" s="35" t="s">
        <v>702</v>
      </c>
      <c r="C87" s="35" t="s">
        <v>1710</v>
      </c>
      <c r="D87" s="35" t="s">
        <v>701</v>
      </c>
      <c r="E87" s="35" t="s">
        <v>703</v>
      </c>
      <c r="F87" s="40" t="n">
        <v>70.5643044243771</v>
      </c>
      <c r="G87" s="36" t="n">
        <v>4005.44157968321</v>
      </c>
      <c r="H87" s="36" t="n">
        <v>1033.27684873813</v>
      </c>
      <c r="I87" s="6" t="s">
        <v>21</v>
      </c>
      <c r="J87" s="35" t="s">
        <v>5</v>
      </c>
      <c r="K87" s="35" t="s">
        <v>5</v>
      </c>
      <c r="L87" s="35" t="n">
        <v>2</v>
      </c>
      <c r="M87" s="35" t="s">
        <v>41</v>
      </c>
      <c r="N87" s="35" t="s">
        <v>1674</v>
      </c>
      <c r="O87" s="35" t="s">
        <v>43</v>
      </c>
      <c r="P87" s="35" t="s">
        <v>1709</v>
      </c>
      <c r="Q87" s="35" t="n">
        <v>23</v>
      </c>
      <c r="R87" s="35"/>
      <c r="S87" s="35" t="s">
        <v>40</v>
      </c>
      <c r="T87" s="35" t="s">
        <v>41</v>
      </c>
      <c r="U87" s="35"/>
      <c r="V87" s="35"/>
      <c r="W87" s="35"/>
      <c r="X87" s="35" t="s">
        <v>1676</v>
      </c>
      <c r="Y87" s="35" t="n">
        <v>-7.187174</v>
      </c>
      <c r="Z87" s="35" t="n">
        <v>-48.2170505</v>
      </c>
      <c r="AA87" s="49" t="s">
        <v>1603</v>
      </c>
      <c r="AB87" s="35" t="s">
        <v>1677</v>
      </c>
    </row>
    <row r="88" customFormat="false" ht="15" hidden="false" customHeight="false" outlineLevel="0" collapsed="false">
      <c r="A88" s="35" t="n">
        <v>87</v>
      </c>
      <c r="B88" s="35" t="s">
        <v>704</v>
      </c>
      <c r="C88" s="35" t="s">
        <v>1711</v>
      </c>
      <c r="D88" s="35" t="s">
        <v>703</v>
      </c>
      <c r="E88" s="35" t="s">
        <v>705</v>
      </c>
      <c r="F88" s="40" t="n">
        <v>30.1520574494597</v>
      </c>
      <c r="G88" s="36" t="n">
        <v>4035.59363713267</v>
      </c>
      <c r="H88" s="36" t="n">
        <v>1063.42890618759</v>
      </c>
      <c r="I88" s="6" t="s">
        <v>21</v>
      </c>
      <c r="J88" s="35" t="s">
        <v>5</v>
      </c>
      <c r="K88" s="35" t="s">
        <v>5</v>
      </c>
      <c r="L88" s="35" t="n">
        <v>2</v>
      </c>
      <c r="M88" s="35" t="s">
        <v>41</v>
      </c>
      <c r="N88" s="35" t="s">
        <v>1674</v>
      </c>
      <c r="O88" s="35" t="s">
        <v>43</v>
      </c>
      <c r="P88" s="35" t="s">
        <v>1712</v>
      </c>
      <c r="Q88" s="35" t="n">
        <v>22</v>
      </c>
      <c r="R88" s="35"/>
      <c r="S88" s="35" t="s">
        <v>40</v>
      </c>
      <c r="T88" s="35" t="s">
        <v>41</v>
      </c>
      <c r="U88" s="35"/>
      <c r="V88" s="35"/>
      <c r="W88" s="35"/>
      <c r="X88" s="35" t="s">
        <v>1676</v>
      </c>
      <c r="Y88" s="35" t="n">
        <v>-7.187495</v>
      </c>
      <c r="Z88" s="35" t="n">
        <v>-48.2167285</v>
      </c>
      <c r="AA88" s="49" t="s">
        <v>1603</v>
      </c>
      <c r="AB88" s="35" t="s">
        <v>1677</v>
      </c>
    </row>
    <row r="89" customFormat="false" ht="15" hidden="false" customHeight="false" outlineLevel="0" collapsed="false">
      <c r="A89" s="35" t="n">
        <v>88</v>
      </c>
      <c r="B89" s="35" t="s">
        <v>706</v>
      </c>
      <c r="C89" s="35" t="s">
        <v>1713</v>
      </c>
      <c r="D89" s="35" t="s">
        <v>705</v>
      </c>
      <c r="E89" s="35" t="s">
        <v>707</v>
      </c>
      <c r="F89" s="40" t="n">
        <v>0.349143367703776</v>
      </c>
      <c r="G89" s="36" t="n">
        <v>4035.94278050038</v>
      </c>
      <c r="H89" s="36" t="n">
        <v>1063.7780495553</v>
      </c>
      <c r="I89" s="6" t="s">
        <v>21</v>
      </c>
      <c r="J89" s="35" t="s">
        <v>5</v>
      </c>
      <c r="K89" s="35" t="s">
        <v>5</v>
      </c>
      <c r="L89" s="35" t="n">
        <v>2</v>
      </c>
      <c r="M89" s="35" t="s">
        <v>41</v>
      </c>
      <c r="N89" s="35" t="s">
        <v>1674</v>
      </c>
      <c r="O89" s="35" t="s">
        <v>43</v>
      </c>
      <c r="P89" s="35" t="s">
        <v>1712</v>
      </c>
      <c r="Q89" s="35" t="n">
        <v>22</v>
      </c>
      <c r="R89" s="35"/>
      <c r="S89" s="35" t="s">
        <v>40</v>
      </c>
      <c r="T89" s="35" t="s">
        <v>41</v>
      </c>
      <c r="U89" s="35"/>
      <c r="V89" s="35"/>
      <c r="W89" s="35"/>
      <c r="X89" s="35" t="s">
        <v>1676</v>
      </c>
      <c r="Y89" s="35" t="n">
        <v>-7.1875915</v>
      </c>
      <c r="Z89" s="35" t="n">
        <v>-48.2166305</v>
      </c>
      <c r="AA89" s="49" t="s">
        <v>1603</v>
      </c>
      <c r="AB89" s="35" t="s">
        <v>1677</v>
      </c>
    </row>
    <row r="90" customFormat="false" ht="15" hidden="false" customHeight="false" outlineLevel="0" collapsed="false">
      <c r="A90" s="35" t="n">
        <v>89</v>
      </c>
      <c r="B90" s="35" t="s">
        <v>708</v>
      </c>
      <c r="C90" s="35" t="s">
        <v>1714</v>
      </c>
      <c r="D90" s="35" t="s">
        <v>707</v>
      </c>
      <c r="E90" s="35" t="s">
        <v>709</v>
      </c>
      <c r="F90" s="40" t="n">
        <v>3.03011333343469</v>
      </c>
      <c r="G90" s="36" t="n">
        <v>4038.97289383381</v>
      </c>
      <c r="H90" s="36" t="n">
        <v>1066.80816288873</v>
      </c>
      <c r="I90" s="6" t="s">
        <v>21</v>
      </c>
      <c r="J90" s="35" t="s">
        <v>5</v>
      </c>
      <c r="K90" s="35" t="s">
        <v>5</v>
      </c>
      <c r="L90" s="35" t="n">
        <v>2</v>
      </c>
      <c r="M90" s="35" t="s">
        <v>41</v>
      </c>
      <c r="N90" s="35" t="s">
        <v>1674</v>
      </c>
      <c r="O90" s="35" t="s">
        <v>43</v>
      </c>
      <c r="P90" s="35" t="s">
        <v>1712</v>
      </c>
      <c r="Q90" s="35" t="n">
        <v>22</v>
      </c>
      <c r="R90" s="35"/>
      <c r="S90" s="35" t="s">
        <v>40</v>
      </c>
      <c r="T90" s="35" t="s">
        <v>41</v>
      </c>
      <c r="U90" s="35"/>
      <c r="V90" s="35"/>
      <c r="W90" s="35"/>
      <c r="X90" s="35" t="s">
        <v>1676</v>
      </c>
      <c r="Y90" s="35" t="n">
        <v>-7.1875945</v>
      </c>
      <c r="Z90" s="35" t="n">
        <v>-48.2166155</v>
      </c>
      <c r="AA90" s="49" t="s">
        <v>1603</v>
      </c>
      <c r="AB90" s="35" t="s">
        <v>1677</v>
      </c>
    </row>
    <row r="91" customFormat="false" ht="15" hidden="false" customHeight="false" outlineLevel="0" collapsed="false">
      <c r="A91" s="35" t="n">
        <v>90</v>
      </c>
      <c r="B91" s="35" t="s">
        <v>710</v>
      </c>
      <c r="C91" s="35" t="s">
        <v>1715</v>
      </c>
      <c r="D91" s="35" t="s">
        <v>709</v>
      </c>
      <c r="E91" s="35" t="s">
        <v>711</v>
      </c>
      <c r="F91" s="40" t="n">
        <v>0.248249873890253</v>
      </c>
      <c r="G91" s="36" t="n">
        <v>4039.2211437077</v>
      </c>
      <c r="H91" s="36" t="n">
        <v>1067.05641276262</v>
      </c>
      <c r="I91" s="6" t="s">
        <v>21</v>
      </c>
      <c r="J91" s="35" t="s">
        <v>5</v>
      </c>
      <c r="K91" s="35" t="s">
        <v>5</v>
      </c>
      <c r="L91" s="35" t="n">
        <v>2</v>
      </c>
      <c r="M91" s="35" t="s">
        <v>41</v>
      </c>
      <c r="N91" s="35" t="s">
        <v>1674</v>
      </c>
      <c r="O91" s="35" t="s">
        <v>43</v>
      </c>
      <c r="P91" s="35" t="s">
        <v>1712</v>
      </c>
      <c r="Q91" s="35" t="n">
        <v>22</v>
      </c>
      <c r="R91" s="35"/>
      <c r="S91" s="35" t="s">
        <v>40</v>
      </c>
      <c r="T91" s="35" t="s">
        <v>41</v>
      </c>
      <c r="U91" s="35"/>
      <c r="V91" s="35"/>
      <c r="W91" s="35"/>
      <c r="X91" s="35" t="s">
        <v>1676</v>
      </c>
      <c r="Y91" s="35" t="n">
        <v>-7.187598</v>
      </c>
      <c r="Z91" s="35" t="n">
        <v>-48.2166015</v>
      </c>
      <c r="AA91" s="49" t="s">
        <v>1603</v>
      </c>
      <c r="AB91" s="35" t="s">
        <v>1677</v>
      </c>
    </row>
    <row r="92" customFormat="false" ht="15" hidden="false" customHeight="false" outlineLevel="0" collapsed="false">
      <c r="A92" s="35" t="n">
        <v>91</v>
      </c>
      <c r="B92" s="35" t="s">
        <v>712</v>
      </c>
      <c r="C92" s="35" t="s">
        <v>1716</v>
      </c>
      <c r="D92" s="35" t="s">
        <v>711</v>
      </c>
      <c r="E92" s="35" t="s">
        <v>713</v>
      </c>
      <c r="F92" s="40" t="n">
        <v>2.35599899789348</v>
      </c>
      <c r="G92" s="36" t="n">
        <v>4041.5771427056</v>
      </c>
      <c r="H92" s="36" t="n">
        <v>2.35599899789349</v>
      </c>
      <c r="I92" s="6" t="s">
        <v>21</v>
      </c>
      <c r="J92" s="35" t="s">
        <v>5</v>
      </c>
      <c r="K92" s="35" t="s">
        <v>5</v>
      </c>
      <c r="L92" s="35" t="n">
        <v>3</v>
      </c>
      <c r="M92" s="35" t="s">
        <v>43</v>
      </c>
      <c r="N92" s="35" t="s">
        <v>1674</v>
      </c>
      <c r="O92" s="35" t="s">
        <v>45</v>
      </c>
      <c r="P92" s="35" t="s">
        <v>1717</v>
      </c>
      <c r="Q92" s="35" t="n">
        <v>21</v>
      </c>
      <c r="R92" s="35"/>
      <c r="S92" s="35" t="s">
        <v>40</v>
      </c>
      <c r="T92" s="35" t="s">
        <v>41</v>
      </c>
      <c r="U92" s="35" t="s">
        <v>43</v>
      </c>
      <c r="V92" s="35"/>
      <c r="W92" s="35"/>
      <c r="X92" s="35" t="s">
        <v>1718</v>
      </c>
      <c r="Y92" s="35" t="n">
        <v>-7.187607</v>
      </c>
      <c r="Z92" s="35" t="n">
        <v>-48.216594</v>
      </c>
      <c r="AA92" s="49" t="s">
        <v>1603</v>
      </c>
      <c r="AB92" s="35" t="s">
        <v>1719</v>
      </c>
    </row>
    <row r="93" customFormat="false" ht="15" hidden="false" customHeight="false" outlineLevel="0" collapsed="false">
      <c r="A93" s="35" t="n">
        <v>92</v>
      </c>
      <c r="B93" s="35" t="s">
        <v>714</v>
      </c>
      <c r="C93" s="35" t="s">
        <v>1720</v>
      </c>
      <c r="D93" s="35" t="s">
        <v>713</v>
      </c>
      <c r="E93" s="35" t="s">
        <v>715</v>
      </c>
      <c r="F93" s="40" t="n">
        <v>0.333584780014856</v>
      </c>
      <c r="G93" s="36" t="n">
        <v>4041.91072748561</v>
      </c>
      <c r="H93" s="36" t="n">
        <v>2.68958377790841</v>
      </c>
      <c r="I93" s="6" t="s">
        <v>21</v>
      </c>
      <c r="J93" s="35" t="s">
        <v>5</v>
      </c>
      <c r="K93" s="35" t="s">
        <v>5</v>
      </c>
      <c r="L93" s="35" t="n">
        <v>3</v>
      </c>
      <c r="M93" s="35" t="s">
        <v>43</v>
      </c>
      <c r="N93" s="35" t="s">
        <v>1674</v>
      </c>
      <c r="O93" s="35" t="s">
        <v>45</v>
      </c>
      <c r="P93" s="35" t="s">
        <v>1717</v>
      </c>
      <c r="Q93" s="35" t="n">
        <v>21</v>
      </c>
      <c r="R93" s="35"/>
      <c r="S93" s="35" t="s">
        <v>40</v>
      </c>
      <c r="T93" s="35" t="s">
        <v>41</v>
      </c>
      <c r="U93" s="35" t="s">
        <v>43</v>
      </c>
      <c r="V93" s="35"/>
      <c r="W93" s="35"/>
      <c r="X93" s="35" t="s">
        <v>1718</v>
      </c>
      <c r="Y93" s="35" t="n">
        <v>-7.1876165</v>
      </c>
      <c r="Z93" s="35" t="n">
        <v>-48.216587</v>
      </c>
      <c r="AA93" s="49" t="s">
        <v>1603</v>
      </c>
      <c r="AB93" s="35" t="s">
        <v>1719</v>
      </c>
    </row>
    <row r="94" customFormat="false" ht="15" hidden="false" customHeight="false" outlineLevel="0" collapsed="false">
      <c r="A94" s="35" t="n">
        <v>93</v>
      </c>
      <c r="B94" s="35" t="s">
        <v>716</v>
      </c>
      <c r="C94" s="35" t="s">
        <v>1721</v>
      </c>
      <c r="D94" s="35" t="s">
        <v>715</v>
      </c>
      <c r="E94" s="35" t="s">
        <v>717</v>
      </c>
      <c r="F94" s="40" t="n">
        <v>2.48577128636869</v>
      </c>
      <c r="G94" s="36" t="n">
        <v>4044.39649877198</v>
      </c>
      <c r="H94" s="36" t="n">
        <v>5.17535506427703</v>
      </c>
      <c r="I94" s="6" t="s">
        <v>21</v>
      </c>
      <c r="J94" s="35" t="s">
        <v>5</v>
      </c>
      <c r="K94" s="35" t="s">
        <v>5</v>
      </c>
      <c r="L94" s="35" t="n">
        <v>3</v>
      </c>
      <c r="M94" s="35" t="s">
        <v>43</v>
      </c>
      <c r="N94" s="35" t="s">
        <v>1674</v>
      </c>
      <c r="O94" s="35" t="s">
        <v>45</v>
      </c>
      <c r="P94" s="35" t="s">
        <v>1717</v>
      </c>
      <c r="Q94" s="35" t="n">
        <v>21</v>
      </c>
      <c r="R94" s="35"/>
      <c r="S94" s="35" t="s">
        <v>40</v>
      </c>
      <c r="T94" s="35" t="s">
        <v>41</v>
      </c>
      <c r="U94" s="35" t="s">
        <v>43</v>
      </c>
      <c r="V94" s="35"/>
      <c r="W94" s="35"/>
      <c r="X94" s="35" t="s">
        <v>1718</v>
      </c>
      <c r="Y94" s="35" t="n">
        <v>-7.187629</v>
      </c>
      <c r="Z94" s="35" t="n">
        <v>-48.216585</v>
      </c>
      <c r="AA94" s="49" t="s">
        <v>1603</v>
      </c>
      <c r="AB94" s="35" t="s">
        <v>1719</v>
      </c>
    </row>
    <row r="95" customFormat="false" ht="15" hidden="false" customHeight="false" outlineLevel="0" collapsed="false">
      <c r="A95" s="35" t="n">
        <v>94</v>
      </c>
      <c r="B95" s="35" t="s">
        <v>718</v>
      </c>
      <c r="C95" s="35" t="s">
        <v>1722</v>
      </c>
      <c r="D95" s="35" t="s">
        <v>717</v>
      </c>
      <c r="E95" s="35" t="s">
        <v>719</v>
      </c>
      <c r="F95" s="40" t="n">
        <v>13.2354161568571</v>
      </c>
      <c r="G95" s="36" t="n">
        <v>4057.63191492884</v>
      </c>
      <c r="H95" s="36" t="n">
        <v>18.4107712211339</v>
      </c>
      <c r="I95" s="6" t="s">
        <v>21</v>
      </c>
      <c r="J95" s="35" t="s">
        <v>5</v>
      </c>
      <c r="K95" s="35" t="s">
        <v>5</v>
      </c>
      <c r="L95" s="35" t="n">
        <v>3</v>
      </c>
      <c r="M95" s="35" t="s">
        <v>43</v>
      </c>
      <c r="N95" s="35" t="s">
        <v>1674</v>
      </c>
      <c r="O95" s="35" t="s">
        <v>45</v>
      </c>
      <c r="P95" s="35" t="s">
        <v>1717</v>
      </c>
      <c r="Q95" s="35" t="n">
        <v>21</v>
      </c>
      <c r="R95" s="35"/>
      <c r="S95" s="35" t="s">
        <v>40</v>
      </c>
      <c r="T95" s="35" t="s">
        <v>41</v>
      </c>
      <c r="U95" s="35" t="s">
        <v>43</v>
      </c>
      <c r="V95" s="35"/>
      <c r="W95" s="35"/>
      <c r="X95" s="35" t="s">
        <v>1718</v>
      </c>
      <c r="Y95" s="35" t="n">
        <v>-7.187682</v>
      </c>
      <c r="Z95" s="35" t="n">
        <v>-48.2165405</v>
      </c>
      <c r="AA95" s="49" t="s">
        <v>1603</v>
      </c>
      <c r="AB95" s="35" t="s">
        <v>1719</v>
      </c>
    </row>
    <row r="96" customFormat="false" ht="15" hidden="false" customHeight="false" outlineLevel="0" collapsed="false">
      <c r="A96" s="35" t="n">
        <v>95</v>
      </c>
      <c r="B96" s="35" t="s">
        <v>720</v>
      </c>
      <c r="C96" s="35" t="s">
        <v>1723</v>
      </c>
      <c r="D96" s="35" t="s">
        <v>719</v>
      </c>
      <c r="E96" s="35" t="s">
        <v>721</v>
      </c>
      <c r="F96" s="40" t="n">
        <v>3.72583969332396</v>
      </c>
      <c r="G96" s="36" t="n">
        <v>4061.35775462216</v>
      </c>
      <c r="H96" s="36" t="n">
        <v>22.1366109144578</v>
      </c>
      <c r="I96" s="6" t="s">
        <v>21</v>
      </c>
      <c r="J96" s="35" t="s">
        <v>5</v>
      </c>
      <c r="K96" s="35" t="s">
        <v>5</v>
      </c>
      <c r="L96" s="35" t="n">
        <v>3</v>
      </c>
      <c r="M96" s="35" t="s">
        <v>43</v>
      </c>
      <c r="N96" s="35" t="s">
        <v>1674</v>
      </c>
      <c r="O96" s="35" t="s">
        <v>45</v>
      </c>
      <c r="P96" s="35" t="s">
        <v>1717</v>
      </c>
      <c r="Q96" s="35" t="n">
        <v>21</v>
      </c>
      <c r="R96" s="35"/>
      <c r="S96" s="35" t="s">
        <v>40</v>
      </c>
      <c r="T96" s="35" t="s">
        <v>41</v>
      </c>
      <c r="U96" s="35" t="s">
        <v>43</v>
      </c>
      <c r="V96" s="35"/>
      <c r="W96" s="35"/>
      <c r="X96" s="35" t="s">
        <v>1718</v>
      </c>
      <c r="Y96" s="35" t="n">
        <v>-7.1877375</v>
      </c>
      <c r="Z96" s="35" t="n">
        <v>-48.216488</v>
      </c>
      <c r="AA96" s="49" t="s">
        <v>1603</v>
      </c>
      <c r="AB96" s="35" t="s">
        <v>1719</v>
      </c>
    </row>
    <row r="97" customFormat="false" ht="15" hidden="false" customHeight="false" outlineLevel="0" collapsed="false">
      <c r="A97" s="35" t="n">
        <v>96</v>
      </c>
      <c r="B97" s="35" t="s">
        <v>722</v>
      </c>
      <c r="C97" s="35" t="s">
        <v>1724</v>
      </c>
      <c r="D97" s="35" t="s">
        <v>721</v>
      </c>
      <c r="E97" s="35" t="s">
        <v>723</v>
      </c>
      <c r="F97" s="40" t="n">
        <v>38.6955690789936</v>
      </c>
      <c r="G97" s="36" t="n">
        <v>4100.05332370115</v>
      </c>
      <c r="H97" s="36" t="n">
        <v>60.8321799934515</v>
      </c>
      <c r="I97" s="6" t="s">
        <v>21</v>
      </c>
      <c r="J97" s="35" t="s">
        <v>5</v>
      </c>
      <c r="K97" s="35" t="s">
        <v>5</v>
      </c>
      <c r="L97" s="35" t="n">
        <v>3</v>
      </c>
      <c r="M97" s="35" t="s">
        <v>43</v>
      </c>
      <c r="N97" s="35" t="s">
        <v>1674</v>
      </c>
      <c r="O97" s="35" t="s">
        <v>45</v>
      </c>
      <c r="P97" s="35" t="s">
        <v>1717</v>
      </c>
      <c r="Q97" s="35" t="n">
        <v>21</v>
      </c>
      <c r="R97" s="35"/>
      <c r="S97" s="35" t="s">
        <v>40</v>
      </c>
      <c r="T97" s="35" t="s">
        <v>41</v>
      </c>
      <c r="U97" s="35" t="s">
        <v>43</v>
      </c>
      <c r="V97" s="35"/>
      <c r="W97" s="35"/>
      <c r="X97" s="35" t="s">
        <v>1718</v>
      </c>
      <c r="Y97" s="35" t="n">
        <v>-7.1878815</v>
      </c>
      <c r="Z97" s="35" t="n">
        <v>-48.216362</v>
      </c>
      <c r="AA97" s="49" t="s">
        <v>1603</v>
      </c>
      <c r="AB97" s="35" t="s">
        <v>1719</v>
      </c>
    </row>
    <row r="98" customFormat="false" ht="15" hidden="false" customHeight="false" outlineLevel="0" collapsed="false">
      <c r="A98" s="35" t="n">
        <v>97</v>
      </c>
      <c r="B98" s="35" t="s">
        <v>724</v>
      </c>
      <c r="C98" s="35" t="s">
        <v>1725</v>
      </c>
      <c r="D98" s="35" t="s">
        <v>723</v>
      </c>
      <c r="E98" s="35" t="s">
        <v>725</v>
      </c>
      <c r="F98" s="40" t="n">
        <v>2.20922081785492</v>
      </c>
      <c r="G98" s="36" t="n">
        <v>4102.26254451901</v>
      </c>
      <c r="H98" s="36" t="n">
        <v>63.0414008113062</v>
      </c>
      <c r="I98" s="6" t="s">
        <v>21</v>
      </c>
      <c r="J98" s="35" t="s">
        <v>5</v>
      </c>
      <c r="K98" s="35" t="s">
        <v>5</v>
      </c>
      <c r="L98" s="35" t="n">
        <v>3</v>
      </c>
      <c r="M98" s="35" t="s">
        <v>43</v>
      </c>
      <c r="N98" s="35" t="s">
        <v>1674</v>
      </c>
      <c r="O98" s="35" t="s">
        <v>45</v>
      </c>
      <c r="P98" s="35" t="s">
        <v>1717</v>
      </c>
      <c r="Q98" s="35" t="n">
        <v>21</v>
      </c>
      <c r="R98" s="35"/>
      <c r="S98" s="35" t="s">
        <v>40</v>
      </c>
      <c r="T98" s="35" t="s">
        <v>41</v>
      </c>
      <c r="U98" s="35" t="s">
        <v>43</v>
      </c>
      <c r="V98" s="35"/>
      <c r="W98" s="35"/>
      <c r="X98" s="35" t="s">
        <v>1718</v>
      </c>
      <c r="Y98" s="35" t="n">
        <v>-7.1880115</v>
      </c>
      <c r="Z98" s="35" t="n">
        <v>-48.216236</v>
      </c>
      <c r="AA98" s="49" t="s">
        <v>1603</v>
      </c>
      <c r="AB98" s="35" t="s">
        <v>1719</v>
      </c>
    </row>
    <row r="99" customFormat="false" ht="15" hidden="false" customHeight="false" outlineLevel="0" collapsed="false">
      <c r="A99" s="35" t="n">
        <v>98</v>
      </c>
      <c r="B99" s="35" t="s">
        <v>726</v>
      </c>
      <c r="C99" s="35" t="s">
        <v>1726</v>
      </c>
      <c r="D99" s="35" t="s">
        <v>725</v>
      </c>
      <c r="E99" s="35" t="s">
        <v>727</v>
      </c>
      <c r="F99" s="40" t="n">
        <v>57.0139836382639</v>
      </c>
      <c r="G99" s="36" t="n">
        <v>4159.27652815727</v>
      </c>
      <c r="H99" s="36" t="n">
        <v>120.05538444957</v>
      </c>
      <c r="I99" s="6" t="s">
        <v>21</v>
      </c>
      <c r="J99" s="35" t="s">
        <v>5</v>
      </c>
      <c r="K99" s="35" t="s">
        <v>5</v>
      </c>
      <c r="L99" s="35" t="n">
        <v>3</v>
      </c>
      <c r="M99" s="35" t="s">
        <v>43</v>
      </c>
      <c r="N99" s="35" t="s">
        <v>1674</v>
      </c>
      <c r="O99" s="35" t="s">
        <v>45</v>
      </c>
      <c r="P99" s="35" t="s">
        <v>1717</v>
      </c>
      <c r="Q99" s="35" t="n">
        <v>21</v>
      </c>
      <c r="R99" s="35"/>
      <c r="S99" s="35" t="s">
        <v>40</v>
      </c>
      <c r="T99" s="35" t="s">
        <v>41</v>
      </c>
      <c r="U99" s="35" t="s">
        <v>43</v>
      </c>
      <c r="V99" s="35"/>
      <c r="W99" s="35"/>
      <c r="X99" s="35" t="s">
        <v>1718</v>
      </c>
      <c r="Y99" s="35" t="n">
        <v>-7.1878305</v>
      </c>
      <c r="Z99" s="35" t="n">
        <v>-48.2160425</v>
      </c>
      <c r="AA99" s="49" t="s">
        <v>1603</v>
      </c>
      <c r="AB99" s="35" t="s">
        <v>1719</v>
      </c>
    </row>
    <row r="100" customFormat="false" ht="15" hidden="false" customHeight="false" outlineLevel="0" collapsed="false">
      <c r="A100" s="35" t="n">
        <v>99</v>
      </c>
      <c r="B100" s="35" t="s">
        <v>728</v>
      </c>
      <c r="C100" s="35" t="s">
        <v>1727</v>
      </c>
      <c r="D100" s="35" t="s">
        <v>727</v>
      </c>
      <c r="E100" s="35" t="s">
        <v>729</v>
      </c>
      <c r="F100" s="40" t="n">
        <v>65.8638304063323</v>
      </c>
      <c r="G100" s="36" t="n">
        <v>4225.14035856361</v>
      </c>
      <c r="H100" s="36" t="n">
        <v>185.919214855903</v>
      </c>
      <c r="I100" s="6" t="s">
        <v>21</v>
      </c>
      <c r="J100" s="35" t="s">
        <v>5</v>
      </c>
      <c r="K100" s="35" t="s">
        <v>5</v>
      </c>
      <c r="L100" s="35" t="n">
        <v>3</v>
      </c>
      <c r="M100" s="35" t="s">
        <v>43</v>
      </c>
      <c r="N100" s="35" t="s">
        <v>1674</v>
      </c>
      <c r="O100" s="35" t="s">
        <v>45</v>
      </c>
      <c r="P100" s="35" t="s">
        <v>1717</v>
      </c>
      <c r="Q100" s="35" t="n">
        <v>21</v>
      </c>
      <c r="R100" s="35"/>
      <c r="S100" s="35" t="s">
        <v>40</v>
      </c>
      <c r="T100" s="35" t="s">
        <v>41</v>
      </c>
      <c r="U100" s="35" t="s">
        <v>43</v>
      </c>
      <c r="V100" s="35"/>
      <c r="W100" s="35"/>
      <c r="X100" s="35" t="s">
        <v>1718</v>
      </c>
      <c r="Y100" s="35" t="n">
        <v>-7.187441</v>
      </c>
      <c r="Z100" s="35" t="n">
        <v>-48.2156475</v>
      </c>
      <c r="AA100" s="49" t="s">
        <v>1603</v>
      </c>
      <c r="AB100" s="35" t="s">
        <v>1719</v>
      </c>
    </row>
    <row r="101" customFormat="false" ht="15" hidden="false" customHeight="false" outlineLevel="0" collapsed="false">
      <c r="A101" s="35" t="n">
        <v>100</v>
      </c>
      <c r="B101" s="35" t="s">
        <v>730</v>
      </c>
      <c r="C101" s="35" t="s">
        <v>1728</v>
      </c>
      <c r="D101" s="35" t="s">
        <v>729</v>
      </c>
      <c r="E101" s="35" t="s">
        <v>731</v>
      </c>
      <c r="F101" s="40" t="n">
        <v>60.3064702181351</v>
      </c>
      <c r="G101" s="36" t="n">
        <v>4285.44682878174</v>
      </c>
      <c r="H101" s="36" t="n">
        <v>246.225685074038</v>
      </c>
      <c r="I101" s="6" t="s">
        <v>21</v>
      </c>
      <c r="J101" s="35" t="s">
        <v>5</v>
      </c>
      <c r="K101" s="35" t="s">
        <v>5</v>
      </c>
      <c r="L101" s="35" t="n">
        <v>3</v>
      </c>
      <c r="M101" s="35" t="s">
        <v>43</v>
      </c>
      <c r="N101" s="35" t="s">
        <v>1674</v>
      </c>
      <c r="O101" s="35" t="s">
        <v>45</v>
      </c>
      <c r="P101" s="35" t="s">
        <v>1729</v>
      </c>
      <c r="Q101" s="35" t="n">
        <v>20</v>
      </c>
      <c r="R101" s="35"/>
      <c r="S101" s="35" t="s">
        <v>40</v>
      </c>
      <c r="T101" s="35" t="s">
        <v>41</v>
      </c>
      <c r="U101" s="35" t="s">
        <v>43</v>
      </c>
      <c r="V101" s="35"/>
      <c r="W101" s="35"/>
      <c r="X101" s="35" t="s">
        <v>1718</v>
      </c>
      <c r="Y101" s="35" t="n">
        <v>-7.187421</v>
      </c>
      <c r="Z101" s="35" t="n">
        <v>-48.21524</v>
      </c>
      <c r="AA101" s="49" t="s">
        <v>1603</v>
      </c>
      <c r="AB101" s="35" t="s">
        <v>1719</v>
      </c>
    </row>
    <row r="102" customFormat="false" ht="15" hidden="false" customHeight="false" outlineLevel="0" collapsed="false">
      <c r="A102" s="35" t="n">
        <v>101</v>
      </c>
      <c r="B102" s="35" t="s">
        <v>732</v>
      </c>
      <c r="C102" s="35" t="s">
        <v>1730</v>
      </c>
      <c r="D102" s="35" t="s">
        <v>731</v>
      </c>
      <c r="E102" s="35" t="s">
        <v>733</v>
      </c>
      <c r="F102" s="40" t="n">
        <v>17.8675787180007</v>
      </c>
      <c r="G102" s="36" t="n">
        <v>4303.31440749974</v>
      </c>
      <c r="H102" s="36" t="n">
        <v>264.093263792039</v>
      </c>
      <c r="I102" s="6" t="s">
        <v>21</v>
      </c>
      <c r="J102" s="35" t="s">
        <v>5</v>
      </c>
      <c r="K102" s="35" t="s">
        <v>5</v>
      </c>
      <c r="L102" s="35" t="n">
        <v>3</v>
      </c>
      <c r="M102" s="35" t="s">
        <v>43</v>
      </c>
      <c r="N102" s="35" t="s">
        <v>1674</v>
      </c>
      <c r="O102" s="35" t="s">
        <v>45</v>
      </c>
      <c r="P102" s="35" t="s">
        <v>1729</v>
      </c>
      <c r="Q102" s="35" t="n">
        <v>20</v>
      </c>
      <c r="R102" s="35"/>
      <c r="S102" s="35" t="s">
        <v>40</v>
      </c>
      <c r="T102" s="35" t="s">
        <v>41</v>
      </c>
      <c r="U102" s="35" t="s">
        <v>43</v>
      </c>
      <c r="V102" s="35"/>
      <c r="W102" s="35"/>
      <c r="X102" s="35" t="s">
        <v>1718</v>
      </c>
      <c r="Y102" s="35" t="n">
        <v>-7.1876645</v>
      </c>
      <c r="Z102" s="35" t="n">
        <v>-48.2149845</v>
      </c>
      <c r="AA102" s="49" t="s">
        <v>1603</v>
      </c>
      <c r="AB102" s="35" t="s">
        <v>1719</v>
      </c>
    </row>
    <row r="103" customFormat="false" ht="15" hidden="false" customHeight="false" outlineLevel="0" collapsed="false">
      <c r="A103" s="35" t="n">
        <v>102</v>
      </c>
      <c r="B103" s="35" t="s">
        <v>734</v>
      </c>
      <c r="C103" s="35" t="s">
        <v>1731</v>
      </c>
      <c r="D103" s="35" t="s">
        <v>733</v>
      </c>
      <c r="E103" s="35" t="s">
        <v>735</v>
      </c>
      <c r="F103" s="40" t="n">
        <v>79.9136816661421</v>
      </c>
      <c r="G103" s="36" t="n">
        <v>4383.22808916588</v>
      </c>
      <c r="H103" s="36" t="n">
        <v>344.006945458181</v>
      </c>
      <c r="I103" s="6" t="s">
        <v>21</v>
      </c>
      <c r="J103" s="35" t="s">
        <v>5</v>
      </c>
      <c r="K103" s="35" t="s">
        <v>5</v>
      </c>
      <c r="L103" s="35" t="n">
        <v>3</v>
      </c>
      <c r="M103" s="35" t="s">
        <v>43</v>
      </c>
      <c r="N103" s="35" t="s">
        <v>1674</v>
      </c>
      <c r="O103" s="35" t="s">
        <v>45</v>
      </c>
      <c r="P103" s="35" t="s">
        <v>1732</v>
      </c>
      <c r="Q103" s="35" t="n">
        <v>19</v>
      </c>
      <c r="R103" s="35"/>
      <c r="S103" s="35" t="s">
        <v>40</v>
      </c>
      <c r="T103" s="35" t="s">
        <v>41</v>
      </c>
      <c r="U103" s="35" t="s">
        <v>43</v>
      </c>
      <c r="V103" s="35"/>
      <c r="W103" s="35"/>
      <c r="X103" s="35" t="s">
        <v>1718</v>
      </c>
      <c r="Y103" s="35" t="n">
        <v>-7.187954</v>
      </c>
      <c r="Z103" s="35" t="n">
        <v>-48.214651</v>
      </c>
      <c r="AA103" s="49" t="s">
        <v>1603</v>
      </c>
      <c r="AB103" s="35" t="s">
        <v>1719</v>
      </c>
    </row>
    <row r="104" customFormat="false" ht="15" hidden="false" customHeight="false" outlineLevel="0" collapsed="false">
      <c r="A104" s="35" t="n">
        <v>103</v>
      </c>
      <c r="B104" s="35" t="s">
        <v>736</v>
      </c>
      <c r="C104" s="35" t="s">
        <v>1733</v>
      </c>
      <c r="D104" s="35" t="s">
        <v>735</v>
      </c>
      <c r="E104" s="35" t="s">
        <v>737</v>
      </c>
      <c r="F104" s="40" t="n">
        <v>29.7519410166109</v>
      </c>
      <c r="G104" s="36" t="n">
        <v>4412.98003018249</v>
      </c>
      <c r="H104" s="36" t="n">
        <v>373.758886474792</v>
      </c>
      <c r="I104" s="6" t="s">
        <v>21</v>
      </c>
      <c r="J104" s="35" t="s">
        <v>5</v>
      </c>
      <c r="K104" s="35" t="s">
        <v>5</v>
      </c>
      <c r="L104" s="35" t="n">
        <v>3</v>
      </c>
      <c r="M104" s="35" t="s">
        <v>43</v>
      </c>
      <c r="N104" s="35" t="s">
        <v>1674</v>
      </c>
      <c r="O104" s="35" t="s">
        <v>45</v>
      </c>
      <c r="P104" s="35" t="s">
        <v>1732</v>
      </c>
      <c r="Q104" s="35" t="n">
        <v>19</v>
      </c>
      <c r="R104" s="35"/>
      <c r="S104" s="35" t="s">
        <v>40</v>
      </c>
      <c r="T104" s="35" t="s">
        <v>41</v>
      </c>
      <c r="U104" s="35" t="s">
        <v>43</v>
      </c>
      <c r="V104" s="35"/>
      <c r="W104" s="35"/>
      <c r="X104" s="35" t="s">
        <v>1718</v>
      </c>
      <c r="Y104" s="35" t="n">
        <v>-7.1882635</v>
      </c>
      <c r="Z104" s="35" t="n">
        <v>-48.214265</v>
      </c>
      <c r="AA104" s="49" t="s">
        <v>1603</v>
      </c>
      <c r="AB104" s="35" t="s">
        <v>1719</v>
      </c>
    </row>
    <row r="105" customFormat="false" ht="15" hidden="false" customHeight="false" outlineLevel="0" collapsed="false">
      <c r="A105" s="35" t="n">
        <v>104</v>
      </c>
      <c r="B105" s="35" t="s">
        <v>738</v>
      </c>
      <c r="C105" s="35" t="s">
        <v>1734</v>
      </c>
      <c r="D105" s="35" t="s">
        <v>737</v>
      </c>
      <c r="E105" s="35" t="s">
        <v>739</v>
      </c>
      <c r="F105" s="40" t="n">
        <v>6.99675159027377</v>
      </c>
      <c r="G105" s="36" t="n">
        <v>4419.97678177277</v>
      </c>
      <c r="H105" s="36" t="n">
        <v>380.755638065065</v>
      </c>
      <c r="I105" s="6" t="s">
        <v>21</v>
      </c>
      <c r="J105" s="35" t="s">
        <v>5</v>
      </c>
      <c r="K105" s="35" t="s">
        <v>5</v>
      </c>
      <c r="L105" s="35" t="n">
        <v>3</v>
      </c>
      <c r="M105" s="35" t="s">
        <v>43</v>
      </c>
      <c r="N105" s="35" t="s">
        <v>1674</v>
      </c>
      <c r="O105" s="35" t="s">
        <v>45</v>
      </c>
      <c r="P105" s="35" t="s">
        <v>1735</v>
      </c>
      <c r="Q105" s="35" t="n">
        <v>18</v>
      </c>
      <c r="R105" s="35"/>
      <c r="S105" s="35" t="s">
        <v>40</v>
      </c>
      <c r="T105" s="35" t="s">
        <v>41</v>
      </c>
      <c r="U105" s="35" t="s">
        <v>43</v>
      </c>
      <c r="V105" s="35"/>
      <c r="W105" s="35"/>
      <c r="X105" s="35" t="s">
        <v>1718</v>
      </c>
      <c r="Y105" s="35" t="n">
        <v>-7.1883545</v>
      </c>
      <c r="Z105" s="35" t="n">
        <v>-48.214126</v>
      </c>
      <c r="AA105" s="49" t="s">
        <v>1603</v>
      </c>
      <c r="AB105" s="35" t="s">
        <v>1719</v>
      </c>
    </row>
    <row r="106" customFormat="false" ht="15" hidden="false" customHeight="false" outlineLevel="0" collapsed="false">
      <c r="A106" s="35" t="n">
        <v>105</v>
      </c>
      <c r="B106" s="35" t="s">
        <v>740</v>
      </c>
      <c r="C106" s="35" t="s">
        <v>1736</v>
      </c>
      <c r="D106" s="35" t="s">
        <v>739</v>
      </c>
      <c r="E106" s="35" t="s">
        <v>741</v>
      </c>
      <c r="F106" s="40" t="n">
        <v>37.9172552718177</v>
      </c>
      <c r="G106" s="36" t="n">
        <v>4457.89403704459</v>
      </c>
      <c r="H106" s="36" t="n">
        <v>418.672893336883</v>
      </c>
      <c r="I106" s="6" t="s">
        <v>21</v>
      </c>
      <c r="J106" s="35" t="s">
        <v>5</v>
      </c>
      <c r="K106" s="35" t="s">
        <v>5</v>
      </c>
      <c r="L106" s="35" t="n">
        <v>3</v>
      </c>
      <c r="M106" s="35" t="s">
        <v>43</v>
      </c>
      <c r="N106" s="35" t="s">
        <v>1674</v>
      </c>
      <c r="O106" s="35" t="s">
        <v>45</v>
      </c>
      <c r="P106" s="35" t="s">
        <v>1735</v>
      </c>
      <c r="Q106" s="35" t="n">
        <v>18</v>
      </c>
      <c r="R106" s="35"/>
      <c r="S106" s="35" t="s">
        <v>40</v>
      </c>
      <c r="T106" s="35" t="s">
        <v>41</v>
      </c>
      <c r="U106" s="35" t="s">
        <v>43</v>
      </c>
      <c r="V106" s="35"/>
      <c r="W106" s="35"/>
      <c r="X106" s="35" t="s">
        <v>1718</v>
      </c>
      <c r="Y106" s="35" t="n">
        <v>-7.1884235</v>
      </c>
      <c r="Z106" s="35" t="n">
        <v>-48.2139355</v>
      </c>
      <c r="AA106" s="49" t="s">
        <v>1603</v>
      </c>
      <c r="AB106" s="35" t="s">
        <v>1719</v>
      </c>
    </row>
    <row r="107" customFormat="false" ht="15" hidden="false" customHeight="false" outlineLevel="0" collapsed="false">
      <c r="A107" s="35" t="n">
        <v>106</v>
      </c>
      <c r="B107" s="35" t="s">
        <v>742</v>
      </c>
      <c r="C107" s="35" t="s">
        <v>1737</v>
      </c>
      <c r="D107" s="35" t="s">
        <v>741</v>
      </c>
      <c r="E107" s="35" t="s">
        <v>743</v>
      </c>
      <c r="F107" s="40" t="n">
        <v>3.66937485541611</v>
      </c>
      <c r="G107" s="36" t="n">
        <v>4461.5634119</v>
      </c>
      <c r="H107" s="36" t="n">
        <v>422.342268192299</v>
      </c>
      <c r="I107" s="6" t="s">
        <v>21</v>
      </c>
      <c r="J107" s="35" t="s">
        <v>5</v>
      </c>
      <c r="K107" s="35" t="s">
        <v>5</v>
      </c>
      <c r="L107" s="35" t="n">
        <v>3</v>
      </c>
      <c r="M107" s="35" t="s">
        <v>43</v>
      </c>
      <c r="N107" s="35" t="s">
        <v>1674</v>
      </c>
      <c r="O107" s="35" t="s">
        <v>45</v>
      </c>
      <c r="P107" s="35" t="s">
        <v>1735</v>
      </c>
      <c r="Q107" s="35" t="n">
        <v>18</v>
      </c>
      <c r="R107" s="35" t="s">
        <v>744</v>
      </c>
      <c r="S107" s="35" t="s">
        <v>40</v>
      </c>
      <c r="T107" s="35" t="s">
        <v>41</v>
      </c>
      <c r="U107" s="35" t="s">
        <v>43</v>
      </c>
      <c r="V107" s="35"/>
      <c r="W107" s="35"/>
      <c r="X107" s="35" t="s">
        <v>1718</v>
      </c>
      <c r="Y107" s="35" t="n">
        <v>-7.1884805</v>
      </c>
      <c r="Z107" s="35" t="n">
        <v>-48.213756</v>
      </c>
      <c r="AA107" s="49" t="s">
        <v>1603</v>
      </c>
      <c r="AB107" s="35" t="s">
        <v>1719</v>
      </c>
    </row>
    <row r="108" customFormat="false" ht="15" hidden="false" customHeight="false" outlineLevel="0" collapsed="false">
      <c r="A108" s="35" t="n">
        <v>107</v>
      </c>
      <c r="B108" s="35" t="s">
        <v>745</v>
      </c>
      <c r="C108" s="35" t="s">
        <v>1738</v>
      </c>
      <c r="D108" s="35" t="s">
        <v>743</v>
      </c>
      <c r="E108" s="35" t="s">
        <v>746</v>
      </c>
      <c r="F108" s="40" t="n">
        <v>68.6882139899855</v>
      </c>
      <c r="G108" s="36" t="n">
        <v>4530.25162588999</v>
      </c>
      <c r="H108" s="36" t="n">
        <v>491.030482182284</v>
      </c>
      <c r="I108" s="6" t="s">
        <v>21</v>
      </c>
      <c r="J108" s="35" t="s">
        <v>5</v>
      </c>
      <c r="K108" s="35" t="s">
        <v>5</v>
      </c>
      <c r="L108" s="35" t="n">
        <v>3</v>
      </c>
      <c r="M108" s="35" t="s">
        <v>43</v>
      </c>
      <c r="N108" s="35" t="s">
        <v>1674</v>
      </c>
      <c r="O108" s="35" t="s">
        <v>45</v>
      </c>
      <c r="P108" s="35" t="s">
        <v>1735</v>
      </c>
      <c r="Q108" s="35" t="n">
        <v>18</v>
      </c>
      <c r="R108" s="35"/>
      <c r="S108" s="35" t="s">
        <v>40</v>
      </c>
      <c r="T108" s="35" t="s">
        <v>41</v>
      </c>
      <c r="U108" s="35" t="s">
        <v>43</v>
      </c>
      <c r="V108" s="35"/>
      <c r="W108" s="35"/>
      <c r="X108" s="35" t="s">
        <v>1718</v>
      </c>
      <c r="Y108" s="35" t="n">
        <v>-7.1885675</v>
      </c>
      <c r="Z108" s="35" t="n">
        <v>-48.21344</v>
      </c>
      <c r="AA108" s="49" t="s">
        <v>1603</v>
      </c>
      <c r="AB108" s="35" t="s">
        <v>1719</v>
      </c>
    </row>
    <row r="109" customFormat="false" ht="15" hidden="false" customHeight="false" outlineLevel="0" collapsed="false">
      <c r="A109" s="35" t="n">
        <v>108</v>
      </c>
      <c r="B109" s="35" t="s">
        <v>747</v>
      </c>
      <c r="C109" s="35" t="s">
        <v>1739</v>
      </c>
      <c r="D109" s="35" t="s">
        <v>746</v>
      </c>
      <c r="E109" s="35" t="s">
        <v>748</v>
      </c>
      <c r="F109" s="40" t="n">
        <v>139.604394464395</v>
      </c>
      <c r="G109" s="36" t="n">
        <v>4669.85602035438</v>
      </c>
      <c r="H109" s="36" t="n">
        <v>630.63487664668</v>
      </c>
      <c r="I109" s="6" t="s">
        <v>21</v>
      </c>
      <c r="J109" s="35" t="s">
        <v>5</v>
      </c>
      <c r="K109" s="35" t="s">
        <v>5</v>
      </c>
      <c r="L109" s="35" t="n">
        <v>3</v>
      </c>
      <c r="M109" s="35" t="s">
        <v>43</v>
      </c>
      <c r="N109" s="35" t="s">
        <v>1674</v>
      </c>
      <c r="O109" s="35" t="s">
        <v>45</v>
      </c>
      <c r="P109" s="35" t="s">
        <v>1735</v>
      </c>
      <c r="Q109" s="35" t="n">
        <v>18</v>
      </c>
      <c r="R109" s="35"/>
      <c r="S109" s="35" t="s">
        <v>40</v>
      </c>
      <c r="T109" s="35" t="s">
        <v>41</v>
      </c>
      <c r="U109" s="35" t="s">
        <v>43</v>
      </c>
      <c r="V109" s="35"/>
      <c r="W109" s="35"/>
      <c r="X109" s="35" t="s">
        <v>1718</v>
      </c>
      <c r="Y109" s="35" t="n">
        <v>-7.1888305</v>
      </c>
      <c r="Z109" s="35" t="n">
        <v>-48.212534</v>
      </c>
      <c r="AA109" s="49" t="s">
        <v>1603</v>
      </c>
      <c r="AB109" s="35" t="s">
        <v>1719</v>
      </c>
    </row>
    <row r="110" customFormat="false" ht="15" hidden="false" customHeight="false" outlineLevel="0" collapsed="false">
      <c r="A110" s="35" t="n">
        <v>109</v>
      </c>
      <c r="B110" s="35" t="s">
        <v>749</v>
      </c>
      <c r="C110" s="35" t="s">
        <v>1740</v>
      </c>
      <c r="D110" s="35" t="s">
        <v>748</v>
      </c>
      <c r="E110" s="35" t="s">
        <v>750</v>
      </c>
      <c r="F110" s="40" t="n">
        <v>51.4222762060546</v>
      </c>
      <c r="G110" s="36" t="n">
        <v>4721.27829656044</v>
      </c>
      <c r="H110" s="36" t="n">
        <v>682.057152852734</v>
      </c>
      <c r="I110" s="6" t="s">
        <v>21</v>
      </c>
      <c r="J110" s="35" t="s">
        <v>5</v>
      </c>
      <c r="K110" s="35" t="s">
        <v>5</v>
      </c>
      <c r="L110" s="35" t="n">
        <v>3</v>
      </c>
      <c r="M110" s="35" t="s">
        <v>43</v>
      </c>
      <c r="N110" s="35" t="s">
        <v>1674</v>
      </c>
      <c r="O110" s="35" t="s">
        <v>45</v>
      </c>
      <c r="P110" s="35" t="s">
        <v>1741</v>
      </c>
      <c r="Q110" s="35" t="n">
        <v>17</v>
      </c>
      <c r="R110" s="35"/>
      <c r="S110" s="35" t="s">
        <v>40</v>
      </c>
      <c r="T110" s="35" t="s">
        <v>41</v>
      </c>
      <c r="U110" s="35" t="s">
        <v>43</v>
      </c>
      <c r="V110" s="35"/>
      <c r="W110" s="35"/>
      <c r="X110" s="35" t="s">
        <v>1718</v>
      </c>
      <c r="Y110" s="35" t="n">
        <v>-7.188873</v>
      </c>
      <c r="Z110" s="35" t="n">
        <v>-48.211741</v>
      </c>
      <c r="AA110" s="49" t="s">
        <v>1603</v>
      </c>
      <c r="AB110" s="35" t="s">
        <v>1719</v>
      </c>
    </row>
    <row r="111" customFormat="false" ht="15" hidden="false" customHeight="false" outlineLevel="0" collapsed="false">
      <c r="A111" s="35" t="n">
        <v>110</v>
      </c>
      <c r="B111" s="35" t="s">
        <v>751</v>
      </c>
      <c r="C111" s="35" t="s">
        <v>1742</v>
      </c>
      <c r="D111" s="35" t="s">
        <v>750</v>
      </c>
      <c r="E111" s="35" t="s">
        <v>752</v>
      </c>
      <c r="F111" s="40" t="n">
        <v>59.1913907173532</v>
      </c>
      <c r="G111" s="36" t="n">
        <v>4780.46968727779</v>
      </c>
      <c r="H111" s="36" t="n">
        <v>741.248543570087</v>
      </c>
      <c r="I111" s="6" t="s">
        <v>21</v>
      </c>
      <c r="J111" s="35" t="s">
        <v>5</v>
      </c>
      <c r="K111" s="35" t="s">
        <v>5</v>
      </c>
      <c r="L111" s="35" t="n">
        <v>3</v>
      </c>
      <c r="M111" s="35" t="s">
        <v>43</v>
      </c>
      <c r="N111" s="35" t="s">
        <v>1674</v>
      </c>
      <c r="O111" s="35" t="s">
        <v>45</v>
      </c>
      <c r="P111" s="35" t="s">
        <v>1741</v>
      </c>
      <c r="Q111" s="35" t="n">
        <v>17</v>
      </c>
      <c r="R111" s="35"/>
      <c r="S111" s="35" t="s">
        <v>40</v>
      </c>
      <c r="T111" s="35" t="s">
        <v>41</v>
      </c>
      <c r="U111" s="35" t="s">
        <v>43</v>
      </c>
      <c r="V111" s="35"/>
      <c r="W111" s="35"/>
      <c r="X111" s="35" t="s">
        <v>1718</v>
      </c>
      <c r="Y111" s="35" t="n">
        <v>-7.18857</v>
      </c>
      <c r="Z111" s="35" t="n">
        <v>-48.2113435</v>
      </c>
      <c r="AA111" s="49" t="s">
        <v>1603</v>
      </c>
      <c r="AB111" s="35" t="s">
        <v>1719</v>
      </c>
    </row>
    <row r="112" customFormat="false" ht="15" hidden="false" customHeight="false" outlineLevel="0" collapsed="false">
      <c r="A112" s="35" t="n">
        <v>111</v>
      </c>
      <c r="B112" s="35" t="s">
        <v>753</v>
      </c>
      <c r="C112" s="35" t="s">
        <v>1743</v>
      </c>
      <c r="D112" s="35" t="s">
        <v>752</v>
      </c>
      <c r="E112" s="35" t="s">
        <v>754</v>
      </c>
      <c r="F112" s="40" t="n">
        <v>108.238876790462</v>
      </c>
      <c r="G112" s="36" t="n">
        <v>4888.70856406825</v>
      </c>
      <c r="H112" s="36" t="n">
        <v>849.487420360549</v>
      </c>
      <c r="I112" s="6" t="s">
        <v>21</v>
      </c>
      <c r="J112" s="35" t="s">
        <v>5</v>
      </c>
      <c r="K112" s="35" t="s">
        <v>5</v>
      </c>
      <c r="L112" s="35" t="n">
        <v>3</v>
      </c>
      <c r="M112" s="35" t="s">
        <v>43</v>
      </c>
      <c r="N112" s="35" t="s">
        <v>1674</v>
      </c>
      <c r="O112" s="35" t="s">
        <v>45</v>
      </c>
      <c r="P112" s="35" t="s">
        <v>1741</v>
      </c>
      <c r="Q112" s="35" t="n">
        <v>17</v>
      </c>
      <c r="R112" s="35"/>
      <c r="S112" s="35" t="s">
        <v>40</v>
      </c>
      <c r="T112" s="35" t="s">
        <v>41</v>
      </c>
      <c r="U112" s="35" t="s">
        <v>43</v>
      </c>
      <c r="V112" s="35"/>
      <c r="W112" s="35"/>
      <c r="X112" s="35" t="s">
        <v>1718</v>
      </c>
      <c r="Y112" s="35" t="n">
        <v>-7.188104</v>
      </c>
      <c r="Z112" s="35" t="n">
        <v>-48.2107475</v>
      </c>
      <c r="AA112" s="49" t="s">
        <v>1603</v>
      </c>
      <c r="AB112" s="35" t="s">
        <v>1719</v>
      </c>
    </row>
    <row r="113" customFormat="false" ht="15" hidden="false" customHeight="false" outlineLevel="0" collapsed="false">
      <c r="A113" s="35" t="n">
        <v>112</v>
      </c>
      <c r="B113" s="35" t="s">
        <v>755</v>
      </c>
      <c r="C113" s="35" t="s">
        <v>1744</v>
      </c>
      <c r="D113" s="35" t="s">
        <v>754</v>
      </c>
      <c r="E113" s="35" t="s">
        <v>756</v>
      </c>
      <c r="F113" s="40" t="n">
        <v>28.4641345722819</v>
      </c>
      <c r="G113" s="36" t="n">
        <v>4917.17269864053</v>
      </c>
      <c r="H113" s="36" t="n">
        <v>877.951554932831</v>
      </c>
      <c r="I113" s="6" t="s">
        <v>21</v>
      </c>
      <c r="J113" s="35" t="s">
        <v>5</v>
      </c>
      <c r="K113" s="35" t="s">
        <v>5</v>
      </c>
      <c r="L113" s="35" t="n">
        <v>3</v>
      </c>
      <c r="M113" s="35" t="s">
        <v>43</v>
      </c>
      <c r="N113" s="35" t="s">
        <v>1674</v>
      </c>
      <c r="O113" s="35" t="s">
        <v>45</v>
      </c>
      <c r="P113" s="35" t="s">
        <v>1741</v>
      </c>
      <c r="Q113" s="35" t="n">
        <v>17</v>
      </c>
      <c r="R113" s="35"/>
      <c r="S113" s="35" t="s">
        <v>40</v>
      </c>
      <c r="T113" s="35" t="s">
        <v>41</v>
      </c>
      <c r="U113" s="35" t="s">
        <v>43</v>
      </c>
      <c r="V113" s="35"/>
      <c r="W113" s="35"/>
      <c r="X113" s="35" t="s">
        <v>1718</v>
      </c>
      <c r="Y113" s="35" t="n">
        <v>-7.187724</v>
      </c>
      <c r="Z113" s="35" t="n">
        <v>-48.2102605</v>
      </c>
      <c r="AA113" s="49" t="s">
        <v>1603</v>
      </c>
      <c r="AB113" s="35" t="s">
        <v>1719</v>
      </c>
    </row>
    <row r="114" customFormat="false" ht="15" hidden="false" customHeight="false" outlineLevel="0" collapsed="false">
      <c r="A114" s="35" t="n">
        <v>113</v>
      </c>
      <c r="B114" s="35" t="s">
        <v>757</v>
      </c>
      <c r="C114" s="35" t="s">
        <v>1745</v>
      </c>
      <c r="D114" s="35" t="s">
        <v>756</v>
      </c>
      <c r="E114" s="35" t="s">
        <v>758</v>
      </c>
      <c r="F114" s="40" t="n">
        <v>84.0261537983929</v>
      </c>
      <c r="G114" s="36" t="n">
        <v>5001.19885243893</v>
      </c>
      <c r="H114" s="36" t="n">
        <v>961.977708731225</v>
      </c>
      <c r="I114" s="6" t="s">
        <v>21</v>
      </c>
      <c r="J114" s="35" t="s">
        <v>5</v>
      </c>
      <c r="K114" s="35" t="s">
        <v>5</v>
      </c>
      <c r="L114" s="35" t="n">
        <v>3</v>
      </c>
      <c r="M114" s="35" t="s">
        <v>43</v>
      </c>
      <c r="N114" s="35" t="s">
        <v>1674</v>
      </c>
      <c r="O114" s="35" t="s">
        <v>45</v>
      </c>
      <c r="P114" s="35" t="s">
        <v>1741</v>
      </c>
      <c r="Q114" s="35" t="n">
        <v>17</v>
      </c>
      <c r="R114" s="35"/>
      <c r="S114" s="35" t="s">
        <v>40</v>
      </c>
      <c r="T114" s="35" t="s">
        <v>41</v>
      </c>
      <c r="U114" s="35" t="s">
        <v>43</v>
      </c>
      <c r="V114" s="35"/>
      <c r="W114" s="35"/>
      <c r="X114" s="35" t="s">
        <v>1718</v>
      </c>
      <c r="Y114" s="35" t="n">
        <v>-7.187411</v>
      </c>
      <c r="Z114" s="35" t="n">
        <v>-48.20986</v>
      </c>
      <c r="AA114" s="49" t="s">
        <v>1603</v>
      </c>
      <c r="AB114" s="35" t="s">
        <v>1719</v>
      </c>
    </row>
    <row r="115" customFormat="false" ht="15" hidden="false" customHeight="false" outlineLevel="0" collapsed="false">
      <c r="A115" s="35" t="n">
        <v>114</v>
      </c>
      <c r="B115" s="35" t="s">
        <v>759</v>
      </c>
      <c r="C115" s="35" t="s">
        <v>1746</v>
      </c>
      <c r="D115" s="35" t="s">
        <v>758</v>
      </c>
      <c r="E115" s="35" t="s">
        <v>760</v>
      </c>
      <c r="F115" s="40" t="n">
        <v>87.7739782604992</v>
      </c>
      <c r="G115" s="36" t="n">
        <v>5088.97283069943</v>
      </c>
      <c r="H115" s="36" t="n">
        <v>1049.75168699172</v>
      </c>
      <c r="I115" s="6" t="s">
        <v>21</v>
      </c>
      <c r="J115" s="35" t="s">
        <v>5</v>
      </c>
      <c r="K115" s="35" t="s">
        <v>5</v>
      </c>
      <c r="L115" s="35" t="n">
        <v>3</v>
      </c>
      <c r="M115" s="35" t="s">
        <v>43</v>
      </c>
      <c r="N115" s="35" t="s">
        <v>1674</v>
      </c>
      <c r="O115" s="35" t="s">
        <v>45</v>
      </c>
      <c r="P115" s="35" t="s">
        <v>1741</v>
      </c>
      <c r="Q115" s="35" t="n">
        <v>17</v>
      </c>
      <c r="R115" s="35"/>
      <c r="S115" s="35" t="s">
        <v>40</v>
      </c>
      <c r="T115" s="35" t="s">
        <v>41</v>
      </c>
      <c r="U115" s="35" t="s">
        <v>43</v>
      </c>
      <c r="V115" s="35"/>
      <c r="W115" s="35"/>
      <c r="X115" s="35" t="s">
        <v>1718</v>
      </c>
      <c r="Y115" s="35" t="n">
        <v>-7.1873</v>
      </c>
      <c r="Z115" s="35" t="n">
        <v>-48.209183</v>
      </c>
      <c r="AA115" s="49" t="s">
        <v>1603</v>
      </c>
      <c r="AB115" s="35" t="s">
        <v>1719</v>
      </c>
    </row>
    <row r="116" customFormat="false" ht="15" hidden="false" customHeight="false" outlineLevel="0" collapsed="false">
      <c r="A116" s="35" t="n">
        <v>115</v>
      </c>
      <c r="B116" s="35" t="s">
        <v>761</v>
      </c>
      <c r="C116" s="35" t="s">
        <v>1747</v>
      </c>
      <c r="D116" s="35" t="s">
        <v>760</v>
      </c>
      <c r="E116" s="35" t="s">
        <v>762</v>
      </c>
      <c r="F116" s="40" t="n">
        <v>19.3096724463966</v>
      </c>
      <c r="G116" s="36" t="n">
        <v>5108.28250314582</v>
      </c>
      <c r="H116" s="36" t="n">
        <v>1069.06135943812</v>
      </c>
      <c r="I116" s="6" t="s">
        <v>21</v>
      </c>
      <c r="J116" s="35" t="s">
        <v>5</v>
      </c>
      <c r="K116" s="35" t="s">
        <v>5</v>
      </c>
      <c r="L116" s="35" t="n">
        <v>3</v>
      </c>
      <c r="M116" s="35" t="s">
        <v>43</v>
      </c>
      <c r="N116" s="35" t="s">
        <v>1674</v>
      </c>
      <c r="O116" s="35" t="s">
        <v>45</v>
      </c>
      <c r="P116" s="35" t="s">
        <v>1741</v>
      </c>
      <c r="Q116" s="35" t="n">
        <v>17</v>
      </c>
      <c r="R116" s="35"/>
      <c r="S116" s="35" t="s">
        <v>40</v>
      </c>
      <c r="T116" s="35" t="s">
        <v>41</v>
      </c>
      <c r="U116" s="35" t="s">
        <v>43</v>
      </c>
      <c r="V116" s="35"/>
      <c r="W116" s="35"/>
      <c r="X116" s="35" t="s">
        <v>1718</v>
      </c>
      <c r="Y116" s="35" t="n">
        <v>-7.187449</v>
      </c>
      <c r="Z116" s="35" t="n">
        <v>-48.2087215</v>
      </c>
      <c r="AA116" s="49" t="s">
        <v>1603</v>
      </c>
      <c r="AB116" s="35" t="s">
        <v>1719</v>
      </c>
    </row>
    <row r="117" customFormat="false" ht="15" hidden="false" customHeight="false" outlineLevel="0" collapsed="false">
      <c r="A117" s="35" t="n">
        <v>116</v>
      </c>
      <c r="B117" s="35" t="s">
        <v>763</v>
      </c>
      <c r="C117" s="35" t="s">
        <v>1748</v>
      </c>
      <c r="D117" s="35" t="s">
        <v>762</v>
      </c>
      <c r="E117" s="35" t="s">
        <v>764</v>
      </c>
      <c r="F117" s="40" t="n">
        <v>69.1772004038288</v>
      </c>
      <c r="G117" s="36" t="n">
        <v>5177.45970354965</v>
      </c>
      <c r="H117" s="36" t="n">
        <v>1138.23855984195</v>
      </c>
      <c r="I117" s="6" t="s">
        <v>21</v>
      </c>
      <c r="J117" s="35" t="s">
        <v>5</v>
      </c>
      <c r="K117" s="35" t="s">
        <v>5</v>
      </c>
      <c r="L117" s="35" t="n">
        <v>3</v>
      </c>
      <c r="M117" s="35" t="s">
        <v>43</v>
      </c>
      <c r="N117" s="35" t="s">
        <v>1674</v>
      </c>
      <c r="O117" s="35" t="s">
        <v>45</v>
      </c>
      <c r="P117" s="35" t="s">
        <v>1741</v>
      </c>
      <c r="Q117" s="35" t="n">
        <v>17</v>
      </c>
      <c r="R117" s="35"/>
      <c r="S117" s="35" t="s">
        <v>40</v>
      </c>
      <c r="T117" s="35" t="s">
        <v>41</v>
      </c>
      <c r="U117" s="35" t="s">
        <v>43</v>
      </c>
      <c r="V117" s="35"/>
      <c r="W117" s="35"/>
      <c r="X117" s="35" t="s">
        <v>1718</v>
      </c>
      <c r="Y117" s="35" t="n">
        <v>-7.187567</v>
      </c>
      <c r="Z117" s="35" t="n">
        <v>-48.2083385</v>
      </c>
      <c r="AA117" s="49" t="s">
        <v>1603</v>
      </c>
      <c r="AB117" s="35" t="s">
        <v>1719</v>
      </c>
    </row>
    <row r="118" customFormat="false" ht="15" hidden="false" customHeight="false" outlineLevel="0" collapsed="false">
      <c r="A118" s="35" t="n">
        <v>117</v>
      </c>
      <c r="B118" s="35" t="s">
        <v>765</v>
      </c>
      <c r="C118" s="35" t="s">
        <v>1749</v>
      </c>
      <c r="D118" s="35" t="s">
        <v>764</v>
      </c>
      <c r="E118" s="35" t="s">
        <v>766</v>
      </c>
      <c r="F118" s="40" t="n">
        <v>2.44400326514294</v>
      </c>
      <c r="G118" s="36" t="n">
        <v>5179.9037068148</v>
      </c>
      <c r="H118" s="36" t="n">
        <v>1140.68256310709</v>
      </c>
      <c r="I118" s="6" t="s">
        <v>21</v>
      </c>
      <c r="J118" s="35" t="s">
        <v>5</v>
      </c>
      <c r="K118" s="35" t="s">
        <v>5</v>
      </c>
      <c r="L118" s="35" t="n">
        <v>3</v>
      </c>
      <c r="M118" s="35" t="s">
        <v>43</v>
      </c>
      <c r="N118" s="35" t="s">
        <v>1674</v>
      </c>
      <c r="O118" s="35" t="s">
        <v>45</v>
      </c>
      <c r="P118" s="35" t="s">
        <v>1741</v>
      </c>
      <c r="Q118" s="35" t="n">
        <v>17</v>
      </c>
      <c r="R118" s="35" t="s">
        <v>767</v>
      </c>
      <c r="S118" s="35" t="s">
        <v>40</v>
      </c>
      <c r="T118" s="35" t="s">
        <v>41</v>
      </c>
      <c r="U118" s="35" t="s">
        <v>43</v>
      </c>
      <c r="V118" s="35"/>
      <c r="W118" s="35"/>
      <c r="X118" s="35" t="s">
        <v>1718</v>
      </c>
      <c r="Y118" s="35" t="n">
        <v>-7.1876555</v>
      </c>
      <c r="Z118" s="35" t="n">
        <v>-48.2080495</v>
      </c>
      <c r="AA118" s="49" t="s">
        <v>1603</v>
      </c>
      <c r="AB118" s="35" t="s">
        <v>1719</v>
      </c>
    </row>
    <row r="119" customFormat="false" ht="15" hidden="false" customHeight="false" outlineLevel="0" collapsed="false">
      <c r="A119" s="35" t="n">
        <v>118</v>
      </c>
      <c r="B119" s="35" t="s">
        <v>768</v>
      </c>
      <c r="C119" s="35" t="s">
        <v>1750</v>
      </c>
      <c r="D119" s="35" t="s">
        <v>766</v>
      </c>
      <c r="E119" s="35" t="s">
        <v>769</v>
      </c>
      <c r="F119" s="40" t="n">
        <v>47.7339393039975</v>
      </c>
      <c r="G119" s="36" t="n">
        <v>5227.63764611879</v>
      </c>
      <c r="H119" s="36" t="n">
        <v>1188.41650241109</v>
      </c>
      <c r="I119" s="6" t="s">
        <v>21</v>
      </c>
      <c r="J119" s="35" t="s">
        <v>5</v>
      </c>
      <c r="K119" s="35" t="s">
        <v>5</v>
      </c>
      <c r="L119" s="35" t="n">
        <v>3</v>
      </c>
      <c r="M119" s="35" t="s">
        <v>43</v>
      </c>
      <c r="N119" s="35" t="s">
        <v>1674</v>
      </c>
      <c r="O119" s="35" t="s">
        <v>45</v>
      </c>
      <c r="P119" s="35" t="s">
        <v>1741</v>
      </c>
      <c r="Q119" s="35" t="n">
        <v>17</v>
      </c>
      <c r="R119" s="35"/>
      <c r="S119" s="35" t="s">
        <v>40</v>
      </c>
      <c r="T119" s="35" t="s">
        <v>41</v>
      </c>
      <c r="U119" s="35" t="s">
        <v>43</v>
      </c>
      <c r="V119" s="35"/>
      <c r="W119" s="35"/>
      <c r="X119" s="35" t="s">
        <v>1718</v>
      </c>
      <c r="Y119" s="35" t="n">
        <v>-7.187716</v>
      </c>
      <c r="Z119" s="35" t="n">
        <v>-48.2078535</v>
      </c>
      <c r="AA119" s="49" t="s">
        <v>1603</v>
      </c>
      <c r="AB119" s="35" t="s">
        <v>1719</v>
      </c>
    </row>
    <row r="120" customFormat="false" ht="15" hidden="false" customHeight="false" outlineLevel="0" collapsed="false">
      <c r="A120" s="35" t="n">
        <v>119</v>
      </c>
      <c r="B120" s="35" t="s">
        <v>770</v>
      </c>
      <c r="C120" s="35" t="s">
        <v>1751</v>
      </c>
      <c r="D120" s="35" t="s">
        <v>769</v>
      </c>
      <c r="E120" s="35" t="s">
        <v>771</v>
      </c>
      <c r="F120" s="40" t="n">
        <v>18.958789248395</v>
      </c>
      <c r="G120" s="36" t="n">
        <v>5246.59643536719</v>
      </c>
      <c r="H120" s="36" t="n">
        <v>1207.37529165948</v>
      </c>
      <c r="I120" s="6" t="s">
        <v>21</v>
      </c>
      <c r="J120" s="35" t="s">
        <v>5</v>
      </c>
      <c r="K120" s="35" t="s">
        <v>5</v>
      </c>
      <c r="L120" s="35" t="n">
        <v>3</v>
      </c>
      <c r="M120" s="35" t="s">
        <v>43</v>
      </c>
      <c r="N120" s="35" t="s">
        <v>1674</v>
      </c>
      <c r="O120" s="35" t="s">
        <v>45</v>
      </c>
      <c r="P120" s="35" t="s">
        <v>1752</v>
      </c>
      <c r="Q120" s="35" t="n">
        <v>16</v>
      </c>
      <c r="R120" s="35"/>
      <c r="S120" s="35" t="s">
        <v>40</v>
      </c>
      <c r="T120" s="35" t="s">
        <v>41</v>
      </c>
      <c r="U120" s="35" t="s">
        <v>43</v>
      </c>
      <c r="V120" s="35"/>
      <c r="W120" s="35"/>
      <c r="X120" s="35" t="s">
        <v>1718</v>
      </c>
      <c r="Y120" s="35" t="n">
        <v>-7.187862</v>
      </c>
      <c r="Z120" s="35" t="n">
        <v>-48.2076705</v>
      </c>
      <c r="AA120" s="49" t="s">
        <v>1603</v>
      </c>
      <c r="AB120" s="35" t="s">
        <v>1719</v>
      </c>
    </row>
    <row r="121" customFormat="false" ht="15" hidden="false" customHeight="false" outlineLevel="0" collapsed="false">
      <c r="A121" s="35" t="n">
        <v>120</v>
      </c>
      <c r="B121" s="35" t="s">
        <v>772</v>
      </c>
      <c r="C121" s="35" t="s">
        <v>1753</v>
      </c>
      <c r="D121" s="35" t="s">
        <v>771</v>
      </c>
      <c r="E121" s="35" t="s">
        <v>773</v>
      </c>
      <c r="F121" s="40" t="n">
        <v>3.90883278646361</v>
      </c>
      <c r="G121" s="36" t="n">
        <v>5250.50526815365</v>
      </c>
      <c r="H121" s="36" t="n">
        <v>1211.28412444595</v>
      </c>
      <c r="I121" s="6" t="s">
        <v>21</v>
      </c>
      <c r="J121" s="35" t="s">
        <v>5</v>
      </c>
      <c r="K121" s="35" t="s">
        <v>5</v>
      </c>
      <c r="L121" s="35" t="n">
        <v>3</v>
      </c>
      <c r="M121" s="35" t="s">
        <v>43</v>
      </c>
      <c r="N121" s="35" t="s">
        <v>1674</v>
      </c>
      <c r="O121" s="35" t="s">
        <v>45</v>
      </c>
      <c r="P121" s="35" t="s">
        <v>1752</v>
      </c>
      <c r="Q121" s="35" t="n">
        <v>16</v>
      </c>
      <c r="R121" s="35"/>
      <c r="S121" s="35" t="s">
        <v>40</v>
      </c>
      <c r="T121" s="35" t="s">
        <v>41</v>
      </c>
      <c r="U121" s="35" t="s">
        <v>43</v>
      </c>
      <c r="V121" s="35"/>
      <c r="W121" s="35"/>
      <c r="X121" s="35" t="s">
        <v>1718</v>
      </c>
      <c r="Y121" s="35" t="n">
        <v>-7.187961</v>
      </c>
      <c r="Z121" s="35" t="n">
        <v>-48.2076985</v>
      </c>
      <c r="AA121" s="49" t="s">
        <v>1603</v>
      </c>
      <c r="AB121" s="35" t="s">
        <v>1719</v>
      </c>
    </row>
    <row r="122" customFormat="false" ht="15" hidden="false" customHeight="false" outlineLevel="0" collapsed="false">
      <c r="A122" s="35" t="n">
        <v>121</v>
      </c>
      <c r="B122" s="35" t="s">
        <v>774</v>
      </c>
      <c r="C122" s="35" t="s">
        <v>1754</v>
      </c>
      <c r="D122" s="35" t="s">
        <v>773</v>
      </c>
      <c r="E122" s="35" t="s">
        <v>775</v>
      </c>
      <c r="F122" s="40" t="n">
        <v>32.0710679742969</v>
      </c>
      <c r="G122" s="36" t="n">
        <v>5282.57633612795</v>
      </c>
      <c r="H122" s="36" t="n">
        <v>1243.35519242025</v>
      </c>
      <c r="I122" s="6" t="s">
        <v>21</v>
      </c>
      <c r="J122" s="35" t="s">
        <v>5</v>
      </c>
      <c r="K122" s="35" t="s">
        <v>5</v>
      </c>
      <c r="L122" s="35" t="n">
        <v>3</v>
      </c>
      <c r="M122" s="35" t="s">
        <v>43</v>
      </c>
      <c r="N122" s="35" t="s">
        <v>1674</v>
      </c>
      <c r="O122" s="35" t="s">
        <v>45</v>
      </c>
      <c r="P122" s="35" t="s">
        <v>1752</v>
      </c>
      <c r="Q122" s="35" t="n">
        <v>16</v>
      </c>
      <c r="R122" s="35"/>
      <c r="S122" s="35" t="s">
        <v>40</v>
      </c>
      <c r="T122" s="35" t="s">
        <v>41</v>
      </c>
      <c r="U122" s="35" t="s">
        <v>43</v>
      </c>
      <c r="V122" s="35"/>
      <c r="W122" s="35"/>
      <c r="X122" s="35" t="s">
        <v>1718</v>
      </c>
      <c r="Y122" s="35" t="n">
        <v>-7.1881165</v>
      </c>
      <c r="Z122" s="35" t="n">
        <v>-48.2077435</v>
      </c>
      <c r="AA122" s="49" t="s">
        <v>1603</v>
      </c>
      <c r="AB122" s="35" t="s">
        <v>1719</v>
      </c>
    </row>
    <row r="123" customFormat="false" ht="15" hidden="false" customHeight="false" outlineLevel="0" collapsed="false">
      <c r="A123" s="35" t="n">
        <v>122</v>
      </c>
      <c r="B123" s="35" t="s">
        <v>776</v>
      </c>
      <c r="C123" s="35" t="s">
        <v>1755</v>
      </c>
      <c r="D123" s="35" t="s">
        <v>775</v>
      </c>
      <c r="E123" s="35" t="s">
        <v>777</v>
      </c>
      <c r="F123" s="40" t="n">
        <v>0.349142909915672</v>
      </c>
      <c r="G123" s="36" t="n">
        <v>5282.92547903786</v>
      </c>
      <c r="H123" s="36" t="n">
        <v>1243.70433533016</v>
      </c>
      <c r="I123" s="6" t="s">
        <v>21</v>
      </c>
      <c r="J123" s="35" t="s">
        <v>5</v>
      </c>
      <c r="K123" s="35" t="s">
        <v>5</v>
      </c>
      <c r="L123" s="35" t="n">
        <v>3</v>
      </c>
      <c r="M123" s="35" t="s">
        <v>43</v>
      </c>
      <c r="N123" s="35" t="s">
        <v>1674</v>
      </c>
      <c r="O123" s="35" t="s">
        <v>45</v>
      </c>
      <c r="P123" s="35" t="s">
        <v>1752</v>
      </c>
      <c r="Q123" s="35" t="n">
        <v>16</v>
      </c>
      <c r="R123" s="35"/>
      <c r="S123" s="35" t="s">
        <v>40</v>
      </c>
      <c r="T123" s="35" t="s">
        <v>41</v>
      </c>
      <c r="U123" s="35" t="s">
        <v>43</v>
      </c>
      <c r="V123" s="35"/>
      <c r="W123" s="35"/>
      <c r="X123" s="35" t="s">
        <v>1718</v>
      </c>
      <c r="Y123" s="35" t="n">
        <v>-7.1882555</v>
      </c>
      <c r="Z123" s="35" t="n">
        <v>-48.2077855</v>
      </c>
      <c r="AA123" s="49" t="s">
        <v>1603</v>
      </c>
      <c r="AB123" s="35" t="s">
        <v>1719</v>
      </c>
    </row>
    <row r="124" customFormat="false" ht="15" hidden="false" customHeight="false" outlineLevel="0" collapsed="false">
      <c r="A124" s="35" t="n">
        <v>123</v>
      </c>
      <c r="B124" s="35" t="s">
        <v>778</v>
      </c>
      <c r="C124" s="35" t="s">
        <v>1756</v>
      </c>
      <c r="D124" s="35" t="s">
        <v>777</v>
      </c>
      <c r="E124" s="35" t="s">
        <v>779</v>
      </c>
      <c r="F124" s="40" t="n">
        <v>3.09896324944368</v>
      </c>
      <c r="G124" s="36" t="n">
        <v>5286.02444228731</v>
      </c>
      <c r="H124" s="36" t="n">
        <v>1246.80329857961</v>
      </c>
      <c r="I124" s="6" t="s">
        <v>21</v>
      </c>
      <c r="J124" s="35" t="s">
        <v>5</v>
      </c>
      <c r="K124" s="35" t="s">
        <v>5</v>
      </c>
      <c r="L124" s="35" t="n">
        <v>3</v>
      </c>
      <c r="M124" s="35" t="s">
        <v>43</v>
      </c>
      <c r="N124" s="35" t="s">
        <v>1674</v>
      </c>
      <c r="O124" s="35" t="s">
        <v>45</v>
      </c>
      <c r="P124" s="35" t="s">
        <v>1752</v>
      </c>
      <c r="Q124" s="35" t="n">
        <v>16</v>
      </c>
      <c r="R124" s="35"/>
      <c r="S124" s="35" t="s">
        <v>40</v>
      </c>
      <c r="T124" s="35" t="s">
        <v>41</v>
      </c>
      <c r="U124" s="35" t="s">
        <v>43</v>
      </c>
      <c r="V124" s="35"/>
      <c r="W124" s="35"/>
      <c r="X124" s="35" t="s">
        <v>1718</v>
      </c>
      <c r="Y124" s="35" t="n">
        <v>-7.188264</v>
      </c>
      <c r="Z124" s="35" t="n">
        <v>-48.2077985</v>
      </c>
      <c r="AA124" s="49" t="s">
        <v>1603</v>
      </c>
      <c r="AB124" s="35" t="s">
        <v>1719</v>
      </c>
    </row>
    <row r="125" customFormat="false" ht="15" hidden="false" customHeight="false" outlineLevel="0" collapsed="false">
      <c r="A125" s="35" t="n">
        <v>124</v>
      </c>
      <c r="B125" s="35" t="s">
        <v>780</v>
      </c>
      <c r="C125" s="35" t="s">
        <v>1757</v>
      </c>
      <c r="D125" s="35" t="s">
        <v>779</v>
      </c>
      <c r="E125" s="35" t="s">
        <v>781</v>
      </c>
      <c r="F125" s="40" t="n">
        <v>0.333584779838025</v>
      </c>
      <c r="G125" s="36" t="n">
        <v>5286.35802706715</v>
      </c>
      <c r="H125" s="36" t="n">
        <v>1247.13688335944</v>
      </c>
      <c r="I125" s="6" t="s">
        <v>21</v>
      </c>
      <c r="J125" s="35" t="s">
        <v>5</v>
      </c>
      <c r="K125" s="35" t="s">
        <v>5</v>
      </c>
      <c r="L125" s="35" t="n">
        <v>3</v>
      </c>
      <c r="M125" s="35" t="s">
        <v>43</v>
      </c>
      <c r="N125" s="35" t="s">
        <v>1674</v>
      </c>
      <c r="O125" s="35" t="s">
        <v>45</v>
      </c>
      <c r="P125" s="35" t="s">
        <v>1752</v>
      </c>
      <c r="Q125" s="35" t="n">
        <v>16</v>
      </c>
      <c r="R125" s="35"/>
      <c r="S125" s="35" t="s">
        <v>40</v>
      </c>
      <c r="T125" s="35" t="s">
        <v>41</v>
      </c>
      <c r="U125" s="35" t="s">
        <v>43</v>
      </c>
      <c r="V125" s="35"/>
      <c r="W125" s="35"/>
      <c r="X125" s="35" t="s">
        <v>1718</v>
      </c>
      <c r="Y125" s="35" t="n">
        <v>-7.1882735</v>
      </c>
      <c r="Z125" s="35" t="n">
        <v>-48.20781</v>
      </c>
      <c r="AA125" s="49" t="s">
        <v>1603</v>
      </c>
      <c r="AB125" s="35" t="s">
        <v>1719</v>
      </c>
    </row>
    <row r="126" customFormat="false" ht="15" hidden="false" customHeight="false" outlineLevel="0" collapsed="false">
      <c r="A126" s="35" t="n">
        <v>125</v>
      </c>
      <c r="B126" s="35" t="s">
        <v>782</v>
      </c>
      <c r="C126" s="35" t="s">
        <v>1758</v>
      </c>
      <c r="D126" s="35" t="s">
        <v>769</v>
      </c>
      <c r="E126" s="35" t="s">
        <v>783</v>
      </c>
      <c r="F126" s="40" t="n">
        <v>88.8754691312783</v>
      </c>
      <c r="G126" s="36" t="n">
        <v>5316.51311525007</v>
      </c>
      <c r="H126" s="36" t="n">
        <v>1277.29197154237</v>
      </c>
      <c r="I126" s="6" t="s">
        <v>21</v>
      </c>
      <c r="J126" s="35" t="s">
        <v>5</v>
      </c>
      <c r="K126" s="35" t="s">
        <v>5</v>
      </c>
      <c r="L126" s="35" t="n">
        <v>3</v>
      </c>
      <c r="M126" s="35" t="s">
        <v>43</v>
      </c>
      <c r="N126" s="35" t="s">
        <v>1674</v>
      </c>
      <c r="O126" s="35" t="s">
        <v>45</v>
      </c>
      <c r="P126" s="35" t="s">
        <v>273</v>
      </c>
      <c r="Q126" s="35" t="n">
        <v>1</v>
      </c>
      <c r="R126" s="35"/>
      <c r="S126" s="35" t="s">
        <v>40</v>
      </c>
      <c r="T126" s="35" t="s">
        <v>41</v>
      </c>
      <c r="U126" s="35" t="s">
        <v>43</v>
      </c>
      <c r="V126" s="35"/>
      <c r="W126" s="35"/>
      <c r="X126" s="35" t="s">
        <v>1718</v>
      </c>
      <c r="Y126" s="35" t="n">
        <v>-7.1878975</v>
      </c>
      <c r="Z126" s="35" t="n">
        <v>-48.207262</v>
      </c>
      <c r="AA126" s="49" t="s">
        <v>1603</v>
      </c>
      <c r="AB126" s="35" t="s">
        <v>1719</v>
      </c>
    </row>
    <row r="127" customFormat="false" ht="15" hidden="false" customHeight="false" outlineLevel="0" collapsed="false">
      <c r="A127" s="35" t="n">
        <v>126</v>
      </c>
      <c r="B127" s="35" t="s">
        <v>784</v>
      </c>
      <c r="C127" s="35" t="s">
        <v>1759</v>
      </c>
      <c r="D127" s="35" t="s">
        <v>783</v>
      </c>
      <c r="E127" s="35" t="s">
        <v>785</v>
      </c>
      <c r="F127" s="40" t="n">
        <v>77.5213377522675</v>
      </c>
      <c r="G127" s="36" t="n">
        <v>5394.03445300234</v>
      </c>
      <c r="H127" s="36" t="n">
        <v>1354.81330929464</v>
      </c>
      <c r="I127" s="6" t="s">
        <v>21</v>
      </c>
      <c r="J127" s="35" t="s">
        <v>5</v>
      </c>
      <c r="K127" s="35" t="s">
        <v>5</v>
      </c>
      <c r="L127" s="35" t="n">
        <v>3</v>
      </c>
      <c r="M127" s="35" t="s">
        <v>43</v>
      </c>
      <c r="N127" s="35" t="s">
        <v>1674</v>
      </c>
      <c r="O127" s="35" t="s">
        <v>45</v>
      </c>
      <c r="P127" s="35" t="s">
        <v>273</v>
      </c>
      <c r="Q127" s="35" t="n">
        <v>1</v>
      </c>
      <c r="R127" s="35"/>
      <c r="S127" s="35" t="s">
        <v>40</v>
      </c>
      <c r="T127" s="35" t="s">
        <v>41</v>
      </c>
      <c r="U127" s="35" t="s">
        <v>43</v>
      </c>
      <c r="V127" s="35"/>
      <c r="W127" s="35"/>
      <c r="X127" s="35" t="s">
        <v>1718</v>
      </c>
      <c r="Y127" s="35" t="n">
        <v>-7.1881185</v>
      </c>
      <c r="Z127" s="35" t="n">
        <v>-48.2065415</v>
      </c>
      <c r="AA127" s="49" t="s">
        <v>1603</v>
      </c>
      <c r="AB127" s="35" t="s">
        <v>1719</v>
      </c>
    </row>
    <row r="128" customFormat="false" ht="15" hidden="false" customHeight="false" outlineLevel="0" collapsed="false">
      <c r="A128" s="35" t="n">
        <v>127</v>
      </c>
      <c r="B128" s="35" t="s">
        <v>786</v>
      </c>
      <c r="C128" s="35" t="s">
        <v>1760</v>
      </c>
      <c r="D128" s="35" t="s">
        <v>785</v>
      </c>
      <c r="E128" s="35" t="s">
        <v>787</v>
      </c>
      <c r="F128" s="40" t="n">
        <v>3.45762302895617</v>
      </c>
      <c r="G128" s="36" t="n">
        <v>5397.49207603129</v>
      </c>
      <c r="H128" s="36" t="n">
        <v>1358.27093232359</v>
      </c>
      <c r="I128" s="6" t="s">
        <v>21</v>
      </c>
      <c r="J128" s="35" t="s">
        <v>5</v>
      </c>
      <c r="K128" s="35" t="s">
        <v>5</v>
      </c>
      <c r="L128" s="35" t="n">
        <v>3</v>
      </c>
      <c r="M128" s="35" t="s">
        <v>43</v>
      </c>
      <c r="N128" s="35" t="s">
        <v>1674</v>
      </c>
      <c r="O128" s="35" t="s">
        <v>45</v>
      </c>
      <c r="P128" s="35" t="s">
        <v>273</v>
      </c>
      <c r="Q128" s="35" t="n">
        <v>1</v>
      </c>
      <c r="R128" s="35" t="s">
        <v>788</v>
      </c>
      <c r="S128" s="35" t="s">
        <v>40</v>
      </c>
      <c r="T128" s="35" t="s">
        <v>41</v>
      </c>
      <c r="U128" s="35" t="s">
        <v>43</v>
      </c>
      <c r="V128" s="35"/>
      <c r="W128" s="35"/>
      <c r="X128" s="35" t="s">
        <v>1718</v>
      </c>
      <c r="Y128" s="35" t="n">
        <v>-7.1882175</v>
      </c>
      <c r="Z128" s="35" t="n">
        <v>-48.206221</v>
      </c>
      <c r="AA128" s="49" t="s">
        <v>1603</v>
      </c>
      <c r="AB128" s="35" t="s">
        <v>1719</v>
      </c>
    </row>
    <row r="129" customFormat="false" ht="15" hidden="false" customHeight="false" outlineLevel="0" collapsed="false">
      <c r="A129" s="35" t="n">
        <v>128</v>
      </c>
      <c r="B129" s="35" t="s">
        <v>789</v>
      </c>
      <c r="C129" s="35" t="s">
        <v>1761</v>
      </c>
      <c r="D129" s="35" t="s">
        <v>787</v>
      </c>
      <c r="E129" s="35" t="s">
        <v>790</v>
      </c>
      <c r="F129" s="40" t="n">
        <v>88.3812684078033</v>
      </c>
      <c r="G129" s="36" t="n">
        <v>5485.8733444391</v>
      </c>
      <c r="H129" s="36" t="n">
        <v>1446.65220073139</v>
      </c>
      <c r="I129" s="6" t="s">
        <v>21</v>
      </c>
      <c r="J129" s="35" t="s">
        <v>5</v>
      </c>
      <c r="K129" s="35" t="s">
        <v>5</v>
      </c>
      <c r="L129" s="35" t="n">
        <v>3</v>
      </c>
      <c r="M129" s="35" t="s">
        <v>43</v>
      </c>
      <c r="N129" s="35" t="s">
        <v>1674</v>
      </c>
      <c r="O129" s="35" t="s">
        <v>45</v>
      </c>
      <c r="P129" s="35" t="s">
        <v>273</v>
      </c>
      <c r="Q129" s="35" t="n">
        <v>1</v>
      </c>
      <c r="R129" s="35"/>
      <c r="S129" s="35" t="s">
        <v>40</v>
      </c>
      <c r="T129" s="35" t="s">
        <v>41</v>
      </c>
      <c r="U129" s="35" t="s">
        <v>43</v>
      </c>
      <c r="V129" s="35"/>
      <c r="W129" s="35"/>
      <c r="X129" s="35" t="s">
        <v>1718</v>
      </c>
      <c r="Y129" s="35" t="n">
        <v>-7.188331</v>
      </c>
      <c r="Z129" s="35" t="n">
        <v>-48.2058535</v>
      </c>
      <c r="AA129" s="49" t="s">
        <v>1603</v>
      </c>
      <c r="AB129" s="35" t="s">
        <v>1719</v>
      </c>
    </row>
    <row r="130" customFormat="false" ht="15" hidden="false" customHeight="false" outlineLevel="0" collapsed="false">
      <c r="A130" s="35" t="n">
        <v>129</v>
      </c>
      <c r="B130" s="35" t="s">
        <v>791</v>
      </c>
      <c r="C130" s="35" t="s">
        <v>1762</v>
      </c>
      <c r="D130" s="35" t="s">
        <v>790</v>
      </c>
      <c r="E130" s="35" t="s">
        <v>792</v>
      </c>
      <c r="F130" s="40" t="n">
        <v>2.18745565284264</v>
      </c>
      <c r="G130" s="36" t="n">
        <v>5488.06080009194</v>
      </c>
      <c r="H130" s="36" t="n">
        <v>1448.83965638424</v>
      </c>
      <c r="I130" s="6" t="s">
        <v>21</v>
      </c>
      <c r="J130" s="35" t="s">
        <v>5</v>
      </c>
      <c r="K130" s="35" t="s">
        <v>5</v>
      </c>
      <c r="L130" s="35" t="n">
        <v>3</v>
      </c>
      <c r="M130" s="35" t="s">
        <v>43</v>
      </c>
      <c r="N130" s="35" t="s">
        <v>1674</v>
      </c>
      <c r="O130" s="35" t="s">
        <v>45</v>
      </c>
      <c r="P130" s="35" t="s">
        <v>273</v>
      </c>
      <c r="Q130" s="35" t="n">
        <v>1</v>
      </c>
      <c r="R130" s="35"/>
      <c r="S130" s="35" t="s">
        <v>40</v>
      </c>
      <c r="T130" s="35" t="s">
        <v>41</v>
      </c>
      <c r="U130" s="35" t="s">
        <v>43</v>
      </c>
      <c r="V130" s="35"/>
      <c r="W130" s="35"/>
      <c r="X130" s="35" t="s">
        <v>1718</v>
      </c>
      <c r="Y130" s="35" t="n">
        <v>-7.188458</v>
      </c>
      <c r="Z130" s="35" t="n">
        <v>-48.205467</v>
      </c>
      <c r="AA130" s="49" t="s">
        <v>1603</v>
      </c>
      <c r="AB130" s="35" t="s">
        <v>1719</v>
      </c>
    </row>
    <row r="131" customFormat="false" ht="15" hidden="false" customHeight="false" outlineLevel="0" collapsed="false">
      <c r="A131" s="35" t="n">
        <v>130</v>
      </c>
      <c r="B131" s="35" t="s">
        <v>793</v>
      </c>
      <c r="C131" s="35" t="s">
        <v>1763</v>
      </c>
      <c r="D131" s="35" t="s">
        <v>792</v>
      </c>
      <c r="E131" s="35" t="s">
        <v>794</v>
      </c>
      <c r="F131" s="40" t="n">
        <v>14.1257752788024</v>
      </c>
      <c r="G131" s="36" t="n">
        <v>5502.18657537074</v>
      </c>
      <c r="H131" s="36" t="n">
        <v>1462.96543166304</v>
      </c>
      <c r="I131" s="6" t="s">
        <v>21</v>
      </c>
      <c r="J131" s="35" t="s">
        <v>5</v>
      </c>
      <c r="K131" s="35" t="s">
        <v>5</v>
      </c>
      <c r="L131" s="35" t="n">
        <v>3</v>
      </c>
      <c r="M131" s="35" t="s">
        <v>43</v>
      </c>
      <c r="N131" s="35" t="s">
        <v>1674</v>
      </c>
      <c r="O131" s="35" t="s">
        <v>45</v>
      </c>
      <c r="P131" s="35" t="s">
        <v>273</v>
      </c>
      <c r="Q131" s="35" t="n">
        <v>1</v>
      </c>
      <c r="R131" s="35"/>
      <c r="S131" s="35" t="s">
        <v>40</v>
      </c>
      <c r="T131" s="35" t="s">
        <v>41</v>
      </c>
      <c r="U131" s="35" t="s">
        <v>43</v>
      </c>
      <c r="V131" s="35"/>
      <c r="W131" s="35"/>
      <c r="X131" s="35" t="s">
        <v>1718</v>
      </c>
      <c r="Y131" s="35" t="n">
        <v>-7.1885275</v>
      </c>
      <c r="Z131" s="35" t="n">
        <v>-48.2054825</v>
      </c>
      <c r="AA131" s="49" t="s">
        <v>1603</v>
      </c>
      <c r="AB131" s="35" t="s">
        <v>1719</v>
      </c>
    </row>
    <row r="132" customFormat="false" ht="15" hidden="false" customHeight="false" outlineLevel="0" collapsed="false">
      <c r="A132" s="35" t="n">
        <v>131</v>
      </c>
      <c r="B132" s="35" t="s">
        <v>795</v>
      </c>
      <c r="C132" s="35" t="s">
        <v>1764</v>
      </c>
      <c r="D132" s="35" t="s">
        <v>794</v>
      </c>
      <c r="E132" s="35" t="s">
        <v>796</v>
      </c>
      <c r="F132" s="40" t="n">
        <v>13.0710487183097</v>
      </c>
      <c r="G132" s="36" t="n">
        <v>5515.25762408905</v>
      </c>
      <c r="H132" s="36" t="n">
        <v>1476.03648038135</v>
      </c>
      <c r="I132" s="6" t="s">
        <v>21</v>
      </c>
      <c r="J132" s="35" t="s">
        <v>5</v>
      </c>
      <c r="K132" s="35" t="s">
        <v>5</v>
      </c>
      <c r="L132" s="35" t="n">
        <v>3</v>
      </c>
      <c r="M132" s="35" t="s">
        <v>43</v>
      </c>
      <c r="N132" s="35" t="s">
        <v>1674</v>
      </c>
      <c r="O132" s="35" t="s">
        <v>45</v>
      </c>
      <c r="P132" s="35" t="s">
        <v>273</v>
      </c>
      <c r="Q132" s="35" t="n">
        <v>1</v>
      </c>
      <c r="R132" s="35"/>
      <c r="S132" s="35" t="s">
        <v>40</v>
      </c>
      <c r="T132" s="35" t="s">
        <v>41</v>
      </c>
      <c r="U132" s="35" t="s">
        <v>43</v>
      </c>
      <c r="V132" s="35"/>
      <c r="W132" s="35"/>
      <c r="X132" s="35" t="s">
        <v>1718</v>
      </c>
      <c r="Y132" s="35" t="n">
        <v>-7.1886435</v>
      </c>
      <c r="Z132" s="35" t="n">
        <v>-48.2055215</v>
      </c>
      <c r="AA132" s="49" t="s">
        <v>1603</v>
      </c>
      <c r="AB132" s="35" t="s">
        <v>1719</v>
      </c>
    </row>
    <row r="133" customFormat="false" ht="15" hidden="false" customHeight="false" outlineLevel="0" collapsed="false">
      <c r="A133" s="35" t="n">
        <v>132</v>
      </c>
      <c r="B133" s="35" t="s">
        <v>797</v>
      </c>
      <c r="C133" s="35" t="s">
        <v>1765</v>
      </c>
      <c r="D133" s="35" t="s">
        <v>796</v>
      </c>
      <c r="E133" s="35" t="s">
        <v>798</v>
      </c>
      <c r="F133" s="40" t="n">
        <v>3.90883236731191</v>
      </c>
      <c r="G133" s="36" t="n">
        <v>5519.16645645636</v>
      </c>
      <c r="H133" s="36" t="n">
        <v>1479.94531274866</v>
      </c>
      <c r="I133" s="6" t="s">
        <v>21</v>
      </c>
      <c r="J133" s="35" t="s">
        <v>5</v>
      </c>
      <c r="K133" s="35" t="s">
        <v>5</v>
      </c>
      <c r="L133" s="35" t="n">
        <v>3</v>
      </c>
      <c r="M133" s="35" t="s">
        <v>43</v>
      </c>
      <c r="N133" s="35" t="s">
        <v>1674</v>
      </c>
      <c r="O133" s="35" t="s">
        <v>45</v>
      </c>
      <c r="P133" s="35" t="s">
        <v>273</v>
      </c>
      <c r="Q133" s="35" t="n">
        <v>1</v>
      </c>
      <c r="R133" s="35"/>
      <c r="S133" s="35" t="s">
        <v>40</v>
      </c>
      <c r="T133" s="35" t="s">
        <v>41</v>
      </c>
      <c r="U133" s="35" t="s">
        <v>43</v>
      </c>
      <c r="V133" s="35"/>
      <c r="W133" s="35"/>
      <c r="X133" s="35" t="s">
        <v>1718</v>
      </c>
      <c r="Y133" s="35" t="n">
        <v>-7.188716</v>
      </c>
      <c r="Z133" s="35" t="n">
        <v>-48.2055455</v>
      </c>
      <c r="AA133" s="49" t="s">
        <v>1603</v>
      </c>
      <c r="AB133" s="35" t="s">
        <v>1719</v>
      </c>
    </row>
    <row r="134" customFormat="false" ht="15" hidden="false" customHeight="false" outlineLevel="0" collapsed="false">
      <c r="A134" s="35" t="n">
        <v>133</v>
      </c>
      <c r="B134" s="35" t="s">
        <v>799</v>
      </c>
      <c r="C134" s="35" t="s">
        <v>1766</v>
      </c>
      <c r="D134" s="35" t="s">
        <v>798</v>
      </c>
      <c r="E134" s="35" t="s">
        <v>800</v>
      </c>
      <c r="F134" s="40" t="n">
        <v>47.4019487574751</v>
      </c>
      <c r="G134" s="36" t="n">
        <v>5566.56840521384</v>
      </c>
      <c r="H134" s="36" t="n">
        <v>1527.34726150614</v>
      </c>
      <c r="I134" s="6" t="s">
        <v>21</v>
      </c>
      <c r="J134" s="35" t="s">
        <v>5</v>
      </c>
      <c r="K134" s="35" t="s">
        <v>5</v>
      </c>
      <c r="L134" s="35" t="n">
        <v>3</v>
      </c>
      <c r="M134" s="35" t="s">
        <v>43</v>
      </c>
      <c r="N134" s="35" t="s">
        <v>1674</v>
      </c>
      <c r="O134" s="35" t="s">
        <v>45</v>
      </c>
      <c r="P134" s="35" t="s">
        <v>273</v>
      </c>
      <c r="Q134" s="35" t="n">
        <v>1</v>
      </c>
      <c r="R134" s="35"/>
      <c r="S134" s="35" t="s">
        <v>40</v>
      </c>
      <c r="T134" s="35" t="s">
        <v>41</v>
      </c>
      <c r="U134" s="35" t="s">
        <v>43</v>
      </c>
      <c r="V134" s="35"/>
      <c r="W134" s="35"/>
      <c r="X134" s="35" t="s">
        <v>1718</v>
      </c>
      <c r="Y134" s="35" t="n">
        <v>-7.188936</v>
      </c>
      <c r="Z134" s="35" t="n">
        <v>-48.2056155</v>
      </c>
      <c r="AA134" s="49" t="s">
        <v>1603</v>
      </c>
      <c r="AB134" s="35" t="s">
        <v>1719</v>
      </c>
    </row>
    <row r="135" customFormat="false" ht="15" hidden="false" customHeight="false" outlineLevel="0" collapsed="false">
      <c r="A135" s="35" t="n">
        <v>134</v>
      </c>
      <c r="B135" s="35" t="s">
        <v>801</v>
      </c>
      <c r="C135" s="35" t="s">
        <v>1767</v>
      </c>
      <c r="D135" s="35" t="s">
        <v>800</v>
      </c>
      <c r="E135" s="35" t="s">
        <v>802</v>
      </c>
      <c r="F135" s="40" t="n">
        <v>1.88859232385242</v>
      </c>
      <c r="G135" s="36" t="n">
        <v>5568.45699753769</v>
      </c>
      <c r="H135" s="36" t="n">
        <v>1529.23585382999</v>
      </c>
      <c r="I135" s="6" t="s">
        <v>21</v>
      </c>
      <c r="J135" s="35" t="s">
        <v>5</v>
      </c>
      <c r="K135" s="35" t="s">
        <v>5</v>
      </c>
      <c r="L135" s="35" t="n">
        <v>3</v>
      </c>
      <c r="M135" s="35" t="s">
        <v>43</v>
      </c>
      <c r="N135" s="35" t="s">
        <v>1674</v>
      </c>
      <c r="O135" s="35" t="s">
        <v>45</v>
      </c>
      <c r="P135" s="35" t="s">
        <v>273</v>
      </c>
      <c r="Q135" s="35" t="n">
        <v>1</v>
      </c>
      <c r="R135" s="35"/>
      <c r="S135" s="35" t="s">
        <v>40</v>
      </c>
      <c r="T135" s="35" t="s">
        <v>41</v>
      </c>
      <c r="U135" s="35" t="s">
        <v>43</v>
      </c>
      <c r="V135" s="35"/>
      <c r="W135" s="35"/>
      <c r="X135" s="35" t="s">
        <v>1718</v>
      </c>
      <c r="Y135" s="35" t="n">
        <v>-7.18914</v>
      </c>
      <c r="Z135" s="35" t="n">
        <v>-48.2056895</v>
      </c>
      <c r="AA135" s="49" t="s">
        <v>1603</v>
      </c>
      <c r="AB135" s="35" t="s">
        <v>1719</v>
      </c>
    </row>
    <row r="136" customFormat="false" ht="15" hidden="false" customHeight="false" outlineLevel="0" collapsed="false">
      <c r="A136" s="35" t="n">
        <v>135</v>
      </c>
      <c r="B136" s="35" t="s">
        <v>803</v>
      </c>
      <c r="C136" s="35" t="s">
        <v>1768</v>
      </c>
      <c r="D136" s="35" t="s">
        <v>802</v>
      </c>
      <c r="E136" s="35" t="s">
        <v>804</v>
      </c>
      <c r="F136" s="40" t="n">
        <v>94.3437736248426</v>
      </c>
      <c r="G136" s="36" t="n">
        <v>5662.80077116253</v>
      </c>
      <c r="H136" s="36" t="n">
        <v>1623.57962745483</v>
      </c>
      <c r="I136" s="6" t="s">
        <v>21</v>
      </c>
      <c r="J136" s="35" t="s">
        <v>5</v>
      </c>
      <c r="K136" s="35" t="s">
        <v>5</v>
      </c>
      <c r="L136" s="35" t="n">
        <v>3</v>
      </c>
      <c r="M136" s="35" t="s">
        <v>43</v>
      </c>
      <c r="N136" s="35" t="s">
        <v>1674</v>
      </c>
      <c r="O136" s="35" t="s">
        <v>45</v>
      </c>
      <c r="P136" s="35" t="s">
        <v>273</v>
      </c>
      <c r="Q136" s="35" t="n">
        <v>1</v>
      </c>
      <c r="R136" s="35"/>
      <c r="S136" s="35" t="s">
        <v>40</v>
      </c>
      <c r="T136" s="35" t="s">
        <v>41</v>
      </c>
      <c r="U136" s="35" t="s">
        <v>43</v>
      </c>
      <c r="V136" s="35"/>
      <c r="W136" s="35"/>
      <c r="X136" s="35" t="s">
        <v>1718</v>
      </c>
      <c r="Y136" s="35" t="n">
        <v>-7.189033</v>
      </c>
      <c r="Z136" s="35" t="n">
        <v>-48.2061115</v>
      </c>
      <c r="AA136" s="49" t="s">
        <v>1603</v>
      </c>
      <c r="AB136" s="35" t="s">
        <v>1719</v>
      </c>
    </row>
    <row r="137" customFormat="false" ht="15" hidden="false" customHeight="false" outlineLevel="0" collapsed="false">
      <c r="A137" s="35" t="n">
        <v>136</v>
      </c>
      <c r="B137" s="35" t="s">
        <v>805</v>
      </c>
      <c r="C137" s="35" t="s">
        <v>1769</v>
      </c>
      <c r="D137" s="35" t="s">
        <v>804</v>
      </c>
      <c r="E137" s="35" t="s">
        <v>806</v>
      </c>
      <c r="F137" s="40" t="n">
        <v>2.43736169576359</v>
      </c>
      <c r="G137" s="36" t="n">
        <v>5665.2381328583</v>
      </c>
      <c r="H137" s="36" t="n">
        <v>1626.01698915059</v>
      </c>
      <c r="I137" s="6" t="s">
        <v>21</v>
      </c>
      <c r="J137" s="35" t="s">
        <v>5</v>
      </c>
      <c r="K137" s="35" t="s">
        <v>5</v>
      </c>
      <c r="L137" s="35" t="n">
        <v>3</v>
      </c>
      <c r="M137" s="35" t="s">
        <v>43</v>
      </c>
      <c r="N137" s="35" t="s">
        <v>1674</v>
      </c>
      <c r="O137" s="35" t="s">
        <v>45</v>
      </c>
      <c r="P137" s="35" t="s">
        <v>273</v>
      </c>
      <c r="Q137" s="35" t="n">
        <v>1</v>
      </c>
      <c r="R137" s="35"/>
      <c r="S137" s="35" t="s">
        <v>40</v>
      </c>
      <c r="T137" s="35" t="s">
        <v>41</v>
      </c>
      <c r="U137" s="35" t="s">
        <v>43</v>
      </c>
      <c r="V137" s="35"/>
      <c r="W137" s="35"/>
      <c r="X137" s="35" t="s">
        <v>1718</v>
      </c>
      <c r="Y137" s="35" t="n">
        <v>-7.188932</v>
      </c>
      <c r="Z137" s="35" t="n">
        <v>-48.2065335</v>
      </c>
      <c r="AA137" s="49" t="s">
        <v>1603</v>
      </c>
      <c r="AB137" s="35" t="s">
        <v>1719</v>
      </c>
    </row>
    <row r="138" customFormat="false" ht="15" hidden="false" customHeight="false" outlineLevel="0" collapsed="false">
      <c r="A138" s="35" t="n">
        <v>137</v>
      </c>
      <c r="B138" s="35" t="s">
        <v>807</v>
      </c>
      <c r="C138" s="35" t="s">
        <v>1770</v>
      </c>
      <c r="D138" s="35" t="s">
        <v>748</v>
      </c>
      <c r="E138" s="35" t="s">
        <v>808</v>
      </c>
      <c r="F138" s="40" t="n">
        <v>8.51270190082131</v>
      </c>
      <c r="G138" s="36" t="n">
        <v>4678.3687222552</v>
      </c>
      <c r="H138" s="36" t="n">
        <v>639.147578547501</v>
      </c>
      <c r="I138" s="6" t="s">
        <v>21</v>
      </c>
      <c r="J138" s="35" t="s">
        <v>5</v>
      </c>
      <c r="K138" s="35" t="s">
        <v>5</v>
      </c>
      <c r="L138" s="35" t="n">
        <v>3</v>
      </c>
      <c r="M138" s="35" t="s">
        <v>43</v>
      </c>
      <c r="N138" s="35" t="s">
        <v>1674</v>
      </c>
      <c r="O138" s="35" t="s">
        <v>45</v>
      </c>
      <c r="P138" s="35" t="s">
        <v>209</v>
      </c>
      <c r="Q138" s="35" t="n">
        <v>1</v>
      </c>
      <c r="R138" s="35"/>
      <c r="S138" s="35" t="s">
        <v>40</v>
      </c>
      <c r="T138" s="35" t="s">
        <v>41</v>
      </c>
      <c r="U138" s="35" t="s">
        <v>43</v>
      </c>
      <c r="V138" s="35"/>
      <c r="W138" s="35"/>
      <c r="X138" s="35" t="s">
        <v>1718</v>
      </c>
      <c r="Y138" s="35" t="n">
        <v>-7.18902</v>
      </c>
      <c r="Z138" s="35" t="n">
        <v>-48.2118905</v>
      </c>
      <c r="AA138" s="49" t="s">
        <v>1603</v>
      </c>
      <c r="AB138" s="35" t="s">
        <v>1719</v>
      </c>
    </row>
    <row r="139" customFormat="false" ht="15" hidden="false" customHeight="false" outlineLevel="0" collapsed="false">
      <c r="A139" s="35" t="n">
        <v>138</v>
      </c>
      <c r="B139" s="35" t="s">
        <v>809</v>
      </c>
      <c r="C139" s="35" t="s">
        <v>1771</v>
      </c>
      <c r="D139" s="35" t="s">
        <v>808</v>
      </c>
      <c r="E139" s="35" t="s">
        <v>810</v>
      </c>
      <c r="F139" s="40" t="n">
        <v>1.67156836869598</v>
      </c>
      <c r="G139" s="36" t="n">
        <v>4680.0402906239</v>
      </c>
      <c r="H139" s="36" t="n">
        <v>640.819146916197</v>
      </c>
      <c r="I139" s="6" t="s">
        <v>21</v>
      </c>
      <c r="J139" s="35" t="s">
        <v>5</v>
      </c>
      <c r="K139" s="35" t="s">
        <v>5</v>
      </c>
      <c r="L139" s="35" t="n">
        <v>3</v>
      </c>
      <c r="M139" s="35" t="s">
        <v>43</v>
      </c>
      <c r="N139" s="35" t="s">
        <v>1674</v>
      </c>
      <c r="O139" s="35" t="s">
        <v>45</v>
      </c>
      <c r="P139" s="35" t="s">
        <v>209</v>
      </c>
      <c r="Q139" s="35" t="n">
        <v>1</v>
      </c>
      <c r="R139" s="35"/>
      <c r="S139" s="35" t="s">
        <v>40</v>
      </c>
      <c r="T139" s="35" t="s">
        <v>41</v>
      </c>
      <c r="U139" s="35" t="s">
        <v>43</v>
      </c>
      <c r="V139" s="35"/>
      <c r="W139" s="35"/>
      <c r="X139" s="35" t="s">
        <v>1718</v>
      </c>
      <c r="Y139" s="35" t="n">
        <v>-7.1890365</v>
      </c>
      <c r="Z139" s="35" t="n">
        <v>-48.2118535</v>
      </c>
      <c r="AA139" s="49" t="s">
        <v>1603</v>
      </c>
      <c r="AB139" s="35" t="s">
        <v>1719</v>
      </c>
    </row>
    <row r="140" customFormat="false" ht="15" hidden="false" customHeight="false" outlineLevel="0" collapsed="false">
      <c r="A140" s="35" t="n">
        <v>139</v>
      </c>
      <c r="B140" s="35" t="s">
        <v>811</v>
      </c>
      <c r="C140" s="35" t="s">
        <v>1772</v>
      </c>
      <c r="D140" s="35" t="s">
        <v>737</v>
      </c>
      <c r="E140" s="35" t="s">
        <v>812</v>
      </c>
      <c r="F140" s="40" t="n">
        <v>1.40972940824692</v>
      </c>
      <c r="G140" s="36" t="n">
        <v>4414.38975959074</v>
      </c>
      <c r="H140" s="36" t="n">
        <v>375.168615883039</v>
      </c>
      <c r="I140" s="6" t="s">
        <v>21</v>
      </c>
      <c r="J140" s="35" t="s">
        <v>5</v>
      </c>
      <c r="K140" s="35" t="s">
        <v>5</v>
      </c>
      <c r="L140" s="35" t="n">
        <v>3</v>
      </c>
      <c r="M140" s="35" t="s">
        <v>43</v>
      </c>
      <c r="N140" s="35" t="s">
        <v>1674</v>
      </c>
      <c r="O140" s="35" t="s">
        <v>45</v>
      </c>
      <c r="P140" s="35" t="s">
        <v>203</v>
      </c>
      <c r="Q140" s="35" t="n">
        <v>1</v>
      </c>
      <c r="R140" s="35"/>
      <c r="S140" s="35" t="s">
        <v>40</v>
      </c>
      <c r="T140" s="35" t="s">
        <v>41</v>
      </c>
      <c r="U140" s="35" t="s">
        <v>43</v>
      </c>
      <c r="V140" s="35"/>
      <c r="W140" s="35"/>
      <c r="X140" s="35" t="s">
        <v>1718</v>
      </c>
      <c r="Y140" s="35" t="n">
        <v>-7.1883425</v>
      </c>
      <c r="Z140" s="35" t="n">
        <v>-48.2141575</v>
      </c>
      <c r="AA140" s="49" t="s">
        <v>1603</v>
      </c>
      <c r="AB140" s="35" t="s">
        <v>1719</v>
      </c>
    </row>
    <row r="141" customFormat="false" ht="15" hidden="false" customHeight="false" outlineLevel="0" collapsed="false">
      <c r="A141" s="35" t="n">
        <v>140</v>
      </c>
      <c r="B141" s="35" t="s">
        <v>813</v>
      </c>
      <c r="C141" s="35" t="s">
        <v>1773</v>
      </c>
      <c r="D141" s="35" t="s">
        <v>733</v>
      </c>
      <c r="E141" s="35" t="s">
        <v>814</v>
      </c>
      <c r="F141" s="40" t="n">
        <v>57.6405048019438</v>
      </c>
      <c r="G141" s="36" t="n">
        <v>4360.95491230169</v>
      </c>
      <c r="H141" s="36" t="n">
        <v>321.733768593983</v>
      </c>
      <c r="I141" s="6" t="s">
        <v>21</v>
      </c>
      <c r="J141" s="35" t="s">
        <v>5</v>
      </c>
      <c r="K141" s="35" t="s">
        <v>5</v>
      </c>
      <c r="L141" s="35" t="n">
        <v>3</v>
      </c>
      <c r="M141" s="35" t="s">
        <v>43</v>
      </c>
      <c r="N141" s="35" t="s">
        <v>1674</v>
      </c>
      <c r="O141" s="35" t="s">
        <v>45</v>
      </c>
      <c r="P141" s="35" t="s">
        <v>197</v>
      </c>
      <c r="Q141" s="35" t="n">
        <v>1</v>
      </c>
      <c r="R141" s="35"/>
      <c r="S141" s="35" t="s">
        <v>40</v>
      </c>
      <c r="T141" s="35" t="s">
        <v>41</v>
      </c>
      <c r="U141" s="35" t="s">
        <v>43</v>
      </c>
      <c r="V141" s="35"/>
      <c r="W141" s="35"/>
      <c r="X141" s="35" t="s">
        <v>1718</v>
      </c>
      <c r="Y141" s="35" t="n">
        <v>-7.1879015</v>
      </c>
      <c r="Z141" s="35" t="n">
        <v>-48.2151105</v>
      </c>
      <c r="AA141" s="49" t="s">
        <v>1603</v>
      </c>
      <c r="AB141" s="35" t="s">
        <v>1719</v>
      </c>
    </row>
    <row r="142" customFormat="false" ht="15" hidden="false" customHeight="false" outlineLevel="0" collapsed="false">
      <c r="A142" s="35" t="n">
        <v>141</v>
      </c>
      <c r="B142" s="35" t="s">
        <v>815</v>
      </c>
      <c r="C142" s="35" t="s">
        <v>1774</v>
      </c>
      <c r="D142" s="35" t="s">
        <v>814</v>
      </c>
      <c r="E142" s="35" t="s">
        <v>816</v>
      </c>
      <c r="F142" s="40" t="n">
        <v>1.34240155188395</v>
      </c>
      <c r="G142" s="36" t="n">
        <v>4362.29731385357</v>
      </c>
      <c r="H142" s="36" t="n">
        <v>323.076170145867</v>
      </c>
      <c r="I142" s="6" t="s">
        <v>21</v>
      </c>
      <c r="J142" s="35" t="s">
        <v>5</v>
      </c>
      <c r="K142" s="35" t="s">
        <v>5</v>
      </c>
      <c r="L142" s="35" t="n">
        <v>3</v>
      </c>
      <c r="M142" s="35" t="s">
        <v>43</v>
      </c>
      <c r="N142" s="35" t="s">
        <v>1674</v>
      </c>
      <c r="O142" s="35" t="s">
        <v>45</v>
      </c>
      <c r="P142" s="35" t="s">
        <v>197</v>
      </c>
      <c r="Q142" s="35" t="n">
        <v>1</v>
      </c>
      <c r="R142" s="35"/>
      <c r="S142" s="35" t="s">
        <v>40</v>
      </c>
      <c r="T142" s="35" t="s">
        <v>41</v>
      </c>
      <c r="U142" s="35" t="s">
        <v>43</v>
      </c>
      <c r="V142" s="35"/>
      <c r="W142" s="35"/>
      <c r="X142" s="35" t="s">
        <v>1718</v>
      </c>
      <c r="Y142" s="35" t="n">
        <v>-7.188083</v>
      </c>
      <c r="Z142" s="35" t="n">
        <v>-48.215302</v>
      </c>
      <c r="AA142" s="49" t="s">
        <v>1603</v>
      </c>
      <c r="AB142" s="35" t="s">
        <v>1719</v>
      </c>
    </row>
    <row r="143" customFormat="false" ht="15" hidden="false" customHeight="false" outlineLevel="0" collapsed="false">
      <c r="A143" s="35" t="n">
        <v>142</v>
      </c>
      <c r="B143" s="35" t="s">
        <v>817</v>
      </c>
      <c r="C143" s="35" t="s">
        <v>1775</v>
      </c>
      <c r="D143" s="35" t="s">
        <v>729</v>
      </c>
      <c r="E143" s="35" t="s">
        <v>818</v>
      </c>
      <c r="F143" s="40" t="n">
        <v>16.5457623711724</v>
      </c>
      <c r="G143" s="36" t="n">
        <v>4241.68612093478</v>
      </c>
      <c r="H143" s="36" t="n">
        <v>202.464977227076</v>
      </c>
      <c r="I143" s="6" t="s">
        <v>21</v>
      </c>
      <c r="J143" s="35" t="s">
        <v>5</v>
      </c>
      <c r="K143" s="35" t="s">
        <v>5</v>
      </c>
      <c r="L143" s="35" t="n">
        <v>3</v>
      </c>
      <c r="M143" s="35" t="s">
        <v>43</v>
      </c>
      <c r="N143" s="35" t="s">
        <v>1674</v>
      </c>
      <c r="O143" s="35" t="s">
        <v>45</v>
      </c>
      <c r="P143" s="35" t="s">
        <v>191</v>
      </c>
      <c r="Q143" s="35" t="n">
        <v>1</v>
      </c>
      <c r="R143" s="35"/>
      <c r="S143" s="35" t="s">
        <v>40</v>
      </c>
      <c r="T143" s="35" t="s">
        <v>41</v>
      </c>
      <c r="U143" s="35" t="s">
        <v>43</v>
      </c>
      <c r="V143" s="35"/>
      <c r="W143" s="35"/>
      <c r="X143" s="35" t="s">
        <v>1718</v>
      </c>
      <c r="Y143" s="35" t="n">
        <v>-7.187177</v>
      </c>
      <c r="Z143" s="35" t="n">
        <v>-48.2154865</v>
      </c>
      <c r="AA143" s="49" t="s">
        <v>1603</v>
      </c>
      <c r="AB143" s="35" t="s">
        <v>1719</v>
      </c>
    </row>
    <row r="144" customFormat="false" ht="15" hidden="false" customHeight="false" outlineLevel="0" collapsed="false">
      <c r="A144" s="35" t="n">
        <v>143</v>
      </c>
      <c r="B144" s="35" t="s">
        <v>819</v>
      </c>
      <c r="C144" s="35" t="s">
        <v>1776</v>
      </c>
      <c r="D144" s="35" t="s">
        <v>818</v>
      </c>
      <c r="E144" s="35" t="s">
        <v>820</v>
      </c>
      <c r="F144" s="40" t="n">
        <v>2.42851590848411</v>
      </c>
      <c r="G144" s="36" t="n">
        <v>4244.11463684326</v>
      </c>
      <c r="H144" s="36" t="n">
        <v>204.893493135559</v>
      </c>
      <c r="I144" s="6" t="s">
        <v>21</v>
      </c>
      <c r="J144" s="35" t="s">
        <v>5</v>
      </c>
      <c r="K144" s="35" t="s">
        <v>5</v>
      </c>
      <c r="L144" s="35" t="n">
        <v>3</v>
      </c>
      <c r="M144" s="35" t="s">
        <v>43</v>
      </c>
      <c r="N144" s="35" t="s">
        <v>1674</v>
      </c>
      <c r="O144" s="35" t="s">
        <v>45</v>
      </c>
      <c r="P144" s="35" t="s">
        <v>191</v>
      </c>
      <c r="Q144" s="35" t="n">
        <v>1</v>
      </c>
      <c r="R144" s="35" t="s">
        <v>821</v>
      </c>
      <c r="S144" s="35" t="s">
        <v>40</v>
      </c>
      <c r="T144" s="35" t="s">
        <v>41</v>
      </c>
      <c r="U144" s="35" t="s">
        <v>43</v>
      </c>
      <c r="V144" s="35"/>
      <c r="W144" s="35"/>
      <c r="X144" s="35" t="s">
        <v>1718</v>
      </c>
      <c r="Y144" s="35" t="n">
        <v>-7.1871145</v>
      </c>
      <c r="Z144" s="35" t="n">
        <v>-48.215545</v>
      </c>
      <c r="AA144" s="49" t="s">
        <v>1603</v>
      </c>
      <c r="AB144" s="35" t="s">
        <v>1719</v>
      </c>
    </row>
    <row r="145" customFormat="false" ht="15" hidden="false" customHeight="false" outlineLevel="0" collapsed="false">
      <c r="A145" s="35" t="n">
        <v>144</v>
      </c>
      <c r="B145" s="35" t="s">
        <v>822</v>
      </c>
      <c r="C145" s="35" t="s">
        <v>1777</v>
      </c>
      <c r="D145" s="35" t="s">
        <v>820</v>
      </c>
      <c r="E145" s="35" t="s">
        <v>823</v>
      </c>
      <c r="F145" s="40" t="n">
        <v>21.0743798928273</v>
      </c>
      <c r="G145" s="36" t="n">
        <v>4265.18901673609</v>
      </c>
      <c r="H145" s="36" t="n">
        <v>225.967873028386</v>
      </c>
      <c r="I145" s="6" t="s">
        <v>21</v>
      </c>
      <c r="J145" s="35" t="s">
        <v>5</v>
      </c>
      <c r="K145" s="35" t="s">
        <v>5</v>
      </c>
      <c r="L145" s="35" t="n">
        <v>3</v>
      </c>
      <c r="M145" s="35" t="s">
        <v>43</v>
      </c>
      <c r="N145" s="35" t="s">
        <v>1674</v>
      </c>
      <c r="O145" s="35" t="s">
        <v>45</v>
      </c>
      <c r="P145" s="35" t="s">
        <v>191</v>
      </c>
      <c r="Q145" s="35" t="n">
        <v>1</v>
      </c>
      <c r="R145" s="35"/>
      <c r="S145" s="35" t="s">
        <v>40</v>
      </c>
      <c r="T145" s="35" t="s">
        <v>41</v>
      </c>
      <c r="U145" s="35" t="s">
        <v>43</v>
      </c>
      <c r="V145" s="35"/>
      <c r="W145" s="35"/>
      <c r="X145" s="35" t="s">
        <v>1718</v>
      </c>
      <c r="Y145" s="35" t="n">
        <v>-7.1870385</v>
      </c>
      <c r="Z145" s="35" t="n">
        <v>-48.215619</v>
      </c>
      <c r="AA145" s="49" t="s">
        <v>1603</v>
      </c>
      <c r="AB145" s="35" t="s">
        <v>1719</v>
      </c>
    </row>
    <row r="146" customFormat="false" ht="15" hidden="false" customHeight="false" outlineLevel="0" collapsed="false">
      <c r="A146" s="35" t="n">
        <v>145</v>
      </c>
      <c r="B146" s="35" t="s">
        <v>824</v>
      </c>
      <c r="C146" s="35" t="s">
        <v>1778</v>
      </c>
      <c r="D146" s="35" t="s">
        <v>823</v>
      </c>
      <c r="E146" s="35" t="s">
        <v>825</v>
      </c>
      <c r="F146" s="40" t="n">
        <v>0.469910506246895</v>
      </c>
      <c r="G146" s="36" t="n">
        <v>4265.65892724234</v>
      </c>
      <c r="H146" s="36" t="n">
        <v>226.437783534634</v>
      </c>
      <c r="I146" s="6" t="s">
        <v>21</v>
      </c>
      <c r="J146" s="35" t="s">
        <v>5</v>
      </c>
      <c r="K146" s="35" t="s">
        <v>5</v>
      </c>
      <c r="L146" s="35" t="n">
        <v>3</v>
      </c>
      <c r="M146" s="35" t="s">
        <v>43</v>
      </c>
      <c r="N146" s="35" t="s">
        <v>1674</v>
      </c>
      <c r="O146" s="35" t="s">
        <v>45</v>
      </c>
      <c r="P146" s="35" t="s">
        <v>191</v>
      </c>
      <c r="Q146" s="35" t="n">
        <v>1</v>
      </c>
      <c r="R146" s="35"/>
      <c r="S146" s="35" t="s">
        <v>40</v>
      </c>
      <c r="T146" s="35" t="s">
        <v>41</v>
      </c>
      <c r="U146" s="35" t="s">
        <v>43</v>
      </c>
      <c r="V146" s="35"/>
      <c r="W146" s="35"/>
      <c r="X146" s="35" t="s">
        <v>1718</v>
      </c>
      <c r="Y146" s="35" t="n">
        <v>-7.1869715</v>
      </c>
      <c r="Z146" s="35" t="n">
        <v>-48.2156865</v>
      </c>
      <c r="AA146" s="49" t="s">
        <v>1603</v>
      </c>
      <c r="AB146" s="35" t="s">
        <v>1719</v>
      </c>
    </row>
    <row r="147" customFormat="false" ht="15" hidden="false" customHeight="false" outlineLevel="0" collapsed="false">
      <c r="A147" s="35" t="n">
        <v>146</v>
      </c>
      <c r="B147" s="35" t="s">
        <v>826</v>
      </c>
      <c r="C147" s="35" t="s">
        <v>1779</v>
      </c>
      <c r="D147" s="35" t="s">
        <v>577</v>
      </c>
      <c r="E147" s="35" t="s">
        <v>827</v>
      </c>
      <c r="F147" s="40" t="n">
        <v>203.312469031775</v>
      </c>
      <c r="G147" s="36" t="n">
        <v>1293.91647035712</v>
      </c>
      <c r="H147" s="36" t="n">
        <v>1293.91647035712</v>
      </c>
      <c r="I147" s="5" t="s">
        <v>20</v>
      </c>
      <c r="J147" s="35" t="s">
        <v>283</v>
      </c>
      <c r="K147" s="35" t="s">
        <v>379</v>
      </c>
      <c r="L147" s="35" t="n">
        <v>4</v>
      </c>
      <c r="M147" s="35" t="s">
        <v>40</v>
      </c>
      <c r="N147" s="35" t="s">
        <v>1601</v>
      </c>
      <c r="O147" s="35" t="s">
        <v>49</v>
      </c>
      <c r="P147" s="35" t="s">
        <v>50</v>
      </c>
      <c r="Q147" s="35" t="n">
        <v>0</v>
      </c>
      <c r="R147" s="35"/>
      <c r="S147" s="35" t="s">
        <v>40</v>
      </c>
      <c r="T147" s="35"/>
      <c r="U147" s="35"/>
      <c r="V147" s="35"/>
      <c r="W147" s="35"/>
      <c r="X147" s="35" t="s">
        <v>40</v>
      </c>
      <c r="Y147" s="35" t="n">
        <v>-7.191392</v>
      </c>
      <c r="Z147" s="35" t="n">
        <v>-48.2335835</v>
      </c>
      <c r="AA147" s="49" t="s">
        <v>1603</v>
      </c>
      <c r="AB147" s="35" t="s">
        <v>1604</v>
      </c>
    </row>
    <row r="148" customFormat="false" ht="15" hidden="false" customHeight="false" outlineLevel="0" collapsed="false">
      <c r="A148" s="35" t="n">
        <v>147</v>
      </c>
      <c r="B148" s="35" t="s">
        <v>828</v>
      </c>
      <c r="C148" s="35" t="s">
        <v>1780</v>
      </c>
      <c r="D148" s="35" t="s">
        <v>827</v>
      </c>
      <c r="E148" s="35" t="s">
        <v>829</v>
      </c>
      <c r="F148" s="40" t="n">
        <v>3.13542753637762</v>
      </c>
      <c r="G148" s="36" t="n">
        <v>1297.0518978935</v>
      </c>
      <c r="H148" s="36" t="n">
        <v>1297.0518978935</v>
      </c>
      <c r="I148" s="5" t="s">
        <v>20</v>
      </c>
      <c r="J148" s="35" t="s">
        <v>283</v>
      </c>
      <c r="K148" s="35" t="s">
        <v>379</v>
      </c>
      <c r="L148" s="35" t="n">
        <v>4</v>
      </c>
      <c r="M148" s="35" t="s">
        <v>40</v>
      </c>
      <c r="N148" s="35" t="s">
        <v>1601</v>
      </c>
      <c r="O148" s="35" t="s">
        <v>49</v>
      </c>
      <c r="P148" s="35" t="s">
        <v>50</v>
      </c>
      <c r="Q148" s="35" t="n">
        <v>0</v>
      </c>
      <c r="R148" s="35"/>
      <c r="S148" s="35" t="s">
        <v>40</v>
      </c>
      <c r="T148" s="35"/>
      <c r="U148" s="35"/>
      <c r="V148" s="35"/>
      <c r="W148" s="35"/>
      <c r="X148" s="35" t="s">
        <v>40</v>
      </c>
      <c r="Y148" s="35" t="n">
        <v>-7.192222</v>
      </c>
      <c r="Z148" s="35" t="n">
        <v>-48.2340025</v>
      </c>
      <c r="AA148" s="49" t="s">
        <v>1603</v>
      </c>
      <c r="AB148" s="35" t="s">
        <v>1604</v>
      </c>
    </row>
    <row r="149" customFormat="false" ht="15" hidden="false" customHeight="false" outlineLevel="0" collapsed="false">
      <c r="A149" s="35" t="n">
        <v>148</v>
      </c>
      <c r="B149" s="35" t="s">
        <v>830</v>
      </c>
      <c r="C149" s="35" t="s">
        <v>1781</v>
      </c>
      <c r="D149" s="35" t="s">
        <v>829</v>
      </c>
      <c r="E149" s="35" t="s">
        <v>831</v>
      </c>
      <c r="F149" s="40" t="n">
        <v>76.8604305359007</v>
      </c>
      <c r="G149" s="36" t="n">
        <v>1373.9123284294</v>
      </c>
      <c r="H149" s="36" t="n">
        <v>1373.9123284294</v>
      </c>
      <c r="I149" s="5" t="s">
        <v>20</v>
      </c>
      <c r="J149" s="35" t="s">
        <v>283</v>
      </c>
      <c r="K149" s="35" t="s">
        <v>379</v>
      </c>
      <c r="L149" s="35" t="n">
        <v>4</v>
      </c>
      <c r="M149" s="35" t="s">
        <v>40</v>
      </c>
      <c r="N149" s="35" t="s">
        <v>1601</v>
      </c>
      <c r="O149" s="35" t="s">
        <v>49</v>
      </c>
      <c r="P149" s="35" t="s">
        <v>50</v>
      </c>
      <c r="Q149" s="35" t="n">
        <v>0</v>
      </c>
      <c r="R149" s="35"/>
      <c r="S149" s="35" t="s">
        <v>40</v>
      </c>
      <c r="T149" s="35"/>
      <c r="U149" s="35"/>
      <c r="V149" s="35"/>
      <c r="W149" s="35"/>
      <c r="X149" s="35" t="s">
        <v>40</v>
      </c>
      <c r="Y149" s="35" t="n">
        <v>-7.19256</v>
      </c>
      <c r="Z149" s="35" t="n">
        <v>-48.2341265</v>
      </c>
      <c r="AA149" s="49" t="s">
        <v>1603</v>
      </c>
      <c r="AB149" s="35" t="s">
        <v>1604</v>
      </c>
    </row>
    <row r="150" customFormat="false" ht="15" hidden="false" customHeight="false" outlineLevel="0" collapsed="false">
      <c r="A150" s="35" t="n">
        <v>149</v>
      </c>
      <c r="B150" s="35" t="s">
        <v>832</v>
      </c>
      <c r="C150" s="35" t="s">
        <v>1782</v>
      </c>
      <c r="D150" s="35" t="s">
        <v>831</v>
      </c>
      <c r="E150" s="35" t="s">
        <v>833</v>
      </c>
      <c r="F150" s="40" t="n">
        <v>3.77723648028831</v>
      </c>
      <c r="G150" s="36" t="n">
        <v>1377.68956490969</v>
      </c>
      <c r="H150" s="36" t="n">
        <v>1377.68956490969</v>
      </c>
      <c r="I150" s="5" t="s">
        <v>20</v>
      </c>
      <c r="J150" s="35" t="s">
        <v>283</v>
      </c>
      <c r="K150" s="35" t="s">
        <v>379</v>
      </c>
      <c r="L150" s="35" t="n">
        <v>4</v>
      </c>
      <c r="M150" s="35" t="s">
        <v>40</v>
      </c>
      <c r="N150" s="35" t="s">
        <v>1601</v>
      </c>
      <c r="O150" s="35" t="s">
        <v>49</v>
      </c>
      <c r="P150" s="35" t="s">
        <v>50</v>
      </c>
      <c r="Q150" s="35" t="n">
        <v>0</v>
      </c>
      <c r="R150" s="35"/>
      <c r="S150" s="35" t="s">
        <v>40</v>
      </c>
      <c r="T150" s="35"/>
      <c r="U150" s="35"/>
      <c r="V150" s="35"/>
      <c r="W150" s="35"/>
      <c r="X150" s="35" t="s">
        <v>40</v>
      </c>
      <c r="Y150" s="35" t="n">
        <v>-7.1929005</v>
      </c>
      <c r="Z150" s="35" t="n">
        <v>-48.234252</v>
      </c>
      <c r="AA150" s="49" t="s">
        <v>1603</v>
      </c>
      <c r="AB150" s="35" t="s">
        <v>1604</v>
      </c>
    </row>
    <row r="151" customFormat="false" ht="15" hidden="false" customHeight="false" outlineLevel="0" collapsed="false">
      <c r="A151" s="35" t="n">
        <v>150</v>
      </c>
      <c r="B151" s="35" t="s">
        <v>834</v>
      </c>
      <c r="C151" s="35" t="s">
        <v>1783</v>
      </c>
      <c r="D151" s="35" t="s">
        <v>833</v>
      </c>
      <c r="E151" s="35" t="s">
        <v>835</v>
      </c>
      <c r="F151" s="40" t="n">
        <v>41.0280003549737</v>
      </c>
      <c r="G151" s="36" t="n">
        <v>1418.71756526466</v>
      </c>
      <c r="H151" s="36" t="n">
        <v>1418.71756526466</v>
      </c>
      <c r="I151" s="5" t="s">
        <v>20</v>
      </c>
      <c r="J151" s="35" t="s">
        <v>283</v>
      </c>
      <c r="K151" s="35" t="s">
        <v>379</v>
      </c>
      <c r="L151" s="35" t="n">
        <v>4</v>
      </c>
      <c r="M151" s="35" t="s">
        <v>40</v>
      </c>
      <c r="N151" s="35" t="s">
        <v>1601</v>
      </c>
      <c r="O151" s="35" t="s">
        <v>49</v>
      </c>
      <c r="P151" s="35" t="s">
        <v>50</v>
      </c>
      <c r="Q151" s="35" t="n">
        <v>0</v>
      </c>
      <c r="R151" s="35"/>
      <c r="S151" s="35" t="s">
        <v>40</v>
      </c>
      <c r="T151" s="35"/>
      <c r="U151" s="35"/>
      <c r="V151" s="35"/>
      <c r="W151" s="35"/>
      <c r="X151" s="35" t="s">
        <v>40</v>
      </c>
      <c r="Y151" s="35" t="n">
        <v>-7.1931</v>
      </c>
      <c r="Z151" s="35" t="n">
        <v>-48.2342725</v>
      </c>
      <c r="AA151" s="49" t="s">
        <v>1603</v>
      </c>
      <c r="AB151" s="35" t="s">
        <v>1604</v>
      </c>
    </row>
    <row r="152" customFormat="false" ht="15" hidden="false" customHeight="false" outlineLevel="0" collapsed="false">
      <c r="A152" s="35" t="n">
        <v>151</v>
      </c>
      <c r="B152" s="35" t="s">
        <v>836</v>
      </c>
      <c r="C152" s="35" t="s">
        <v>1784</v>
      </c>
      <c r="D152" s="35" t="s">
        <v>577</v>
      </c>
      <c r="E152" s="35" t="s">
        <v>837</v>
      </c>
      <c r="F152" s="40" t="n">
        <v>15.3690914297054</v>
      </c>
      <c r="G152" s="36" t="n">
        <v>1105.97309275505</v>
      </c>
      <c r="H152" s="36" t="n">
        <v>1105.97309275505</v>
      </c>
      <c r="I152" s="5" t="s">
        <v>20</v>
      </c>
      <c r="J152" s="35" t="s">
        <v>283</v>
      </c>
      <c r="K152" s="35" t="s">
        <v>379</v>
      </c>
      <c r="L152" s="35" t="n">
        <v>4</v>
      </c>
      <c r="M152" s="35" t="s">
        <v>40</v>
      </c>
      <c r="N152" s="35" t="s">
        <v>1601</v>
      </c>
      <c r="O152" s="35" t="s">
        <v>49</v>
      </c>
      <c r="P152" s="35" t="s">
        <v>50</v>
      </c>
      <c r="Q152" s="35" t="n">
        <v>0</v>
      </c>
      <c r="R152" s="35"/>
      <c r="S152" s="35" t="s">
        <v>40</v>
      </c>
      <c r="T152" s="35"/>
      <c r="U152" s="35"/>
      <c r="V152" s="35"/>
      <c r="W152" s="35"/>
      <c r="X152" s="35" t="s">
        <v>40</v>
      </c>
      <c r="Y152" s="35" t="n">
        <v>-7.1906065</v>
      </c>
      <c r="Z152" s="35" t="n">
        <v>-48.233108</v>
      </c>
      <c r="AA152" s="49" t="s">
        <v>1603</v>
      </c>
      <c r="AB152" s="35" t="s">
        <v>1604</v>
      </c>
    </row>
    <row r="153" customFormat="false" ht="15" hidden="false" customHeight="false" outlineLevel="0" collapsed="false">
      <c r="A153" s="35" t="n">
        <v>152</v>
      </c>
      <c r="B153" s="35" t="s">
        <v>838</v>
      </c>
      <c r="C153" s="35" t="s">
        <v>1785</v>
      </c>
      <c r="D153" s="35" t="s">
        <v>588</v>
      </c>
      <c r="E153" s="35" t="s">
        <v>839</v>
      </c>
      <c r="F153" s="40" t="n">
        <v>8.46532872647349</v>
      </c>
      <c r="G153" s="36" t="n">
        <v>1352.55004398611</v>
      </c>
      <c r="H153" s="36" t="n">
        <v>1352.55004398611</v>
      </c>
      <c r="I153" s="5" t="s">
        <v>20</v>
      </c>
      <c r="J153" s="35" t="s">
        <v>283</v>
      </c>
      <c r="K153" s="35" t="s">
        <v>382</v>
      </c>
      <c r="L153" s="35" t="n">
        <v>5</v>
      </c>
      <c r="M153" s="35" t="s">
        <v>40</v>
      </c>
      <c r="N153" s="35" t="s">
        <v>1601</v>
      </c>
      <c r="O153" s="35" t="s">
        <v>53</v>
      </c>
      <c r="P153" s="35" t="s">
        <v>50</v>
      </c>
      <c r="Q153" s="35" t="n">
        <v>0</v>
      </c>
      <c r="R153" s="35"/>
      <c r="S153" s="35" t="s">
        <v>40</v>
      </c>
      <c r="T153" s="35"/>
      <c r="U153" s="35"/>
      <c r="V153" s="35"/>
      <c r="W153" s="35"/>
      <c r="X153" s="35" t="s">
        <v>40</v>
      </c>
      <c r="Y153" s="35" t="n">
        <v>-7.18878</v>
      </c>
      <c r="Z153" s="35" t="n">
        <v>-48.231769</v>
      </c>
      <c r="AA153" s="49" t="s">
        <v>1603</v>
      </c>
      <c r="AB153" s="35" t="s">
        <v>1604</v>
      </c>
    </row>
    <row r="154" customFormat="false" ht="15" hidden="false" customHeight="false" outlineLevel="0" collapsed="false">
      <c r="A154" s="35" t="n">
        <v>153</v>
      </c>
      <c r="B154" s="35" t="s">
        <v>840</v>
      </c>
      <c r="C154" s="35" t="s">
        <v>1786</v>
      </c>
      <c r="D154" s="35" t="s">
        <v>597</v>
      </c>
      <c r="E154" s="35" t="s">
        <v>841</v>
      </c>
      <c r="F154" s="40" t="n">
        <v>1.00681676888472</v>
      </c>
      <c r="G154" s="36" t="n">
        <v>1546.47080127852</v>
      </c>
      <c r="H154" s="36" t="n">
        <v>1546.47080127852</v>
      </c>
      <c r="I154" s="5" t="s">
        <v>20</v>
      </c>
      <c r="J154" s="35" t="s">
        <v>283</v>
      </c>
      <c r="K154" s="35" t="s">
        <v>383</v>
      </c>
      <c r="L154" s="35" t="n">
        <v>6</v>
      </c>
      <c r="M154" s="35" t="s">
        <v>40</v>
      </c>
      <c r="N154" s="35" t="s">
        <v>1601</v>
      </c>
      <c r="O154" s="35" t="s">
        <v>56</v>
      </c>
      <c r="P154" s="35" t="s">
        <v>56</v>
      </c>
      <c r="Q154" s="35" t="n">
        <v>1</v>
      </c>
      <c r="R154" s="35"/>
      <c r="S154" s="35" t="s">
        <v>40</v>
      </c>
      <c r="T154" s="35"/>
      <c r="U154" s="35"/>
      <c r="V154" s="35"/>
      <c r="W154" s="35"/>
      <c r="X154" s="35" t="s">
        <v>40</v>
      </c>
      <c r="Y154" s="35" t="n">
        <v>-7.1875145</v>
      </c>
      <c r="Z154" s="35" t="n">
        <v>-48.2304605</v>
      </c>
      <c r="AA154" s="49" t="s">
        <v>1603</v>
      </c>
      <c r="AB154" s="35" t="s">
        <v>1604</v>
      </c>
    </row>
    <row r="155" customFormat="false" ht="15" hidden="false" customHeight="false" outlineLevel="0" collapsed="false">
      <c r="A155" s="35" t="n">
        <v>154</v>
      </c>
      <c r="B155" s="35" t="s">
        <v>842</v>
      </c>
      <c r="C155" s="35" t="s">
        <v>1787</v>
      </c>
      <c r="D155" s="35" t="s">
        <v>841</v>
      </c>
      <c r="E155" s="35" t="s">
        <v>843</v>
      </c>
      <c r="F155" s="40" t="n">
        <v>7.48997745560566</v>
      </c>
      <c r="G155" s="36" t="n">
        <v>1553.96077873413</v>
      </c>
      <c r="H155" s="36" t="n">
        <v>7.48997745560564</v>
      </c>
      <c r="I155" s="7" t="s">
        <v>22</v>
      </c>
      <c r="J155" s="35" t="s">
        <v>283</v>
      </c>
      <c r="K155" s="35" t="s">
        <v>383</v>
      </c>
      <c r="L155" s="35" t="n">
        <v>7</v>
      </c>
      <c r="M155" s="35" t="s">
        <v>56</v>
      </c>
      <c r="N155" s="35" t="s">
        <v>1788</v>
      </c>
      <c r="O155" s="35" t="s">
        <v>57</v>
      </c>
      <c r="P155" s="35" t="s">
        <v>50</v>
      </c>
      <c r="Q155" s="35" t="n">
        <v>0</v>
      </c>
      <c r="R155" s="35"/>
      <c r="S155" s="35" t="s">
        <v>40</v>
      </c>
      <c r="T155" s="35" t="s">
        <v>56</v>
      </c>
      <c r="U155" s="35"/>
      <c r="V155" s="35"/>
      <c r="W155" s="35"/>
      <c r="X155" s="35" t="s">
        <v>1789</v>
      </c>
      <c r="Y155" s="35" t="n">
        <v>-7.1875525</v>
      </c>
      <c r="Z155" s="35" t="n">
        <v>-48.2304645</v>
      </c>
      <c r="AA155" s="49" t="s">
        <v>1603</v>
      </c>
      <c r="AB155" s="35" t="s">
        <v>1790</v>
      </c>
    </row>
    <row r="156" customFormat="false" ht="15" hidden="false" customHeight="false" outlineLevel="0" collapsed="false">
      <c r="A156" s="35" t="n">
        <v>155</v>
      </c>
      <c r="B156" s="35" t="s">
        <v>844</v>
      </c>
      <c r="C156" s="35" t="s">
        <v>1791</v>
      </c>
      <c r="D156" s="35" t="s">
        <v>843</v>
      </c>
      <c r="E156" s="35" t="s">
        <v>845</v>
      </c>
      <c r="F156" s="40" t="n">
        <v>14.8335473711518</v>
      </c>
      <c r="G156" s="36" t="n">
        <v>1568.79432610528</v>
      </c>
      <c r="H156" s="36" t="n">
        <v>22.3235248267574</v>
      </c>
      <c r="I156" s="7" t="s">
        <v>22</v>
      </c>
      <c r="J156" s="35" t="s">
        <v>283</v>
      </c>
      <c r="K156" s="35" t="s">
        <v>383</v>
      </c>
      <c r="L156" s="35" t="n">
        <v>7</v>
      </c>
      <c r="M156" s="35" t="s">
        <v>56</v>
      </c>
      <c r="N156" s="35" t="s">
        <v>1788</v>
      </c>
      <c r="O156" s="35" t="s">
        <v>57</v>
      </c>
      <c r="P156" s="35" t="s">
        <v>50</v>
      </c>
      <c r="Q156" s="35" t="n">
        <v>0</v>
      </c>
      <c r="R156" s="35"/>
      <c r="S156" s="35" t="s">
        <v>40</v>
      </c>
      <c r="T156" s="35" t="s">
        <v>56</v>
      </c>
      <c r="U156" s="35"/>
      <c r="V156" s="35"/>
      <c r="W156" s="35"/>
      <c r="X156" s="35" t="s">
        <v>1789</v>
      </c>
      <c r="Y156" s="35" t="n">
        <v>-7.1875915</v>
      </c>
      <c r="Z156" s="35" t="n">
        <v>-48.230401</v>
      </c>
      <c r="AA156" s="49" t="s">
        <v>1603</v>
      </c>
      <c r="AB156" s="35" t="s">
        <v>1790</v>
      </c>
    </row>
    <row r="157" customFormat="false" ht="15" hidden="false" customHeight="false" outlineLevel="0" collapsed="false">
      <c r="A157" s="35" t="n">
        <v>156</v>
      </c>
      <c r="B157" s="35" t="s">
        <v>846</v>
      </c>
      <c r="C157" s="35" t="s">
        <v>1792</v>
      </c>
      <c r="D157" s="35" t="s">
        <v>599</v>
      </c>
      <c r="E157" s="35" t="s">
        <v>847</v>
      </c>
      <c r="F157" s="40" t="n">
        <v>1.02053122365876</v>
      </c>
      <c r="G157" s="36" t="n">
        <v>1644.07221407701</v>
      </c>
      <c r="H157" s="36" t="n">
        <v>1644.07221407701</v>
      </c>
      <c r="I157" s="5" t="s">
        <v>20</v>
      </c>
      <c r="J157" s="35" t="s">
        <v>283</v>
      </c>
      <c r="K157" s="35" t="s">
        <v>384</v>
      </c>
      <c r="L157" s="35" t="n">
        <v>8</v>
      </c>
      <c r="M157" s="35" t="s">
        <v>40</v>
      </c>
      <c r="N157" s="35" t="s">
        <v>1601</v>
      </c>
      <c r="O157" s="35" t="s">
        <v>60</v>
      </c>
      <c r="P157" s="35" t="s">
        <v>60</v>
      </c>
      <c r="Q157" s="35" t="n">
        <v>1</v>
      </c>
      <c r="R157" s="35"/>
      <c r="S157" s="35" t="s">
        <v>40</v>
      </c>
      <c r="T157" s="35"/>
      <c r="U157" s="35"/>
      <c r="V157" s="35"/>
      <c r="W157" s="35"/>
      <c r="X157" s="35" t="s">
        <v>40</v>
      </c>
      <c r="Y157" s="35" t="n">
        <v>-7.186888</v>
      </c>
      <c r="Z157" s="35" t="n">
        <v>-48.2298355</v>
      </c>
      <c r="AA157" s="49" t="s">
        <v>1603</v>
      </c>
      <c r="AB157" s="35" t="s">
        <v>1604</v>
      </c>
    </row>
    <row r="158" customFormat="false" ht="15" hidden="false" customHeight="false" outlineLevel="0" collapsed="false">
      <c r="A158" s="35" t="n">
        <v>157</v>
      </c>
      <c r="B158" s="35" t="s">
        <v>848</v>
      </c>
      <c r="C158" s="35" t="s">
        <v>1793</v>
      </c>
      <c r="D158" s="35" t="s">
        <v>847</v>
      </c>
      <c r="E158" s="35" t="s">
        <v>849</v>
      </c>
      <c r="F158" s="40" t="n">
        <v>8.54997721921965</v>
      </c>
      <c r="G158" s="36" t="n">
        <v>1652.62219129623</v>
      </c>
      <c r="H158" s="36" t="n">
        <v>8.54997721921973</v>
      </c>
      <c r="I158" s="7" t="s">
        <v>22</v>
      </c>
      <c r="J158" s="35" t="s">
        <v>283</v>
      </c>
      <c r="K158" s="35" t="s">
        <v>384</v>
      </c>
      <c r="L158" s="35" t="n">
        <v>9</v>
      </c>
      <c r="M158" s="35" t="s">
        <v>60</v>
      </c>
      <c r="N158" s="35" t="s">
        <v>1794</v>
      </c>
      <c r="O158" s="35" t="s">
        <v>61</v>
      </c>
      <c r="P158" s="35" t="s">
        <v>50</v>
      </c>
      <c r="Q158" s="35" t="n">
        <v>0</v>
      </c>
      <c r="R158" s="35"/>
      <c r="S158" s="35" t="s">
        <v>40</v>
      </c>
      <c r="T158" s="35" t="s">
        <v>60</v>
      </c>
      <c r="U158" s="35"/>
      <c r="V158" s="35"/>
      <c r="W158" s="35"/>
      <c r="X158" s="35" t="s">
        <v>1795</v>
      </c>
      <c r="Y158" s="35" t="n">
        <v>-7.1869165</v>
      </c>
      <c r="Z158" s="35" t="n">
        <v>-48.229803</v>
      </c>
      <c r="AA158" s="49" t="s">
        <v>1603</v>
      </c>
      <c r="AB158" s="35" t="s">
        <v>1796</v>
      </c>
    </row>
    <row r="159" customFormat="false" ht="15" hidden="false" customHeight="false" outlineLevel="0" collapsed="false">
      <c r="A159" s="35" t="n">
        <v>158</v>
      </c>
      <c r="B159" s="35" t="s">
        <v>850</v>
      </c>
      <c r="C159" s="35" t="s">
        <v>1797</v>
      </c>
      <c r="D159" s="35" t="s">
        <v>601</v>
      </c>
      <c r="E159" s="35" t="s">
        <v>851</v>
      </c>
      <c r="F159" s="40" t="n">
        <v>0.554406188864805</v>
      </c>
      <c r="G159" s="36" t="n">
        <v>1680.35432912644</v>
      </c>
      <c r="H159" s="36" t="n">
        <v>1680.35432912644</v>
      </c>
      <c r="I159" s="5" t="s">
        <v>20</v>
      </c>
      <c r="J159" s="35" t="s">
        <v>283</v>
      </c>
      <c r="K159" s="35" t="s">
        <v>385</v>
      </c>
      <c r="L159" s="35" t="n">
        <v>10</v>
      </c>
      <c r="M159" s="35" t="s">
        <v>40</v>
      </c>
      <c r="N159" s="35" t="s">
        <v>1601</v>
      </c>
      <c r="O159" s="35" t="s">
        <v>64</v>
      </c>
      <c r="P159" s="35" t="s">
        <v>64</v>
      </c>
      <c r="Q159" s="35" t="n">
        <v>1</v>
      </c>
      <c r="R159" s="35"/>
      <c r="S159" s="35" t="s">
        <v>40</v>
      </c>
      <c r="T159" s="35"/>
      <c r="U159" s="35"/>
      <c r="V159" s="35"/>
      <c r="W159" s="35"/>
      <c r="X159" s="35" t="s">
        <v>40</v>
      </c>
      <c r="Y159" s="35" t="n">
        <v>-7.186647</v>
      </c>
      <c r="Z159" s="35" t="n">
        <v>-48.2296085</v>
      </c>
      <c r="AA159" s="49" t="s">
        <v>1603</v>
      </c>
      <c r="AB159" s="35" t="s">
        <v>1604</v>
      </c>
    </row>
    <row r="160" customFormat="false" ht="15" hidden="false" customHeight="false" outlineLevel="0" collapsed="false">
      <c r="A160" s="35" t="n">
        <v>159</v>
      </c>
      <c r="B160" s="35" t="s">
        <v>852</v>
      </c>
      <c r="C160" s="35" t="s">
        <v>1798</v>
      </c>
      <c r="D160" s="35" t="s">
        <v>851</v>
      </c>
      <c r="E160" s="35" t="s">
        <v>853</v>
      </c>
      <c r="F160" s="40" t="n">
        <v>3.83902037096225</v>
      </c>
      <c r="G160" s="36" t="n">
        <v>1684.1933494974</v>
      </c>
      <c r="H160" s="36" t="n">
        <v>3.83902037096232</v>
      </c>
      <c r="I160" s="7" t="s">
        <v>22</v>
      </c>
      <c r="J160" s="35" t="s">
        <v>283</v>
      </c>
      <c r="K160" s="35" t="s">
        <v>385</v>
      </c>
      <c r="L160" s="35" t="n">
        <v>11</v>
      </c>
      <c r="M160" s="35" t="s">
        <v>64</v>
      </c>
      <c r="N160" s="35" t="s">
        <v>1788</v>
      </c>
      <c r="O160" s="35" t="s">
        <v>65</v>
      </c>
      <c r="P160" s="35" t="s">
        <v>50</v>
      </c>
      <c r="Q160" s="35" t="n">
        <v>0</v>
      </c>
      <c r="R160" s="35"/>
      <c r="S160" s="35" t="s">
        <v>40</v>
      </c>
      <c r="T160" s="35" t="s">
        <v>64</v>
      </c>
      <c r="U160" s="35"/>
      <c r="V160" s="35"/>
      <c r="W160" s="35"/>
      <c r="X160" s="35" t="s">
        <v>1799</v>
      </c>
      <c r="Y160" s="35" t="n">
        <v>-7.1866615</v>
      </c>
      <c r="Z160" s="35" t="n">
        <v>-48.229595</v>
      </c>
      <c r="AA160" s="49" t="s">
        <v>1603</v>
      </c>
      <c r="AB160" s="35" t="s">
        <v>1800</v>
      </c>
    </row>
    <row r="161" customFormat="false" ht="15" hidden="false" customHeight="false" outlineLevel="0" collapsed="false">
      <c r="A161" s="35" t="n">
        <v>160</v>
      </c>
      <c r="B161" s="35" t="s">
        <v>854</v>
      </c>
      <c r="C161" s="35" t="s">
        <v>1801</v>
      </c>
      <c r="D161" s="35" t="s">
        <v>603</v>
      </c>
      <c r="E161" s="35" t="s">
        <v>855</v>
      </c>
      <c r="F161" s="40" t="n">
        <v>1.02176395015507</v>
      </c>
      <c r="G161" s="36" t="n">
        <v>1788.11306188083</v>
      </c>
      <c r="H161" s="36" t="n">
        <v>1788.11306188083</v>
      </c>
      <c r="I161" s="5" t="s">
        <v>20</v>
      </c>
      <c r="J161" s="35" t="s">
        <v>283</v>
      </c>
      <c r="K161" s="35" t="s">
        <v>386</v>
      </c>
      <c r="L161" s="35" t="n">
        <v>12</v>
      </c>
      <c r="M161" s="35" t="s">
        <v>40</v>
      </c>
      <c r="N161" s="35" t="s">
        <v>1601</v>
      </c>
      <c r="O161" s="35" t="s">
        <v>68</v>
      </c>
      <c r="P161" s="35" t="s">
        <v>68</v>
      </c>
      <c r="Q161" s="35" t="n">
        <v>1</v>
      </c>
      <c r="R161" s="35"/>
      <c r="S161" s="35" t="s">
        <v>40</v>
      </c>
      <c r="T161" s="35"/>
      <c r="U161" s="35"/>
      <c r="V161" s="35"/>
      <c r="W161" s="35"/>
      <c r="X161" s="35" t="s">
        <v>40</v>
      </c>
      <c r="Y161" s="35" t="n">
        <v>-7.1859435</v>
      </c>
      <c r="Z161" s="35" t="n">
        <v>-48.228943</v>
      </c>
      <c r="AA161" s="49" t="s">
        <v>1603</v>
      </c>
      <c r="AB161" s="35" t="s">
        <v>1604</v>
      </c>
    </row>
    <row r="162" customFormat="false" ht="15" hidden="false" customHeight="false" outlineLevel="0" collapsed="false">
      <c r="A162" s="35" t="n">
        <v>161</v>
      </c>
      <c r="B162" s="35" t="s">
        <v>856</v>
      </c>
      <c r="C162" s="35" t="s">
        <v>1802</v>
      </c>
      <c r="D162" s="35" t="s">
        <v>855</v>
      </c>
      <c r="E162" s="35" t="s">
        <v>857</v>
      </c>
      <c r="F162" s="40" t="n">
        <v>8.8549610425365</v>
      </c>
      <c r="G162" s="36" t="n">
        <v>1796.96802292336</v>
      </c>
      <c r="H162" s="36" t="n">
        <v>8.85496104253662</v>
      </c>
      <c r="I162" s="7" t="s">
        <v>22</v>
      </c>
      <c r="J162" s="35" t="s">
        <v>283</v>
      </c>
      <c r="K162" s="35" t="s">
        <v>386</v>
      </c>
      <c r="L162" s="35" t="n">
        <v>13</v>
      </c>
      <c r="M162" s="35" t="s">
        <v>68</v>
      </c>
      <c r="N162" s="35" t="s">
        <v>1788</v>
      </c>
      <c r="O162" s="35" t="s">
        <v>69</v>
      </c>
      <c r="P162" s="35" t="s">
        <v>50</v>
      </c>
      <c r="Q162" s="35" t="n">
        <v>0</v>
      </c>
      <c r="R162" s="35"/>
      <c r="S162" s="35" t="s">
        <v>40</v>
      </c>
      <c r="T162" s="35" t="s">
        <v>68</v>
      </c>
      <c r="U162" s="35"/>
      <c r="V162" s="35"/>
      <c r="W162" s="35"/>
      <c r="X162" s="35" t="s">
        <v>1803</v>
      </c>
      <c r="Y162" s="35" t="n">
        <v>-7.185976</v>
      </c>
      <c r="Z162" s="35" t="n">
        <v>-48.2289125</v>
      </c>
      <c r="AA162" s="49" t="s">
        <v>1603</v>
      </c>
      <c r="AB162" s="35" t="s">
        <v>1804</v>
      </c>
    </row>
    <row r="163" customFormat="false" ht="15" hidden="false" customHeight="false" outlineLevel="0" collapsed="false">
      <c r="A163" s="35" t="n">
        <v>162</v>
      </c>
      <c r="B163" s="35" t="s">
        <v>858</v>
      </c>
      <c r="C163" s="35" t="s">
        <v>1805</v>
      </c>
      <c r="D163" s="35" t="s">
        <v>611</v>
      </c>
      <c r="E163" s="35" t="s">
        <v>859</v>
      </c>
      <c r="F163" s="40" t="n">
        <v>1.04309589998363</v>
      </c>
      <c r="G163" s="36" t="n">
        <v>2127.06435070955</v>
      </c>
      <c r="H163" s="36" t="n">
        <v>2127.06435070955</v>
      </c>
      <c r="I163" s="5" t="s">
        <v>20</v>
      </c>
      <c r="J163" s="35" t="s">
        <v>283</v>
      </c>
      <c r="K163" s="35" t="s">
        <v>387</v>
      </c>
      <c r="L163" s="35" t="n">
        <v>14</v>
      </c>
      <c r="M163" s="35" t="s">
        <v>40</v>
      </c>
      <c r="N163" s="35" t="s">
        <v>1601</v>
      </c>
      <c r="O163" s="35" t="s">
        <v>72</v>
      </c>
      <c r="P163" s="35" t="s">
        <v>72</v>
      </c>
      <c r="Q163" s="35" t="n">
        <v>1</v>
      </c>
      <c r="R163" s="35"/>
      <c r="S163" s="35" t="s">
        <v>40</v>
      </c>
      <c r="T163" s="35"/>
      <c r="U163" s="35"/>
      <c r="V163" s="35"/>
      <c r="W163" s="35"/>
      <c r="X163" s="35" t="s">
        <v>40</v>
      </c>
      <c r="Y163" s="35" t="n">
        <v>-7.1837835</v>
      </c>
      <c r="Z163" s="35" t="n">
        <v>-48.226774</v>
      </c>
      <c r="AA163" s="49" t="s">
        <v>1603</v>
      </c>
      <c r="AB163" s="35" t="s">
        <v>1604</v>
      </c>
    </row>
    <row r="164" customFormat="false" ht="15" hidden="false" customHeight="false" outlineLevel="0" collapsed="false">
      <c r="A164" s="35" t="n">
        <v>163</v>
      </c>
      <c r="B164" s="35" t="s">
        <v>860</v>
      </c>
      <c r="C164" s="35" t="s">
        <v>1806</v>
      </c>
      <c r="D164" s="35" t="s">
        <v>859</v>
      </c>
      <c r="E164" s="35" t="s">
        <v>861</v>
      </c>
      <c r="F164" s="40" t="n">
        <v>9.06301259230931</v>
      </c>
      <c r="G164" s="36" t="n">
        <v>2136.12736330186</v>
      </c>
      <c r="H164" s="36" t="n">
        <v>9.06301259230941</v>
      </c>
      <c r="I164" s="7" t="s">
        <v>22</v>
      </c>
      <c r="J164" s="35" t="s">
        <v>283</v>
      </c>
      <c r="K164" s="35" t="s">
        <v>387</v>
      </c>
      <c r="L164" s="35" t="n">
        <v>15</v>
      </c>
      <c r="M164" s="35" t="s">
        <v>72</v>
      </c>
      <c r="N164" s="35" t="s">
        <v>1788</v>
      </c>
      <c r="O164" s="35" t="s">
        <v>73</v>
      </c>
      <c r="P164" s="35" t="s">
        <v>50</v>
      </c>
      <c r="Q164" s="35" t="n">
        <v>0</v>
      </c>
      <c r="R164" s="35"/>
      <c r="S164" s="35" t="s">
        <v>40</v>
      </c>
      <c r="T164" s="35" t="s">
        <v>72</v>
      </c>
      <c r="U164" s="35"/>
      <c r="V164" s="35"/>
      <c r="W164" s="35"/>
      <c r="X164" s="35" t="s">
        <v>1807</v>
      </c>
      <c r="Y164" s="35" t="n">
        <v>-7.1838065</v>
      </c>
      <c r="Z164" s="35" t="n">
        <v>-48.2267345</v>
      </c>
      <c r="AA164" s="49" t="s">
        <v>1603</v>
      </c>
      <c r="AB164" s="35" t="s">
        <v>1808</v>
      </c>
    </row>
    <row r="165" customFormat="false" ht="15" hidden="false" customHeight="false" outlineLevel="0" collapsed="false">
      <c r="A165" s="35" t="n">
        <v>164</v>
      </c>
      <c r="B165" s="35" t="s">
        <v>862</v>
      </c>
      <c r="C165" s="35" t="s">
        <v>1809</v>
      </c>
      <c r="D165" s="35" t="s">
        <v>613</v>
      </c>
      <c r="E165" s="35" t="s">
        <v>863</v>
      </c>
      <c r="F165" s="40" t="n">
        <v>2.92107174865001</v>
      </c>
      <c r="G165" s="36" t="n">
        <v>2154.34238289656</v>
      </c>
      <c r="H165" s="36" t="n">
        <v>2154.34238289656</v>
      </c>
      <c r="I165" s="5" t="s">
        <v>20</v>
      </c>
      <c r="J165" s="35" t="s">
        <v>283</v>
      </c>
      <c r="K165" s="35" t="s">
        <v>388</v>
      </c>
      <c r="L165" s="35" t="n">
        <v>16</v>
      </c>
      <c r="M165" s="35" t="s">
        <v>40</v>
      </c>
      <c r="N165" s="35" t="s">
        <v>1601</v>
      </c>
      <c r="O165" s="35" t="s">
        <v>76</v>
      </c>
      <c r="P165" s="35" t="s">
        <v>50</v>
      </c>
      <c r="Q165" s="35" t="n">
        <v>0</v>
      </c>
      <c r="R165" s="35"/>
      <c r="S165" s="35" t="s">
        <v>40</v>
      </c>
      <c r="T165" s="35"/>
      <c r="U165" s="35"/>
      <c r="V165" s="35"/>
      <c r="W165" s="35"/>
      <c r="X165" s="35" t="s">
        <v>40</v>
      </c>
      <c r="Y165" s="35" t="n">
        <v>-7.183605</v>
      </c>
      <c r="Z165" s="35" t="n">
        <v>-48.2266325</v>
      </c>
      <c r="AA165" s="49" t="s">
        <v>1603</v>
      </c>
      <c r="AB165" s="35" t="s">
        <v>1604</v>
      </c>
    </row>
    <row r="166" customFormat="false" ht="15" hidden="false" customHeight="false" outlineLevel="0" collapsed="false">
      <c r="A166" s="35" t="n">
        <v>165</v>
      </c>
      <c r="B166" s="35" t="s">
        <v>864</v>
      </c>
      <c r="C166" s="35" t="s">
        <v>1810</v>
      </c>
      <c r="D166" s="35" t="s">
        <v>863</v>
      </c>
      <c r="E166" s="35" t="s">
        <v>865</v>
      </c>
      <c r="F166" s="40" t="n">
        <v>76.3618744711432</v>
      </c>
      <c r="G166" s="36" t="n">
        <v>2230.7042573677</v>
      </c>
      <c r="H166" s="36" t="n">
        <v>2230.7042573677</v>
      </c>
      <c r="I166" s="5" t="s">
        <v>20</v>
      </c>
      <c r="J166" s="35" t="s">
        <v>283</v>
      </c>
      <c r="K166" s="35" t="s">
        <v>388</v>
      </c>
      <c r="L166" s="35" t="n">
        <v>16</v>
      </c>
      <c r="M166" s="35" t="s">
        <v>40</v>
      </c>
      <c r="N166" s="35" t="s">
        <v>1601</v>
      </c>
      <c r="O166" s="35" t="s">
        <v>76</v>
      </c>
      <c r="P166" s="35" t="s">
        <v>50</v>
      </c>
      <c r="Q166" s="35" t="n">
        <v>0</v>
      </c>
      <c r="R166" s="35"/>
      <c r="S166" s="35" t="s">
        <v>40</v>
      </c>
      <c r="T166" s="35"/>
      <c r="U166" s="35"/>
      <c r="V166" s="35"/>
      <c r="W166" s="35"/>
      <c r="X166" s="35" t="s">
        <v>40</v>
      </c>
      <c r="Y166" s="35" t="n">
        <v>-7.1833575</v>
      </c>
      <c r="Z166" s="35" t="n">
        <v>-48.226891</v>
      </c>
      <c r="AA166" s="49" t="s">
        <v>1603</v>
      </c>
      <c r="AB166" s="35" t="s">
        <v>1604</v>
      </c>
    </row>
    <row r="167" customFormat="false" ht="15" hidden="false" customHeight="false" outlineLevel="0" collapsed="false">
      <c r="A167" s="35" t="n">
        <v>166</v>
      </c>
      <c r="B167" s="35" t="s">
        <v>866</v>
      </c>
      <c r="C167" s="35" t="s">
        <v>1811</v>
      </c>
      <c r="D167" s="35" t="s">
        <v>619</v>
      </c>
      <c r="E167" s="35" t="s">
        <v>867</v>
      </c>
      <c r="F167" s="40" t="n">
        <v>0.951570434771641</v>
      </c>
      <c r="G167" s="36" t="n">
        <v>2219.03178559953</v>
      </c>
      <c r="H167" s="36" t="n">
        <v>2219.03178559953</v>
      </c>
      <c r="I167" s="5" t="s">
        <v>20</v>
      </c>
      <c r="J167" s="35" t="s">
        <v>283</v>
      </c>
      <c r="K167" s="35" t="s">
        <v>389</v>
      </c>
      <c r="L167" s="35" t="n">
        <v>17</v>
      </c>
      <c r="M167" s="35" t="s">
        <v>40</v>
      </c>
      <c r="N167" s="35" t="s">
        <v>1601</v>
      </c>
      <c r="O167" s="35" t="s">
        <v>79</v>
      </c>
      <c r="P167" s="35" t="s">
        <v>79</v>
      </c>
      <c r="Q167" s="35" t="n">
        <v>1</v>
      </c>
      <c r="R167" s="35"/>
      <c r="S167" s="35" t="s">
        <v>40</v>
      </c>
      <c r="T167" s="35"/>
      <c r="U167" s="35"/>
      <c r="V167" s="35"/>
      <c r="W167" s="35"/>
      <c r="X167" s="35" t="s">
        <v>40</v>
      </c>
      <c r="Y167" s="35" t="n">
        <v>-7.1831755</v>
      </c>
      <c r="Z167" s="35" t="n">
        <v>-48.2262085</v>
      </c>
      <c r="AA167" s="49" t="s">
        <v>1603</v>
      </c>
      <c r="AB167" s="35" t="s">
        <v>1604</v>
      </c>
    </row>
    <row r="168" customFormat="false" ht="15" hidden="false" customHeight="false" outlineLevel="0" collapsed="false">
      <c r="A168" s="35" t="n">
        <v>167</v>
      </c>
      <c r="B168" s="35" t="s">
        <v>868</v>
      </c>
      <c r="C168" s="35" t="s">
        <v>1812</v>
      </c>
      <c r="D168" s="35" t="s">
        <v>867</v>
      </c>
      <c r="E168" s="35" t="s">
        <v>869</v>
      </c>
      <c r="F168" s="40" t="n">
        <v>8.68446749532155</v>
      </c>
      <c r="G168" s="36" t="n">
        <v>2227.71625309486</v>
      </c>
      <c r="H168" s="36" t="n">
        <v>8.68446749532177</v>
      </c>
      <c r="I168" s="7" t="s">
        <v>22</v>
      </c>
      <c r="J168" s="35" t="s">
        <v>283</v>
      </c>
      <c r="K168" s="35" t="s">
        <v>389</v>
      </c>
      <c r="L168" s="35" t="n">
        <v>18</v>
      </c>
      <c r="M168" s="35" t="s">
        <v>79</v>
      </c>
      <c r="N168" s="35" t="s">
        <v>1788</v>
      </c>
      <c r="O168" s="35" t="s">
        <v>80</v>
      </c>
      <c r="P168" s="35" t="s">
        <v>50</v>
      </c>
      <c r="Q168" s="35" t="n">
        <v>0</v>
      </c>
      <c r="R168" s="35"/>
      <c r="S168" s="35" t="s">
        <v>40</v>
      </c>
      <c r="T168" s="35" t="s">
        <v>79</v>
      </c>
      <c r="U168" s="35"/>
      <c r="V168" s="35"/>
      <c r="W168" s="35"/>
      <c r="X168" s="35" t="s">
        <v>1813</v>
      </c>
      <c r="Y168" s="35" t="n">
        <v>-7.1831985</v>
      </c>
      <c r="Z168" s="35" t="n">
        <v>-48.2261715</v>
      </c>
      <c r="AA168" s="49" t="s">
        <v>1603</v>
      </c>
      <c r="AB168" s="35" t="s">
        <v>1814</v>
      </c>
    </row>
    <row r="169" customFormat="false" ht="15" hidden="false" customHeight="false" outlineLevel="0" collapsed="false">
      <c r="A169" s="35" t="n">
        <v>168</v>
      </c>
      <c r="B169" s="35" t="s">
        <v>870</v>
      </c>
      <c r="C169" s="35" t="s">
        <v>1815</v>
      </c>
      <c r="D169" s="35" t="s">
        <v>621</v>
      </c>
      <c r="E169" s="35" t="s">
        <v>871</v>
      </c>
      <c r="F169" s="40" t="n">
        <v>0.865673170948216</v>
      </c>
      <c r="G169" s="36" t="n">
        <v>2227.25605028214</v>
      </c>
      <c r="H169" s="36" t="n">
        <v>2227.25605028214</v>
      </c>
      <c r="I169" s="5" t="s">
        <v>20</v>
      </c>
      <c r="J169" s="35" t="s">
        <v>283</v>
      </c>
      <c r="K169" s="35" t="s">
        <v>390</v>
      </c>
      <c r="L169" s="35" t="n">
        <v>19</v>
      </c>
      <c r="M169" s="35" t="s">
        <v>40</v>
      </c>
      <c r="N169" s="35" t="s">
        <v>1601</v>
      </c>
      <c r="O169" s="35" t="s">
        <v>83</v>
      </c>
      <c r="P169" s="35" t="s">
        <v>83</v>
      </c>
      <c r="Q169" s="35" t="n">
        <v>1</v>
      </c>
      <c r="R169" s="35"/>
      <c r="S169" s="35" t="s">
        <v>40</v>
      </c>
      <c r="T169" s="35"/>
      <c r="U169" s="35"/>
      <c r="V169" s="35"/>
      <c r="W169" s="35"/>
      <c r="X169" s="35" t="s">
        <v>40</v>
      </c>
      <c r="Y169" s="35" t="n">
        <v>-7.183121</v>
      </c>
      <c r="Z169" s="35" t="n">
        <v>-48.2261585</v>
      </c>
      <c r="AA169" s="49" t="s">
        <v>1603</v>
      </c>
      <c r="AB169" s="35" t="s">
        <v>1604</v>
      </c>
    </row>
    <row r="170" customFormat="false" ht="15" hidden="false" customHeight="false" outlineLevel="0" collapsed="false">
      <c r="A170" s="35" t="n">
        <v>169</v>
      </c>
      <c r="B170" s="35" t="s">
        <v>872</v>
      </c>
      <c r="C170" s="35" t="s">
        <v>1816</v>
      </c>
      <c r="D170" s="35" t="s">
        <v>871</v>
      </c>
      <c r="E170" s="35" t="s">
        <v>873</v>
      </c>
      <c r="F170" s="40" t="n">
        <v>7.67560110789648</v>
      </c>
      <c r="G170" s="36" t="n">
        <v>2234.93165139004</v>
      </c>
      <c r="H170" s="36" t="n">
        <v>7.67560110789646</v>
      </c>
      <c r="I170" s="7" t="s">
        <v>22</v>
      </c>
      <c r="J170" s="35" t="s">
        <v>283</v>
      </c>
      <c r="K170" s="35" t="s">
        <v>390</v>
      </c>
      <c r="L170" s="35" t="n">
        <v>20</v>
      </c>
      <c r="M170" s="35" t="s">
        <v>83</v>
      </c>
      <c r="N170" s="35" t="s">
        <v>1788</v>
      </c>
      <c r="O170" s="35" t="s">
        <v>84</v>
      </c>
      <c r="P170" s="35" t="s">
        <v>50</v>
      </c>
      <c r="Q170" s="35" t="n">
        <v>0</v>
      </c>
      <c r="R170" s="35"/>
      <c r="S170" s="35" t="s">
        <v>40</v>
      </c>
      <c r="T170" s="35" t="s">
        <v>83</v>
      </c>
      <c r="U170" s="35"/>
      <c r="V170" s="35"/>
      <c r="W170" s="35"/>
      <c r="X170" s="35" t="s">
        <v>1817</v>
      </c>
      <c r="Y170" s="35" t="n">
        <v>-7.183148</v>
      </c>
      <c r="Z170" s="35" t="n">
        <v>-48.226131</v>
      </c>
      <c r="AA170" s="49" t="s">
        <v>1603</v>
      </c>
      <c r="AB170" s="35" t="s">
        <v>1818</v>
      </c>
    </row>
    <row r="171" customFormat="false" ht="15" hidden="false" customHeight="false" outlineLevel="0" collapsed="false">
      <c r="A171" s="35" t="n">
        <v>170</v>
      </c>
      <c r="B171" s="35" t="s">
        <v>874</v>
      </c>
      <c r="C171" s="35" t="s">
        <v>1819</v>
      </c>
      <c r="D171" s="35" t="s">
        <v>873</v>
      </c>
      <c r="E171" s="35" t="s">
        <v>875</v>
      </c>
      <c r="F171" s="40" t="n">
        <v>18.2520041251135</v>
      </c>
      <c r="G171" s="36" t="n">
        <v>2253.18365551515</v>
      </c>
      <c r="H171" s="36" t="n">
        <v>25.9276052330101</v>
      </c>
      <c r="I171" s="7" t="s">
        <v>22</v>
      </c>
      <c r="J171" s="35" t="s">
        <v>283</v>
      </c>
      <c r="K171" s="35" t="s">
        <v>390</v>
      </c>
      <c r="L171" s="35" t="n">
        <v>20</v>
      </c>
      <c r="M171" s="35" t="s">
        <v>83</v>
      </c>
      <c r="N171" s="35" t="s">
        <v>1788</v>
      </c>
      <c r="O171" s="35" t="s">
        <v>84</v>
      </c>
      <c r="P171" s="35" t="s">
        <v>50</v>
      </c>
      <c r="Q171" s="35" t="n">
        <v>0</v>
      </c>
      <c r="R171" s="35"/>
      <c r="S171" s="35" t="s">
        <v>40</v>
      </c>
      <c r="T171" s="35" t="s">
        <v>83</v>
      </c>
      <c r="U171" s="35"/>
      <c r="V171" s="35"/>
      <c r="W171" s="35"/>
      <c r="X171" s="35" t="s">
        <v>1817</v>
      </c>
      <c r="Y171" s="35" t="n">
        <v>-7.183178</v>
      </c>
      <c r="Z171" s="35" t="n">
        <v>-48.2260235</v>
      </c>
      <c r="AA171" s="49" t="s">
        <v>1603</v>
      </c>
      <c r="AB171" s="35" t="s">
        <v>1818</v>
      </c>
    </row>
    <row r="172" customFormat="false" ht="15" hidden="false" customHeight="false" outlineLevel="0" collapsed="false">
      <c r="A172" s="35" t="n">
        <v>171</v>
      </c>
      <c r="B172" s="35" t="s">
        <v>876</v>
      </c>
      <c r="C172" s="35" t="s">
        <v>1820</v>
      </c>
      <c r="D172" s="35" t="s">
        <v>873</v>
      </c>
      <c r="E172" s="35" t="s">
        <v>877</v>
      </c>
      <c r="F172" s="40" t="n">
        <v>20.7834530260501</v>
      </c>
      <c r="G172" s="36" t="n">
        <v>2255.71510441609</v>
      </c>
      <c r="H172" s="36" t="n">
        <v>28.4590541339467</v>
      </c>
      <c r="I172" s="7" t="s">
        <v>22</v>
      </c>
      <c r="J172" s="35" t="s">
        <v>283</v>
      </c>
      <c r="K172" s="35" t="s">
        <v>390</v>
      </c>
      <c r="L172" s="35" t="n">
        <v>20</v>
      </c>
      <c r="M172" s="35" t="s">
        <v>83</v>
      </c>
      <c r="N172" s="35" t="s">
        <v>1788</v>
      </c>
      <c r="O172" s="35" t="s">
        <v>84</v>
      </c>
      <c r="P172" s="35" t="s">
        <v>50</v>
      </c>
      <c r="Q172" s="35" t="n">
        <v>0</v>
      </c>
      <c r="R172" s="35"/>
      <c r="S172" s="35" t="s">
        <v>40</v>
      </c>
      <c r="T172" s="35" t="s">
        <v>83</v>
      </c>
      <c r="U172" s="35"/>
      <c r="V172" s="35"/>
      <c r="W172" s="35"/>
      <c r="X172" s="35" t="s">
        <v>1817</v>
      </c>
      <c r="Y172" s="35" t="n">
        <v>-7.183178</v>
      </c>
      <c r="Z172" s="35" t="n">
        <v>-48.226012</v>
      </c>
      <c r="AA172" s="49" t="s">
        <v>1603</v>
      </c>
      <c r="AB172" s="35" t="s">
        <v>1818</v>
      </c>
    </row>
    <row r="173" customFormat="false" ht="15" hidden="false" customHeight="false" outlineLevel="0" collapsed="false">
      <c r="A173" s="35" t="n">
        <v>172</v>
      </c>
      <c r="B173" s="35" t="s">
        <v>878</v>
      </c>
      <c r="C173" s="35" t="s">
        <v>1821</v>
      </c>
      <c r="D173" s="35" t="s">
        <v>625</v>
      </c>
      <c r="E173" s="35" t="s">
        <v>879</v>
      </c>
      <c r="F173" s="40" t="n">
        <v>1.80241828018487</v>
      </c>
      <c r="G173" s="36" t="n">
        <v>2369.03246875767</v>
      </c>
      <c r="H173" s="36" t="n">
        <v>2369.03246875767</v>
      </c>
      <c r="I173" s="5" t="s">
        <v>20</v>
      </c>
      <c r="J173" s="35" t="s">
        <v>283</v>
      </c>
      <c r="K173" s="35" t="s">
        <v>393</v>
      </c>
      <c r="L173" s="35" t="n">
        <v>21</v>
      </c>
      <c r="M173" s="35" t="s">
        <v>40</v>
      </c>
      <c r="N173" s="35" t="s">
        <v>1601</v>
      </c>
      <c r="O173" s="35" t="s">
        <v>87</v>
      </c>
      <c r="P173" s="35" t="s">
        <v>50</v>
      </c>
      <c r="Q173" s="35" t="n">
        <v>0</v>
      </c>
      <c r="R173" s="35"/>
      <c r="S173" s="35" t="s">
        <v>40</v>
      </c>
      <c r="T173" s="35"/>
      <c r="U173" s="35"/>
      <c r="V173" s="35"/>
      <c r="W173" s="35"/>
      <c r="X173" s="35" t="s">
        <v>40</v>
      </c>
      <c r="Y173" s="35" t="n">
        <v>-7.1822145</v>
      </c>
      <c r="Z173" s="35" t="n">
        <v>-48.225266</v>
      </c>
      <c r="AA173" s="49" t="s">
        <v>1603</v>
      </c>
      <c r="AB173" s="35" t="s">
        <v>1604</v>
      </c>
    </row>
    <row r="174" customFormat="false" ht="15" hidden="false" customHeight="false" outlineLevel="0" collapsed="false">
      <c r="A174" s="35" t="n">
        <v>173</v>
      </c>
      <c r="B174" s="35" t="s">
        <v>880</v>
      </c>
      <c r="C174" s="35" t="s">
        <v>1822</v>
      </c>
      <c r="D174" s="35" t="s">
        <v>879</v>
      </c>
      <c r="E174" s="35" t="s">
        <v>881</v>
      </c>
      <c r="F174" s="40" t="n">
        <v>9.82092333167938</v>
      </c>
      <c r="G174" s="36" t="n">
        <v>2378.85339208935</v>
      </c>
      <c r="H174" s="36" t="n">
        <v>2378.85339208935</v>
      </c>
      <c r="I174" s="5" t="s">
        <v>20</v>
      </c>
      <c r="J174" s="35" t="s">
        <v>283</v>
      </c>
      <c r="K174" s="35" t="s">
        <v>393</v>
      </c>
      <c r="L174" s="35" t="n">
        <v>21</v>
      </c>
      <c r="M174" s="35" t="s">
        <v>40</v>
      </c>
      <c r="N174" s="35" t="s">
        <v>1601</v>
      </c>
      <c r="O174" s="35" t="s">
        <v>87</v>
      </c>
      <c r="P174" s="35" t="s">
        <v>50</v>
      </c>
      <c r="Q174" s="35" t="n">
        <v>0</v>
      </c>
      <c r="R174" s="35"/>
      <c r="S174" s="35" t="s">
        <v>40</v>
      </c>
      <c r="T174" s="35"/>
      <c r="U174" s="35"/>
      <c r="V174" s="35"/>
      <c r="W174" s="35"/>
      <c r="X174" s="35" t="s">
        <v>40</v>
      </c>
      <c r="Y174" s="35" t="n">
        <v>-7.1822485</v>
      </c>
      <c r="Z174" s="35" t="n">
        <v>-48.225226</v>
      </c>
      <c r="AA174" s="49" t="s">
        <v>1603</v>
      </c>
      <c r="AB174" s="35" t="s">
        <v>1604</v>
      </c>
    </row>
    <row r="175" customFormat="false" ht="15" hidden="false" customHeight="false" outlineLevel="0" collapsed="false">
      <c r="A175" s="35" t="n">
        <v>174</v>
      </c>
      <c r="B175" s="35" t="s">
        <v>882</v>
      </c>
      <c r="C175" s="35" t="s">
        <v>1823</v>
      </c>
      <c r="D175" s="35" t="s">
        <v>881</v>
      </c>
      <c r="E175" s="35" t="s">
        <v>883</v>
      </c>
      <c r="F175" s="40" t="n">
        <v>2.66283982026137</v>
      </c>
      <c r="G175" s="36" t="n">
        <v>2381.51623190961</v>
      </c>
      <c r="H175" s="36" t="n">
        <v>2381.51623190961</v>
      </c>
      <c r="I175" s="5" t="s">
        <v>20</v>
      </c>
      <c r="J175" s="35" t="s">
        <v>283</v>
      </c>
      <c r="K175" s="35" t="s">
        <v>393</v>
      </c>
      <c r="L175" s="35" t="n">
        <v>21</v>
      </c>
      <c r="M175" s="35" t="s">
        <v>40</v>
      </c>
      <c r="N175" s="35" t="s">
        <v>1601</v>
      </c>
      <c r="O175" s="35" t="s">
        <v>87</v>
      </c>
      <c r="P175" s="35" t="s">
        <v>50</v>
      </c>
      <c r="Q175" s="35" t="n">
        <v>0</v>
      </c>
      <c r="R175" s="35"/>
      <c r="S175" s="35" t="s">
        <v>40</v>
      </c>
      <c r="T175" s="35"/>
      <c r="U175" s="35"/>
      <c r="V175" s="35"/>
      <c r="W175" s="35"/>
      <c r="X175" s="35" t="s">
        <v>40</v>
      </c>
      <c r="Y175" s="35" t="n">
        <v>-7.1822855</v>
      </c>
      <c r="Z175" s="35" t="n">
        <v>-48.2251835</v>
      </c>
      <c r="AA175" s="49" t="s">
        <v>1603</v>
      </c>
      <c r="AB175" s="35" t="s">
        <v>1604</v>
      </c>
    </row>
    <row r="176" customFormat="false" ht="15" hidden="false" customHeight="false" outlineLevel="0" collapsed="false">
      <c r="A176" s="35" t="n">
        <v>175</v>
      </c>
      <c r="B176" s="35" t="s">
        <v>884</v>
      </c>
      <c r="C176" s="35" t="s">
        <v>1824</v>
      </c>
      <c r="D176" s="35" t="s">
        <v>883</v>
      </c>
      <c r="E176" s="35" t="s">
        <v>885</v>
      </c>
      <c r="F176" s="40" t="n">
        <v>121.713451173468</v>
      </c>
      <c r="G176" s="36" t="n">
        <v>2503.22968308308</v>
      </c>
      <c r="H176" s="36" t="n">
        <v>2503.22968308308</v>
      </c>
      <c r="I176" s="5" t="s">
        <v>20</v>
      </c>
      <c r="J176" s="35" t="s">
        <v>283</v>
      </c>
      <c r="K176" s="35" t="s">
        <v>393</v>
      </c>
      <c r="L176" s="35" t="n">
        <v>21</v>
      </c>
      <c r="M176" s="35" t="s">
        <v>40</v>
      </c>
      <c r="N176" s="35" t="s">
        <v>1601</v>
      </c>
      <c r="O176" s="35" t="s">
        <v>87</v>
      </c>
      <c r="P176" s="35" t="s">
        <v>50</v>
      </c>
      <c r="Q176" s="35" t="n">
        <v>0</v>
      </c>
      <c r="R176" s="35"/>
      <c r="S176" s="35" t="s">
        <v>40</v>
      </c>
      <c r="T176" s="35"/>
      <c r="U176" s="35"/>
      <c r="V176" s="35"/>
      <c r="W176" s="35"/>
      <c r="X176" s="35" t="s">
        <v>40</v>
      </c>
      <c r="Y176" s="35" t="n">
        <v>-7.1826745</v>
      </c>
      <c r="Z176" s="35" t="n">
        <v>-48.2247785</v>
      </c>
      <c r="AA176" s="49" t="s">
        <v>1603</v>
      </c>
      <c r="AB176" s="35" t="s">
        <v>1604</v>
      </c>
    </row>
    <row r="177" customFormat="false" ht="15" hidden="false" customHeight="false" outlineLevel="0" collapsed="false">
      <c r="A177" s="35" t="n">
        <v>176</v>
      </c>
      <c r="B177" s="35" t="s">
        <v>886</v>
      </c>
      <c r="C177" s="35" t="s">
        <v>1825</v>
      </c>
      <c r="D177" s="35" t="s">
        <v>885</v>
      </c>
      <c r="E177" s="35" t="s">
        <v>887</v>
      </c>
      <c r="F177" s="40" t="n">
        <v>207.043206157069</v>
      </c>
      <c r="G177" s="36" t="n">
        <v>2710.27288924015</v>
      </c>
      <c r="H177" s="36" t="n">
        <v>2710.27288924015</v>
      </c>
      <c r="I177" s="5" t="s">
        <v>20</v>
      </c>
      <c r="J177" s="35" t="s">
        <v>283</v>
      </c>
      <c r="K177" s="35" t="s">
        <v>393</v>
      </c>
      <c r="L177" s="35" t="n">
        <v>21</v>
      </c>
      <c r="M177" s="35" t="s">
        <v>40</v>
      </c>
      <c r="N177" s="35" t="s">
        <v>1601</v>
      </c>
      <c r="O177" s="35" t="s">
        <v>87</v>
      </c>
      <c r="P177" s="35" t="s">
        <v>50</v>
      </c>
      <c r="Q177" s="35" t="n">
        <v>0</v>
      </c>
      <c r="R177" s="35"/>
      <c r="S177" s="35" t="s">
        <v>40</v>
      </c>
      <c r="T177" s="35"/>
      <c r="U177" s="35"/>
      <c r="V177" s="35"/>
      <c r="W177" s="35"/>
      <c r="X177" s="35" t="s">
        <v>40</v>
      </c>
      <c r="Y177" s="35" t="n">
        <v>-7.1823845</v>
      </c>
      <c r="Z177" s="35" t="n">
        <v>-48.223731</v>
      </c>
      <c r="AA177" s="49" t="s">
        <v>1603</v>
      </c>
      <c r="AB177" s="35" t="s">
        <v>1604</v>
      </c>
    </row>
    <row r="178" customFormat="false" ht="15" hidden="false" customHeight="false" outlineLevel="0" collapsed="false">
      <c r="A178" s="35" t="n">
        <v>177</v>
      </c>
      <c r="B178" s="35" t="s">
        <v>888</v>
      </c>
      <c r="C178" s="35" t="s">
        <v>1826</v>
      </c>
      <c r="D178" s="35" t="s">
        <v>887</v>
      </c>
      <c r="E178" s="35" t="s">
        <v>889</v>
      </c>
      <c r="F178" s="40" t="n">
        <v>98.601089905845</v>
      </c>
      <c r="G178" s="36" t="n">
        <v>2808.87397914599</v>
      </c>
      <c r="H178" s="36" t="n">
        <v>2808.87397914599</v>
      </c>
      <c r="I178" s="5" t="s">
        <v>20</v>
      </c>
      <c r="J178" s="35" t="s">
        <v>283</v>
      </c>
      <c r="K178" s="35" t="s">
        <v>393</v>
      </c>
      <c r="L178" s="35" t="n">
        <v>21</v>
      </c>
      <c r="M178" s="35" t="s">
        <v>40</v>
      </c>
      <c r="N178" s="35" t="s">
        <v>1601</v>
      </c>
      <c r="O178" s="35" t="s">
        <v>87</v>
      </c>
      <c r="P178" s="35" t="s">
        <v>50</v>
      </c>
      <c r="Q178" s="35" t="n">
        <v>0</v>
      </c>
      <c r="R178" s="35"/>
      <c r="S178" s="35" t="s">
        <v>40</v>
      </c>
      <c r="T178" s="35"/>
      <c r="U178" s="35"/>
      <c r="V178" s="35"/>
      <c r="W178" s="35"/>
      <c r="X178" s="35" t="s">
        <v>40</v>
      </c>
      <c r="Y178" s="35" t="n">
        <v>-7.182008</v>
      </c>
      <c r="Z178" s="35" t="n">
        <v>-48.2227455</v>
      </c>
      <c r="AA178" s="49" t="s">
        <v>1603</v>
      </c>
      <c r="AB178" s="35" t="s">
        <v>1604</v>
      </c>
    </row>
    <row r="179" customFormat="false" ht="15" hidden="false" customHeight="false" outlineLevel="0" collapsed="false">
      <c r="A179" s="35" t="n">
        <v>178</v>
      </c>
      <c r="B179" s="35" t="s">
        <v>890</v>
      </c>
      <c r="C179" s="35" t="s">
        <v>1827</v>
      </c>
      <c r="D179" s="35" t="s">
        <v>887</v>
      </c>
      <c r="E179" s="35" t="s">
        <v>891</v>
      </c>
      <c r="F179" s="40" t="n">
        <v>45.0871324378</v>
      </c>
      <c r="G179" s="36" t="n">
        <v>2755.36002167795</v>
      </c>
      <c r="H179" s="36" t="n">
        <v>2755.36002167795</v>
      </c>
      <c r="I179" s="5" t="s">
        <v>20</v>
      </c>
      <c r="J179" s="35" t="s">
        <v>283</v>
      </c>
      <c r="K179" s="35" t="s">
        <v>393</v>
      </c>
      <c r="L179" s="35" t="n">
        <v>21</v>
      </c>
      <c r="M179" s="35" t="s">
        <v>40</v>
      </c>
      <c r="N179" s="35" t="s">
        <v>1601</v>
      </c>
      <c r="O179" s="35" t="s">
        <v>87</v>
      </c>
      <c r="P179" s="35" t="s">
        <v>50</v>
      </c>
      <c r="Q179" s="35" t="n">
        <v>0</v>
      </c>
      <c r="R179" s="35"/>
      <c r="S179" s="35" t="s">
        <v>40</v>
      </c>
      <c r="T179" s="35"/>
      <c r="U179" s="35"/>
      <c r="V179" s="35"/>
      <c r="W179" s="35"/>
      <c r="X179" s="35" t="s">
        <v>40</v>
      </c>
      <c r="Y179" s="35" t="n">
        <v>-7.1815785</v>
      </c>
      <c r="Z179" s="35" t="n">
        <v>-48.223232</v>
      </c>
      <c r="AA179" s="49" t="s">
        <v>1603</v>
      </c>
      <c r="AB179" s="35" t="s">
        <v>1604</v>
      </c>
    </row>
    <row r="180" customFormat="false" ht="15" hidden="false" customHeight="false" outlineLevel="0" collapsed="false">
      <c r="A180" s="35" t="n">
        <v>179</v>
      </c>
      <c r="B180" s="35" t="s">
        <v>892</v>
      </c>
      <c r="C180" s="35" t="s">
        <v>1828</v>
      </c>
      <c r="D180" s="35" t="s">
        <v>891</v>
      </c>
      <c r="E180" s="35" t="s">
        <v>893</v>
      </c>
      <c r="F180" s="40" t="n">
        <v>39.2198650234871</v>
      </c>
      <c r="G180" s="36" t="n">
        <v>2794.57988670143</v>
      </c>
      <c r="H180" s="36" t="n">
        <v>2794.57988670143</v>
      </c>
      <c r="I180" s="5" t="s">
        <v>20</v>
      </c>
      <c r="J180" s="35" t="s">
        <v>283</v>
      </c>
      <c r="K180" s="35" t="s">
        <v>393</v>
      </c>
      <c r="L180" s="35" t="n">
        <v>21</v>
      </c>
      <c r="M180" s="35" t="s">
        <v>40</v>
      </c>
      <c r="N180" s="35" t="s">
        <v>1601</v>
      </c>
      <c r="O180" s="35" t="s">
        <v>87</v>
      </c>
      <c r="P180" s="35" t="s">
        <v>50</v>
      </c>
      <c r="Q180" s="35" t="n">
        <v>0</v>
      </c>
      <c r="R180" s="35"/>
      <c r="S180" s="35" t="s">
        <v>40</v>
      </c>
      <c r="T180" s="35"/>
      <c r="U180" s="35"/>
      <c r="V180" s="35"/>
      <c r="W180" s="35"/>
      <c r="X180" s="35" t="s">
        <v>40</v>
      </c>
      <c r="Y180" s="35" t="n">
        <v>-7.181326</v>
      </c>
      <c r="Z180" s="35" t="n">
        <v>-48.223517</v>
      </c>
      <c r="AA180" s="49" t="s">
        <v>1603</v>
      </c>
      <c r="AB180" s="35" t="s">
        <v>1604</v>
      </c>
    </row>
    <row r="181" customFormat="false" ht="15" hidden="false" customHeight="false" outlineLevel="0" collapsed="false">
      <c r="A181" s="35" t="n">
        <v>180</v>
      </c>
      <c r="B181" s="35" t="s">
        <v>894</v>
      </c>
      <c r="C181" s="35" t="s">
        <v>1829</v>
      </c>
      <c r="D181" s="35" t="s">
        <v>887</v>
      </c>
      <c r="E181" s="35" t="s">
        <v>895</v>
      </c>
      <c r="F181" s="40" t="n">
        <v>7.59795079111379</v>
      </c>
      <c r="G181" s="36" t="n">
        <v>2717.87084003126</v>
      </c>
      <c r="H181" s="36" t="n">
        <v>2717.87084003126</v>
      </c>
      <c r="I181" s="5" t="s">
        <v>20</v>
      </c>
      <c r="J181" s="35" t="s">
        <v>283</v>
      </c>
      <c r="K181" s="35" t="s">
        <v>393</v>
      </c>
      <c r="L181" s="35" t="n">
        <v>21</v>
      </c>
      <c r="M181" s="35" t="s">
        <v>40</v>
      </c>
      <c r="N181" s="35" t="s">
        <v>1601</v>
      </c>
      <c r="O181" s="35" t="s">
        <v>87</v>
      </c>
      <c r="P181" s="35" t="s">
        <v>50</v>
      </c>
      <c r="Q181" s="35" t="n">
        <v>0</v>
      </c>
      <c r="R181" s="35"/>
      <c r="S181" s="35" t="s">
        <v>40</v>
      </c>
      <c r="T181" s="35"/>
      <c r="U181" s="35"/>
      <c r="V181" s="35"/>
      <c r="W181" s="35"/>
      <c r="X181" s="35" t="s">
        <v>40</v>
      </c>
      <c r="Y181" s="35" t="n">
        <v>-7.1816895</v>
      </c>
      <c r="Z181" s="35" t="n">
        <v>-48.223056</v>
      </c>
      <c r="AA181" s="49" t="s">
        <v>1603</v>
      </c>
      <c r="AB181" s="35" t="s">
        <v>1604</v>
      </c>
    </row>
    <row r="182" customFormat="false" ht="15" hidden="false" customHeight="false" outlineLevel="0" collapsed="false">
      <c r="A182" s="35" t="n">
        <v>181</v>
      </c>
      <c r="B182" s="35" t="s">
        <v>896</v>
      </c>
      <c r="C182" s="35" t="s">
        <v>1830</v>
      </c>
      <c r="D182" s="35" t="s">
        <v>885</v>
      </c>
      <c r="E182" s="35" t="s">
        <v>897</v>
      </c>
      <c r="F182" s="40" t="n">
        <v>21.5403130495649</v>
      </c>
      <c r="G182" s="36" t="n">
        <v>2524.76999613264</v>
      </c>
      <c r="H182" s="36" t="n">
        <v>2524.76999613264</v>
      </c>
      <c r="I182" s="5" t="s">
        <v>20</v>
      </c>
      <c r="J182" s="35" t="s">
        <v>283</v>
      </c>
      <c r="K182" s="35" t="s">
        <v>393</v>
      </c>
      <c r="L182" s="35" t="n">
        <v>21</v>
      </c>
      <c r="M182" s="35" t="s">
        <v>40</v>
      </c>
      <c r="N182" s="35" t="s">
        <v>1601</v>
      </c>
      <c r="O182" s="35" t="s">
        <v>87</v>
      </c>
      <c r="P182" s="35" t="s">
        <v>50</v>
      </c>
      <c r="Q182" s="35" t="n">
        <v>0</v>
      </c>
      <c r="R182" s="35"/>
      <c r="S182" s="35" t="s">
        <v>40</v>
      </c>
      <c r="T182" s="35"/>
      <c r="U182" s="35"/>
      <c r="V182" s="35"/>
      <c r="W182" s="35"/>
      <c r="X182" s="35" t="s">
        <v>40</v>
      </c>
      <c r="Y182" s="35" t="n">
        <v>-7.183122</v>
      </c>
      <c r="Z182" s="35" t="n">
        <v>-48.2243115</v>
      </c>
      <c r="AA182" s="49" t="s">
        <v>1603</v>
      </c>
      <c r="AB182" s="35" t="s">
        <v>1604</v>
      </c>
    </row>
    <row r="183" customFormat="false" ht="15" hidden="false" customHeight="false" outlineLevel="0" collapsed="false">
      <c r="A183" s="35" t="n">
        <v>182</v>
      </c>
      <c r="B183" s="35" t="s">
        <v>898</v>
      </c>
      <c r="C183" s="35" t="s">
        <v>1831</v>
      </c>
      <c r="D183" s="35" t="s">
        <v>885</v>
      </c>
      <c r="E183" s="35" t="s">
        <v>899</v>
      </c>
      <c r="F183" s="40" t="n">
        <v>53.1120496810657</v>
      </c>
      <c r="G183" s="36" t="n">
        <v>2556.34173276414</v>
      </c>
      <c r="H183" s="36" t="n">
        <v>2556.34173276414</v>
      </c>
      <c r="I183" s="5" t="s">
        <v>20</v>
      </c>
      <c r="J183" s="35" t="s">
        <v>283</v>
      </c>
      <c r="K183" s="35" t="s">
        <v>393</v>
      </c>
      <c r="L183" s="35" t="n">
        <v>21</v>
      </c>
      <c r="M183" s="35" t="s">
        <v>40</v>
      </c>
      <c r="N183" s="35" t="s">
        <v>1601</v>
      </c>
      <c r="O183" s="35" t="s">
        <v>87</v>
      </c>
      <c r="P183" s="35" t="s">
        <v>50</v>
      </c>
      <c r="Q183" s="35" t="n">
        <v>0</v>
      </c>
      <c r="R183" s="35"/>
      <c r="S183" s="35" t="s">
        <v>40</v>
      </c>
      <c r="T183" s="35"/>
      <c r="U183" s="35"/>
      <c r="V183" s="35"/>
      <c r="W183" s="35"/>
      <c r="X183" s="35" t="s">
        <v>40</v>
      </c>
      <c r="Y183" s="35" t="n">
        <v>-7.183227</v>
      </c>
      <c r="Z183" s="35" t="n">
        <v>-48.224549</v>
      </c>
      <c r="AA183" s="49" t="s">
        <v>1603</v>
      </c>
      <c r="AB183" s="35" t="s">
        <v>1604</v>
      </c>
    </row>
    <row r="184" customFormat="false" ht="15" hidden="false" customHeight="false" outlineLevel="0" collapsed="false">
      <c r="A184" s="35" t="n">
        <v>183</v>
      </c>
      <c r="B184" s="35" t="s">
        <v>900</v>
      </c>
      <c r="C184" s="35" t="s">
        <v>1832</v>
      </c>
      <c r="D184" s="35" t="s">
        <v>899</v>
      </c>
      <c r="E184" s="35" t="s">
        <v>901</v>
      </c>
      <c r="F184" s="40" t="n">
        <v>1.73134590323825</v>
      </c>
      <c r="G184" s="36" t="n">
        <v>2558.07307866738</v>
      </c>
      <c r="H184" s="36" t="n">
        <v>2558.07307866738</v>
      </c>
      <c r="I184" s="5" t="s">
        <v>20</v>
      </c>
      <c r="J184" s="35" t="s">
        <v>283</v>
      </c>
      <c r="K184" s="35" t="s">
        <v>393</v>
      </c>
      <c r="L184" s="35" t="n">
        <v>21</v>
      </c>
      <c r="M184" s="35" t="s">
        <v>40</v>
      </c>
      <c r="N184" s="35" t="s">
        <v>1601</v>
      </c>
      <c r="O184" s="35" t="s">
        <v>87</v>
      </c>
      <c r="P184" s="35" t="s">
        <v>50</v>
      </c>
      <c r="Q184" s="35" t="n">
        <v>0</v>
      </c>
      <c r="R184" s="35"/>
      <c r="S184" s="35" t="s">
        <v>40</v>
      </c>
      <c r="T184" s="35"/>
      <c r="U184" s="35"/>
      <c r="V184" s="35"/>
      <c r="W184" s="35"/>
      <c r="X184" s="35" t="s">
        <v>40</v>
      </c>
      <c r="Y184" s="35" t="n">
        <v>-7.183405</v>
      </c>
      <c r="Z184" s="35" t="n">
        <v>-48.224721</v>
      </c>
      <c r="AA184" s="49" t="s">
        <v>1603</v>
      </c>
      <c r="AB184" s="35" t="s">
        <v>1604</v>
      </c>
    </row>
    <row r="185" customFormat="false" ht="15" hidden="false" customHeight="false" outlineLevel="0" collapsed="false">
      <c r="A185" s="35" t="n">
        <v>184</v>
      </c>
      <c r="B185" s="35" t="s">
        <v>902</v>
      </c>
      <c r="C185" s="35" t="s">
        <v>1833</v>
      </c>
      <c r="D185" s="35" t="s">
        <v>901</v>
      </c>
      <c r="E185" s="35" t="s">
        <v>903</v>
      </c>
      <c r="F185" s="40" t="n">
        <v>166.271878800248</v>
      </c>
      <c r="G185" s="36" t="n">
        <v>2724.34495746763</v>
      </c>
      <c r="H185" s="36" t="n">
        <v>2724.34495746763</v>
      </c>
      <c r="I185" s="5" t="s">
        <v>20</v>
      </c>
      <c r="J185" s="35" t="s">
        <v>283</v>
      </c>
      <c r="K185" s="35" t="s">
        <v>393</v>
      </c>
      <c r="L185" s="35" t="n">
        <v>21</v>
      </c>
      <c r="M185" s="35" t="s">
        <v>40</v>
      </c>
      <c r="N185" s="35" t="s">
        <v>1601</v>
      </c>
      <c r="O185" s="35" t="s">
        <v>87</v>
      </c>
      <c r="P185" s="35" t="s">
        <v>50</v>
      </c>
      <c r="Q185" s="35" t="n">
        <v>0</v>
      </c>
      <c r="R185" s="35"/>
      <c r="S185" s="35" t="s">
        <v>40</v>
      </c>
      <c r="T185" s="35"/>
      <c r="U185" s="35"/>
      <c r="V185" s="35"/>
      <c r="W185" s="35"/>
      <c r="X185" s="35" t="s">
        <v>40</v>
      </c>
      <c r="Y185" s="35" t="n">
        <v>-7.183997</v>
      </c>
      <c r="Z185" s="35" t="n">
        <v>-48.225194</v>
      </c>
      <c r="AA185" s="49" t="s">
        <v>1603</v>
      </c>
      <c r="AB185" s="35" t="s">
        <v>1604</v>
      </c>
    </row>
    <row r="186" customFormat="false" ht="15" hidden="false" customHeight="false" outlineLevel="0" collapsed="false">
      <c r="A186" s="35" t="n">
        <v>185</v>
      </c>
      <c r="B186" s="35" t="s">
        <v>904</v>
      </c>
      <c r="C186" s="35" t="s">
        <v>1834</v>
      </c>
      <c r="D186" s="35" t="s">
        <v>903</v>
      </c>
      <c r="E186" s="35" t="s">
        <v>905</v>
      </c>
      <c r="F186" s="40" t="n">
        <v>3.47517455275994</v>
      </c>
      <c r="G186" s="36" t="n">
        <v>2727.82013202039</v>
      </c>
      <c r="H186" s="36" t="n">
        <v>2727.82013202039</v>
      </c>
      <c r="I186" s="5" t="s">
        <v>20</v>
      </c>
      <c r="J186" s="35" t="s">
        <v>283</v>
      </c>
      <c r="K186" s="35" t="s">
        <v>393</v>
      </c>
      <c r="L186" s="35" t="n">
        <v>21</v>
      </c>
      <c r="M186" s="35" t="s">
        <v>40</v>
      </c>
      <c r="N186" s="35" t="s">
        <v>1601</v>
      </c>
      <c r="O186" s="35" t="s">
        <v>87</v>
      </c>
      <c r="P186" s="35" t="s">
        <v>50</v>
      </c>
      <c r="Q186" s="35" t="n">
        <v>0</v>
      </c>
      <c r="R186" s="35"/>
      <c r="S186" s="35" t="s">
        <v>40</v>
      </c>
      <c r="T186" s="35"/>
      <c r="U186" s="35"/>
      <c r="V186" s="35"/>
      <c r="W186" s="35"/>
      <c r="X186" s="35" t="s">
        <v>40</v>
      </c>
      <c r="Y186" s="35" t="n">
        <v>-7.1845985</v>
      </c>
      <c r="Z186" s="35" t="n">
        <v>-48.225664</v>
      </c>
      <c r="AA186" s="49" t="s">
        <v>1603</v>
      </c>
      <c r="AB186" s="35" t="s">
        <v>1604</v>
      </c>
    </row>
    <row r="187" customFormat="false" ht="15" hidden="false" customHeight="false" outlineLevel="0" collapsed="false">
      <c r="A187" s="35" t="n">
        <v>186</v>
      </c>
      <c r="B187" s="35" t="s">
        <v>906</v>
      </c>
      <c r="C187" s="35" t="s">
        <v>1835</v>
      </c>
      <c r="D187" s="35" t="s">
        <v>905</v>
      </c>
      <c r="E187" s="35" t="s">
        <v>907</v>
      </c>
      <c r="F187" s="40" t="n">
        <v>40.8128183601268</v>
      </c>
      <c r="G187" s="36" t="n">
        <v>2768.63295038052</v>
      </c>
      <c r="H187" s="36" t="n">
        <v>2768.63295038052</v>
      </c>
      <c r="I187" s="5" t="s">
        <v>20</v>
      </c>
      <c r="J187" s="35" t="s">
        <v>283</v>
      </c>
      <c r="K187" s="35" t="s">
        <v>393</v>
      </c>
      <c r="L187" s="35" t="n">
        <v>21</v>
      </c>
      <c r="M187" s="35" t="s">
        <v>40</v>
      </c>
      <c r="N187" s="35" t="s">
        <v>1601</v>
      </c>
      <c r="O187" s="35" t="s">
        <v>87</v>
      </c>
      <c r="P187" s="35" t="s">
        <v>50</v>
      </c>
      <c r="Q187" s="35" t="n">
        <v>0</v>
      </c>
      <c r="R187" s="35"/>
      <c r="S187" s="35" t="s">
        <v>40</v>
      </c>
      <c r="T187" s="35"/>
      <c r="U187" s="35"/>
      <c r="V187" s="35"/>
      <c r="W187" s="35"/>
      <c r="X187" s="35" t="s">
        <v>40</v>
      </c>
      <c r="Y187" s="35" t="n">
        <v>-7.1847935</v>
      </c>
      <c r="Z187" s="35" t="n">
        <v>-48.2256275</v>
      </c>
      <c r="AA187" s="49" t="s">
        <v>1603</v>
      </c>
      <c r="AB187" s="35" t="s">
        <v>1604</v>
      </c>
    </row>
    <row r="188" customFormat="false" ht="15" hidden="false" customHeight="false" outlineLevel="0" collapsed="false">
      <c r="A188" s="35" t="n">
        <v>187</v>
      </c>
      <c r="B188" s="35" t="s">
        <v>908</v>
      </c>
      <c r="C188" s="35" t="s">
        <v>1836</v>
      </c>
      <c r="D188" s="35" t="s">
        <v>907</v>
      </c>
      <c r="E188" s="35" t="s">
        <v>909</v>
      </c>
      <c r="F188" s="40" t="n">
        <v>3.44880768490895</v>
      </c>
      <c r="G188" s="36" t="n">
        <v>2772.08175806543</v>
      </c>
      <c r="H188" s="36" t="n">
        <v>2772.08175806543</v>
      </c>
      <c r="I188" s="5" t="s">
        <v>20</v>
      </c>
      <c r="J188" s="35" t="s">
        <v>283</v>
      </c>
      <c r="K188" s="35" t="s">
        <v>393</v>
      </c>
      <c r="L188" s="35" t="n">
        <v>21</v>
      </c>
      <c r="M188" s="35" t="s">
        <v>40</v>
      </c>
      <c r="N188" s="35" t="s">
        <v>1601</v>
      </c>
      <c r="O188" s="35" t="s">
        <v>87</v>
      </c>
      <c r="P188" s="35" t="s">
        <v>50</v>
      </c>
      <c r="Q188" s="35" t="n">
        <v>0</v>
      </c>
      <c r="R188" s="35"/>
      <c r="S188" s="35" t="s">
        <v>40</v>
      </c>
      <c r="T188" s="35"/>
      <c r="U188" s="35"/>
      <c r="V188" s="35"/>
      <c r="W188" s="35"/>
      <c r="X188" s="35" t="s">
        <v>40</v>
      </c>
      <c r="Y188" s="35" t="n">
        <v>-7.1849885</v>
      </c>
      <c r="Z188" s="35" t="n">
        <v>-48.2255895</v>
      </c>
      <c r="AA188" s="49" t="s">
        <v>1603</v>
      </c>
      <c r="AB188" s="35" t="s">
        <v>1604</v>
      </c>
    </row>
    <row r="189" customFormat="false" ht="15" hidden="false" customHeight="false" outlineLevel="0" collapsed="false">
      <c r="A189" s="35" t="n">
        <v>188</v>
      </c>
      <c r="B189" s="35" t="s">
        <v>910</v>
      </c>
      <c r="C189" s="35" t="s">
        <v>1837</v>
      </c>
      <c r="D189" s="35" t="s">
        <v>909</v>
      </c>
      <c r="E189" s="35" t="s">
        <v>911</v>
      </c>
      <c r="F189" s="40" t="n">
        <v>40.0063236458837</v>
      </c>
      <c r="G189" s="36" t="n">
        <v>2812.08808171131</v>
      </c>
      <c r="H189" s="36" t="n">
        <v>2812.08808171131</v>
      </c>
      <c r="I189" s="5" t="s">
        <v>20</v>
      </c>
      <c r="J189" s="35" t="s">
        <v>283</v>
      </c>
      <c r="K189" s="35" t="s">
        <v>393</v>
      </c>
      <c r="L189" s="35" t="n">
        <v>21</v>
      </c>
      <c r="M189" s="35" t="s">
        <v>40</v>
      </c>
      <c r="N189" s="35" t="s">
        <v>1601</v>
      </c>
      <c r="O189" s="35" t="s">
        <v>87</v>
      </c>
      <c r="P189" s="35" t="s">
        <v>50</v>
      </c>
      <c r="Q189" s="35" t="n">
        <v>0</v>
      </c>
      <c r="R189" s="35"/>
      <c r="S189" s="35" t="s">
        <v>40</v>
      </c>
      <c r="T189" s="35"/>
      <c r="U189" s="35"/>
      <c r="V189" s="35"/>
      <c r="W189" s="35"/>
      <c r="X189" s="35" t="s">
        <v>40</v>
      </c>
      <c r="Y189" s="35" t="n">
        <v>-7.185179</v>
      </c>
      <c r="Z189" s="35" t="n">
        <v>-48.225632</v>
      </c>
      <c r="AA189" s="49" t="s">
        <v>1603</v>
      </c>
      <c r="AB189" s="35" t="s">
        <v>1604</v>
      </c>
    </row>
    <row r="190" customFormat="false" ht="15" hidden="false" customHeight="false" outlineLevel="0" collapsed="false">
      <c r="A190" s="35" t="n">
        <v>189</v>
      </c>
      <c r="B190" s="35" t="s">
        <v>912</v>
      </c>
      <c r="C190" s="35" t="s">
        <v>1838</v>
      </c>
      <c r="D190" s="35" t="s">
        <v>911</v>
      </c>
      <c r="E190" s="35" t="s">
        <v>913</v>
      </c>
      <c r="F190" s="40" t="n">
        <v>22.887268857627</v>
      </c>
      <c r="G190" s="36" t="n">
        <v>2834.97535056894</v>
      </c>
      <c r="H190" s="36" t="n">
        <v>2834.97535056894</v>
      </c>
      <c r="I190" s="5" t="s">
        <v>20</v>
      </c>
      <c r="J190" s="35" t="s">
        <v>283</v>
      </c>
      <c r="K190" s="35" t="s">
        <v>393</v>
      </c>
      <c r="L190" s="35" t="n">
        <v>21</v>
      </c>
      <c r="M190" s="35" t="s">
        <v>40</v>
      </c>
      <c r="N190" s="35" t="s">
        <v>1601</v>
      </c>
      <c r="O190" s="35" t="s">
        <v>87</v>
      </c>
      <c r="P190" s="35" t="s">
        <v>50</v>
      </c>
      <c r="Q190" s="35" t="n">
        <v>0</v>
      </c>
      <c r="R190" s="35"/>
      <c r="S190" s="35" t="s">
        <v>40</v>
      </c>
      <c r="T190" s="35"/>
      <c r="U190" s="35"/>
      <c r="V190" s="35"/>
      <c r="W190" s="35"/>
      <c r="X190" s="35" t="s">
        <v>40</v>
      </c>
      <c r="Y190" s="35" t="n">
        <v>-7.1854535</v>
      </c>
      <c r="Z190" s="35" t="n">
        <v>-48.2257005</v>
      </c>
      <c r="AA190" s="49" t="s">
        <v>1603</v>
      </c>
      <c r="AB190" s="35" t="s">
        <v>1604</v>
      </c>
    </row>
    <row r="191" customFormat="false" ht="15" hidden="false" customHeight="false" outlineLevel="0" collapsed="false">
      <c r="A191" s="35" t="n">
        <v>190</v>
      </c>
      <c r="B191" s="35" t="s">
        <v>914</v>
      </c>
      <c r="C191" s="35" t="s">
        <v>1839</v>
      </c>
      <c r="D191" s="35" t="s">
        <v>913</v>
      </c>
      <c r="E191" s="35" t="s">
        <v>915</v>
      </c>
      <c r="F191" s="40" t="n">
        <v>9.67889293755706</v>
      </c>
      <c r="G191" s="36" t="n">
        <v>2844.65424350649</v>
      </c>
      <c r="H191" s="36" t="n">
        <v>2844.65424350649</v>
      </c>
      <c r="I191" s="5" t="s">
        <v>20</v>
      </c>
      <c r="J191" s="35" t="s">
        <v>283</v>
      </c>
      <c r="K191" s="35" t="s">
        <v>393</v>
      </c>
      <c r="L191" s="35" t="n">
        <v>21</v>
      </c>
      <c r="M191" s="35" t="s">
        <v>40</v>
      </c>
      <c r="N191" s="35" t="s">
        <v>1601</v>
      </c>
      <c r="O191" s="35" t="s">
        <v>87</v>
      </c>
      <c r="P191" s="35" t="s">
        <v>50</v>
      </c>
      <c r="Q191" s="35" t="n">
        <v>0</v>
      </c>
      <c r="R191" s="35"/>
      <c r="S191" s="35" t="s">
        <v>40</v>
      </c>
      <c r="T191" s="35"/>
      <c r="U191" s="35"/>
      <c r="V191" s="35"/>
      <c r="W191" s="35"/>
      <c r="X191" s="35" t="s">
        <v>40</v>
      </c>
      <c r="Y191" s="35" t="n">
        <v>-7.185595</v>
      </c>
      <c r="Z191" s="35" t="n">
        <v>-48.2257385</v>
      </c>
      <c r="AA191" s="49" t="s">
        <v>1603</v>
      </c>
      <c r="AB191" s="35" t="s">
        <v>1604</v>
      </c>
    </row>
    <row r="192" customFormat="false" ht="15" hidden="false" customHeight="false" outlineLevel="0" collapsed="false">
      <c r="A192" s="35" t="n">
        <v>191</v>
      </c>
      <c r="B192" s="35" t="s">
        <v>916</v>
      </c>
      <c r="C192" s="35" t="s">
        <v>1840</v>
      </c>
      <c r="D192" s="35" t="s">
        <v>913</v>
      </c>
      <c r="E192" s="35" t="s">
        <v>917</v>
      </c>
      <c r="F192" s="40" t="n">
        <v>18.1912477706732</v>
      </c>
      <c r="G192" s="36" t="n">
        <v>2853.16659833961</v>
      </c>
      <c r="H192" s="36" t="n">
        <v>2853.16659833961</v>
      </c>
      <c r="I192" s="5" t="s">
        <v>20</v>
      </c>
      <c r="J192" s="35" t="s">
        <v>283</v>
      </c>
      <c r="K192" s="35" t="s">
        <v>393</v>
      </c>
      <c r="L192" s="35" t="n">
        <v>21</v>
      </c>
      <c r="M192" s="35" t="s">
        <v>40</v>
      </c>
      <c r="N192" s="35" t="s">
        <v>1601</v>
      </c>
      <c r="O192" s="35" t="s">
        <v>87</v>
      </c>
      <c r="P192" s="35" t="s">
        <v>50</v>
      </c>
      <c r="Q192" s="35" t="n">
        <v>0</v>
      </c>
      <c r="R192" s="35"/>
      <c r="S192" s="35" t="s">
        <v>40</v>
      </c>
      <c r="T192" s="35"/>
      <c r="U192" s="35"/>
      <c r="V192" s="35"/>
      <c r="W192" s="35"/>
      <c r="X192" s="35" t="s">
        <v>40</v>
      </c>
      <c r="Y192" s="35" t="n">
        <v>-7.1855265</v>
      </c>
      <c r="Z192" s="35" t="n">
        <v>-48.225805</v>
      </c>
      <c r="AA192" s="49" t="s">
        <v>1603</v>
      </c>
      <c r="AB192" s="35" t="s">
        <v>1604</v>
      </c>
    </row>
    <row r="193" customFormat="false" ht="15" hidden="false" customHeight="false" outlineLevel="0" collapsed="false">
      <c r="A193" s="35" t="n">
        <v>192</v>
      </c>
      <c r="B193" s="35" t="s">
        <v>918</v>
      </c>
      <c r="C193" s="35" t="s">
        <v>1841</v>
      </c>
      <c r="D193" s="35" t="s">
        <v>913</v>
      </c>
      <c r="E193" s="35" t="s">
        <v>919</v>
      </c>
      <c r="F193" s="40" t="n">
        <v>178.814879230322</v>
      </c>
      <c r="G193" s="36" t="n">
        <v>3013.79022979926</v>
      </c>
      <c r="H193" s="36" t="n">
        <v>3013.79022979926</v>
      </c>
      <c r="I193" s="5" t="s">
        <v>20</v>
      </c>
      <c r="J193" s="35" t="s">
        <v>283</v>
      </c>
      <c r="K193" s="35" t="s">
        <v>393</v>
      </c>
      <c r="L193" s="35" t="n">
        <v>21</v>
      </c>
      <c r="M193" s="35" t="s">
        <v>40</v>
      </c>
      <c r="N193" s="35" t="s">
        <v>1601</v>
      </c>
      <c r="O193" s="35" t="s">
        <v>87</v>
      </c>
      <c r="P193" s="35" t="s">
        <v>50</v>
      </c>
      <c r="Q193" s="35" t="n">
        <v>0</v>
      </c>
      <c r="R193" s="35"/>
      <c r="S193" s="35" t="s">
        <v>40</v>
      </c>
      <c r="T193" s="35"/>
      <c r="U193" s="35"/>
      <c r="V193" s="35"/>
      <c r="W193" s="35"/>
      <c r="X193" s="35" t="s">
        <v>40</v>
      </c>
      <c r="Y193" s="35" t="n">
        <v>-7.186324</v>
      </c>
      <c r="Z193" s="35" t="n">
        <v>-48.225497</v>
      </c>
      <c r="AA193" s="49" t="s">
        <v>1603</v>
      </c>
      <c r="AB193" s="35" t="s">
        <v>1604</v>
      </c>
    </row>
    <row r="194" customFormat="false" ht="15" hidden="false" customHeight="false" outlineLevel="0" collapsed="false">
      <c r="A194" s="35" t="n">
        <v>193</v>
      </c>
      <c r="B194" s="35" t="s">
        <v>920</v>
      </c>
      <c r="C194" s="35" t="s">
        <v>1842</v>
      </c>
      <c r="D194" s="35" t="s">
        <v>919</v>
      </c>
      <c r="E194" s="35" t="s">
        <v>921</v>
      </c>
      <c r="F194" s="40" t="n">
        <v>23.1789488445154</v>
      </c>
      <c r="G194" s="36" t="n">
        <v>3036.96917864377</v>
      </c>
      <c r="H194" s="36" t="n">
        <v>3036.96917864377</v>
      </c>
      <c r="I194" s="5" t="s">
        <v>20</v>
      </c>
      <c r="J194" s="35" t="s">
        <v>283</v>
      </c>
      <c r="K194" s="35" t="s">
        <v>393</v>
      </c>
      <c r="L194" s="35" t="n">
        <v>21</v>
      </c>
      <c r="M194" s="35" t="s">
        <v>40</v>
      </c>
      <c r="N194" s="35" t="s">
        <v>1601</v>
      </c>
      <c r="O194" s="35" t="s">
        <v>87</v>
      </c>
      <c r="P194" s="35" t="s">
        <v>50</v>
      </c>
      <c r="Q194" s="35" t="n">
        <v>0</v>
      </c>
      <c r="R194" s="35"/>
      <c r="S194" s="35" t="s">
        <v>40</v>
      </c>
      <c r="T194" s="35"/>
      <c r="U194" s="35"/>
      <c r="V194" s="35"/>
      <c r="W194" s="35"/>
      <c r="X194" s="35" t="s">
        <v>40</v>
      </c>
      <c r="Y194" s="35" t="n">
        <v>-7.1870745</v>
      </c>
      <c r="Z194" s="35" t="n">
        <v>-48.22537</v>
      </c>
      <c r="AA194" s="49" t="s">
        <v>1603</v>
      </c>
      <c r="AB194" s="35" t="s">
        <v>1604</v>
      </c>
    </row>
    <row r="195" customFormat="false" ht="15" hidden="false" customHeight="false" outlineLevel="0" collapsed="false">
      <c r="A195" s="35" t="n">
        <v>194</v>
      </c>
      <c r="B195" s="35" t="s">
        <v>922</v>
      </c>
      <c r="C195" s="35" t="s">
        <v>1843</v>
      </c>
      <c r="D195" s="35" t="s">
        <v>919</v>
      </c>
      <c r="E195" s="35" t="s">
        <v>923</v>
      </c>
      <c r="F195" s="40" t="n">
        <v>15.3464860909285</v>
      </c>
      <c r="G195" s="36" t="n">
        <v>3029.13671589019</v>
      </c>
      <c r="H195" s="36" t="n">
        <v>3029.13671589019</v>
      </c>
      <c r="I195" s="5" t="s">
        <v>20</v>
      </c>
      <c r="J195" s="35" t="s">
        <v>283</v>
      </c>
      <c r="K195" s="35" t="s">
        <v>393</v>
      </c>
      <c r="L195" s="35" t="n">
        <v>21</v>
      </c>
      <c r="M195" s="35" t="s">
        <v>40</v>
      </c>
      <c r="N195" s="35" t="s">
        <v>1601</v>
      </c>
      <c r="O195" s="35" t="s">
        <v>87</v>
      </c>
      <c r="P195" s="35" t="s">
        <v>50</v>
      </c>
      <c r="Q195" s="35" t="n">
        <v>0</v>
      </c>
      <c r="R195" s="35"/>
      <c r="S195" s="35" t="s">
        <v>40</v>
      </c>
      <c r="T195" s="35"/>
      <c r="U195" s="35"/>
      <c r="V195" s="35"/>
      <c r="W195" s="35"/>
      <c r="X195" s="35" t="s">
        <v>40</v>
      </c>
      <c r="Y195" s="35" t="n">
        <v>-7.187164</v>
      </c>
      <c r="Z195" s="35" t="n">
        <v>-48.225266</v>
      </c>
      <c r="AA195" s="49" t="s">
        <v>1603</v>
      </c>
      <c r="AB195" s="35" t="s">
        <v>1604</v>
      </c>
    </row>
    <row r="196" customFormat="false" ht="15" hidden="false" customHeight="false" outlineLevel="0" collapsed="false">
      <c r="A196" s="35" t="n">
        <v>195</v>
      </c>
      <c r="B196" s="35" t="s">
        <v>924</v>
      </c>
      <c r="C196" s="35" t="s">
        <v>1844</v>
      </c>
      <c r="D196" s="35" t="s">
        <v>919</v>
      </c>
      <c r="E196" s="35" t="s">
        <v>925</v>
      </c>
      <c r="F196" s="40" t="n">
        <v>10.1749219833519</v>
      </c>
      <c r="G196" s="36" t="n">
        <v>3023.96515178261</v>
      </c>
      <c r="H196" s="36" t="n">
        <v>3023.96515178261</v>
      </c>
      <c r="I196" s="5" t="s">
        <v>20</v>
      </c>
      <c r="J196" s="35" t="s">
        <v>283</v>
      </c>
      <c r="K196" s="35" t="s">
        <v>393</v>
      </c>
      <c r="L196" s="35" t="n">
        <v>21</v>
      </c>
      <c r="M196" s="35" t="s">
        <v>40</v>
      </c>
      <c r="N196" s="35" t="s">
        <v>1601</v>
      </c>
      <c r="O196" s="35" t="s">
        <v>87</v>
      </c>
      <c r="P196" s="35" t="s">
        <v>50</v>
      </c>
      <c r="Q196" s="35" t="n">
        <v>0</v>
      </c>
      <c r="R196" s="35"/>
      <c r="S196" s="35" t="s">
        <v>40</v>
      </c>
      <c r="T196" s="35"/>
      <c r="U196" s="35"/>
      <c r="V196" s="35"/>
      <c r="W196" s="35"/>
      <c r="X196" s="35" t="s">
        <v>40</v>
      </c>
      <c r="Y196" s="35" t="n">
        <v>-7.187105</v>
      </c>
      <c r="Z196" s="35" t="n">
        <v>-48.225222</v>
      </c>
      <c r="AA196" s="49" t="s">
        <v>1603</v>
      </c>
      <c r="AB196" s="35" t="s">
        <v>1604</v>
      </c>
    </row>
    <row r="197" customFormat="false" ht="15" hidden="false" customHeight="false" outlineLevel="0" collapsed="false">
      <c r="A197" s="35" t="n">
        <v>196</v>
      </c>
      <c r="B197" s="35" t="s">
        <v>926</v>
      </c>
      <c r="C197" s="35" t="s">
        <v>1845</v>
      </c>
      <c r="D197" s="35" t="s">
        <v>638</v>
      </c>
      <c r="E197" s="35" t="s">
        <v>927</v>
      </c>
      <c r="F197" s="40" t="n">
        <v>19.3455961495265</v>
      </c>
      <c r="G197" s="36" t="n">
        <v>2905.47496122769</v>
      </c>
      <c r="H197" s="36" t="n">
        <v>2905.47496122769</v>
      </c>
      <c r="I197" s="5" t="s">
        <v>20</v>
      </c>
      <c r="J197" s="35" t="s">
        <v>283</v>
      </c>
      <c r="K197" s="35" t="s">
        <v>403</v>
      </c>
      <c r="L197" s="35" t="n">
        <v>22</v>
      </c>
      <c r="M197" s="35" t="s">
        <v>40</v>
      </c>
      <c r="N197" s="35" t="s">
        <v>1601</v>
      </c>
      <c r="O197" s="35" t="s">
        <v>90</v>
      </c>
      <c r="P197" s="35" t="s">
        <v>50</v>
      </c>
      <c r="Q197" s="35" t="n">
        <v>0</v>
      </c>
      <c r="R197" s="35"/>
      <c r="S197" s="35" t="s">
        <v>40</v>
      </c>
      <c r="T197" s="35"/>
      <c r="U197" s="35"/>
      <c r="V197" s="35"/>
      <c r="W197" s="35"/>
      <c r="X197" s="35" t="s">
        <v>40</v>
      </c>
      <c r="Y197" s="35" t="n">
        <v>-7.178818</v>
      </c>
      <c r="Z197" s="35" t="n">
        <v>-48.2219145</v>
      </c>
      <c r="AA197" s="49" t="s">
        <v>1603</v>
      </c>
      <c r="AB197" s="35" t="s">
        <v>1604</v>
      </c>
    </row>
    <row r="198" customFormat="false" ht="15" hidden="false" customHeight="false" outlineLevel="0" collapsed="false">
      <c r="A198" s="35" t="n">
        <v>197</v>
      </c>
      <c r="B198" s="35" t="s">
        <v>928</v>
      </c>
      <c r="C198" s="35" t="s">
        <v>1846</v>
      </c>
      <c r="D198" s="35" t="s">
        <v>927</v>
      </c>
      <c r="E198" s="35" t="s">
        <v>929</v>
      </c>
      <c r="F198" s="40" t="n">
        <v>3.83781974915158</v>
      </c>
      <c r="G198" s="36" t="n">
        <v>2909.31278097684</v>
      </c>
      <c r="H198" s="36" t="n">
        <v>2909.31278097684</v>
      </c>
      <c r="I198" s="5" t="s">
        <v>20</v>
      </c>
      <c r="J198" s="35" t="s">
        <v>283</v>
      </c>
      <c r="K198" s="35" t="s">
        <v>403</v>
      </c>
      <c r="L198" s="35" t="n">
        <v>22</v>
      </c>
      <c r="M198" s="35" t="s">
        <v>40</v>
      </c>
      <c r="N198" s="35" t="s">
        <v>1601</v>
      </c>
      <c r="O198" s="35" t="s">
        <v>90</v>
      </c>
      <c r="P198" s="35" t="s">
        <v>50</v>
      </c>
      <c r="Q198" s="35" t="n">
        <v>0</v>
      </c>
      <c r="R198" s="35"/>
      <c r="S198" s="35" t="s">
        <v>40</v>
      </c>
      <c r="T198" s="35"/>
      <c r="U198" s="35"/>
      <c r="V198" s="35"/>
      <c r="W198" s="35"/>
      <c r="X198" s="35" t="s">
        <v>40</v>
      </c>
      <c r="Y198" s="35" t="n">
        <v>-7.178744</v>
      </c>
      <c r="Z198" s="35" t="n">
        <v>-48.2218405</v>
      </c>
      <c r="AA198" s="49" t="s">
        <v>1603</v>
      </c>
      <c r="AB198" s="35" t="s">
        <v>1604</v>
      </c>
    </row>
    <row r="199" customFormat="false" ht="15" hidden="false" customHeight="false" outlineLevel="0" collapsed="false">
      <c r="A199" s="35" t="n">
        <v>198</v>
      </c>
      <c r="B199" s="35" t="s">
        <v>930</v>
      </c>
      <c r="C199" s="35" t="s">
        <v>1847</v>
      </c>
      <c r="D199" s="35" t="s">
        <v>929</v>
      </c>
      <c r="E199" s="35" t="s">
        <v>931</v>
      </c>
      <c r="F199" s="40" t="n">
        <v>20.5985712342363</v>
      </c>
      <c r="G199" s="36" t="n">
        <v>2929.91135221107</v>
      </c>
      <c r="H199" s="36" t="n">
        <v>2929.91135221107</v>
      </c>
      <c r="I199" s="5" t="s">
        <v>20</v>
      </c>
      <c r="J199" s="35" t="s">
        <v>283</v>
      </c>
      <c r="K199" s="35" t="s">
        <v>403</v>
      </c>
      <c r="L199" s="35" t="n">
        <v>22</v>
      </c>
      <c r="M199" s="35" t="s">
        <v>40</v>
      </c>
      <c r="N199" s="35" t="s">
        <v>1601</v>
      </c>
      <c r="O199" s="35" t="s">
        <v>90</v>
      </c>
      <c r="P199" s="35" t="s">
        <v>50</v>
      </c>
      <c r="Q199" s="35" t="n">
        <v>0</v>
      </c>
      <c r="R199" s="35"/>
      <c r="S199" s="35" t="s">
        <v>40</v>
      </c>
      <c r="T199" s="35"/>
      <c r="U199" s="35"/>
      <c r="V199" s="35"/>
      <c r="W199" s="35"/>
      <c r="X199" s="35" t="s">
        <v>40</v>
      </c>
      <c r="Y199" s="35" t="n">
        <v>-7.1786675</v>
      </c>
      <c r="Z199" s="35" t="n">
        <v>-48.221761</v>
      </c>
      <c r="AA199" s="49" t="s">
        <v>1603</v>
      </c>
      <c r="AB199" s="35" t="s">
        <v>1604</v>
      </c>
    </row>
    <row r="200" customFormat="false" ht="15" hidden="false" customHeight="false" outlineLevel="0" collapsed="false">
      <c r="A200" s="35" t="n">
        <v>199</v>
      </c>
      <c r="B200" s="35" t="s">
        <v>932</v>
      </c>
      <c r="C200" s="35" t="s">
        <v>1848</v>
      </c>
      <c r="D200" s="35" t="s">
        <v>931</v>
      </c>
      <c r="E200" s="35" t="s">
        <v>933</v>
      </c>
      <c r="F200" s="40" t="n">
        <v>3.69033503475026</v>
      </c>
      <c r="G200" s="36" t="n">
        <v>2933.60168724582</v>
      </c>
      <c r="H200" s="36" t="n">
        <v>2933.60168724582</v>
      </c>
      <c r="I200" s="5" t="s">
        <v>20</v>
      </c>
      <c r="J200" s="35" t="s">
        <v>283</v>
      </c>
      <c r="K200" s="35" t="s">
        <v>403</v>
      </c>
      <c r="L200" s="35" t="n">
        <v>22</v>
      </c>
      <c r="M200" s="35" t="s">
        <v>40</v>
      </c>
      <c r="N200" s="35" t="s">
        <v>1601</v>
      </c>
      <c r="O200" s="35" t="s">
        <v>90</v>
      </c>
      <c r="P200" s="35" t="s">
        <v>50</v>
      </c>
      <c r="Q200" s="35" t="n">
        <v>0</v>
      </c>
      <c r="R200" s="35"/>
      <c r="S200" s="35" t="s">
        <v>40</v>
      </c>
      <c r="T200" s="35"/>
      <c r="U200" s="35"/>
      <c r="V200" s="35"/>
      <c r="W200" s="35"/>
      <c r="X200" s="35" t="s">
        <v>40</v>
      </c>
      <c r="Y200" s="35" t="n">
        <v>-7.1785905</v>
      </c>
      <c r="Z200" s="35" t="n">
        <v>-48.221683</v>
      </c>
      <c r="AA200" s="49" t="s">
        <v>1603</v>
      </c>
      <c r="AB200" s="35" t="s">
        <v>1604</v>
      </c>
    </row>
    <row r="201" customFormat="false" ht="15" hidden="false" customHeight="false" outlineLevel="0" collapsed="false">
      <c r="A201" s="35" t="n">
        <v>200</v>
      </c>
      <c r="B201" s="35" t="s">
        <v>934</v>
      </c>
      <c r="C201" s="35" t="s">
        <v>1849</v>
      </c>
      <c r="D201" s="35" t="s">
        <v>933</v>
      </c>
      <c r="E201" s="35" t="s">
        <v>935</v>
      </c>
      <c r="F201" s="40" t="n">
        <v>43.074204655968</v>
      </c>
      <c r="G201" s="36" t="n">
        <v>2976.67589190179</v>
      </c>
      <c r="H201" s="36" t="n">
        <v>2976.67589190179</v>
      </c>
      <c r="I201" s="5" t="s">
        <v>20</v>
      </c>
      <c r="J201" s="35" t="s">
        <v>283</v>
      </c>
      <c r="K201" s="35" t="s">
        <v>403</v>
      </c>
      <c r="L201" s="35" t="n">
        <v>22</v>
      </c>
      <c r="M201" s="35" t="s">
        <v>40</v>
      </c>
      <c r="N201" s="35" t="s">
        <v>1601</v>
      </c>
      <c r="O201" s="35" t="s">
        <v>90</v>
      </c>
      <c r="P201" s="35" t="s">
        <v>50</v>
      </c>
      <c r="Q201" s="35" t="n">
        <v>0</v>
      </c>
      <c r="R201" s="35"/>
      <c r="S201" s="35" t="s">
        <v>40</v>
      </c>
      <c r="T201" s="35"/>
      <c r="U201" s="35"/>
      <c r="V201" s="35"/>
      <c r="W201" s="35"/>
      <c r="X201" s="35" t="s">
        <v>40</v>
      </c>
      <c r="Y201" s="35" t="n">
        <v>-7.1784415</v>
      </c>
      <c r="Z201" s="35" t="n">
        <v>-48.2215335</v>
      </c>
      <c r="AA201" s="49" t="s">
        <v>1603</v>
      </c>
      <c r="AB201" s="35" t="s">
        <v>1604</v>
      </c>
    </row>
    <row r="202" customFormat="false" ht="15" hidden="false" customHeight="false" outlineLevel="0" collapsed="false">
      <c r="A202" s="35" t="n">
        <v>201</v>
      </c>
      <c r="B202" s="35" t="s">
        <v>936</v>
      </c>
      <c r="C202" s="35" t="s">
        <v>1850</v>
      </c>
      <c r="D202" s="35" t="s">
        <v>935</v>
      </c>
      <c r="E202" s="35" t="s">
        <v>937</v>
      </c>
      <c r="F202" s="40" t="n">
        <v>3.75931964663612</v>
      </c>
      <c r="G202" s="36" t="n">
        <v>2980.43521154843</v>
      </c>
      <c r="H202" s="36" t="n">
        <v>2980.43521154843</v>
      </c>
      <c r="I202" s="5" t="s">
        <v>20</v>
      </c>
      <c r="J202" s="35" t="s">
        <v>283</v>
      </c>
      <c r="K202" s="35" t="s">
        <v>403</v>
      </c>
      <c r="L202" s="35" t="n">
        <v>22</v>
      </c>
      <c r="M202" s="35" t="s">
        <v>40</v>
      </c>
      <c r="N202" s="35" t="s">
        <v>1601</v>
      </c>
      <c r="O202" s="35" t="s">
        <v>90</v>
      </c>
      <c r="P202" s="35" t="s">
        <v>50</v>
      </c>
      <c r="Q202" s="35" t="n">
        <v>0</v>
      </c>
      <c r="R202" s="35"/>
      <c r="S202" s="35" t="s">
        <v>40</v>
      </c>
      <c r="T202" s="35"/>
      <c r="U202" s="35"/>
      <c r="V202" s="35"/>
      <c r="W202" s="35"/>
      <c r="X202" s="35" t="s">
        <v>40</v>
      </c>
      <c r="Y202" s="35" t="n">
        <v>-7.178293</v>
      </c>
      <c r="Z202" s="35" t="n">
        <v>-48.221383</v>
      </c>
      <c r="AA202" s="49" t="s">
        <v>1603</v>
      </c>
      <c r="AB202" s="35" t="s">
        <v>1604</v>
      </c>
    </row>
    <row r="203" customFormat="false" ht="15" hidden="false" customHeight="false" outlineLevel="0" collapsed="false">
      <c r="A203" s="35" t="n">
        <v>202</v>
      </c>
      <c r="B203" s="35" t="s">
        <v>938</v>
      </c>
      <c r="C203" s="35" t="s">
        <v>1851</v>
      </c>
      <c r="D203" s="35" t="s">
        <v>937</v>
      </c>
      <c r="E203" s="35" t="s">
        <v>939</v>
      </c>
      <c r="F203" s="40" t="n">
        <v>29.2956765823239</v>
      </c>
      <c r="G203" s="36" t="n">
        <v>3009.73088813075</v>
      </c>
      <c r="H203" s="36" t="n">
        <v>3009.73088813075</v>
      </c>
      <c r="I203" s="5" t="s">
        <v>20</v>
      </c>
      <c r="J203" s="35" t="s">
        <v>283</v>
      </c>
      <c r="K203" s="35" t="s">
        <v>403</v>
      </c>
      <c r="L203" s="35" t="n">
        <v>22</v>
      </c>
      <c r="M203" s="35" t="s">
        <v>40</v>
      </c>
      <c r="N203" s="35" t="s">
        <v>1601</v>
      </c>
      <c r="O203" s="35" t="s">
        <v>90</v>
      </c>
      <c r="P203" s="35" t="s">
        <v>50</v>
      </c>
      <c r="Q203" s="35" t="n">
        <v>0</v>
      </c>
      <c r="R203" s="35"/>
      <c r="S203" s="35" t="s">
        <v>40</v>
      </c>
      <c r="T203" s="35"/>
      <c r="U203" s="35"/>
      <c r="V203" s="35"/>
      <c r="W203" s="35"/>
      <c r="X203" s="35" t="s">
        <v>40</v>
      </c>
      <c r="Y203" s="35" t="n">
        <v>-7.17819</v>
      </c>
      <c r="Z203" s="35" t="n">
        <v>-48.221275</v>
      </c>
      <c r="AA203" s="49" t="s">
        <v>1603</v>
      </c>
      <c r="AB203" s="35" t="s">
        <v>1604</v>
      </c>
    </row>
    <row r="204" customFormat="false" ht="15" hidden="false" customHeight="false" outlineLevel="0" collapsed="false">
      <c r="A204" s="35" t="n">
        <v>203</v>
      </c>
      <c r="B204" s="35" t="s">
        <v>940</v>
      </c>
      <c r="C204" s="35" t="s">
        <v>1852</v>
      </c>
      <c r="D204" s="35" t="s">
        <v>939</v>
      </c>
      <c r="E204" s="35" t="s">
        <v>941</v>
      </c>
      <c r="F204" s="40" t="n">
        <v>5.18639382996365</v>
      </c>
      <c r="G204" s="36" t="n">
        <v>3014.91728196072</v>
      </c>
      <c r="H204" s="36" t="n">
        <v>3014.91728196072</v>
      </c>
      <c r="I204" s="5" t="s">
        <v>20</v>
      </c>
      <c r="J204" s="35" t="s">
        <v>283</v>
      </c>
      <c r="K204" s="35" t="s">
        <v>403</v>
      </c>
      <c r="L204" s="35" t="n">
        <v>22</v>
      </c>
      <c r="M204" s="35" t="s">
        <v>40</v>
      </c>
      <c r="N204" s="35" t="s">
        <v>1601</v>
      </c>
      <c r="O204" s="35" t="s">
        <v>90</v>
      </c>
      <c r="P204" s="35" t="s">
        <v>50</v>
      </c>
      <c r="Q204" s="35" t="n">
        <v>0</v>
      </c>
      <c r="R204" s="35"/>
      <c r="S204" s="35" t="s">
        <v>40</v>
      </c>
      <c r="T204" s="35"/>
      <c r="U204" s="35"/>
      <c r="V204" s="35"/>
      <c r="W204" s="35"/>
      <c r="X204" s="35" t="s">
        <v>40</v>
      </c>
      <c r="Y204" s="35" t="n">
        <v>-7.1780995</v>
      </c>
      <c r="Z204" s="35" t="n">
        <v>-48.2211555</v>
      </c>
      <c r="AA204" s="49" t="s">
        <v>1603</v>
      </c>
      <c r="AB204" s="35" t="s">
        <v>1604</v>
      </c>
    </row>
    <row r="205" customFormat="false" ht="15" hidden="false" customHeight="false" outlineLevel="0" collapsed="false">
      <c r="A205" s="35" t="n">
        <v>204</v>
      </c>
      <c r="B205" s="35" t="s">
        <v>942</v>
      </c>
      <c r="C205" s="35" t="s">
        <v>1853</v>
      </c>
      <c r="D205" s="35" t="s">
        <v>939</v>
      </c>
      <c r="E205" s="35" t="s">
        <v>943</v>
      </c>
      <c r="F205" s="40" t="n">
        <v>0.333584779838025</v>
      </c>
      <c r="G205" s="36" t="n">
        <v>3010.06447291059</v>
      </c>
      <c r="H205" s="36" t="n">
        <v>3010.06447291059</v>
      </c>
      <c r="I205" s="5" t="s">
        <v>20</v>
      </c>
      <c r="J205" s="35" t="s">
        <v>283</v>
      </c>
      <c r="K205" s="35" t="s">
        <v>403</v>
      </c>
      <c r="L205" s="35" t="n">
        <v>22</v>
      </c>
      <c r="M205" s="35" t="s">
        <v>40</v>
      </c>
      <c r="N205" s="35" t="s">
        <v>1601</v>
      </c>
      <c r="O205" s="35" t="s">
        <v>90</v>
      </c>
      <c r="P205" s="35" t="s">
        <v>50</v>
      </c>
      <c r="Q205" s="35" t="n">
        <v>0</v>
      </c>
      <c r="R205" s="35"/>
      <c r="S205" s="35" t="s">
        <v>40</v>
      </c>
      <c r="T205" s="35"/>
      <c r="U205" s="35"/>
      <c r="V205" s="35"/>
      <c r="W205" s="35"/>
      <c r="X205" s="35" t="s">
        <v>40</v>
      </c>
      <c r="Y205" s="35" t="n">
        <v>-7.1780975</v>
      </c>
      <c r="Z205" s="35" t="n">
        <v>-48.221179</v>
      </c>
      <c r="AA205" s="49" t="s">
        <v>1603</v>
      </c>
      <c r="AB205" s="35" t="s">
        <v>1604</v>
      </c>
    </row>
    <row r="206" customFormat="false" ht="15" hidden="false" customHeight="false" outlineLevel="0" collapsed="false">
      <c r="A206" s="35" t="n">
        <v>205</v>
      </c>
      <c r="B206" s="35" t="s">
        <v>944</v>
      </c>
      <c r="C206" s="35" t="s">
        <v>1854</v>
      </c>
      <c r="D206" s="35" t="s">
        <v>943</v>
      </c>
      <c r="E206" s="35" t="s">
        <v>945</v>
      </c>
      <c r="F206" s="40" t="n">
        <v>5.11903035079321</v>
      </c>
      <c r="G206" s="36" t="n">
        <v>3015.18350326138</v>
      </c>
      <c r="H206" s="36" t="n">
        <v>3015.18350326138</v>
      </c>
      <c r="I206" s="5" t="s">
        <v>20</v>
      </c>
      <c r="J206" s="35" t="s">
        <v>283</v>
      </c>
      <c r="K206" s="35" t="s">
        <v>403</v>
      </c>
      <c r="L206" s="35" t="n">
        <v>22</v>
      </c>
      <c r="M206" s="35" t="s">
        <v>40</v>
      </c>
      <c r="N206" s="35" t="s">
        <v>1601</v>
      </c>
      <c r="O206" s="35" t="s">
        <v>90</v>
      </c>
      <c r="P206" s="35" t="s">
        <v>50</v>
      </c>
      <c r="Q206" s="35" t="n">
        <v>0</v>
      </c>
      <c r="R206" s="35"/>
      <c r="S206" s="35" t="s">
        <v>40</v>
      </c>
      <c r="T206" s="35"/>
      <c r="U206" s="35"/>
      <c r="V206" s="35"/>
      <c r="W206" s="35"/>
      <c r="X206" s="35" t="s">
        <v>40</v>
      </c>
      <c r="Y206" s="35" t="n">
        <v>-7.178075</v>
      </c>
      <c r="Z206" s="35" t="n">
        <v>-48.2211695</v>
      </c>
      <c r="AA206" s="49" t="s">
        <v>1603</v>
      </c>
      <c r="AB206" s="35" t="s">
        <v>1604</v>
      </c>
    </row>
    <row r="207" customFormat="false" ht="15" hidden="false" customHeight="false" outlineLevel="0" collapsed="false">
      <c r="A207" s="35" t="n">
        <v>206</v>
      </c>
      <c r="B207" s="35" t="s">
        <v>946</v>
      </c>
      <c r="C207" s="35" t="s">
        <v>1855</v>
      </c>
      <c r="D207" s="35" t="s">
        <v>640</v>
      </c>
      <c r="E207" s="35" t="s">
        <v>947</v>
      </c>
      <c r="F207" s="40" t="n">
        <v>41.7687049462162</v>
      </c>
      <c r="G207" s="36" t="n">
        <v>2929.71650085566</v>
      </c>
      <c r="H207" s="36" t="n">
        <v>2929.71650085566</v>
      </c>
      <c r="I207" s="5" t="s">
        <v>20</v>
      </c>
      <c r="J207" s="35" t="s">
        <v>283</v>
      </c>
      <c r="K207" s="35" t="s">
        <v>406</v>
      </c>
      <c r="L207" s="35" t="n">
        <v>23</v>
      </c>
      <c r="M207" s="35" t="s">
        <v>40</v>
      </c>
      <c r="N207" s="35" t="s">
        <v>1601</v>
      </c>
      <c r="O207" s="35" t="s">
        <v>93</v>
      </c>
      <c r="P207" s="35" t="s">
        <v>50</v>
      </c>
      <c r="Q207" s="35" t="n">
        <v>0</v>
      </c>
      <c r="R207" s="35"/>
      <c r="S207" s="35" t="s">
        <v>40</v>
      </c>
      <c r="T207" s="35"/>
      <c r="U207" s="35"/>
      <c r="V207" s="35"/>
      <c r="W207" s="35"/>
      <c r="X207" s="35" t="s">
        <v>40</v>
      </c>
      <c r="Y207" s="35" t="n">
        <v>-7.1787015</v>
      </c>
      <c r="Z207" s="35" t="n">
        <v>-48.2220755</v>
      </c>
      <c r="AA207" s="49" t="s">
        <v>1603</v>
      </c>
      <c r="AB207" s="35" t="s">
        <v>1604</v>
      </c>
    </row>
    <row r="208" customFormat="false" ht="15" hidden="false" customHeight="false" outlineLevel="0" collapsed="false">
      <c r="A208" s="35" t="n">
        <v>207</v>
      </c>
      <c r="B208" s="35" t="s">
        <v>948</v>
      </c>
      <c r="C208" s="35" t="s">
        <v>1856</v>
      </c>
      <c r="D208" s="35" t="s">
        <v>649</v>
      </c>
      <c r="E208" s="35" t="s">
        <v>949</v>
      </c>
      <c r="F208" s="40" t="n">
        <v>5.47358086611873</v>
      </c>
      <c r="G208" s="36" t="n">
        <v>2973.8715628425</v>
      </c>
      <c r="H208" s="36" t="n">
        <v>2973.8715628425</v>
      </c>
      <c r="I208" s="5" t="s">
        <v>20</v>
      </c>
      <c r="J208" s="35" t="s">
        <v>283</v>
      </c>
      <c r="K208" s="35" t="s">
        <v>407</v>
      </c>
      <c r="L208" s="35" t="n">
        <v>24</v>
      </c>
      <c r="M208" s="35" t="s">
        <v>40</v>
      </c>
      <c r="N208" s="35" t="s">
        <v>1601</v>
      </c>
      <c r="O208" s="35" t="s">
        <v>96</v>
      </c>
      <c r="P208" s="35" t="s">
        <v>50</v>
      </c>
      <c r="Q208" s="35" t="n">
        <v>0</v>
      </c>
      <c r="R208" s="35"/>
      <c r="S208" s="35" t="s">
        <v>40</v>
      </c>
      <c r="T208" s="35"/>
      <c r="U208" s="35"/>
      <c r="V208" s="35"/>
      <c r="W208" s="35"/>
      <c r="X208" s="35" t="s">
        <v>40</v>
      </c>
      <c r="Y208" s="35" t="n">
        <v>-7.17954</v>
      </c>
      <c r="Z208" s="35" t="n">
        <v>-48.2216695</v>
      </c>
      <c r="AA208" s="49" t="s">
        <v>1603</v>
      </c>
      <c r="AB208" s="35" t="s">
        <v>1604</v>
      </c>
    </row>
    <row r="209" customFormat="false" ht="15" hidden="false" customHeight="false" outlineLevel="0" collapsed="false">
      <c r="A209" s="35" t="n">
        <v>208</v>
      </c>
      <c r="B209" s="35" t="s">
        <v>950</v>
      </c>
      <c r="C209" s="35" t="s">
        <v>1857</v>
      </c>
      <c r="D209" s="35" t="s">
        <v>661</v>
      </c>
      <c r="E209" s="35" t="s">
        <v>951</v>
      </c>
      <c r="F209" s="40" t="n">
        <v>4.26392299277908</v>
      </c>
      <c r="G209" s="36" t="n">
        <v>2981.19374296883</v>
      </c>
      <c r="H209" s="36" t="n">
        <v>9.0290120237446</v>
      </c>
      <c r="I209" s="6" t="s">
        <v>21</v>
      </c>
      <c r="J209" s="35" t="s">
        <v>283</v>
      </c>
      <c r="K209" s="35" t="s">
        <v>408</v>
      </c>
      <c r="L209" s="35" t="n">
        <v>25</v>
      </c>
      <c r="M209" s="35" t="s">
        <v>41</v>
      </c>
      <c r="N209" s="35" t="s">
        <v>1674</v>
      </c>
      <c r="O209" s="35" t="s">
        <v>99</v>
      </c>
      <c r="P209" s="35" t="s">
        <v>50</v>
      </c>
      <c r="Q209" s="35" t="n">
        <v>0</v>
      </c>
      <c r="R209" s="35"/>
      <c r="S209" s="35" t="s">
        <v>40</v>
      </c>
      <c r="T209" s="35" t="s">
        <v>41</v>
      </c>
      <c r="U209" s="35"/>
      <c r="V209" s="35"/>
      <c r="W209" s="35"/>
      <c r="X209" s="35" t="s">
        <v>1676</v>
      </c>
      <c r="Y209" s="35" t="n">
        <v>-7.1795695</v>
      </c>
      <c r="Z209" s="35" t="n">
        <v>-48.221652</v>
      </c>
      <c r="AA209" s="49" t="s">
        <v>1603</v>
      </c>
      <c r="AB209" s="35" t="s">
        <v>1677</v>
      </c>
    </row>
    <row r="210" customFormat="false" ht="15" hidden="false" customHeight="false" outlineLevel="0" collapsed="false">
      <c r="A210" s="35" t="n">
        <v>209</v>
      </c>
      <c r="B210" s="35" t="s">
        <v>952</v>
      </c>
      <c r="C210" s="35" t="s">
        <v>1858</v>
      </c>
      <c r="D210" s="35" t="s">
        <v>665</v>
      </c>
      <c r="E210" s="35" t="s">
        <v>953</v>
      </c>
      <c r="F210" s="40" t="n">
        <v>20.8495663721045</v>
      </c>
      <c r="G210" s="36" t="n">
        <v>3095.98662206228</v>
      </c>
      <c r="H210" s="36" t="n">
        <v>123.821891117204</v>
      </c>
      <c r="I210" s="6" t="s">
        <v>21</v>
      </c>
      <c r="J210" s="35" t="s">
        <v>283</v>
      </c>
      <c r="K210" s="35" t="s">
        <v>409</v>
      </c>
      <c r="L210" s="35" t="n">
        <v>26</v>
      </c>
      <c r="M210" s="35" t="s">
        <v>41</v>
      </c>
      <c r="N210" s="35" t="s">
        <v>1674</v>
      </c>
      <c r="O210" s="35" t="s">
        <v>102</v>
      </c>
      <c r="P210" s="35" t="s">
        <v>50</v>
      </c>
      <c r="Q210" s="35" t="n">
        <v>0</v>
      </c>
      <c r="R210" s="35"/>
      <c r="S210" s="35" t="s">
        <v>40</v>
      </c>
      <c r="T210" s="35" t="s">
        <v>41</v>
      </c>
      <c r="U210" s="35"/>
      <c r="V210" s="35"/>
      <c r="W210" s="35"/>
      <c r="X210" s="35" t="s">
        <v>1676</v>
      </c>
      <c r="Y210" s="35" t="n">
        <v>-7.1803315</v>
      </c>
      <c r="Z210" s="35" t="n">
        <v>-48.221146</v>
      </c>
      <c r="AA210" s="49" t="s">
        <v>1603</v>
      </c>
      <c r="AB210" s="35" t="s">
        <v>1677</v>
      </c>
    </row>
    <row r="211" customFormat="false" ht="15" hidden="false" customHeight="false" outlineLevel="0" collapsed="false">
      <c r="A211" s="35" t="n">
        <v>210</v>
      </c>
      <c r="B211" s="35" t="s">
        <v>954</v>
      </c>
      <c r="C211" s="35" t="s">
        <v>1859</v>
      </c>
      <c r="D211" s="35" t="s">
        <v>665</v>
      </c>
      <c r="E211" s="35" t="s">
        <v>955</v>
      </c>
      <c r="F211" s="40" t="n">
        <v>21.8587606608002</v>
      </c>
      <c r="G211" s="36" t="n">
        <v>3096.99581635098</v>
      </c>
      <c r="H211" s="36" t="n">
        <v>124.8310854059</v>
      </c>
      <c r="I211" s="6" t="s">
        <v>21</v>
      </c>
      <c r="J211" s="35" t="s">
        <v>283</v>
      </c>
      <c r="K211" s="35" t="s">
        <v>409</v>
      </c>
      <c r="L211" s="35" t="n">
        <v>26</v>
      </c>
      <c r="M211" s="35" t="s">
        <v>41</v>
      </c>
      <c r="N211" s="35" t="s">
        <v>1674</v>
      </c>
      <c r="O211" s="35" t="s">
        <v>102</v>
      </c>
      <c r="P211" s="35" t="s">
        <v>104</v>
      </c>
      <c r="Q211" s="35" t="n">
        <v>1</v>
      </c>
      <c r="R211" s="35"/>
      <c r="S211" s="35" t="s">
        <v>40</v>
      </c>
      <c r="T211" s="35" t="s">
        <v>41</v>
      </c>
      <c r="U211" s="35"/>
      <c r="V211" s="35"/>
      <c r="W211" s="35"/>
      <c r="X211" s="35" t="s">
        <v>1676</v>
      </c>
      <c r="Y211" s="35" t="n">
        <v>-7.1803925</v>
      </c>
      <c r="Z211" s="35" t="n">
        <v>-48.2213295</v>
      </c>
      <c r="AA211" s="49" t="s">
        <v>1603</v>
      </c>
      <c r="AB211" s="35" t="s">
        <v>1677</v>
      </c>
    </row>
    <row r="212" customFormat="false" ht="15" hidden="false" customHeight="false" outlineLevel="0" collapsed="false">
      <c r="A212" s="35" t="n">
        <v>211</v>
      </c>
      <c r="B212" s="35" t="s">
        <v>956</v>
      </c>
      <c r="C212" s="35" t="s">
        <v>1860</v>
      </c>
      <c r="D212" s="35" t="s">
        <v>955</v>
      </c>
      <c r="E212" s="35" t="s">
        <v>957</v>
      </c>
      <c r="F212" s="40" t="n">
        <v>2.39246927653748</v>
      </c>
      <c r="G212" s="36" t="n">
        <v>3099.38828562752</v>
      </c>
      <c r="H212" s="36" t="n">
        <v>127.223554682438</v>
      </c>
      <c r="I212" s="6" t="s">
        <v>21</v>
      </c>
      <c r="J212" s="35" t="s">
        <v>283</v>
      </c>
      <c r="K212" s="35" t="s">
        <v>409</v>
      </c>
      <c r="L212" s="35" t="n">
        <v>26</v>
      </c>
      <c r="M212" s="35" t="s">
        <v>41</v>
      </c>
      <c r="N212" s="35" t="s">
        <v>1674</v>
      </c>
      <c r="O212" s="35" t="s">
        <v>102</v>
      </c>
      <c r="P212" s="35" t="s">
        <v>104</v>
      </c>
      <c r="Q212" s="35" t="n">
        <v>1</v>
      </c>
      <c r="R212" s="35" t="s">
        <v>103</v>
      </c>
      <c r="S212" s="35" t="s">
        <v>40</v>
      </c>
      <c r="T212" s="35" t="s">
        <v>41</v>
      </c>
      <c r="U212" s="35"/>
      <c r="V212" s="35"/>
      <c r="W212" s="35"/>
      <c r="X212" s="35" t="s">
        <v>1676</v>
      </c>
      <c r="Y212" s="35" t="n">
        <v>-7.180428</v>
      </c>
      <c r="Z212" s="35" t="n">
        <v>-48.221433</v>
      </c>
      <c r="AA212" s="49" t="s">
        <v>1603</v>
      </c>
      <c r="AB212" s="35" t="s">
        <v>1677</v>
      </c>
    </row>
    <row r="213" customFormat="false" ht="15" hidden="false" customHeight="false" outlineLevel="0" collapsed="false">
      <c r="A213" s="35" t="n">
        <v>212</v>
      </c>
      <c r="B213" s="35" t="s">
        <v>958</v>
      </c>
      <c r="C213" s="35" t="s">
        <v>1861</v>
      </c>
      <c r="D213" s="35" t="s">
        <v>957</v>
      </c>
      <c r="E213" s="35" t="s">
        <v>959</v>
      </c>
      <c r="F213" s="40" t="n">
        <v>21.1673690579869</v>
      </c>
      <c r="G213" s="36" t="n">
        <v>3120.55565468551</v>
      </c>
      <c r="H213" s="36" t="n">
        <v>148.390923740425</v>
      </c>
      <c r="I213" s="6" t="s">
        <v>21</v>
      </c>
      <c r="J213" s="35" t="s">
        <v>283</v>
      </c>
      <c r="K213" s="35" t="s">
        <v>409</v>
      </c>
      <c r="L213" s="35" t="n">
        <v>26</v>
      </c>
      <c r="M213" s="35" t="s">
        <v>41</v>
      </c>
      <c r="N213" s="35" t="s">
        <v>1674</v>
      </c>
      <c r="O213" s="35" t="s">
        <v>102</v>
      </c>
      <c r="P213" s="35" t="s">
        <v>104</v>
      </c>
      <c r="Q213" s="35" t="n">
        <v>1</v>
      </c>
      <c r="R213" s="35"/>
      <c r="S213" s="35" t="s">
        <v>40</v>
      </c>
      <c r="T213" s="35" t="s">
        <v>41</v>
      </c>
      <c r="U213" s="35"/>
      <c r="V213" s="35"/>
      <c r="W213" s="35"/>
      <c r="X213" s="35" t="s">
        <v>1676</v>
      </c>
      <c r="Y213" s="35" t="n">
        <v>-7.180488</v>
      </c>
      <c r="Z213" s="35" t="n">
        <v>-48.221521</v>
      </c>
      <c r="AA213" s="49" t="s">
        <v>1603</v>
      </c>
      <c r="AB213" s="35" t="s">
        <v>1677</v>
      </c>
    </row>
    <row r="214" customFormat="false" ht="15" hidden="false" customHeight="false" outlineLevel="0" collapsed="false">
      <c r="A214" s="35" t="n">
        <v>213</v>
      </c>
      <c r="B214" s="35" t="s">
        <v>960</v>
      </c>
      <c r="C214" s="35" t="s">
        <v>1862</v>
      </c>
      <c r="D214" s="35" t="s">
        <v>959</v>
      </c>
      <c r="E214" s="35" t="s">
        <v>961</v>
      </c>
      <c r="F214" s="40" t="n">
        <v>51.4513201077739</v>
      </c>
      <c r="G214" s="36" t="n">
        <v>3172.00697479328</v>
      </c>
      <c r="H214" s="36" t="n">
        <v>199.842243848198</v>
      </c>
      <c r="I214" s="6" t="s">
        <v>21</v>
      </c>
      <c r="J214" s="35" t="s">
        <v>283</v>
      </c>
      <c r="K214" s="35" t="s">
        <v>409</v>
      </c>
      <c r="L214" s="35" t="n">
        <v>26</v>
      </c>
      <c r="M214" s="35" t="s">
        <v>41</v>
      </c>
      <c r="N214" s="35" t="s">
        <v>1674</v>
      </c>
      <c r="O214" s="35" t="s">
        <v>102</v>
      </c>
      <c r="P214" s="35" t="s">
        <v>104</v>
      </c>
      <c r="Q214" s="35" t="n">
        <v>1</v>
      </c>
      <c r="R214" s="35"/>
      <c r="S214" s="35" t="s">
        <v>40</v>
      </c>
      <c r="T214" s="35" t="s">
        <v>41</v>
      </c>
      <c r="U214" s="35"/>
      <c r="V214" s="35"/>
      <c r="W214" s="35"/>
      <c r="X214" s="35" t="s">
        <v>1676</v>
      </c>
      <c r="Y214" s="35" t="n">
        <v>-7.180665</v>
      </c>
      <c r="Z214" s="35" t="n">
        <v>-48.2217975</v>
      </c>
      <c r="AA214" s="49" t="s">
        <v>1603</v>
      </c>
      <c r="AB214" s="35" t="s">
        <v>1677</v>
      </c>
    </row>
    <row r="215" customFormat="false" ht="15" hidden="false" customHeight="false" outlineLevel="0" collapsed="false">
      <c r="A215" s="35" t="n">
        <v>214</v>
      </c>
      <c r="B215" s="35" t="s">
        <v>962</v>
      </c>
      <c r="C215" s="35" t="s">
        <v>1863</v>
      </c>
      <c r="D215" s="35" t="s">
        <v>961</v>
      </c>
      <c r="E215" s="35" t="s">
        <v>963</v>
      </c>
      <c r="F215" s="40" t="n">
        <v>36.3973959856678</v>
      </c>
      <c r="G215" s="36" t="n">
        <v>3208.40437077895</v>
      </c>
      <c r="H215" s="36" t="n">
        <v>236.239639833867</v>
      </c>
      <c r="I215" s="6" t="s">
        <v>21</v>
      </c>
      <c r="J215" s="35" t="s">
        <v>283</v>
      </c>
      <c r="K215" s="35" t="s">
        <v>409</v>
      </c>
      <c r="L215" s="35" t="n">
        <v>26</v>
      </c>
      <c r="M215" s="35" t="s">
        <v>41</v>
      </c>
      <c r="N215" s="35" t="s">
        <v>1674</v>
      </c>
      <c r="O215" s="35" t="s">
        <v>102</v>
      </c>
      <c r="P215" s="35" t="s">
        <v>104</v>
      </c>
      <c r="Q215" s="35" t="n">
        <v>1</v>
      </c>
      <c r="R215" s="35"/>
      <c r="S215" s="35" t="s">
        <v>40</v>
      </c>
      <c r="T215" s="35" t="s">
        <v>41</v>
      </c>
      <c r="U215" s="35"/>
      <c r="V215" s="35"/>
      <c r="W215" s="35"/>
      <c r="X215" s="35" t="s">
        <v>1676</v>
      </c>
      <c r="Y215" s="35" t="n">
        <v>-7.1808965</v>
      </c>
      <c r="Z215" s="35" t="n">
        <v>-48.2218715</v>
      </c>
      <c r="AA215" s="49" t="s">
        <v>1603</v>
      </c>
      <c r="AB215" s="35" t="s">
        <v>1677</v>
      </c>
    </row>
    <row r="216" customFormat="false" ht="15" hidden="false" customHeight="false" outlineLevel="0" collapsed="false">
      <c r="A216" s="35" t="n">
        <v>215</v>
      </c>
      <c r="B216" s="35" t="s">
        <v>964</v>
      </c>
      <c r="C216" s="35" t="s">
        <v>1864</v>
      </c>
      <c r="D216" s="35" t="s">
        <v>963</v>
      </c>
      <c r="E216" s="35" t="s">
        <v>965</v>
      </c>
      <c r="F216" s="40" t="n">
        <v>2.18869747531375</v>
      </c>
      <c r="G216" s="36" t="n">
        <v>3210.59306825426</v>
      </c>
      <c r="H216" s="36" t="n">
        <v>238.42833730918</v>
      </c>
      <c r="I216" s="6" t="s">
        <v>21</v>
      </c>
      <c r="J216" s="35" t="s">
        <v>283</v>
      </c>
      <c r="K216" s="35" t="s">
        <v>409</v>
      </c>
      <c r="L216" s="35" t="n">
        <v>26</v>
      </c>
      <c r="M216" s="35" t="s">
        <v>41</v>
      </c>
      <c r="N216" s="35" t="s">
        <v>1674</v>
      </c>
      <c r="O216" s="35" t="s">
        <v>102</v>
      </c>
      <c r="P216" s="35" t="s">
        <v>104</v>
      </c>
      <c r="Q216" s="35" t="n">
        <v>1</v>
      </c>
      <c r="R216" s="35"/>
      <c r="S216" s="35" t="s">
        <v>40</v>
      </c>
      <c r="T216" s="35" t="s">
        <v>41</v>
      </c>
      <c r="U216" s="35"/>
      <c r="V216" s="35"/>
      <c r="W216" s="35"/>
      <c r="X216" s="35" t="s">
        <v>1676</v>
      </c>
      <c r="Y216" s="35" t="n">
        <v>-7.1810135</v>
      </c>
      <c r="Z216" s="35" t="n">
        <v>-48.221743</v>
      </c>
      <c r="AA216" s="49" t="s">
        <v>1603</v>
      </c>
      <c r="AB216" s="35" t="s">
        <v>1677</v>
      </c>
    </row>
    <row r="217" customFormat="false" ht="15" hidden="false" customHeight="false" outlineLevel="0" collapsed="false">
      <c r="A217" s="35" t="n">
        <v>216</v>
      </c>
      <c r="B217" s="35" t="s">
        <v>966</v>
      </c>
      <c r="C217" s="35" t="s">
        <v>1865</v>
      </c>
      <c r="D217" s="35" t="s">
        <v>961</v>
      </c>
      <c r="E217" s="35" t="s">
        <v>967</v>
      </c>
      <c r="F217" s="40" t="n">
        <v>36.8715919177553</v>
      </c>
      <c r="G217" s="36" t="n">
        <v>3208.87856671103</v>
      </c>
      <c r="H217" s="36" t="n">
        <v>236.713835765954</v>
      </c>
      <c r="I217" s="6" t="s">
        <v>21</v>
      </c>
      <c r="J217" s="35" t="s">
        <v>283</v>
      </c>
      <c r="K217" s="35" t="s">
        <v>409</v>
      </c>
      <c r="L217" s="35" t="n">
        <v>26</v>
      </c>
      <c r="M217" s="35" t="s">
        <v>41</v>
      </c>
      <c r="N217" s="35" t="s">
        <v>1674</v>
      </c>
      <c r="O217" s="35" t="s">
        <v>102</v>
      </c>
      <c r="P217" s="35" t="s">
        <v>50</v>
      </c>
      <c r="Q217" s="35" t="n">
        <v>0</v>
      </c>
      <c r="R217" s="35"/>
      <c r="S217" s="35" t="s">
        <v>40</v>
      </c>
      <c r="T217" s="35" t="s">
        <v>41</v>
      </c>
      <c r="U217" s="35"/>
      <c r="V217" s="35"/>
      <c r="W217" s="35"/>
      <c r="X217" s="35" t="s">
        <v>1676</v>
      </c>
      <c r="Y217" s="35" t="n">
        <v>-7.1808815</v>
      </c>
      <c r="Z217" s="35" t="n">
        <v>-48.222133</v>
      </c>
      <c r="AA217" s="49" t="s">
        <v>1603</v>
      </c>
      <c r="AB217" s="35" t="s">
        <v>1677</v>
      </c>
    </row>
    <row r="218" customFormat="false" ht="15" hidden="false" customHeight="false" outlineLevel="0" collapsed="false">
      <c r="A218" s="35" t="n">
        <v>217</v>
      </c>
      <c r="B218" s="35" t="s">
        <v>968</v>
      </c>
      <c r="C218" s="35" t="s">
        <v>1866</v>
      </c>
      <c r="D218" s="35" t="s">
        <v>965</v>
      </c>
      <c r="E218" s="35" t="s">
        <v>969</v>
      </c>
      <c r="F218" s="40" t="n">
        <v>19.170380904931</v>
      </c>
      <c r="G218" s="36" t="n">
        <v>3229.76344915919</v>
      </c>
      <c r="H218" s="36" t="n">
        <v>19.1703809049309</v>
      </c>
      <c r="I218" s="7" t="s">
        <v>22</v>
      </c>
      <c r="J218" s="35" t="s">
        <v>283</v>
      </c>
      <c r="K218" s="35" t="s">
        <v>409</v>
      </c>
      <c r="L218" s="35" t="n">
        <v>27</v>
      </c>
      <c r="M218" s="35" t="s">
        <v>104</v>
      </c>
      <c r="N218" s="35" t="s">
        <v>1794</v>
      </c>
      <c r="O218" s="35" t="s">
        <v>105</v>
      </c>
      <c r="P218" s="35" t="s">
        <v>50</v>
      </c>
      <c r="Q218" s="35" t="n">
        <v>0</v>
      </c>
      <c r="R218" s="35"/>
      <c r="S218" s="35" t="s">
        <v>40</v>
      </c>
      <c r="T218" s="35" t="s">
        <v>41</v>
      </c>
      <c r="U218" s="35" t="s">
        <v>104</v>
      </c>
      <c r="V218" s="35"/>
      <c r="W218" s="35"/>
      <c r="X218" s="35" t="s">
        <v>1867</v>
      </c>
      <c r="Y218" s="35" t="n">
        <v>-7.1810945</v>
      </c>
      <c r="Z218" s="35" t="n">
        <v>-48.221691</v>
      </c>
      <c r="AA218" s="49" t="s">
        <v>1603</v>
      </c>
      <c r="AB218" s="35" t="s">
        <v>1868</v>
      </c>
    </row>
    <row r="219" customFormat="false" ht="15" hidden="false" customHeight="false" outlineLevel="0" collapsed="false">
      <c r="A219" s="35" t="n">
        <v>218</v>
      </c>
      <c r="B219" s="35" t="s">
        <v>970</v>
      </c>
      <c r="C219" s="35" t="s">
        <v>1869</v>
      </c>
      <c r="D219" s="35" t="s">
        <v>969</v>
      </c>
      <c r="E219" s="35" t="s">
        <v>971</v>
      </c>
      <c r="F219" s="40" t="n">
        <v>15.134238684153</v>
      </c>
      <c r="G219" s="36" t="n">
        <v>3244.89768784334</v>
      </c>
      <c r="H219" s="36" t="n">
        <v>34.3046195890838</v>
      </c>
      <c r="I219" s="7" t="s">
        <v>22</v>
      </c>
      <c r="J219" s="35" t="s">
        <v>283</v>
      </c>
      <c r="K219" s="35" t="s">
        <v>409</v>
      </c>
      <c r="L219" s="35" t="n">
        <v>27</v>
      </c>
      <c r="M219" s="35" t="s">
        <v>104</v>
      </c>
      <c r="N219" s="35" t="s">
        <v>1794</v>
      </c>
      <c r="O219" s="35" t="s">
        <v>105</v>
      </c>
      <c r="P219" s="35" t="s">
        <v>50</v>
      </c>
      <c r="Q219" s="35" t="n">
        <v>0</v>
      </c>
      <c r="R219" s="35"/>
      <c r="S219" s="35" t="s">
        <v>40</v>
      </c>
      <c r="T219" s="35" t="s">
        <v>41</v>
      </c>
      <c r="U219" s="35" t="s">
        <v>104</v>
      </c>
      <c r="V219" s="35"/>
      <c r="W219" s="35"/>
      <c r="X219" s="35" t="s">
        <v>1867</v>
      </c>
      <c r="Y219" s="35" t="n">
        <v>-7.1811635</v>
      </c>
      <c r="Z219" s="35" t="n">
        <v>-48.2215755</v>
      </c>
      <c r="AA219" s="49" t="s">
        <v>1603</v>
      </c>
      <c r="AB219" s="35" t="s">
        <v>1868</v>
      </c>
    </row>
    <row r="220" customFormat="false" ht="15" hidden="false" customHeight="false" outlineLevel="0" collapsed="false">
      <c r="A220" s="35" t="n">
        <v>219</v>
      </c>
      <c r="B220" s="35" t="s">
        <v>972</v>
      </c>
      <c r="C220" s="35" t="s">
        <v>1870</v>
      </c>
      <c r="D220" s="35" t="s">
        <v>667</v>
      </c>
      <c r="E220" s="35" t="s">
        <v>973</v>
      </c>
      <c r="F220" s="40" t="n">
        <v>2.90546673947119</v>
      </c>
      <c r="G220" s="36" t="n">
        <v>3109.61953601129</v>
      </c>
      <c r="H220" s="36" t="n">
        <v>137.454805066214</v>
      </c>
      <c r="I220" s="6" t="s">
        <v>21</v>
      </c>
      <c r="J220" s="35" t="s">
        <v>283</v>
      </c>
      <c r="K220" s="35" t="s">
        <v>412</v>
      </c>
      <c r="L220" s="35" t="n">
        <v>28</v>
      </c>
      <c r="M220" s="35" t="s">
        <v>41</v>
      </c>
      <c r="N220" s="35" t="s">
        <v>1674</v>
      </c>
      <c r="O220" s="35" t="s">
        <v>108</v>
      </c>
      <c r="P220" s="35" t="s">
        <v>108</v>
      </c>
      <c r="Q220" s="35" t="n">
        <v>1</v>
      </c>
      <c r="R220" s="35"/>
      <c r="S220" s="35" t="s">
        <v>40</v>
      </c>
      <c r="T220" s="35" t="s">
        <v>41</v>
      </c>
      <c r="U220" s="35"/>
      <c r="V220" s="35"/>
      <c r="W220" s="35"/>
      <c r="X220" s="35" t="s">
        <v>1676</v>
      </c>
      <c r="Y220" s="35" t="n">
        <v>-7.1806085</v>
      </c>
      <c r="Z220" s="35" t="n">
        <v>-48.221117</v>
      </c>
      <c r="AA220" s="49" t="s">
        <v>1603</v>
      </c>
      <c r="AB220" s="35" t="s">
        <v>1677</v>
      </c>
    </row>
    <row r="221" customFormat="false" ht="15" hidden="false" customHeight="false" outlineLevel="0" collapsed="false">
      <c r="A221" s="35" t="n">
        <v>220</v>
      </c>
      <c r="B221" s="35" t="s">
        <v>974</v>
      </c>
      <c r="C221" s="35" t="s">
        <v>1871</v>
      </c>
      <c r="D221" s="35" t="s">
        <v>973</v>
      </c>
      <c r="E221" s="35" t="s">
        <v>975</v>
      </c>
      <c r="F221" s="40" t="n">
        <v>25.9930815809784</v>
      </c>
      <c r="G221" s="36" t="n">
        <v>3135.61261759227</v>
      </c>
      <c r="H221" s="36" t="n">
        <v>25.9930815809785</v>
      </c>
      <c r="I221" s="7" t="s">
        <v>22</v>
      </c>
      <c r="J221" s="35" t="s">
        <v>283</v>
      </c>
      <c r="K221" s="35" t="s">
        <v>412</v>
      </c>
      <c r="L221" s="35" t="n">
        <v>29</v>
      </c>
      <c r="M221" s="35" t="s">
        <v>108</v>
      </c>
      <c r="N221" s="35" t="s">
        <v>1788</v>
      </c>
      <c r="O221" s="35" t="s">
        <v>109</v>
      </c>
      <c r="P221" s="35" t="s">
        <v>50</v>
      </c>
      <c r="Q221" s="35" t="n">
        <v>0</v>
      </c>
      <c r="R221" s="35"/>
      <c r="S221" s="35" t="s">
        <v>40</v>
      </c>
      <c r="T221" s="35" t="s">
        <v>41</v>
      </c>
      <c r="U221" s="35" t="s">
        <v>108</v>
      </c>
      <c r="V221" s="35"/>
      <c r="W221" s="35"/>
      <c r="X221" s="35" t="s">
        <v>1872</v>
      </c>
      <c r="Y221" s="35" t="n">
        <v>-7.180524</v>
      </c>
      <c r="Z221" s="35" t="n">
        <v>-48.2212165</v>
      </c>
      <c r="AA221" s="49" t="s">
        <v>1603</v>
      </c>
      <c r="AB221" s="35" t="s">
        <v>1873</v>
      </c>
    </row>
    <row r="222" customFormat="false" ht="15" hidden="false" customHeight="false" outlineLevel="0" collapsed="false">
      <c r="A222" s="35" t="n">
        <v>221</v>
      </c>
      <c r="B222" s="35" t="s">
        <v>976</v>
      </c>
      <c r="C222" s="35" t="s">
        <v>1874</v>
      </c>
      <c r="D222" s="35" t="s">
        <v>975</v>
      </c>
      <c r="E222" s="35" t="s">
        <v>977</v>
      </c>
      <c r="F222" s="40" t="n">
        <v>15.7135250728969</v>
      </c>
      <c r="G222" s="36" t="n">
        <v>3151.32614266517</v>
      </c>
      <c r="H222" s="36" t="n">
        <v>41.7066066538755</v>
      </c>
      <c r="I222" s="7" t="s">
        <v>22</v>
      </c>
      <c r="J222" s="35" t="s">
        <v>283</v>
      </c>
      <c r="K222" s="35" t="s">
        <v>412</v>
      </c>
      <c r="L222" s="35" t="n">
        <v>29</v>
      </c>
      <c r="M222" s="35" t="s">
        <v>108</v>
      </c>
      <c r="N222" s="35" t="s">
        <v>1788</v>
      </c>
      <c r="O222" s="35" t="s">
        <v>109</v>
      </c>
      <c r="P222" s="35" t="s">
        <v>50</v>
      </c>
      <c r="Q222" s="35" t="n">
        <v>0</v>
      </c>
      <c r="R222" s="35"/>
      <c r="S222" s="35" t="s">
        <v>40</v>
      </c>
      <c r="T222" s="35" t="s">
        <v>41</v>
      </c>
      <c r="U222" s="35" t="s">
        <v>108</v>
      </c>
      <c r="V222" s="35"/>
      <c r="W222" s="35"/>
      <c r="X222" s="35" t="s">
        <v>1872</v>
      </c>
      <c r="Y222" s="35" t="n">
        <v>-7.1804425</v>
      </c>
      <c r="Z222" s="35" t="n">
        <v>-48.221235</v>
      </c>
      <c r="AA222" s="49" t="s">
        <v>1603</v>
      </c>
      <c r="AB222" s="35" t="s">
        <v>1873</v>
      </c>
    </row>
    <row r="223" customFormat="false" ht="15" hidden="false" customHeight="false" outlineLevel="0" collapsed="false">
      <c r="A223" s="35" t="n">
        <v>222</v>
      </c>
      <c r="B223" s="35" t="s">
        <v>978</v>
      </c>
      <c r="C223" s="35" t="s">
        <v>1875</v>
      </c>
      <c r="D223" s="35" t="s">
        <v>669</v>
      </c>
      <c r="E223" s="35" t="s">
        <v>979</v>
      </c>
      <c r="F223" s="40" t="n">
        <v>1.89353034385267</v>
      </c>
      <c r="G223" s="36" t="n">
        <v>3221.90948523125</v>
      </c>
      <c r="H223" s="36" t="n">
        <v>249.744754286167</v>
      </c>
      <c r="I223" s="6" t="s">
        <v>21</v>
      </c>
      <c r="J223" s="35" t="s">
        <v>283</v>
      </c>
      <c r="K223" s="35" t="s">
        <v>413</v>
      </c>
      <c r="L223" s="35" t="n">
        <v>30</v>
      </c>
      <c r="M223" s="35" t="s">
        <v>41</v>
      </c>
      <c r="N223" s="35" t="s">
        <v>1674</v>
      </c>
      <c r="O223" s="35" t="s">
        <v>112</v>
      </c>
      <c r="P223" s="35" t="s">
        <v>50</v>
      </c>
      <c r="Q223" s="35" t="n">
        <v>0</v>
      </c>
      <c r="R223" s="35"/>
      <c r="S223" s="35" t="s">
        <v>40</v>
      </c>
      <c r="T223" s="35" t="s">
        <v>41</v>
      </c>
      <c r="U223" s="35"/>
      <c r="V223" s="35"/>
      <c r="W223" s="35"/>
      <c r="X223" s="35" t="s">
        <v>1676</v>
      </c>
      <c r="Y223" s="35" t="n">
        <v>-7.1815215</v>
      </c>
      <c r="Z223" s="35" t="n">
        <v>-48.2206505</v>
      </c>
      <c r="AA223" s="49" t="s">
        <v>1603</v>
      </c>
      <c r="AB223" s="35" t="s">
        <v>1677</v>
      </c>
    </row>
    <row r="224" customFormat="false" ht="15" hidden="false" customHeight="false" outlineLevel="0" collapsed="false">
      <c r="A224" s="35" t="n">
        <v>223</v>
      </c>
      <c r="B224" s="35" t="s">
        <v>980</v>
      </c>
      <c r="C224" s="35" t="s">
        <v>1876</v>
      </c>
      <c r="D224" s="35" t="s">
        <v>979</v>
      </c>
      <c r="E224" s="35" t="s">
        <v>981</v>
      </c>
      <c r="F224" s="40" t="n">
        <v>20.1456239748059</v>
      </c>
      <c r="G224" s="36" t="n">
        <v>3242.05510920605</v>
      </c>
      <c r="H224" s="36" t="n">
        <v>269.890378260973</v>
      </c>
      <c r="I224" s="6" t="s">
        <v>21</v>
      </c>
      <c r="J224" s="35" t="s">
        <v>283</v>
      </c>
      <c r="K224" s="35" t="s">
        <v>413</v>
      </c>
      <c r="L224" s="35" t="n">
        <v>30</v>
      </c>
      <c r="M224" s="35" t="s">
        <v>41</v>
      </c>
      <c r="N224" s="35" t="s">
        <v>1674</v>
      </c>
      <c r="O224" s="35" t="s">
        <v>112</v>
      </c>
      <c r="P224" s="35" t="s">
        <v>50</v>
      </c>
      <c r="Q224" s="35" t="n">
        <v>0</v>
      </c>
      <c r="R224" s="35"/>
      <c r="S224" s="35" t="s">
        <v>40</v>
      </c>
      <c r="T224" s="35" t="s">
        <v>41</v>
      </c>
      <c r="U224" s="35"/>
      <c r="V224" s="35"/>
      <c r="W224" s="35"/>
      <c r="X224" s="35" t="s">
        <v>1676</v>
      </c>
      <c r="Y224" s="35" t="n">
        <v>-7.1814225</v>
      </c>
      <c r="Z224" s="35" t="n">
        <v>-48.220646</v>
      </c>
      <c r="AA224" s="49" t="s">
        <v>1603</v>
      </c>
      <c r="AB224" s="35" t="s">
        <v>1677</v>
      </c>
    </row>
    <row r="225" customFormat="false" ht="15" hidden="false" customHeight="false" outlineLevel="0" collapsed="false">
      <c r="A225" s="35" t="n">
        <v>224</v>
      </c>
      <c r="B225" s="35" t="s">
        <v>982</v>
      </c>
      <c r="C225" s="35" t="s">
        <v>1877</v>
      </c>
      <c r="D225" s="35" t="s">
        <v>675</v>
      </c>
      <c r="E225" s="35" t="s">
        <v>983</v>
      </c>
      <c r="F225" s="40" t="n">
        <v>1.60728136387039</v>
      </c>
      <c r="G225" s="36" t="n">
        <v>3302.1246971178</v>
      </c>
      <c r="H225" s="36" t="n">
        <v>329.959966172715</v>
      </c>
      <c r="I225" s="6" t="s">
        <v>21</v>
      </c>
      <c r="J225" s="35" t="s">
        <v>283</v>
      </c>
      <c r="K225" s="35" t="s">
        <v>414</v>
      </c>
      <c r="L225" s="35" t="n">
        <v>31</v>
      </c>
      <c r="M225" s="35" t="s">
        <v>41</v>
      </c>
      <c r="N225" s="35" t="s">
        <v>1674</v>
      </c>
      <c r="O225" s="35" t="s">
        <v>115</v>
      </c>
      <c r="P225" s="35" t="s">
        <v>115</v>
      </c>
      <c r="Q225" s="35" t="n">
        <v>1</v>
      </c>
      <c r="R225" s="35"/>
      <c r="S225" s="35" t="s">
        <v>40</v>
      </c>
      <c r="T225" s="35" t="s">
        <v>41</v>
      </c>
      <c r="U225" s="35"/>
      <c r="V225" s="35"/>
      <c r="W225" s="35"/>
      <c r="X225" s="35" t="s">
        <v>1676</v>
      </c>
      <c r="Y225" s="35" t="n">
        <v>-7.182185</v>
      </c>
      <c r="Z225" s="35" t="n">
        <v>-48.220343</v>
      </c>
      <c r="AA225" s="49" t="s">
        <v>1603</v>
      </c>
      <c r="AB225" s="35" t="s">
        <v>1677</v>
      </c>
    </row>
    <row r="226" customFormat="false" ht="15" hidden="false" customHeight="false" outlineLevel="0" collapsed="false">
      <c r="A226" s="35" t="n">
        <v>225</v>
      </c>
      <c r="B226" s="35" t="s">
        <v>984</v>
      </c>
      <c r="C226" s="35" t="s">
        <v>1878</v>
      </c>
      <c r="D226" s="35" t="s">
        <v>983</v>
      </c>
      <c r="E226" s="35" t="s">
        <v>985</v>
      </c>
      <c r="F226" s="40" t="n">
        <v>3.77384201045153</v>
      </c>
      <c r="G226" s="36" t="n">
        <v>3305.89853912825</v>
      </c>
      <c r="H226" s="36" t="n">
        <v>333.733808183167</v>
      </c>
      <c r="I226" s="6" t="s">
        <v>21</v>
      </c>
      <c r="J226" s="35" t="s">
        <v>283</v>
      </c>
      <c r="K226" s="35" t="s">
        <v>414</v>
      </c>
      <c r="L226" s="35" t="n">
        <v>31</v>
      </c>
      <c r="M226" s="35" t="s">
        <v>41</v>
      </c>
      <c r="N226" s="35" t="s">
        <v>1674</v>
      </c>
      <c r="O226" s="35" t="s">
        <v>115</v>
      </c>
      <c r="P226" s="35" t="s">
        <v>115</v>
      </c>
      <c r="Q226" s="35" t="n">
        <v>1</v>
      </c>
      <c r="R226" s="35"/>
      <c r="S226" s="35" t="s">
        <v>40</v>
      </c>
      <c r="T226" s="35" t="s">
        <v>41</v>
      </c>
      <c r="U226" s="35"/>
      <c r="V226" s="35"/>
      <c r="W226" s="35"/>
      <c r="X226" s="35" t="s">
        <v>1676</v>
      </c>
      <c r="Y226" s="35" t="n">
        <v>-7.182196</v>
      </c>
      <c r="Z226" s="35" t="n">
        <v>-48.2203645</v>
      </c>
      <c r="AA226" s="49" t="s">
        <v>1603</v>
      </c>
      <c r="AB226" s="35" t="s">
        <v>1677</v>
      </c>
    </row>
    <row r="227" customFormat="false" ht="15" hidden="false" customHeight="false" outlineLevel="0" collapsed="false">
      <c r="A227" s="35" t="n">
        <v>226</v>
      </c>
      <c r="B227" s="35" t="s">
        <v>986</v>
      </c>
      <c r="C227" s="35" t="s">
        <v>1879</v>
      </c>
      <c r="D227" s="35" t="s">
        <v>985</v>
      </c>
      <c r="E227" s="35" t="s">
        <v>987</v>
      </c>
      <c r="F227" s="40" t="n">
        <v>54.6644043111057</v>
      </c>
      <c r="G227" s="36" t="n">
        <v>3360.56294343935</v>
      </c>
      <c r="H227" s="36" t="n">
        <v>54.6644043111055</v>
      </c>
      <c r="I227" s="7" t="s">
        <v>22</v>
      </c>
      <c r="J227" s="35" t="s">
        <v>283</v>
      </c>
      <c r="K227" s="35" t="s">
        <v>414</v>
      </c>
      <c r="L227" s="35" t="n">
        <v>32</v>
      </c>
      <c r="M227" s="35" t="s">
        <v>115</v>
      </c>
      <c r="N227" s="35" t="s">
        <v>1794</v>
      </c>
      <c r="O227" s="35" t="s">
        <v>116</v>
      </c>
      <c r="P227" s="35" t="s">
        <v>50</v>
      </c>
      <c r="Q227" s="35" t="n">
        <v>0</v>
      </c>
      <c r="R227" s="35"/>
      <c r="S227" s="35" t="s">
        <v>40</v>
      </c>
      <c r="T227" s="35" t="s">
        <v>41</v>
      </c>
      <c r="U227" s="35" t="s">
        <v>115</v>
      </c>
      <c r="V227" s="35"/>
      <c r="W227" s="35"/>
      <c r="X227" s="35" t="s">
        <v>1880</v>
      </c>
      <c r="Y227" s="35" t="n">
        <v>-7.1823245</v>
      </c>
      <c r="Z227" s="35" t="n">
        <v>-48.2205955</v>
      </c>
      <c r="AA227" s="49" t="s">
        <v>1603</v>
      </c>
      <c r="AB227" s="35" t="s">
        <v>1881</v>
      </c>
    </row>
    <row r="228" customFormat="false" ht="15" hidden="false" customHeight="false" outlineLevel="0" collapsed="false">
      <c r="A228" s="35" t="n">
        <v>227</v>
      </c>
      <c r="B228" s="35" t="s">
        <v>988</v>
      </c>
      <c r="C228" s="35" t="s">
        <v>1882</v>
      </c>
      <c r="D228" s="35" t="s">
        <v>987</v>
      </c>
      <c r="E228" s="35" t="s">
        <v>989</v>
      </c>
      <c r="F228" s="40" t="n">
        <v>64.7025359938164</v>
      </c>
      <c r="G228" s="36" t="n">
        <v>3425.26547943317</v>
      </c>
      <c r="H228" s="36" t="n">
        <v>119.366940304922</v>
      </c>
      <c r="I228" s="7" t="s">
        <v>22</v>
      </c>
      <c r="J228" s="35" t="s">
        <v>283</v>
      </c>
      <c r="K228" s="35" t="s">
        <v>414</v>
      </c>
      <c r="L228" s="35" t="n">
        <v>32</v>
      </c>
      <c r="M228" s="35" t="s">
        <v>115</v>
      </c>
      <c r="N228" s="35" t="s">
        <v>1794</v>
      </c>
      <c r="O228" s="35" t="s">
        <v>116</v>
      </c>
      <c r="P228" s="35" t="s">
        <v>50</v>
      </c>
      <c r="Q228" s="35" t="n">
        <v>0</v>
      </c>
      <c r="R228" s="35"/>
      <c r="S228" s="35" t="s">
        <v>40</v>
      </c>
      <c r="T228" s="35" t="s">
        <v>41</v>
      </c>
      <c r="U228" s="35" t="s">
        <v>115</v>
      </c>
      <c r="V228" s="35"/>
      <c r="W228" s="35"/>
      <c r="X228" s="35" t="s">
        <v>1880</v>
      </c>
      <c r="Y228" s="35" t="n">
        <v>-7.1827015</v>
      </c>
      <c r="Z228" s="35" t="n">
        <v>-48.2206755</v>
      </c>
      <c r="AA228" s="49" t="s">
        <v>1603</v>
      </c>
      <c r="AB228" s="35" t="s">
        <v>1881</v>
      </c>
    </row>
    <row r="229" customFormat="false" ht="15" hidden="false" customHeight="false" outlineLevel="0" collapsed="false">
      <c r="A229" s="35" t="n">
        <v>228</v>
      </c>
      <c r="B229" s="35" t="s">
        <v>990</v>
      </c>
      <c r="C229" s="35" t="s">
        <v>1883</v>
      </c>
      <c r="D229" s="35" t="s">
        <v>989</v>
      </c>
      <c r="E229" s="35" t="s">
        <v>991</v>
      </c>
      <c r="F229" s="40" t="n">
        <v>24.8278231658764</v>
      </c>
      <c r="G229" s="36" t="n">
        <v>3450.09330259905</v>
      </c>
      <c r="H229" s="36" t="n">
        <v>144.194763470799</v>
      </c>
      <c r="I229" s="7" t="s">
        <v>22</v>
      </c>
      <c r="J229" s="35" t="s">
        <v>283</v>
      </c>
      <c r="K229" s="35" t="s">
        <v>414</v>
      </c>
      <c r="L229" s="35" t="n">
        <v>32</v>
      </c>
      <c r="M229" s="35" t="s">
        <v>115</v>
      </c>
      <c r="N229" s="35" t="s">
        <v>1794</v>
      </c>
      <c r="O229" s="35" t="s">
        <v>116</v>
      </c>
      <c r="P229" s="35" t="s">
        <v>50</v>
      </c>
      <c r="Q229" s="35" t="n">
        <v>0</v>
      </c>
      <c r="R229" s="35"/>
      <c r="S229" s="35" t="s">
        <v>40</v>
      </c>
      <c r="T229" s="35" t="s">
        <v>41</v>
      </c>
      <c r="U229" s="35" t="s">
        <v>115</v>
      </c>
      <c r="V229" s="35"/>
      <c r="W229" s="35"/>
      <c r="X229" s="35" t="s">
        <v>1880</v>
      </c>
      <c r="Y229" s="35" t="n">
        <v>-7.1830595</v>
      </c>
      <c r="Z229" s="35" t="n">
        <v>-48.22049</v>
      </c>
      <c r="AA229" s="49" t="s">
        <v>1603</v>
      </c>
      <c r="AB229" s="35" t="s">
        <v>1881</v>
      </c>
    </row>
    <row r="230" customFormat="false" ht="15" hidden="false" customHeight="false" outlineLevel="0" collapsed="false">
      <c r="A230" s="35" t="n">
        <v>229</v>
      </c>
      <c r="B230" s="35" t="s">
        <v>992</v>
      </c>
      <c r="C230" s="35" t="s">
        <v>1884</v>
      </c>
      <c r="D230" s="35" t="s">
        <v>987</v>
      </c>
      <c r="E230" s="35" t="s">
        <v>993</v>
      </c>
      <c r="F230" s="40" t="n">
        <v>16.9189222904202</v>
      </c>
      <c r="G230" s="36" t="n">
        <v>3377.48186572977</v>
      </c>
      <c r="H230" s="36" t="n">
        <v>71.5833266015256</v>
      </c>
      <c r="I230" s="7" t="s">
        <v>22</v>
      </c>
      <c r="J230" s="35" t="s">
        <v>283</v>
      </c>
      <c r="K230" s="35" t="s">
        <v>414</v>
      </c>
      <c r="L230" s="35" t="n">
        <v>32</v>
      </c>
      <c r="M230" s="35" t="s">
        <v>115</v>
      </c>
      <c r="N230" s="35" t="s">
        <v>1794</v>
      </c>
      <c r="O230" s="35" t="s">
        <v>116</v>
      </c>
      <c r="P230" s="35" t="s">
        <v>50</v>
      </c>
      <c r="Q230" s="35" t="n">
        <v>0</v>
      </c>
      <c r="R230" s="35"/>
      <c r="S230" s="35" t="s">
        <v>40</v>
      </c>
      <c r="T230" s="35" t="s">
        <v>41</v>
      </c>
      <c r="U230" s="35" t="s">
        <v>115</v>
      </c>
      <c r="V230" s="35"/>
      <c r="W230" s="35"/>
      <c r="X230" s="35" t="s">
        <v>1880</v>
      </c>
      <c r="Y230" s="35" t="n">
        <v>-7.182481</v>
      </c>
      <c r="Z230" s="35" t="n">
        <v>-48.220879</v>
      </c>
      <c r="AA230" s="49" t="s">
        <v>1603</v>
      </c>
      <c r="AB230" s="35" t="s">
        <v>1881</v>
      </c>
    </row>
    <row r="231" customFormat="false" ht="15" hidden="false" customHeight="false" outlineLevel="0" collapsed="false">
      <c r="A231" s="35" t="n">
        <v>230</v>
      </c>
      <c r="B231" s="35" t="s">
        <v>994</v>
      </c>
      <c r="C231" s="35" t="s">
        <v>1885</v>
      </c>
      <c r="D231" s="35" t="s">
        <v>987</v>
      </c>
      <c r="E231" s="35" t="s">
        <v>995</v>
      </c>
      <c r="F231" s="40" t="n">
        <v>6.86982435798022</v>
      </c>
      <c r="G231" s="36" t="n">
        <v>3367.43276779733</v>
      </c>
      <c r="H231" s="36" t="n">
        <v>61.5342286690857</v>
      </c>
      <c r="I231" s="7" t="s">
        <v>22</v>
      </c>
      <c r="J231" s="35" t="s">
        <v>283</v>
      </c>
      <c r="K231" s="35" t="s">
        <v>414</v>
      </c>
      <c r="L231" s="35" t="n">
        <v>32</v>
      </c>
      <c r="M231" s="35" t="s">
        <v>115</v>
      </c>
      <c r="N231" s="35" t="s">
        <v>1794</v>
      </c>
      <c r="O231" s="35" t="s">
        <v>116</v>
      </c>
      <c r="P231" s="35" t="s">
        <v>50</v>
      </c>
      <c r="Q231" s="35" t="n">
        <v>0</v>
      </c>
      <c r="R231" s="35"/>
      <c r="S231" s="35" t="s">
        <v>40</v>
      </c>
      <c r="T231" s="35" t="s">
        <v>41</v>
      </c>
      <c r="U231" s="35" t="s">
        <v>115</v>
      </c>
      <c r="V231" s="35"/>
      <c r="W231" s="35"/>
      <c r="X231" s="35" t="s">
        <v>1880</v>
      </c>
      <c r="Y231" s="35" t="n">
        <v>-7.1824175</v>
      </c>
      <c r="Z231" s="35" t="n">
        <v>-48.220828</v>
      </c>
      <c r="AA231" s="49" t="s">
        <v>1603</v>
      </c>
      <c r="AB231" s="35" t="s">
        <v>1881</v>
      </c>
    </row>
    <row r="232" customFormat="false" ht="15" hidden="false" customHeight="false" outlineLevel="0" collapsed="false">
      <c r="A232" s="35" t="n">
        <v>231</v>
      </c>
      <c r="B232" s="35" t="s">
        <v>996</v>
      </c>
      <c r="C232" s="35" t="s">
        <v>1886</v>
      </c>
      <c r="D232" s="35" t="s">
        <v>679</v>
      </c>
      <c r="E232" s="35" t="s">
        <v>997</v>
      </c>
      <c r="F232" s="40" t="n">
        <v>1.08797014136651</v>
      </c>
      <c r="G232" s="36" t="n">
        <v>3427.4436016379</v>
      </c>
      <c r="H232" s="36" t="n">
        <v>455.27887069282</v>
      </c>
      <c r="I232" s="6" t="s">
        <v>21</v>
      </c>
      <c r="J232" s="35" t="s">
        <v>283</v>
      </c>
      <c r="K232" s="35" t="s">
        <v>418</v>
      </c>
      <c r="L232" s="35" t="n">
        <v>33</v>
      </c>
      <c r="M232" s="35" t="s">
        <v>41</v>
      </c>
      <c r="N232" s="35" t="s">
        <v>1674</v>
      </c>
      <c r="O232" s="35" t="s">
        <v>119</v>
      </c>
      <c r="P232" s="35" t="s">
        <v>119</v>
      </c>
      <c r="Q232" s="35" t="n">
        <v>1</v>
      </c>
      <c r="R232" s="35"/>
      <c r="S232" s="35" t="s">
        <v>40</v>
      </c>
      <c r="T232" s="35" t="s">
        <v>41</v>
      </c>
      <c r="U232" s="35"/>
      <c r="V232" s="35"/>
      <c r="W232" s="35"/>
      <c r="X232" s="35" t="s">
        <v>1676</v>
      </c>
      <c r="Y232" s="35" t="n">
        <v>-7.183206</v>
      </c>
      <c r="Z232" s="35" t="n">
        <v>-48.2198485</v>
      </c>
      <c r="AA232" s="49" t="s">
        <v>1603</v>
      </c>
      <c r="AB232" s="35" t="s">
        <v>1677</v>
      </c>
    </row>
    <row r="233" customFormat="false" ht="15" hidden="false" customHeight="false" outlineLevel="0" collapsed="false">
      <c r="A233" s="35" t="n">
        <v>232</v>
      </c>
      <c r="B233" s="35" t="s">
        <v>998</v>
      </c>
      <c r="C233" s="35" t="s">
        <v>1887</v>
      </c>
      <c r="D233" s="35" t="s">
        <v>997</v>
      </c>
      <c r="E233" s="35" t="s">
        <v>999</v>
      </c>
      <c r="F233" s="40" t="n">
        <v>9.83582927994571</v>
      </c>
      <c r="G233" s="36" t="n">
        <v>3437.27943091785</v>
      </c>
      <c r="H233" s="36" t="n">
        <v>9.83582927994576</v>
      </c>
      <c r="I233" s="7" t="s">
        <v>22</v>
      </c>
      <c r="J233" s="35" t="s">
        <v>283</v>
      </c>
      <c r="K233" s="35" t="s">
        <v>418</v>
      </c>
      <c r="L233" s="35" t="n">
        <v>34</v>
      </c>
      <c r="M233" s="35" t="s">
        <v>119</v>
      </c>
      <c r="N233" s="35" t="s">
        <v>1788</v>
      </c>
      <c r="O233" s="35" t="s">
        <v>120</v>
      </c>
      <c r="P233" s="35" t="s">
        <v>50</v>
      </c>
      <c r="Q233" s="35" t="n">
        <v>0</v>
      </c>
      <c r="R233" s="35"/>
      <c r="S233" s="35" t="s">
        <v>40</v>
      </c>
      <c r="T233" s="35" t="s">
        <v>41</v>
      </c>
      <c r="U233" s="35" t="s">
        <v>119</v>
      </c>
      <c r="V233" s="35"/>
      <c r="W233" s="35"/>
      <c r="X233" s="35" t="s">
        <v>1888</v>
      </c>
      <c r="Y233" s="35" t="n">
        <v>-7.1832285</v>
      </c>
      <c r="Z233" s="35" t="n">
        <v>-48.2198925</v>
      </c>
      <c r="AA233" s="49" t="s">
        <v>1603</v>
      </c>
      <c r="AB233" s="35" t="s">
        <v>1889</v>
      </c>
    </row>
    <row r="234" customFormat="false" ht="15" hidden="false" customHeight="false" outlineLevel="0" collapsed="false">
      <c r="A234" s="35" t="n">
        <v>233</v>
      </c>
      <c r="B234" s="35" t="s">
        <v>1000</v>
      </c>
      <c r="C234" s="35" t="s">
        <v>1890</v>
      </c>
      <c r="D234" s="35" t="s">
        <v>999</v>
      </c>
      <c r="E234" s="35" t="s">
        <v>1001</v>
      </c>
      <c r="F234" s="40" t="n">
        <v>14.8986754806884</v>
      </c>
      <c r="G234" s="36" t="n">
        <v>3452.17810639853</v>
      </c>
      <c r="H234" s="36" t="n">
        <v>24.7345047606341</v>
      </c>
      <c r="I234" s="7" t="s">
        <v>22</v>
      </c>
      <c r="J234" s="35" t="s">
        <v>283</v>
      </c>
      <c r="K234" s="35" t="s">
        <v>418</v>
      </c>
      <c r="L234" s="35" t="n">
        <v>34</v>
      </c>
      <c r="M234" s="35" t="s">
        <v>119</v>
      </c>
      <c r="N234" s="35" t="s">
        <v>1788</v>
      </c>
      <c r="O234" s="35" t="s">
        <v>120</v>
      </c>
      <c r="P234" s="35" t="s">
        <v>50</v>
      </c>
      <c r="Q234" s="35" t="n">
        <v>0</v>
      </c>
      <c r="R234" s="35"/>
      <c r="S234" s="35" t="s">
        <v>40</v>
      </c>
      <c r="T234" s="35" t="s">
        <v>41</v>
      </c>
      <c r="U234" s="35" t="s">
        <v>119</v>
      </c>
      <c r="V234" s="35"/>
      <c r="W234" s="35"/>
      <c r="X234" s="35" t="s">
        <v>1888</v>
      </c>
      <c r="Y234" s="35" t="n">
        <v>-7.1832985</v>
      </c>
      <c r="Z234" s="35" t="n">
        <v>-48.2199775</v>
      </c>
      <c r="AA234" s="49" t="s">
        <v>1603</v>
      </c>
      <c r="AB234" s="35" t="s">
        <v>1889</v>
      </c>
    </row>
    <row r="235" customFormat="false" ht="15" hidden="false" customHeight="false" outlineLevel="0" collapsed="false">
      <c r="A235" s="35" t="n">
        <v>234</v>
      </c>
      <c r="B235" s="35" t="s">
        <v>1002</v>
      </c>
      <c r="C235" s="35" t="s">
        <v>1891</v>
      </c>
      <c r="D235" s="35" t="s">
        <v>681</v>
      </c>
      <c r="E235" s="35" t="s">
        <v>1003</v>
      </c>
      <c r="F235" s="40" t="n">
        <v>2.78206142635617</v>
      </c>
      <c r="G235" s="36" t="n">
        <v>3491.91796366564</v>
      </c>
      <c r="H235" s="36" t="n">
        <v>519.753232720562</v>
      </c>
      <c r="I235" s="6" t="s">
        <v>21</v>
      </c>
      <c r="J235" s="35" t="s">
        <v>283</v>
      </c>
      <c r="K235" s="35" t="s">
        <v>419</v>
      </c>
      <c r="L235" s="35" t="n">
        <v>35</v>
      </c>
      <c r="M235" s="35" t="s">
        <v>41</v>
      </c>
      <c r="N235" s="35" t="s">
        <v>1674</v>
      </c>
      <c r="O235" s="35" t="s">
        <v>123</v>
      </c>
      <c r="P235" s="35" t="s">
        <v>123</v>
      </c>
      <c r="Q235" s="35" t="n">
        <v>1</v>
      </c>
      <c r="R235" s="35"/>
      <c r="S235" s="35" t="s">
        <v>40</v>
      </c>
      <c r="T235" s="35" t="s">
        <v>41</v>
      </c>
      <c r="U235" s="35"/>
      <c r="V235" s="35"/>
      <c r="W235" s="35"/>
      <c r="X235" s="35" t="s">
        <v>1676</v>
      </c>
      <c r="Y235" s="35" t="n">
        <v>-7.1837275</v>
      </c>
      <c r="Z235" s="35" t="n">
        <v>-48.2196025</v>
      </c>
      <c r="AA235" s="49" t="s">
        <v>1603</v>
      </c>
      <c r="AB235" s="35" t="s">
        <v>1677</v>
      </c>
    </row>
    <row r="236" customFormat="false" ht="15" hidden="false" customHeight="false" outlineLevel="0" collapsed="false">
      <c r="A236" s="35" t="n">
        <v>235</v>
      </c>
      <c r="B236" s="35" t="s">
        <v>1004</v>
      </c>
      <c r="C236" s="35" t="s">
        <v>1892</v>
      </c>
      <c r="D236" s="35" t="s">
        <v>1003</v>
      </c>
      <c r="E236" s="35" t="s">
        <v>1005</v>
      </c>
      <c r="F236" s="40" t="n">
        <v>25.0307742012439</v>
      </c>
      <c r="G236" s="36" t="n">
        <v>3516.94873786689</v>
      </c>
      <c r="H236" s="36" t="n">
        <v>25.0307742012437</v>
      </c>
      <c r="I236" s="7" t="s">
        <v>22</v>
      </c>
      <c r="J236" s="35" t="s">
        <v>283</v>
      </c>
      <c r="K236" s="35" t="s">
        <v>419</v>
      </c>
      <c r="L236" s="35" t="n">
        <v>36</v>
      </c>
      <c r="M236" s="35" t="s">
        <v>123</v>
      </c>
      <c r="N236" s="35" t="s">
        <v>1788</v>
      </c>
      <c r="O236" s="35" t="s">
        <v>124</v>
      </c>
      <c r="P236" s="35" t="s">
        <v>50</v>
      </c>
      <c r="Q236" s="35" t="n">
        <v>0</v>
      </c>
      <c r="R236" s="35"/>
      <c r="S236" s="35" t="s">
        <v>40</v>
      </c>
      <c r="T236" s="35" t="s">
        <v>41</v>
      </c>
      <c r="U236" s="35" t="s">
        <v>123</v>
      </c>
      <c r="V236" s="35"/>
      <c r="W236" s="35"/>
      <c r="X236" s="35" t="s">
        <v>1893</v>
      </c>
      <c r="Y236" s="35" t="n">
        <v>-7.1838525</v>
      </c>
      <c r="Z236" s="35" t="n">
        <v>-48.2196065</v>
      </c>
      <c r="AA236" s="49" t="s">
        <v>1603</v>
      </c>
      <c r="AB236" s="35" t="s">
        <v>1894</v>
      </c>
    </row>
    <row r="237" customFormat="false" ht="15" hidden="false" customHeight="false" outlineLevel="0" collapsed="false">
      <c r="A237" s="35" t="n">
        <v>236</v>
      </c>
      <c r="B237" s="35" t="s">
        <v>1006</v>
      </c>
      <c r="C237" s="35" t="s">
        <v>1895</v>
      </c>
      <c r="D237" s="35" t="s">
        <v>683</v>
      </c>
      <c r="E237" s="35" t="s">
        <v>1007</v>
      </c>
      <c r="F237" s="40" t="n">
        <v>23.7326966304625</v>
      </c>
      <c r="G237" s="36" t="n">
        <v>3548.21874474235</v>
      </c>
      <c r="H237" s="36" t="n">
        <v>576.054013797268</v>
      </c>
      <c r="I237" s="6" t="s">
        <v>21</v>
      </c>
      <c r="J237" s="35" t="s">
        <v>283</v>
      </c>
      <c r="K237" s="35" t="s">
        <v>420</v>
      </c>
      <c r="L237" s="35" t="n">
        <v>37</v>
      </c>
      <c r="M237" s="35" t="s">
        <v>41</v>
      </c>
      <c r="N237" s="35" t="s">
        <v>1674</v>
      </c>
      <c r="O237" s="35" t="s">
        <v>127</v>
      </c>
      <c r="P237" s="35" t="s">
        <v>50</v>
      </c>
      <c r="Q237" s="35" t="n">
        <v>0</v>
      </c>
      <c r="R237" s="35"/>
      <c r="S237" s="35" t="s">
        <v>40</v>
      </c>
      <c r="T237" s="35" t="s">
        <v>41</v>
      </c>
      <c r="U237" s="35"/>
      <c r="V237" s="35"/>
      <c r="W237" s="35"/>
      <c r="X237" s="35" t="s">
        <v>1676</v>
      </c>
      <c r="Y237" s="35" t="n">
        <v>-7.1839085</v>
      </c>
      <c r="Z237" s="35" t="n">
        <v>-48.219401</v>
      </c>
      <c r="AA237" s="49" t="s">
        <v>1603</v>
      </c>
      <c r="AB237" s="35" t="s">
        <v>1677</v>
      </c>
    </row>
    <row r="238" customFormat="false" ht="15" hidden="false" customHeight="false" outlineLevel="0" collapsed="false">
      <c r="A238" s="35" t="n">
        <v>237</v>
      </c>
      <c r="B238" s="35" t="s">
        <v>1008</v>
      </c>
      <c r="C238" s="35" t="s">
        <v>1896</v>
      </c>
      <c r="D238" s="35" t="s">
        <v>1007</v>
      </c>
      <c r="E238" s="35" t="s">
        <v>1009</v>
      </c>
      <c r="F238" s="40" t="n">
        <v>18.0596814690021</v>
      </c>
      <c r="G238" s="36" t="n">
        <v>3566.27842621135</v>
      </c>
      <c r="H238" s="36" t="n">
        <v>594.11369526627</v>
      </c>
      <c r="I238" s="6" t="s">
        <v>21</v>
      </c>
      <c r="J238" s="35" t="s">
        <v>283</v>
      </c>
      <c r="K238" s="35" t="s">
        <v>420</v>
      </c>
      <c r="L238" s="35" t="n">
        <v>37</v>
      </c>
      <c r="M238" s="35" t="s">
        <v>41</v>
      </c>
      <c r="N238" s="35" t="s">
        <v>1674</v>
      </c>
      <c r="O238" s="35" t="s">
        <v>127</v>
      </c>
      <c r="P238" s="35" t="s">
        <v>50</v>
      </c>
      <c r="Q238" s="35" t="n">
        <v>0</v>
      </c>
      <c r="R238" s="35"/>
      <c r="S238" s="35" t="s">
        <v>40</v>
      </c>
      <c r="T238" s="35" t="s">
        <v>41</v>
      </c>
      <c r="U238" s="35"/>
      <c r="V238" s="35"/>
      <c r="W238" s="35"/>
      <c r="X238" s="35" t="s">
        <v>1676</v>
      </c>
      <c r="Y238" s="35" t="n">
        <v>-7.1838105</v>
      </c>
      <c r="Z238" s="35" t="n">
        <v>-48.2192625</v>
      </c>
      <c r="AA238" s="49" t="s">
        <v>1603</v>
      </c>
      <c r="AB238" s="35" t="s">
        <v>1677</v>
      </c>
    </row>
    <row r="239" customFormat="false" ht="15" hidden="false" customHeight="false" outlineLevel="0" collapsed="false">
      <c r="A239" s="35" t="n">
        <v>238</v>
      </c>
      <c r="B239" s="35" t="s">
        <v>1010</v>
      </c>
      <c r="C239" s="35" t="s">
        <v>1897</v>
      </c>
      <c r="D239" s="35" t="s">
        <v>683</v>
      </c>
      <c r="E239" s="35" t="s">
        <v>1011</v>
      </c>
      <c r="F239" s="40" t="n">
        <v>2.66867823941153</v>
      </c>
      <c r="G239" s="36" t="n">
        <v>3527.1547263513</v>
      </c>
      <c r="H239" s="36" t="n">
        <v>554.989995406217</v>
      </c>
      <c r="I239" s="6" t="s">
        <v>21</v>
      </c>
      <c r="J239" s="35" t="s">
        <v>283</v>
      </c>
      <c r="K239" s="35" t="s">
        <v>420</v>
      </c>
      <c r="L239" s="35" t="n">
        <v>37</v>
      </c>
      <c r="M239" s="35" t="s">
        <v>41</v>
      </c>
      <c r="N239" s="35" t="s">
        <v>1674</v>
      </c>
      <c r="O239" s="35" t="s">
        <v>127</v>
      </c>
      <c r="P239" s="35" t="s">
        <v>128</v>
      </c>
      <c r="Q239" s="35" t="n">
        <v>1</v>
      </c>
      <c r="R239" s="35"/>
      <c r="S239" s="35" t="s">
        <v>40</v>
      </c>
      <c r="T239" s="35" t="s">
        <v>41</v>
      </c>
      <c r="U239" s="35"/>
      <c r="V239" s="35"/>
      <c r="W239" s="35"/>
      <c r="X239" s="35" t="s">
        <v>1676</v>
      </c>
      <c r="Y239" s="35" t="n">
        <v>-7.184011</v>
      </c>
      <c r="Z239" s="35" t="n">
        <v>-48.219458</v>
      </c>
      <c r="AA239" s="49" t="s">
        <v>1603</v>
      </c>
      <c r="AB239" s="35" t="s">
        <v>1677</v>
      </c>
    </row>
    <row r="240" customFormat="false" ht="15" hidden="false" customHeight="false" outlineLevel="0" collapsed="false">
      <c r="A240" s="35" t="n">
        <v>239</v>
      </c>
      <c r="B240" s="35" t="s">
        <v>1012</v>
      </c>
      <c r="C240" s="35" t="s">
        <v>1898</v>
      </c>
      <c r="D240" s="35" t="s">
        <v>1011</v>
      </c>
      <c r="E240" s="35" t="s">
        <v>1013</v>
      </c>
      <c r="F240" s="40" t="n">
        <v>22.7054848493459</v>
      </c>
      <c r="G240" s="36" t="n">
        <v>3549.86021120064</v>
      </c>
      <c r="H240" s="36" t="n">
        <v>22.7054848493458</v>
      </c>
      <c r="I240" s="7" t="s">
        <v>22</v>
      </c>
      <c r="J240" s="35" t="s">
        <v>283</v>
      </c>
      <c r="K240" s="35" t="s">
        <v>420</v>
      </c>
      <c r="L240" s="35" t="n">
        <v>38</v>
      </c>
      <c r="M240" s="35" t="s">
        <v>128</v>
      </c>
      <c r="N240" s="35" t="s">
        <v>1788</v>
      </c>
      <c r="O240" s="35" t="s">
        <v>129</v>
      </c>
      <c r="P240" s="35" t="s">
        <v>50</v>
      </c>
      <c r="Q240" s="35" t="n">
        <v>0</v>
      </c>
      <c r="R240" s="35"/>
      <c r="S240" s="35" t="s">
        <v>40</v>
      </c>
      <c r="T240" s="35" t="s">
        <v>41</v>
      </c>
      <c r="U240" s="35" t="s">
        <v>128</v>
      </c>
      <c r="V240" s="35"/>
      <c r="W240" s="35"/>
      <c r="X240" s="35" t="s">
        <v>1899</v>
      </c>
      <c r="Y240" s="35" t="n">
        <v>-7.184125</v>
      </c>
      <c r="Z240" s="35" t="n">
        <v>-48.2194535</v>
      </c>
      <c r="AA240" s="49" t="s">
        <v>1603</v>
      </c>
      <c r="AB240" s="35" t="s">
        <v>1900</v>
      </c>
    </row>
    <row r="241" customFormat="false" ht="15" hidden="false" customHeight="false" outlineLevel="0" collapsed="false">
      <c r="A241" s="35" t="n">
        <v>240</v>
      </c>
      <c r="B241" s="35" t="s">
        <v>1014</v>
      </c>
      <c r="C241" s="35" t="s">
        <v>1901</v>
      </c>
      <c r="D241" s="35" t="s">
        <v>685</v>
      </c>
      <c r="E241" s="35" t="s">
        <v>1015</v>
      </c>
      <c r="F241" s="40" t="n">
        <v>1.39076790233711</v>
      </c>
      <c r="G241" s="36" t="n">
        <v>3552.58827708299</v>
      </c>
      <c r="H241" s="36" t="n">
        <v>580.423546137914</v>
      </c>
      <c r="I241" s="6" t="s">
        <v>21</v>
      </c>
      <c r="J241" s="35" t="s">
        <v>283</v>
      </c>
      <c r="K241" s="35" t="s">
        <v>422</v>
      </c>
      <c r="L241" s="35" t="n">
        <v>39</v>
      </c>
      <c r="M241" s="35" t="s">
        <v>41</v>
      </c>
      <c r="N241" s="35" t="s">
        <v>1674</v>
      </c>
      <c r="O241" s="35" t="s">
        <v>132</v>
      </c>
      <c r="P241" s="35" t="s">
        <v>132</v>
      </c>
      <c r="Q241" s="35" t="n">
        <v>1</v>
      </c>
      <c r="R241" s="35"/>
      <c r="S241" s="35" t="s">
        <v>40</v>
      </c>
      <c r="T241" s="35" t="s">
        <v>41</v>
      </c>
      <c r="U241" s="35"/>
      <c r="V241" s="35"/>
      <c r="W241" s="35"/>
      <c r="X241" s="35" t="s">
        <v>1676</v>
      </c>
      <c r="Y241" s="35" t="n">
        <v>-7.1842085</v>
      </c>
      <c r="Z241" s="35" t="n">
        <v>-48.219347</v>
      </c>
      <c r="AA241" s="49" t="s">
        <v>1603</v>
      </c>
      <c r="AB241" s="35" t="s">
        <v>1677</v>
      </c>
    </row>
    <row r="242" customFormat="false" ht="15" hidden="false" customHeight="false" outlineLevel="0" collapsed="false">
      <c r="A242" s="35" t="n">
        <v>241</v>
      </c>
      <c r="B242" s="35" t="s">
        <v>1016</v>
      </c>
      <c r="C242" s="35" t="s">
        <v>1902</v>
      </c>
      <c r="D242" s="35" t="s">
        <v>1015</v>
      </c>
      <c r="E242" s="35" t="s">
        <v>1017</v>
      </c>
      <c r="F242" s="40" t="n">
        <v>12.9405754106841</v>
      </c>
      <c r="G242" s="36" t="n">
        <v>3565.52885249368</v>
      </c>
      <c r="H242" s="36" t="n">
        <v>12.9405754106842</v>
      </c>
      <c r="I242" s="7" t="s">
        <v>22</v>
      </c>
      <c r="J242" s="35" t="s">
        <v>283</v>
      </c>
      <c r="K242" s="35" t="s">
        <v>422</v>
      </c>
      <c r="L242" s="35" t="n">
        <v>40</v>
      </c>
      <c r="M242" s="35" t="s">
        <v>132</v>
      </c>
      <c r="N242" s="35" t="s">
        <v>1788</v>
      </c>
      <c r="O242" s="35" t="s">
        <v>133</v>
      </c>
      <c r="P242" s="35" t="s">
        <v>50</v>
      </c>
      <c r="Q242" s="35" t="n">
        <v>0</v>
      </c>
      <c r="R242" s="35"/>
      <c r="S242" s="35" t="s">
        <v>40</v>
      </c>
      <c r="T242" s="35" t="s">
        <v>41</v>
      </c>
      <c r="U242" s="35" t="s">
        <v>132</v>
      </c>
      <c r="V242" s="35"/>
      <c r="W242" s="35"/>
      <c r="X242" s="35" t="s">
        <v>1903</v>
      </c>
      <c r="Y242" s="35" t="n">
        <v>-7.184153</v>
      </c>
      <c r="Z242" s="35" t="n">
        <v>-48.219314</v>
      </c>
      <c r="AA242" s="49" t="s">
        <v>1603</v>
      </c>
      <c r="AB242" s="35" t="s">
        <v>1904</v>
      </c>
    </row>
    <row r="243" customFormat="false" ht="15" hidden="false" customHeight="false" outlineLevel="0" collapsed="false">
      <c r="A243" s="35" t="n">
        <v>242</v>
      </c>
      <c r="B243" s="35" t="s">
        <v>1018</v>
      </c>
      <c r="C243" s="35" t="s">
        <v>1905</v>
      </c>
      <c r="D243" s="35" t="s">
        <v>689</v>
      </c>
      <c r="E243" s="35" t="s">
        <v>1019</v>
      </c>
      <c r="F243" s="40" t="n">
        <v>2.90264804923395</v>
      </c>
      <c r="G243" s="36" t="n">
        <v>3605.2391259705</v>
      </c>
      <c r="H243" s="36" t="n">
        <v>633.074395025419</v>
      </c>
      <c r="I243" s="6" t="s">
        <v>21</v>
      </c>
      <c r="J243" s="35" t="s">
        <v>283</v>
      </c>
      <c r="K243" s="35" t="s">
        <v>423</v>
      </c>
      <c r="L243" s="35" t="n">
        <v>41</v>
      </c>
      <c r="M243" s="35" t="s">
        <v>41</v>
      </c>
      <c r="N243" s="35" t="s">
        <v>1674</v>
      </c>
      <c r="O243" s="35" t="s">
        <v>136</v>
      </c>
      <c r="P243" s="35" t="s">
        <v>1906</v>
      </c>
      <c r="Q243" s="35" t="n">
        <v>10</v>
      </c>
      <c r="R243" s="35" t="s">
        <v>1020</v>
      </c>
      <c r="S243" s="35" t="s">
        <v>40</v>
      </c>
      <c r="T243" s="35" t="s">
        <v>41</v>
      </c>
      <c r="U243" s="35"/>
      <c r="V243" s="35"/>
      <c r="W243" s="35"/>
      <c r="X243" s="35" t="s">
        <v>1676</v>
      </c>
      <c r="Y243" s="35" t="n">
        <v>-7.184623</v>
      </c>
      <c r="Z243" s="35" t="n">
        <v>-48.219155</v>
      </c>
      <c r="AA243" s="49" t="s">
        <v>1603</v>
      </c>
      <c r="AB243" s="35" t="s">
        <v>1677</v>
      </c>
    </row>
    <row r="244" customFormat="false" ht="15" hidden="false" customHeight="false" outlineLevel="0" collapsed="false">
      <c r="A244" s="35" t="n">
        <v>243</v>
      </c>
      <c r="B244" s="35" t="s">
        <v>1021</v>
      </c>
      <c r="C244" s="35" t="s">
        <v>1907</v>
      </c>
      <c r="D244" s="35" t="s">
        <v>1019</v>
      </c>
      <c r="E244" s="35" t="s">
        <v>1022</v>
      </c>
      <c r="F244" s="40" t="n">
        <v>24.7648142627265</v>
      </c>
      <c r="G244" s="36" t="n">
        <v>3630.00394023323</v>
      </c>
      <c r="H244" s="36" t="n">
        <v>657.839209288145</v>
      </c>
      <c r="I244" s="6" t="s">
        <v>21</v>
      </c>
      <c r="J244" s="35" t="s">
        <v>283</v>
      </c>
      <c r="K244" s="35" t="s">
        <v>423</v>
      </c>
      <c r="L244" s="35" t="n">
        <v>41</v>
      </c>
      <c r="M244" s="35" t="s">
        <v>41</v>
      </c>
      <c r="N244" s="35" t="s">
        <v>1674</v>
      </c>
      <c r="O244" s="35" t="s">
        <v>136</v>
      </c>
      <c r="P244" s="35" t="s">
        <v>1906</v>
      </c>
      <c r="Q244" s="35" t="n">
        <v>10</v>
      </c>
      <c r="R244" s="35"/>
      <c r="S244" s="35" t="s">
        <v>40</v>
      </c>
      <c r="T244" s="35" t="s">
        <v>41</v>
      </c>
      <c r="U244" s="35"/>
      <c r="V244" s="35"/>
      <c r="W244" s="35"/>
      <c r="X244" s="35" t="s">
        <v>1676</v>
      </c>
      <c r="Y244" s="35" t="n">
        <v>-7.1846045</v>
      </c>
      <c r="Z244" s="35" t="n">
        <v>-48.219279</v>
      </c>
      <c r="AA244" s="49" t="s">
        <v>1603</v>
      </c>
      <c r="AB244" s="35" t="s">
        <v>1677</v>
      </c>
    </row>
    <row r="245" customFormat="false" ht="15" hidden="false" customHeight="false" outlineLevel="0" collapsed="false">
      <c r="A245" s="35" t="n">
        <v>244</v>
      </c>
      <c r="B245" s="35" t="s">
        <v>1023</v>
      </c>
      <c r="C245" s="35" t="s">
        <v>1908</v>
      </c>
      <c r="D245" s="35" t="s">
        <v>1022</v>
      </c>
      <c r="E245" s="35" t="s">
        <v>1024</v>
      </c>
      <c r="F245" s="40" t="n">
        <v>3.6676906397375</v>
      </c>
      <c r="G245" s="36" t="n">
        <v>3633.67163087296</v>
      </c>
      <c r="H245" s="36" t="n">
        <v>661.506899927882</v>
      </c>
      <c r="I245" s="6" t="s">
        <v>21</v>
      </c>
      <c r="J245" s="35" t="s">
        <v>283</v>
      </c>
      <c r="K245" s="35" t="s">
        <v>423</v>
      </c>
      <c r="L245" s="35" t="n">
        <v>41</v>
      </c>
      <c r="M245" s="35" t="s">
        <v>41</v>
      </c>
      <c r="N245" s="35" t="s">
        <v>1674</v>
      </c>
      <c r="O245" s="35" t="s">
        <v>136</v>
      </c>
      <c r="P245" s="35" t="s">
        <v>1906</v>
      </c>
      <c r="Q245" s="35" t="n">
        <v>10</v>
      </c>
      <c r="R245" s="35"/>
      <c r="S245" s="35" t="s">
        <v>40</v>
      </c>
      <c r="T245" s="35" t="s">
        <v>41</v>
      </c>
      <c r="U245" s="35"/>
      <c r="V245" s="35"/>
      <c r="W245" s="35"/>
      <c r="X245" s="35" t="s">
        <v>1676</v>
      </c>
      <c r="Y245" s="35" t="n">
        <v>-7.184586</v>
      </c>
      <c r="Z245" s="35" t="n">
        <v>-48.2194065</v>
      </c>
      <c r="AA245" s="49" t="s">
        <v>1603</v>
      </c>
      <c r="AB245" s="35" t="s">
        <v>1677</v>
      </c>
    </row>
    <row r="246" customFormat="false" ht="15" hidden="false" customHeight="false" outlineLevel="0" collapsed="false">
      <c r="A246" s="35" t="n">
        <v>245</v>
      </c>
      <c r="B246" s="35" t="s">
        <v>1025</v>
      </c>
      <c r="C246" s="35" t="s">
        <v>1909</v>
      </c>
      <c r="D246" s="35" t="s">
        <v>1024</v>
      </c>
      <c r="E246" s="35" t="s">
        <v>1026</v>
      </c>
      <c r="F246" s="40" t="n">
        <v>58.0023257118447</v>
      </c>
      <c r="G246" s="36" t="n">
        <v>3691.67395658481</v>
      </c>
      <c r="H246" s="36" t="n">
        <v>719.509225639727</v>
      </c>
      <c r="I246" s="6" t="s">
        <v>21</v>
      </c>
      <c r="J246" s="35" t="s">
        <v>283</v>
      </c>
      <c r="K246" s="35" t="s">
        <v>423</v>
      </c>
      <c r="L246" s="35" t="n">
        <v>41</v>
      </c>
      <c r="M246" s="35" t="s">
        <v>41</v>
      </c>
      <c r="N246" s="35" t="s">
        <v>1674</v>
      </c>
      <c r="O246" s="35" t="s">
        <v>136</v>
      </c>
      <c r="P246" s="35" t="s">
        <v>1906</v>
      </c>
      <c r="Q246" s="35" t="n">
        <v>10</v>
      </c>
      <c r="R246" s="35"/>
      <c r="S246" s="35" t="s">
        <v>40</v>
      </c>
      <c r="T246" s="35" t="s">
        <v>41</v>
      </c>
      <c r="U246" s="35"/>
      <c r="V246" s="35"/>
      <c r="W246" s="35"/>
      <c r="X246" s="35" t="s">
        <v>1676</v>
      </c>
      <c r="Y246" s="35" t="n">
        <v>-7.184619</v>
      </c>
      <c r="Z246" s="35" t="n">
        <v>-48.2196835</v>
      </c>
      <c r="AA246" s="49" t="s">
        <v>1603</v>
      </c>
      <c r="AB246" s="35" t="s">
        <v>1677</v>
      </c>
    </row>
    <row r="247" customFormat="false" ht="15" hidden="false" customHeight="false" outlineLevel="0" collapsed="false">
      <c r="A247" s="35" t="n">
        <v>246</v>
      </c>
      <c r="B247" s="35" t="s">
        <v>1027</v>
      </c>
      <c r="C247" s="35" t="s">
        <v>1910</v>
      </c>
      <c r="D247" s="35" t="s">
        <v>1026</v>
      </c>
      <c r="E247" s="35" t="s">
        <v>1028</v>
      </c>
      <c r="F247" s="40" t="n">
        <v>79.0059570740184</v>
      </c>
      <c r="G247" s="36" t="n">
        <v>3770.67991365883</v>
      </c>
      <c r="H247" s="36" t="n">
        <v>798.515182713745</v>
      </c>
      <c r="I247" s="6" t="s">
        <v>21</v>
      </c>
      <c r="J247" s="35" t="s">
        <v>283</v>
      </c>
      <c r="K247" s="35" t="s">
        <v>423</v>
      </c>
      <c r="L247" s="35" t="n">
        <v>41</v>
      </c>
      <c r="M247" s="35" t="s">
        <v>41</v>
      </c>
      <c r="N247" s="35" t="s">
        <v>1674</v>
      </c>
      <c r="O247" s="35" t="s">
        <v>136</v>
      </c>
      <c r="P247" s="35" t="s">
        <v>1911</v>
      </c>
      <c r="Q247" s="35" t="n">
        <v>9</v>
      </c>
      <c r="R247" s="35"/>
      <c r="S247" s="35" t="s">
        <v>40</v>
      </c>
      <c r="T247" s="35" t="s">
        <v>41</v>
      </c>
      <c r="U247" s="35"/>
      <c r="V247" s="35"/>
      <c r="W247" s="35"/>
      <c r="X247" s="35" t="s">
        <v>1676</v>
      </c>
      <c r="Y247" s="35" t="n">
        <v>-7.184729</v>
      </c>
      <c r="Z247" s="35" t="n">
        <v>-48.220294</v>
      </c>
      <c r="AA247" s="49" t="s">
        <v>1603</v>
      </c>
      <c r="AB247" s="35" t="s">
        <v>1677</v>
      </c>
    </row>
    <row r="248" customFormat="false" ht="15" hidden="false" customHeight="false" outlineLevel="0" collapsed="false">
      <c r="A248" s="35" t="n">
        <v>247</v>
      </c>
      <c r="B248" s="35" t="s">
        <v>1029</v>
      </c>
      <c r="C248" s="35" t="s">
        <v>1912</v>
      </c>
      <c r="D248" s="35" t="s">
        <v>1028</v>
      </c>
      <c r="E248" s="35" t="s">
        <v>1030</v>
      </c>
      <c r="F248" s="40" t="n">
        <v>72.7640244561595</v>
      </c>
      <c r="G248" s="36" t="n">
        <v>3843.44393811499</v>
      </c>
      <c r="H248" s="36" t="n">
        <v>871.279207169905</v>
      </c>
      <c r="I248" s="6" t="s">
        <v>21</v>
      </c>
      <c r="J248" s="35" t="s">
        <v>283</v>
      </c>
      <c r="K248" s="35" t="s">
        <v>423</v>
      </c>
      <c r="L248" s="35" t="n">
        <v>41</v>
      </c>
      <c r="M248" s="35" t="s">
        <v>41</v>
      </c>
      <c r="N248" s="35" t="s">
        <v>1674</v>
      </c>
      <c r="O248" s="35" t="s">
        <v>136</v>
      </c>
      <c r="P248" s="35" t="s">
        <v>1913</v>
      </c>
      <c r="Q248" s="35" t="n">
        <v>8</v>
      </c>
      <c r="R248" s="35"/>
      <c r="S248" s="35" t="s">
        <v>40</v>
      </c>
      <c r="T248" s="35" t="s">
        <v>41</v>
      </c>
      <c r="U248" s="35"/>
      <c r="V248" s="35"/>
      <c r="W248" s="35"/>
      <c r="X248" s="35" t="s">
        <v>1676</v>
      </c>
      <c r="Y248" s="35" t="n">
        <v>-7.184879</v>
      </c>
      <c r="Z248" s="35" t="n">
        <v>-48.220965</v>
      </c>
      <c r="AA248" s="49" t="s">
        <v>1603</v>
      </c>
      <c r="AB248" s="35" t="s">
        <v>1677</v>
      </c>
    </row>
    <row r="249" customFormat="false" ht="15" hidden="false" customHeight="false" outlineLevel="0" collapsed="false">
      <c r="A249" s="35" t="n">
        <v>248</v>
      </c>
      <c r="B249" s="35" t="s">
        <v>1031</v>
      </c>
      <c r="C249" s="35" t="s">
        <v>1914</v>
      </c>
      <c r="D249" s="35" t="s">
        <v>1030</v>
      </c>
      <c r="E249" s="35" t="s">
        <v>1032</v>
      </c>
      <c r="F249" s="40" t="n">
        <v>19.8600120234672</v>
      </c>
      <c r="G249" s="36" t="n">
        <v>3863.30395013845</v>
      </c>
      <c r="H249" s="36" t="n">
        <v>891.139219193372</v>
      </c>
      <c r="I249" s="6" t="s">
        <v>21</v>
      </c>
      <c r="J249" s="35" t="s">
        <v>283</v>
      </c>
      <c r="K249" s="35" t="s">
        <v>423</v>
      </c>
      <c r="L249" s="35" t="n">
        <v>41</v>
      </c>
      <c r="M249" s="35" t="s">
        <v>41</v>
      </c>
      <c r="N249" s="35" t="s">
        <v>1674</v>
      </c>
      <c r="O249" s="35" t="s">
        <v>136</v>
      </c>
      <c r="P249" s="35" t="s">
        <v>50</v>
      </c>
      <c r="Q249" s="35" t="n">
        <v>0</v>
      </c>
      <c r="R249" s="35"/>
      <c r="S249" s="35" t="s">
        <v>40</v>
      </c>
      <c r="T249" s="35" t="s">
        <v>41</v>
      </c>
      <c r="U249" s="35"/>
      <c r="V249" s="35"/>
      <c r="W249" s="35"/>
      <c r="X249" s="35" t="s">
        <v>1676</v>
      </c>
      <c r="Y249" s="35" t="n">
        <v>-7.185034</v>
      </c>
      <c r="Z249" s="35" t="n">
        <v>-48.221246</v>
      </c>
      <c r="AA249" s="49" t="s">
        <v>1603</v>
      </c>
      <c r="AB249" s="35" t="s">
        <v>1677</v>
      </c>
    </row>
    <row r="250" customFormat="false" ht="15" hidden="false" customHeight="false" outlineLevel="0" collapsed="false">
      <c r="A250" s="35" t="n">
        <v>249</v>
      </c>
      <c r="B250" s="35" t="s">
        <v>1033</v>
      </c>
      <c r="C250" s="35" t="s">
        <v>1915</v>
      </c>
      <c r="D250" s="35" t="s">
        <v>1030</v>
      </c>
      <c r="E250" s="35" t="s">
        <v>1034</v>
      </c>
      <c r="F250" s="40" t="n">
        <v>55.8593759036546</v>
      </c>
      <c r="G250" s="36" t="n">
        <v>3899.30331401864</v>
      </c>
      <c r="H250" s="36" t="n">
        <v>927.138583073559</v>
      </c>
      <c r="I250" s="6" t="s">
        <v>21</v>
      </c>
      <c r="J250" s="35" t="s">
        <v>283</v>
      </c>
      <c r="K250" s="35" t="s">
        <v>423</v>
      </c>
      <c r="L250" s="35" t="n">
        <v>41</v>
      </c>
      <c r="M250" s="35" t="s">
        <v>41</v>
      </c>
      <c r="N250" s="35" t="s">
        <v>1674</v>
      </c>
      <c r="O250" s="35" t="s">
        <v>136</v>
      </c>
      <c r="P250" s="35" t="s">
        <v>1916</v>
      </c>
      <c r="Q250" s="35" t="n">
        <v>5</v>
      </c>
      <c r="R250" s="35"/>
      <c r="S250" s="35" t="s">
        <v>40</v>
      </c>
      <c r="T250" s="35" t="s">
        <v>41</v>
      </c>
      <c r="U250" s="35"/>
      <c r="V250" s="35"/>
      <c r="W250" s="35"/>
      <c r="X250" s="35" t="s">
        <v>1676</v>
      </c>
      <c r="Y250" s="35" t="n">
        <v>-7.185108</v>
      </c>
      <c r="Z250" s="35" t="n">
        <v>-48.221486</v>
      </c>
      <c r="AA250" s="49" t="s">
        <v>1603</v>
      </c>
      <c r="AB250" s="35" t="s">
        <v>1677</v>
      </c>
    </row>
    <row r="251" customFormat="false" ht="15" hidden="false" customHeight="false" outlineLevel="0" collapsed="false">
      <c r="A251" s="35" t="n">
        <v>250</v>
      </c>
      <c r="B251" s="35" t="s">
        <v>1035</v>
      </c>
      <c r="C251" s="35" t="s">
        <v>1917</v>
      </c>
      <c r="D251" s="35" t="s">
        <v>1034</v>
      </c>
      <c r="E251" s="35" t="s">
        <v>1036</v>
      </c>
      <c r="F251" s="40" t="n">
        <v>106.796781237224</v>
      </c>
      <c r="G251" s="36" t="n">
        <v>4006.10009525586</v>
      </c>
      <c r="H251" s="36" t="n">
        <v>1033.93536431078</v>
      </c>
      <c r="I251" s="6" t="s">
        <v>21</v>
      </c>
      <c r="J251" s="35" t="s">
        <v>283</v>
      </c>
      <c r="K251" s="35" t="s">
        <v>423</v>
      </c>
      <c r="L251" s="35" t="n">
        <v>41</v>
      </c>
      <c r="M251" s="35" t="s">
        <v>41</v>
      </c>
      <c r="N251" s="35" t="s">
        <v>1674</v>
      </c>
      <c r="O251" s="35" t="s">
        <v>136</v>
      </c>
      <c r="P251" s="35" t="s">
        <v>1916</v>
      </c>
      <c r="Q251" s="35" t="n">
        <v>5</v>
      </c>
      <c r="R251" s="35"/>
      <c r="S251" s="35" t="s">
        <v>40</v>
      </c>
      <c r="T251" s="35" t="s">
        <v>41</v>
      </c>
      <c r="U251" s="35"/>
      <c r="V251" s="35"/>
      <c r="W251" s="35"/>
      <c r="X251" s="35" t="s">
        <v>1676</v>
      </c>
      <c r="Y251" s="35" t="n">
        <v>-7.1856565</v>
      </c>
      <c r="Z251" s="35" t="n">
        <v>-48.221962</v>
      </c>
      <c r="AA251" s="49" t="s">
        <v>1603</v>
      </c>
      <c r="AB251" s="35" t="s">
        <v>1677</v>
      </c>
    </row>
    <row r="252" customFormat="false" ht="15" hidden="false" customHeight="false" outlineLevel="0" collapsed="false">
      <c r="A252" s="35" t="n">
        <v>251</v>
      </c>
      <c r="B252" s="35" t="s">
        <v>1037</v>
      </c>
      <c r="C252" s="35" t="s">
        <v>1918</v>
      </c>
      <c r="D252" s="35" t="s">
        <v>1036</v>
      </c>
      <c r="E252" s="35" t="s">
        <v>1038</v>
      </c>
      <c r="F252" s="40" t="n">
        <v>22.0022536485137</v>
      </c>
      <c r="G252" s="36" t="n">
        <v>4028.10234890438</v>
      </c>
      <c r="H252" s="36" t="n">
        <v>1055.9376179593</v>
      </c>
      <c r="I252" s="6" t="s">
        <v>21</v>
      </c>
      <c r="J252" s="35" t="s">
        <v>283</v>
      </c>
      <c r="K252" s="35" t="s">
        <v>423</v>
      </c>
      <c r="L252" s="35" t="n">
        <v>41</v>
      </c>
      <c r="M252" s="35" t="s">
        <v>41</v>
      </c>
      <c r="N252" s="35" t="s">
        <v>1674</v>
      </c>
      <c r="O252" s="35" t="s">
        <v>136</v>
      </c>
      <c r="P252" s="35" t="s">
        <v>1919</v>
      </c>
      <c r="Q252" s="35" t="n">
        <v>4</v>
      </c>
      <c r="R252" s="35"/>
      <c r="S252" s="35" t="s">
        <v>40</v>
      </c>
      <c r="T252" s="35" t="s">
        <v>41</v>
      </c>
      <c r="U252" s="35"/>
      <c r="V252" s="35"/>
      <c r="W252" s="35"/>
      <c r="X252" s="35" t="s">
        <v>1676</v>
      </c>
      <c r="Y252" s="35" t="n">
        <v>-7.1861405</v>
      </c>
      <c r="Z252" s="35" t="n">
        <v>-48.2222805</v>
      </c>
      <c r="AA252" s="49" t="s">
        <v>1603</v>
      </c>
      <c r="AB252" s="35" t="s">
        <v>1677</v>
      </c>
    </row>
    <row r="253" customFormat="false" ht="15" hidden="false" customHeight="false" outlineLevel="0" collapsed="false">
      <c r="A253" s="35" t="n">
        <v>252</v>
      </c>
      <c r="B253" s="35" t="s">
        <v>1039</v>
      </c>
      <c r="C253" s="35" t="s">
        <v>1920</v>
      </c>
      <c r="D253" s="35" t="s">
        <v>1038</v>
      </c>
      <c r="E253" s="35" t="s">
        <v>1040</v>
      </c>
      <c r="F253" s="40" t="n">
        <v>35.4156566157913</v>
      </c>
      <c r="G253" s="36" t="n">
        <v>4063.51800552017</v>
      </c>
      <c r="H253" s="36" t="n">
        <v>1091.35327457509</v>
      </c>
      <c r="I253" s="6" t="s">
        <v>21</v>
      </c>
      <c r="J253" s="35" t="s">
        <v>283</v>
      </c>
      <c r="K253" s="35" t="s">
        <v>423</v>
      </c>
      <c r="L253" s="35" t="n">
        <v>41</v>
      </c>
      <c r="M253" s="35" t="s">
        <v>41</v>
      </c>
      <c r="N253" s="35" t="s">
        <v>1674</v>
      </c>
      <c r="O253" s="35" t="s">
        <v>136</v>
      </c>
      <c r="P253" s="35" t="s">
        <v>1919</v>
      </c>
      <c r="Q253" s="35" t="n">
        <v>4</v>
      </c>
      <c r="R253" s="35"/>
      <c r="S253" s="35" t="s">
        <v>40</v>
      </c>
      <c r="T253" s="35" t="s">
        <v>41</v>
      </c>
      <c r="U253" s="35"/>
      <c r="V253" s="35"/>
      <c r="W253" s="35"/>
      <c r="X253" s="35" t="s">
        <v>1676</v>
      </c>
      <c r="Y253" s="35" t="n">
        <v>-7.18637</v>
      </c>
      <c r="Z253" s="35" t="n">
        <v>-48.2223995</v>
      </c>
      <c r="AA253" s="49" t="s">
        <v>1603</v>
      </c>
      <c r="AB253" s="35" t="s">
        <v>1677</v>
      </c>
    </row>
    <row r="254" customFormat="false" ht="15" hidden="false" customHeight="false" outlineLevel="0" collapsed="false">
      <c r="A254" s="35" t="n">
        <v>253</v>
      </c>
      <c r="B254" s="35" t="s">
        <v>1041</v>
      </c>
      <c r="C254" s="35" t="s">
        <v>1921</v>
      </c>
      <c r="D254" s="35" t="s">
        <v>1040</v>
      </c>
      <c r="E254" s="35" t="s">
        <v>1042</v>
      </c>
      <c r="F254" s="40" t="n">
        <v>3.62447492704008</v>
      </c>
      <c r="G254" s="36" t="n">
        <v>4067.14248044721</v>
      </c>
      <c r="H254" s="36" t="n">
        <v>1094.97774950213</v>
      </c>
      <c r="I254" s="6" t="s">
        <v>21</v>
      </c>
      <c r="J254" s="35" t="s">
        <v>283</v>
      </c>
      <c r="K254" s="35" t="s">
        <v>423</v>
      </c>
      <c r="L254" s="35" t="n">
        <v>41</v>
      </c>
      <c r="M254" s="35" t="s">
        <v>41</v>
      </c>
      <c r="N254" s="35" t="s">
        <v>1674</v>
      </c>
      <c r="O254" s="35" t="s">
        <v>136</v>
      </c>
      <c r="P254" s="35" t="s">
        <v>1919</v>
      </c>
      <c r="Q254" s="35" t="n">
        <v>4</v>
      </c>
      <c r="R254" s="35" t="s">
        <v>1043</v>
      </c>
      <c r="S254" s="35" t="s">
        <v>40</v>
      </c>
      <c r="T254" s="35" t="s">
        <v>41</v>
      </c>
      <c r="U254" s="35"/>
      <c r="V254" s="35"/>
      <c r="W254" s="35"/>
      <c r="X254" s="35" t="s">
        <v>1676</v>
      </c>
      <c r="Y254" s="35" t="n">
        <v>-7.1865245</v>
      </c>
      <c r="Z254" s="35" t="n">
        <v>-48.2224835</v>
      </c>
      <c r="AA254" s="49" t="s">
        <v>1603</v>
      </c>
      <c r="AB254" s="35" t="s">
        <v>1677</v>
      </c>
    </row>
    <row r="255" customFormat="false" ht="15" hidden="false" customHeight="false" outlineLevel="0" collapsed="false">
      <c r="A255" s="35" t="n">
        <v>254</v>
      </c>
      <c r="B255" s="35" t="s">
        <v>1044</v>
      </c>
      <c r="C255" s="35" t="s">
        <v>1922</v>
      </c>
      <c r="D255" s="35" t="s">
        <v>1042</v>
      </c>
      <c r="E255" s="35" t="s">
        <v>1045</v>
      </c>
      <c r="F255" s="40" t="n">
        <v>67.1324193172677</v>
      </c>
      <c r="G255" s="36" t="n">
        <v>4134.27489976448</v>
      </c>
      <c r="H255" s="36" t="n">
        <v>1162.1101688194</v>
      </c>
      <c r="I255" s="6" t="s">
        <v>21</v>
      </c>
      <c r="J255" s="35" t="s">
        <v>283</v>
      </c>
      <c r="K255" s="35" t="s">
        <v>423</v>
      </c>
      <c r="L255" s="35" t="n">
        <v>41</v>
      </c>
      <c r="M255" s="35" t="s">
        <v>41</v>
      </c>
      <c r="N255" s="35" t="s">
        <v>1674</v>
      </c>
      <c r="O255" s="35" t="s">
        <v>136</v>
      </c>
      <c r="P255" s="35" t="s">
        <v>1919</v>
      </c>
      <c r="Q255" s="35" t="n">
        <v>4</v>
      </c>
      <c r="R255" s="35"/>
      <c r="S255" s="35" t="s">
        <v>40</v>
      </c>
      <c r="T255" s="35" t="s">
        <v>41</v>
      </c>
      <c r="U255" s="35"/>
      <c r="V255" s="35"/>
      <c r="W255" s="35"/>
      <c r="X255" s="35" t="s">
        <v>1676</v>
      </c>
      <c r="Y255" s="35" t="n">
        <v>-7.1868105</v>
      </c>
      <c r="Z255" s="35" t="n">
        <v>-48.222624</v>
      </c>
      <c r="AA255" s="49" t="s">
        <v>1603</v>
      </c>
      <c r="AB255" s="35" t="s">
        <v>1677</v>
      </c>
    </row>
    <row r="256" customFormat="false" ht="15" hidden="false" customHeight="false" outlineLevel="0" collapsed="false">
      <c r="A256" s="35" t="n">
        <v>255</v>
      </c>
      <c r="B256" s="35" t="s">
        <v>1046</v>
      </c>
      <c r="C256" s="35" t="s">
        <v>1923</v>
      </c>
      <c r="D256" s="35" t="s">
        <v>1045</v>
      </c>
      <c r="E256" s="35" t="s">
        <v>1047</v>
      </c>
      <c r="F256" s="40" t="n">
        <v>46.5801220877763</v>
      </c>
      <c r="G256" s="36" t="n">
        <v>4180.85502185225</v>
      </c>
      <c r="H256" s="36" t="n">
        <v>1208.69029090717</v>
      </c>
      <c r="I256" s="6" t="s">
        <v>21</v>
      </c>
      <c r="J256" s="35" t="s">
        <v>283</v>
      </c>
      <c r="K256" s="35" t="s">
        <v>423</v>
      </c>
      <c r="L256" s="35" t="n">
        <v>41</v>
      </c>
      <c r="M256" s="35" t="s">
        <v>41</v>
      </c>
      <c r="N256" s="35" t="s">
        <v>1674</v>
      </c>
      <c r="O256" s="35" t="s">
        <v>136</v>
      </c>
      <c r="P256" s="35" t="s">
        <v>1924</v>
      </c>
      <c r="Q256" s="35" t="n">
        <v>3</v>
      </c>
      <c r="R256" s="35"/>
      <c r="S256" s="35" t="s">
        <v>40</v>
      </c>
      <c r="T256" s="35" t="s">
        <v>41</v>
      </c>
      <c r="U256" s="35"/>
      <c r="V256" s="35"/>
      <c r="W256" s="35"/>
      <c r="X256" s="35" t="s">
        <v>1676</v>
      </c>
      <c r="Y256" s="35" t="n">
        <v>-7.187257</v>
      </c>
      <c r="Z256" s="35" t="n">
        <v>-48.222873</v>
      </c>
      <c r="AA256" s="49" t="s">
        <v>1603</v>
      </c>
      <c r="AB256" s="35" t="s">
        <v>1677</v>
      </c>
    </row>
    <row r="257" customFormat="false" ht="15" hidden="false" customHeight="false" outlineLevel="0" collapsed="false">
      <c r="A257" s="35" t="n">
        <v>256</v>
      </c>
      <c r="B257" s="35" t="s">
        <v>1048</v>
      </c>
      <c r="C257" s="35" t="s">
        <v>1925</v>
      </c>
      <c r="D257" s="35" t="s">
        <v>1047</v>
      </c>
      <c r="E257" s="35" t="s">
        <v>1049</v>
      </c>
      <c r="F257" s="40" t="n">
        <v>36.5881926959311</v>
      </c>
      <c r="G257" s="36" t="n">
        <v>4217.44321454818</v>
      </c>
      <c r="H257" s="36" t="n">
        <v>1245.2784836031</v>
      </c>
      <c r="I257" s="6" t="s">
        <v>21</v>
      </c>
      <c r="J257" s="35" t="s">
        <v>283</v>
      </c>
      <c r="K257" s="35" t="s">
        <v>423</v>
      </c>
      <c r="L257" s="35" t="n">
        <v>41</v>
      </c>
      <c r="M257" s="35" t="s">
        <v>41</v>
      </c>
      <c r="N257" s="35" t="s">
        <v>1674</v>
      </c>
      <c r="O257" s="35" t="s">
        <v>136</v>
      </c>
      <c r="P257" s="35" t="s">
        <v>138</v>
      </c>
      <c r="Q257" s="35" t="n">
        <v>1</v>
      </c>
      <c r="R257" s="35"/>
      <c r="S257" s="35" t="s">
        <v>40</v>
      </c>
      <c r="T257" s="35" t="s">
        <v>41</v>
      </c>
      <c r="U257" s="35"/>
      <c r="V257" s="35"/>
      <c r="W257" s="35"/>
      <c r="X257" s="35" t="s">
        <v>1676</v>
      </c>
      <c r="Y257" s="35" t="n">
        <v>-7.187575</v>
      </c>
      <c r="Z257" s="35" t="n">
        <v>-48.223071</v>
      </c>
      <c r="AA257" s="49" t="s">
        <v>1603</v>
      </c>
      <c r="AB257" s="35" t="s">
        <v>1677</v>
      </c>
    </row>
    <row r="258" customFormat="false" ht="15" hidden="false" customHeight="false" outlineLevel="0" collapsed="false">
      <c r="A258" s="35" t="n">
        <v>257</v>
      </c>
      <c r="B258" s="35" t="s">
        <v>1050</v>
      </c>
      <c r="C258" s="35" t="s">
        <v>1926</v>
      </c>
      <c r="D258" s="35" t="s">
        <v>1049</v>
      </c>
      <c r="E258" s="35" t="s">
        <v>1051</v>
      </c>
      <c r="F258" s="40" t="n">
        <v>0.999096982387536</v>
      </c>
      <c r="G258" s="36" t="n">
        <v>4218.44231153057</v>
      </c>
      <c r="H258" s="36" t="n">
        <v>1246.27758058549</v>
      </c>
      <c r="I258" s="6" t="s">
        <v>21</v>
      </c>
      <c r="J258" s="35" t="s">
        <v>283</v>
      </c>
      <c r="K258" s="35" t="s">
        <v>423</v>
      </c>
      <c r="L258" s="35" t="n">
        <v>41</v>
      </c>
      <c r="M258" s="35" t="s">
        <v>41</v>
      </c>
      <c r="N258" s="35" t="s">
        <v>1674</v>
      </c>
      <c r="O258" s="35" t="s">
        <v>136</v>
      </c>
      <c r="P258" s="35" t="s">
        <v>138</v>
      </c>
      <c r="Q258" s="35" t="n">
        <v>1</v>
      </c>
      <c r="R258" s="35"/>
      <c r="S258" s="35" t="s">
        <v>40</v>
      </c>
      <c r="T258" s="35" t="s">
        <v>41</v>
      </c>
      <c r="U258" s="35"/>
      <c r="V258" s="35"/>
      <c r="W258" s="35"/>
      <c r="X258" s="35" t="s">
        <v>1676</v>
      </c>
      <c r="Y258" s="35" t="n">
        <v>-7.1877175</v>
      </c>
      <c r="Z258" s="35" t="n">
        <v>-48.2231575</v>
      </c>
      <c r="AA258" s="49" t="s">
        <v>1603</v>
      </c>
      <c r="AB258" s="35" t="s">
        <v>1677</v>
      </c>
    </row>
    <row r="259" customFormat="false" ht="15" hidden="false" customHeight="false" outlineLevel="0" collapsed="false">
      <c r="A259" s="35" t="n">
        <v>258</v>
      </c>
      <c r="B259" s="35" t="s">
        <v>1052</v>
      </c>
      <c r="C259" s="35" t="s">
        <v>1927</v>
      </c>
      <c r="D259" s="35" t="s">
        <v>1047</v>
      </c>
      <c r="E259" s="35" t="s">
        <v>1053</v>
      </c>
      <c r="F259" s="40" t="n">
        <v>1.88701623946024</v>
      </c>
      <c r="G259" s="36" t="n">
        <v>4182.74203809171</v>
      </c>
      <c r="H259" s="36" t="n">
        <v>1210.57730714663</v>
      </c>
      <c r="I259" s="6" t="s">
        <v>21</v>
      </c>
      <c r="J259" s="35" t="s">
        <v>283</v>
      </c>
      <c r="K259" s="35" t="s">
        <v>423</v>
      </c>
      <c r="L259" s="35" t="n">
        <v>41</v>
      </c>
      <c r="M259" s="35" t="s">
        <v>41</v>
      </c>
      <c r="N259" s="35" t="s">
        <v>1674</v>
      </c>
      <c r="O259" s="35" t="s">
        <v>136</v>
      </c>
      <c r="P259" s="35" t="s">
        <v>1928</v>
      </c>
      <c r="Q259" s="35" t="n">
        <v>2</v>
      </c>
      <c r="R259" s="35"/>
      <c r="S259" s="35" t="s">
        <v>40</v>
      </c>
      <c r="T259" s="35" t="s">
        <v>41</v>
      </c>
      <c r="U259" s="35"/>
      <c r="V259" s="35"/>
      <c r="W259" s="35"/>
      <c r="X259" s="35" t="s">
        <v>1676</v>
      </c>
      <c r="Y259" s="35" t="n">
        <v>-7.187429</v>
      </c>
      <c r="Z259" s="35" t="n">
        <v>-48.222981</v>
      </c>
      <c r="AA259" s="49" t="s">
        <v>1603</v>
      </c>
      <c r="AB259" s="35" t="s">
        <v>1677</v>
      </c>
    </row>
    <row r="260" customFormat="false" ht="15" hidden="false" customHeight="false" outlineLevel="0" collapsed="false">
      <c r="A260" s="35" t="n">
        <v>259</v>
      </c>
      <c r="B260" s="35" t="s">
        <v>1054</v>
      </c>
      <c r="C260" s="35" t="s">
        <v>1929</v>
      </c>
      <c r="D260" s="35" t="s">
        <v>1053</v>
      </c>
      <c r="E260" s="35" t="s">
        <v>1055</v>
      </c>
      <c r="F260" s="40" t="n">
        <v>18.3019721789769</v>
      </c>
      <c r="G260" s="36" t="n">
        <v>4201.04401027069</v>
      </c>
      <c r="H260" s="36" t="n">
        <v>1228.87927932561</v>
      </c>
      <c r="I260" s="6" t="s">
        <v>21</v>
      </c>
      <c r="J260" s="35" t="s">
        <v>283</v>
      </c>
      <c r="K260" s="35" t="s">
        <v>423</v>
      </c>
      <c r="L260" s="35" t="n">
        <v>41</v>
      </c>
      <c r="M260" s="35" t="s">
        <v>41</v>
      </c>
      <c r="N260" s="35" t="s">
        <v>1674</v>
      </c>
      <c r="O260" s="35" t="s">
        <v>136</v>
      </c>
      <c r="P260" s="35" t="s">
        <v>1928</v>
      </c>
      <c r="Q260" s="35" t="n">
        <v>2</v>
      </c>
      <c r="R260" s="35"/>
      <c r="S260" s="35" t="s">
        <v>40</v>
      </c>
      <c r="T260" s="35" t="s">
        <v>41</v>
      </c>
      <c r="U260" s="35"/>
      <c r="V260" s="35"/>
      <c r="W260" s="35"/>
      <c r="X260" s="35" t="s">
        <v>1676</v>
      </c>
      <c r="Y260" s="35" t="n">
        <v>-7.187398</v>
      </c>
      <c r="Z260" s="35" t="n">
        <v>-48.222895</v>
      </c>
      <c r="AA260" s="49" t="s">
        <v>1603</v>
      </c>
      <c r="AB260" s="35" t="s">
        <v>1677</v>
      </c>
    </row>
    <row r="261" customFormat="false" ht="15" hidden="false" customHeight="false" outlineLevel="0" collapsed="false">
      <c r="A261" s="35" t="n">
        <v>260</v>
      </c>
      <c r="B261" s="35" t="s">
        <v>1056</v>
      </c>
      <c r="C261" s="35" t="s">
        <v>1930</v>
      </c>
      <c r="D261" s="35" t="s">
        <v>1055</v>
      </c>
      <c r="E261" s="35" t="s">
        <v>1057</v>
      </c>
      <c r="F261" s="40" t="n">
        <v>3.3432491784718</v>
      </c>
      <c r="G261" s="36" t="n">
        <v>4204.38725944916</v>
      </c>
      <c r="H261" s="36" t="n">
        <v>1232.22252850408</v>
      </c>
      <c r="I261" s="6" t="s">
        <v>21</v>
      </c>
      <c r="J261" s="35" t="s">
        <v>283</v>
      </c>
      <c r="K261" s="35" t="s">
        <v>423</v>
      </c>
      <c r="L261" s="35" t="n">
        <v>41</v>
      </c>
      <c r="M261" s="35" t="s">
        <v>41</v>
      </c>
      <c r="N261" s="35" t="s">
        <v>1674</v>
      </c>
      <c r="O261" s="35" t="s">
        <v>136</v>
      </c>
      <c r="P261" s="35" t="s">
        <v>1928</v>
      </c>
      <c r="Q261" s="35" t="n">
        <v>2</v>
      </c>
      <c r="R261" s="35"/>
      <c r="S261" s="35" t="s">
        <v>40</v>
      </c>
      <c r="T261" s="35" t="s">
        <v>41</v>
      </c>
      <c r="U261" s="35"/>
      <c r="V261" s="35"/>
      <c r="W261" s="35"/>
      <c r="X261" s="35" t="s">
        <v>1676</v>
      </c>
      <c r="Y261" s="35" t="n">
        <v>-7.1873845</v>
      </c>
      <c r="Z261" s="35" t="n">
        <v>-48.222813</v>
      </c>
      <c r="AA261" s="49" t="s">
        <v>1603</v>
      </c>
      <c r="AB261" s="35" t="s">
        <v>1677</v>
      </c>
    </row>
    <row r="262" customFormat="false" ht="15" hidden="false" customHeight="false" outlineLevel="0" collapsed="false">
      <c r="A262" s="35" t="n">
        <v>261</v>
      </c>
      <c r="B262" s="35" t="s">
        <v>1058</v>
      </c>
      <c r="C262" s="35" t="s">
        <v>1931</v>
      </c>
      <c r="D262" s="35" t="s">
        <v>1045</v>
      </c>
      <c r="E262" s="35" t="s">
        <v>1059</v>
      </c>
      <c r="F262" s="40" t="n">
        <v>1.93389110934995</v>
      </c>
      <c r="G262" s="36" t="n">
        <v>4136.20879087383</v>
      </c>
      <c r="H262" s="36" t="n">
        <v>1164.04405992875</v>
      </c>
      <c r="I262" s="6" t="s">
        <v>21</v>
      </c>
      <c r="J262" s="35" t="s">
        <v>283</v>
      </c>
      <c r="K262" s="35" t="s">
        <v>423</v>
      </c>
      <c r="L262" s="35" t="n">
        <v>41</v>
      </c>
      <c r="M262" s="35" t="s">
        <v>41</v>
      </c>
      <c r="N262" s="35" t="s">
        <v>1674</v>
      </c>
      <c r="O262" s="35" t="s">
        <v>136</v>
      </c>
      <c r="P262" s="35" t="s">
        <v>144</v>
      </c>
      <c r="Q262" s="35" t="n">
        <v>1</v>
      </c>
      <c r="R262" s="35"/>
      <c r="S262" s="35" t="s">
        <v>40</v>
      </c>
      <c r="T262" s="35" t="s">
        <v>41</v>
      </c>
      <c r="U262" s="35"/>
      <c r="V262" s="35"/>
      <c r="W262" s="35"/>
      <c r="X262" s="35" t="s">
        <v>1676</v>
      </c>
      <c r="Y262" s="35" t="n">
        <v>-7.1870865</v>
      </c>
      <c r="Z262" s="35" t="n">
        <v>-48.2227645</v>
      </c>
      <c r="AA262" s="49" t="s">
        <v>1603</v>
      </c>
      <c r="AB262" s="35" t="s">
        <v>1677</v>
      </c>
    </row>
    <row r="263" customFormat="false" ht="15" hidden="false" customHeight="false" outlineLevel="0" collapsed="false">
      <c r="A263" s="35" t="n">
        <v>262</v>
      </c>
      <c r="B263" s="35" t="s">
        <v>1060</v>
      </c>
      <c r="C263" s="35" t="s">
        <v>1932</v>
      </c>
      <c r="D263" s="35" t="s">
        <v>1059</v>
      </c>
      <c r="E263" s="35" t="s">
        <v>1061</v>
      </c>
      <c r="F263" s="40" t="n">
        <v>30.0937522841623</v>
      </c>
      <c r="G263" s="36" t="n">
        <v>4166.30254315799</v>
      </c>
      <c r="H263" s="36" t="n">
        <v>1194.13781221291</v>
      </c>
      <c r="I263" s="6" t="s">
        <v>21</v>
      </c>
      <c r="J263" s="35" t="s">
        <v>283</v>
      </c>
      <c r="K263" s="35" t="s">
        <v>423</v>
      </c>
      <c r="L263" s="35" t="n">
        <v>41</v>
      </c>
      <c r="M263" s="35" t="s">
        <v>41</v>
      </c>
      <c r="N263" s="35" t="s">
        <v>1674</v>
      </c>
      <c r="O263" s="35" t="s">
        <v>136</v>
      </c>
      <c r="P263" s="35" t="s">
        <v>144</v>
      </c>
      <c r="Q263" s="35" t="n">
        <v>1</v>
      </c>
      <c r="R263" s="35"/>
      <c r="S263" s="35" t="s">
        <v>40</v>
      </c>
      <c r="T263" s="35" t="s">
        <v>41</v>
      </c>
      <c r="U263" s="35"/>
      <c r="V263" s="35"/>
      <c r="W263" s="35"/>
      <c r="X263" s="35" t="s">
        <v>1676</v>
      </c>
      <c r="Y263" s="35" t="n">
        <v>-7.187158</v>
      </c>
      <c r="Z263" s="35" t="n">
        <v>-48.2228905</v>
      </c>
      <c r="AA263" s="49" t="s">
        <v>1603</v>
      </c>
      <c r="AB263" s="35" t="s">
        <v>1677</v>
      </c>
    </row>
    <row r="264" customFormat="false" ht="15" hidden="false" customHeight="false" outlineLevel="0" collapsed="false">
      <c r="A264" s="35" t="n">
        <v>263</v>
      </c>
      <c r="B264" s="35" t="s">
        <v>1062</v>
      </c>
      <c r="C264" s="35" t="s">
        <v>1933</v>
      </c>
      <c r="D264" s="35" t="s">
        <v>1061</v>
      </c>
      <c r="E264" s="35" t="s">
        <v>1063</v>
      </c>
      <c r="F264" s="40" t="n">
        <v>3.93891455452788</v>
      </c>
      <c r="G264" s="36" t="n">
        <v>4170.24145771252</v>
      </c>
      <c r="H264" s="36" t="n">
        <v>1198.07672676744</v>
      </c>
      <c r="I264" s="6" t="s">
        <v>21</v>
      </c>
      <c r="J264" s="35" t="s">
        <v>283</v>
      </c>
      <c r="K264" s="35" t="s">
        <v>423</v>
      </c>
      <c r="L264" s="35" t="n">
        <v>41</v>
      </c>
      <c r="M264" s="35" t="s">
        <v>41</v>
      </c>
      <c r="N264" s="35" t="s">
        <v>1674</v>
      </c>
      <c r="O264" s="35" t="s">
        <v>136</v>
      </c>
      <c r="P264" s="35" t="s">
        <v>144</v>
      </c>
      <c r="Q264" s="35" t="n">
        <v>1</v>
      </c>
      <c r="R264" s="35"/>
      <c r="S264" s="35" t="s">
        <v>40</v>
      </c>
      <c r="T264" s="35" t="s">
        <v>41</v>
      </c>
      <c r="U264" s="35"/>
      <c r="V264" s="35"/>
      <c r="W264" s="35"/>
      <c r="X264" s="35" t="s">
        <v>1676</v>
      </c>
      <c r="Y264" s="35" t="n">
        <v>-7.1872285</v>
      </c>
      <c r="Z264" s="35" t="n">
        <v>-48.2230265</v>
      </c>
      <c r="AA264" s="49" t="s">
        <v>1603</v>
      </c>
      <c r="AB264" s="35" t="s">
        <v>1677</v>
      </c>
    </row>
    <row r="265" customFormat="false" ht="15" hidden="false" customHeight="false" outlineLevel="0" collapsed="false">
      <c r="A265" s="35" t="n">
        <v>264</v>
      </c>
      <c r="B265" s="35" t="s">
        <v>1064</v>
      </c>
      <c r="C265" s="35" t="s">
        <v>1934</v>
      </c>
      <c r="D265" s="35" t="s">
        <v>1036</v>
      </c>
      <c r="E265" s="35" t="s">
        <v>1065</v>
      </c>
      <c r="F265" s="40" t="n">
        <v>0.891178958447801</v>
      </c>
      <c r="G265" s="36" t="n">
        <v>4006.99127421431</v>
      </c>
      <c r="H265" s="36" t="n">
        <v>1034.82654326923</v>
      </c>
      <c r="I265" s="6" t="s">
        <v>21</v>
      </c>
      <c r="J265" s="35" t="s">
        <v>283</v>
      </c>
      <c r="K265" s="35" t="s">
        <v>423</v>
      </c>
      <c r="L265" s="35" t="n">
        <v>41</v>
      </c>
      <c r="M265" s="35" t="s">
        <v>41</v>
      </c>
      <c r="N265" s="35" t="s">
        <v>1674</v>
      </c>
      <c r="O265" s="35" t="s">
        <v>136</v>
      </c>
      <c r="P265" s="35" t="s">
        <v>146</v>
      </c>
      <c r="Q265" s="35" t="n">
        <v>1</v>
      </c>
      <c r="R265" s="35"/>
      <c r="S265" s="35" t="s">
        <v>40</v>
      </c>
      <c r="T265" s="35" t="s">
        <v>41</v>
      </c>
      <c r="U265" s="35"/>
      <c r="V265" s="35"/>
      <c r="W265" s="35"/>
      <c r="X265" s="35" t="s">
        <v>1676</v>
      </c>
      <c r="Y265" s="35" t="n">
        <v>-7.186053</v>
      </c>
      <c r="Z265" s="35" t="n">
        <v>-48.2222345</v>
      </c>
      <c r="AA265" s="49" t="s">
        <v>1603</v>
      </c>
      <c r="AB265" s="35" t="s">
        <v>1677</v>
      </c>
    </row>
    <row r="266" customFormat="false" ht="15" hidden="false" customHeight="false" outlineLevel="0" collapsed="false">
      <c r="A266" s="35" t="n">
        <v>265</v>
      </c>
      <c r="B266" s="35" t="s">
        <v>1066</v>
      </c>
      <c r="C266" s="35" t="s">
        <v>1935</v>
      </c>
      <c r="D266" s="35" t="s">
        <v>1030</v>
      </c>
      <c r="E266" s="35" t="s">
        <v>1067</v>
      </c>
      <c r="F266" s="40" t="n">
        <v>6.35952316921994</v>
      </c>
      <c r="G266" s="36" t="n">
        <v>3849.8034612842</v>
      </c>
      <c r="H266" s="36" t="n">
        <v>877.638730339124</v>
      </c>
      <c r="I266" s="6" t="s">
        <v>21</v>
      </c>
      <c r="J266" s="35" t="s">
        <v>283</v>
      </c>
      <c r="K266" s="35" t="s">
        <v>423</v>
      </c>
      <c r="L266" s="35" t="n">
        <v>41</v>
      </c>
      <c r="M266" s="35" t="s">
        <v>41</v>
      </c>
      <c r="N266" s="35" t="s">
        <v>1674</v>
      </c>
      <c r="O266" s="35" t="s">
        <v>136</v>
      </c>
      <c r="P266" s="35" t="s">
        <v>1936</v>
      </c>
      <c r="Q266" s="35" t="n">
        <v>3</v>
      </c>
      <c r="R266" s="35"/>
      <c r="S266" s="35" t="s">
        <v>40</v>
      </c>
      <c r="T266" s="35" t="s">
        <v>41</v>
      </c>
      <c r="U266" s="35"/>
      <c r="V266" s="35"/>
      <c r="W266" s="35"/>
      <c r="X266" s="35" t="s">
        <v>1676</v>
      </c>
      <c r="Y266" s="35" t="n">
        <v>-7.184928</v>
      </c>
      <c r="Z266" s="35" t="n">
        <v>-48.221298</v>
      </c>
      <c r="AA266" s="49" t="s">
        <v>1603</v>
      </c>
      <c r="AB266" s="35" t="s">
        <v>1677</v>
      </c>
    </row>
    <row r="267" customFormat="false" ht="15" hidden="false" customHeight="false" outlineLevel="0" collapsed="false">
      <c r="A267" s="35" t="n">
        <v>266</v>
      </c>
      <c r="B267" s="35" t="s">
        <v>1068</v>
      </c>
      <c r="C267" s="35" t="s">
        <v>1937</v>
      </c>
      <c r="D267" s="35" t="s">
        <v>1067</v>
      </c>
      <c r="E267" s="35" t="s">
        <v>1069</v>
      </c>
      <c r="F267" s="40" t="n">
        <v>3.52591441377425</v>
      </c>
      <c r="G267" s="36" t="n">
        <v>3853.32937569798</v>
      </c>
      <c r="H267" s="36" t="n">
        <v>881.164644752899</v>
      </c>
      <c r="I267" s="6" t="s">
        <v>21</v>
      </c>
      <c r="J267" s="35" t="s">
        <v>283</v>
      </c>
      <c r="K267" s="35" t="s">
        <v>423</v>
      </c>
      <c r="L267" s="35" t="n">
        <v>41</v>
      </c>
      <c r="M267" s="35" t="s">
        <v>41</v>
      </c>
      <c r="N267" s="35" t="s">
        <v>1674</v>
      </c>
      <c r="O267" s="35" t="s">
        <v>136</v>
      </c>
      <c r="P267" s="35" t="s">
        <v>1936</v>
      </c>
      <c r="Q267" s="35" t="n">
        <v>3</v>
      </c>
      <c r="R267" s="35"/>
      <c r="S267" s="35" t="s">
        <v>40</v>
      </c>
      <c r="T267" s="35" t="s">
        <v>41</v>
      </c>
      <c r="U267" s="35"/>
      <c r="V267" s="35"/>
      <c r="W267" s="35"/>
      <c r="X267" s="35" t="s">
        <v>1676</v>
      </c>
      <c r="Y267" s="35" t="n">
        <v>-7.184888</v>
      </c>
      <c r="Z267" s="35" t="n">
        <v>-48.2213175</v>
      </c>
      <c r="AA267" s="49" t="s">
        <v>1603</v>
      </c>
      <c r="AB267" s="35" t="s">
        <v>1677</v>
      </c>
    </row>
    <row r="268" customFormat="false" ht="15" hidden="false" customHeight="false" outlineLevel="0" collapsed="false">
      <c r="A268" s="35" t="n">
        <v>267</v>
      </c>
      <c r="B268" s="35" t="s">
        <v>1070</v>
      </c>
      <c r="C268" s="35" t="s">
        <v>1938</v>
      </c>
      <c r="D268" s="35" t="s">
        <v>1028</v>
      </c>
      <c r="E268" s="35" t="s">
        <v>1071</v>
      </c>
      <c r="F268" s="40" t="n">
        <v>2.50619527453532</v>
      </c>
      <c r="G268" s="36" t="n">
        <v>3773.18610893336</v>
      </c>
      <c r="H268" s="36" t="n">
        <v>801.021377988281</v>
      </c>
      <c r="I268" s="6" t="s">
        <v>21</v>
      </c>
      <c r="J268" s="35" t="s">
        <v>283</v>
      </c>
      <c r="K268" s="35" t="s">
        <v>423</v>
      </c>
      <c r="L268" s="35" t="n">
        <v>41</v>
      </c>
      <c r="M268" s="35" t="s">
        <v>41</v>
      </c>
      <c r="N268" s="35" t="s">
        <v>1674</v>
      </c>
      <c r="O268" s="35" t="s">
        <v>136</v>
      </c>
      <c r="P268" s="35" t="s">
        <v>154</v>
      </c>
      <c r="Q268" s="35" t="n">
        <v>1</v>
      </c>
      <c r="R268" s="35"/>
      <c r="S268" s="35" t="s">
        <v>40</v>
      </c>
      <c r="T268" s="35" t="s">
        <v>41</v>
      </c>
      <c r="U268" s="35"/>
      <c r="V268" s="35"/>
      <c r="W268" s="35"/>
      <c r="X268" s="35" t="s">
        <v>1676</v>
      </c>
      <c r="Y268" s="35" t="n">
        <v>-7.184812</v>
      </c>
      <c r="Z268" s="35" t="n">
        <v>-48.220636</v>
      </c>
      <c r="AA268" s="49" t="s">
        <v>1603</v>
      </c>
      <c r="AB268" s="35" t="s">
        <v>1677</v>
      </c>
    </row>
    <row r="269" customFormat="false" ht="15" hidden="false" customHeight="false" outlineLevel="0" collapsed="false">
      <c r="A269" s="35" t="n">
        <v>268</v>
      </c>
      <c r="B269" s="35" t="s">
        <v>1072</v>
      </c>
      <c r="C269" s="35" t="s">
        <v>1939</v>
      </c>
      <c r="D269" s="35" t="s">
        <v>1026</v>
      </c>
      <c r="E269" s="35" t="s">
        <v>1073</v>
      </c>
      <c r="F269" s="40" t="n">
        <v>3.22725246839033</v>
      </c>
      <c r="G269" s="36" t="n">
        <v>3694.9012090532</v>
      </c>
      <c r="H269" s="36" t="n">
        <v>722.736478108117</v>
      </c>
      <c r="I269" s="6" t="s">
        <v>21</v>
      </c>
      <c r="J269" s="35" t="s">
        <v>283</v>
      </c>
      <c r="K269" s="35" t="s">
        <v>423</v>
      </c>
      <c r="L269" s="35" t="n">
        <v>41</v>
      </c>
      <c r="M269" s="35" t="s">
        <v>41</v>
      </c>
      <c r="N269" s="35" t="s">
        <v>1674</v>
      </c>
      <c r="O269" s="35" t="s">
        <v>136</v>
      </c>
      <c r="P269" s="35" t="s">
        <v>156</v>
      </c>
      <c r="Q269" s="35" t="n">
        <v>1</v>
      </c>
      <c r="R269" s="35"/>
      <c r="S269" s="35" t="s">
        <v>40</v>
      </c>
      <c r="T269" s="35" t="s">
        <v>41</v>
      </c>
      <c r="U269" s="35"/>
      <c r="V269" s="35"/>
      <c r="W269" s="35"/>
      <c r="X269" s="35" t="s">
        <v>1676</v>
      </c>
      <c r="Y269" s="35" t="n">
        <v>-7.184667</v>
      </c>
      <c r="Z269" s="35" t="n">
        <v>-48.2199375</v>
      </c>
      <c r="AA269" s="49" t="s">
        <v>1603</v>
      </c>
      <c r="AB269" s="35" t="s">
        <v>1677</v>
      </c>
    </row>
    <row r="270" customFormat="false" ht="15" hidden="false" customHeight="false" outlineLevel="0" collapsed="false">
      <c r="A270" s="35" t="n">
        <v>269</v>
      </c>
      <c r="B270" s="35" t="s">
        <v>1074</v>
      </c>
      <c r="C270" s="35" t="s">
        <v>1940</v>
      </c>
      <c r="D270" s="35" t="s">
        <v>1051</v>
      </c>
      <c r="E270" s="35" t="s">
        <v>1075</v>
      </c>
      <c r="F270" s="40" t="n">
        <v>8.67432763300936</v>
      </c>
      <c r="G270" s="36" t="n">
        <v>4227.11663916358</v>
      </c>
      <c r="H270" s="36" t="n">
        <v>8.67432763300894</v>
      </c>
      <c r="I270" s="7" t="s">
        <v>22</v>
      </c>
      <c r="J270" s="35" t="s">
        <v>283</v>
      </c>
      <c r="K270" s="35" t="s">
        <v>423</v>
      </c>
      <c r="L270" s="35" t="n">
        <v>42</v>
      </c>
      <c r="M270" s="35" t="s">
        <v>138</v>
      </c>
      <c r="N270" s="35" t="s">
        <v>1788</v>
      </c>
      <c r="O270" s="35" t="s">
        <v>139</v>
      </c>
      <c r="P270" s="35" t="s">
        <v>50</v>
      </c>
      <c r="Q270" s="35" t="n">
        <v>0</v>
      </c>
      <c r="R270" s="35"/>
      <c r="S270" s="35" t="s">
        <v>40</v>
      </c>
      <c r="T270" s="35" t="s">
        <v>41</v>
      </c>
      <c r="U270" s="35" t="s">
        <v>138</v>
      </c>
      <c r="V270" s="35"/>
      <c r="W270" s="35"/>
      <c r="X270" s="35" t="s">
        <v>1941</v>
      </c>
      <c r="Y270" s="35" t="n">
        <v>-7.187707</v>
      </c>
      <c r="Z270" s="35" t="n">
        <v>-48.2232</v>
      </c>
      <c r="AA270" s="49" t="s">
        <v>1603</v>
      </c>
      <c r="AB270" s="35" t="s">
        <v>1942</v>
      </c>
    </row>
    <row r="271" customFormat="false" ht="15" hidden="false" customHeight="false" outlineLevel="0" collapsed="false">
      <c r="A271" s="35" t="n">
        <v>270</v>
      </c>
      <c r="B271" s="35" t="s">
        <v>1076</v>
      </c>
      <c r="C271" s="35" t="s">
        <v>1943</v>
      </c>
      <c r="D271" s="35" t="s">
        <v>1075</v>
      </c>
      <c r="E271" s="35" t="s">
        <v>1077</v>
      </c>
      <c r="F271" s="40" t="n">
        <v>13.4885405746939</v>
      </c>
      <c r="G271" s="36" t="n">
        <v>4240.60517973827</v>
      </c>
      <c r="H271" s="36" t="n">
        <v>22.1628682077026</v>
      </c>
      <c r="I271" s="7" t="s">
        <v>22</v>
      </c>
      <c r="J271" s="35" t="s">
        <v>283</v>
      </c>
      <c r="K271" s="35" t="s">
        <v>423</v>
      </c>
      <c r="L271" s="35" t="n">
        <v>42</v>
      </c>
      <c r="M271" s="35" t="s">
        <v>138</v>
      </c>
      <c r="N271" s="35" t="s">
        <v>1788</v>
      </c>
      <c r="O271" s="35" t="s">
        <v>139</v>
      </c>
      <c r="P271" s="35" t="s">
        <v>50</v>
      </c>
      <c r="Q271" s="35" t="n">
        <v>0</v>
      </c>
      <c r="R271" s="35"/>
      <c r="S271" s="35" t="s">
        <v>40</v>
      </c>
      <c r="T271" s="35" t="s">
        <v>41</v>
      </c>
      <c r="U271" s="35" t="s">
        <v>138</v>
      </c>
      <c r="V271" s="35"/>
      <c r="W271" s="35"/>
      <c r="X271" s="35" t="s">
        <v>1941</v>
      </c>
      <c r="Y271" s="35" t="n">
        <v>-7.187693</v>
      </c>
      <c r="Z271" s="35" t="n">
        <v>-48.223177</v>
      </c>
      <c r="AA271" s="49" t="s">
        <v>1603</v>
      </c>
      <c r="AB271" s="35" t="s">
        <v>1942</v>
      </c>
    </row>
    <row r="272" customFormat="false" ht="15" hidden="false" customHeight="false" outlineLevel="0" collapsed="false">
      <c r="A272" s="35" t="n">
        <v>271</v>
      </c>
      <c r="B272" s="35" t="s">
        <v>1078</v>
      </c>
      <c r="C272" s="35" t="s">
        <v>1944</v>
      </c>
      <c r="D272" s="35" t="s">
        <v>1075</v>
      </c>
      <c r="E272" s="35" t="s">
        <v>1079</v>
      </c>
      <c r="F272" s="40" t="n">
        <v>15.9111263958706</v>
      </c>
      <c r="G272" s="36" t="n">
        <v>4243.02776555945</v>
      </c>
      <c r="H272" s="36" t="n">
        <v>24.5854540288792</v>
      </c>
      <c r="I272" s="7" t="s">
        <v>22</v>
      </c>
      <c r="J272" s="35" t="s">
        <v>283</v>
      </c>
      <c r="K272" s="35" t="s">
        <v>423</v>
      </c>
      <c r="L272" s="35" t="n">
        <v>42</v>
      </c>
      <c r="M272" s="35" t="s">
        <v>138</v>
      </c>
      <c r="N272" s="35" t="s">
        <v>1788</v>
      </c>
      <c r="O272" s="35" t="s">
        <v>139</v>
      </c>
      <c r="P272" s="35" t="s">
        <v>50</v>
      </c>
      <c r="Q272" s="35" t="n">
        <v>0</v>
      </c>
      <c r="R272" s="35"/>
      <c r="S272" s="35" t="s">
        <v>40</v>
      </c>
      <c r="T272" s="35" t="s">
        <v>41</v>
      </c>
      <c r="U272" s="35" t="s">
        <v>138</v>
      </c>
      <c r="V272" s="35"/>
      <c r="W272" s="35"/>
      <c r="X272" s="35" t="s">
        <v>1941</v>
      </c>
      <c r="Y272" s="35" t="n">
        <v>-7.187693</v>
      </c>
      <c r="Z272" s="35" t="n">
        <v>-48.223166</v>
      </c>
      <c r="AA272" s="49" t="s">
        <v>1603</v>
      </c>
      <c r="AB272" s="35" t="s">
        <v>1942</v>
      </c>
    </row>
    <row r="273" customFormat="false" ht="15" hidden="false" customHeight="false" outlineLevel="0" collapsed="false">
      <c r="A273" s="35" t="n">
        <v>272</v>
      </c>
      <c r="B273" s="35" t="s">
        <v>1080</v>
      </c>
      <c r="C273" s="35" t="s">
        <v>1945</v>
      </c>
      <c r="D273" s="35" t="s">
        <v>1075</v>
      </c>
      <c r="E273" s="35" t="s">
        <v>1081</v>
      </c>
      <c r="F273" s="40" t="n">
        <v>5.79914081797775</v>
      </c>
      <c r="G273" s="36" t="n">
        <v>4232.91577998156</v>
      </c>
      <c r="H273" s="36" t="n">
        <v>14.4734684509867</v>
      </c>
      <c r="I273" s="7" t="s">
        <v>22</v>
      </c>
      <c r="J273" s="35" t="s">
        <v>283</v>
      </c>
      <c r="K273" s="35" t="s">
        <v>423</v>
      </c>
      <c r="L273" s="35" t="n">
        <v>42</v>
      </c>
      <c r="M273" s="35" t="s">
        <v>138</v>
      </c>
      <c r="N273" s="35" t="s">
        <v>1788</v>
      </c>
      <c r="O273" s="35" t="s">
        <v>139</v>
      </c>
      <c r="P273" s="35" t="s">
        <v>50</v>
      </c>
      <c r="Q273" s="35" t="n">
        <v>0</v>
      </c>
      <c r="R273" s="35"/>
      <c r="S273" s="35" t="s">
        <v>40</v>
      </c>
      <c r="T273" s="35" t="s">
        <v>41</v>
      </c>
      <c r="U273" s="35" t="s">
        <v>138</v>
      </c>
      <c r="V273" s="35"/>
      <c r="W273" s="35"/>
      <c r="X273" s="35" t="s">
        <v>1941</v>
      </c>
      <c r="Y273" s="35" t="n">
        <v>-7.1877215</v>
      </c>
      <c r="Z273" s="35" t="n">
        <v>-48.223229</v>
      </c>
      <c r="AA273" s="49" t="s">
        <v>1603</v>
      </c>
      <c r="AB273" s="35" t="s">
        <v>1942</v>
      </c>
    </row>
    <row r="274" customFormat="false" ht="15" hidden="false" customHeight="false" outlineLevel="0" collapsed="false">
      <c r="A274" s="35" t="n">
        <v>273</v>
      </c>
      <c r="B274" s="35" t="s">
        <v>1082</v>
      </c>
      <c r="C274" s="35" t="s">
        <v>1946</v>
      </c>
      <c r="D274" s="35" t="s">
        <v>1057</v>
      </c>
      <c r="E274" s="35" t="s">
        <v>1083</v>
      </c>
      <c r="F274" s="40" t="n">
        <v>79.5072323243856</v>
      </c>
      <c r="G274" s="36" t="n">
        <v>4283.89449177355</v>
      </c>
      <c r="H274" s="36" t="n">
        <v>79.5072323243858</v>
      </c>
      <c r="I274" s="7" t="s">
        <v>22</v>
      </c>
      <c r="J274" s="35" t="s">
        <v>283</v>
      </c>
      <c r="K274" s="35" t="s">
        <v>423</v>
      </c>
      <c r="L274" s="35" t="n">
        <v>43</v>
      </c>
      <c r="M274" s="35" t="s">
        <v>140</v>
      </c>
      <c r="N274" s="35" t="s">
        <v>1794</v>
      </c>
      <c r="O274" s="35" t="s">
        <v>141</v>
      </c>
      <c r="P274" s="35" t="s">
        <v>142</v>
      </c>
      <c r="Q274" s="35" t="n">
        <v>1</v>
      </c>
      <c r="R274" s="35"/>
      <c r="S274" s="35" t="s">
        <v>40</v>
      </c>
      <c r="T274" s="35" t="s">
        <v>41</v>
      </c>
      <c r="U274" s="35" t="s">
        <v>140</v>
      </c>
      <c r="V274" s="35"/>
      <c r="W274" s="35"/>
      <c r="X274" s="35" t="s">
        <v>1947</v>
      </c>
      <c r="Y274" s="35" t="n">
        <v>-7.187744</v>
      </c>
      <c r="Z274" s="35" t="n">
        <v>-48.2227145</v>
      </c>
      <c r="AA274" s="49" t="s">
        <v>1603</v>
      </c>
      <c r="AB274" s="35" t="s">
        <v>1948</v>
      </c>
    </row>
    <row r="275" customFormat="false" ht="15" hidden="false" customHeight="false" outlineLevel="0" collapsed="false">
      <c r="A275" s="35" t="n">
        <v>274</v>
      </c>
      <c r="B275" s="35" t="s">
        <v>1084</v>
      </c>
      <c r="C275" s="35" t="s">
        <v>1949</v>
      </c>
      <c r="D275" s="35" t="s">
        <v>1083</v>
      </c>
      <c r="E275" s="35" t="s">
        <v>1085</v>
      </c>
      <c r="F275" s="40" t="n">
        <v>38.6292773952976</v>
      </c>
      <c r="G275" s="36" t="n">
        <v>4322.52376916884</v>
      </c>
      <c r="H275" s="36" t="n">
        <v>118.136509719683</v>
      </c>
      <c r="I275" s="7" t="s">
        <v>22</v>
      </c>
      <c r="J275" s="35" t="s">
        <v>283</v>
      </c>
      <c r="K275" s="35" t="s">
        <v>423</v>
      </c>
      <c r="L275" s="35" t="n">
        <v>43</v>
      </c>
      <c r="M275" s="35" t="s">
        <v>140</v>
      </c>
      <c r="N275" s="35" t="s">
        <v>1794</v>
      </c>
      <c r="O275" s="35" t="s">
        <v>141</v>
      </c>
      <c r="P275" s="35" t="s">
        <v>50</v>
      </c>
      <c r="Q275" s="35" t="n">
        <v>0</v>
      </c>
      <c r="R275" s="35"/>
      <c r="S275" s="35" t="s">
        <v>40</v>
      </c>
      <c r="T275" s="35" t="s">
        <v>41</v>
      </c>
      <c r="U275" s="35" t="s">
        <v>140</v>
      </c>
      <c r="V275" s="35"/>
      <c r="W275" s="35"/>
      <c r="X275" s="35" t="s">
        <v>1947</v>
      </c>
      <c r="Y275" s="35" t="n">
        <v>-7.188252</v>
      </c>
      <c r="Z275" s="35" t="n">
        <v>-48.2225595</v>
      </c>
      <c r="AA275" s="49" t="s">
        <v>1603</v>
      </c>
      <c r="AB275" s="35" t="s">
        <v>1948</v>
      </c>
    </row>
    <row r="276" customFormat="false" ht="15" hidden="false" customHeight="false" outlineLevel="0" collapsed="false">
      <c r="A276" s="35" t="n">
        <v>275</v>
      </c>
      <c r="B276" s="35" t="s">
        <v>1086</v>
      </c>
      <c r="C276" s="35" t="s">
        <v>1950</v>
      </c>
      <c r="D276" s="35" t="s">
        <v>1085</v>
      </c>
      <c r="E276" s="35" t="s">
        <v>1087</v>
      </c>
      <c r="F276" s="40" t="n">
        <v>32.4790247351274</v>
      </c>
      <c r="G276" s="36" t="n">
        <v>4355.00279390397</v>
      </c>
      <c r="H276" s="36" t="n">
        <v>150.615534454811</v>
      </c>
      <c r="I276" s="7" t="s">
        <v>22</v>
      </c>
      <c r="J276" s="35" t="s">
        <v>283</v>
      </c>
      <c r="K276" s="35" t="s">
        <v>423</v>
      </c>
      <c r="L276" s="35" t="n">
        <v>43</v>
      </c>
      <c r="M276" s="35" t="s">
        <v>140</v>
      </c>
      <c r="N276" s="35" t="s">
        <v>1794</v>
      </c>
      <c r="O276" s="35" t="s">
        <v>141</v>
      </c>
      <c r="P276" s="35" t="s">
        <v>50</v>
      </c>
      <c r="Q276" s="35" t="n">
        <v>0</v>
      </c>
      <c r="R276" s="35"/>
      <c r="S276" s="35" t="s">
        <v>40</v>
      </c>
      <c r="T276" s="35" t="s">
        <v>41</v>
      </c>
      <c r="U276" s="35" t="s">
        <v>140</v>
      </c>
      <c r="V276" s="35"/>
      <c r="W276" s="35"/>
      <c r="X276" s="35" t="s">
        <v>1947</v>
      </c>
      <c r="Y276" s="35" t="n">
        <v>-7.188552</v>
      </c>
      <c r="Z276" s="35" t="n">
        <v>-48.222448</v>
      </c>
      <c r="AA276" s="49" t="s">
        <v>1603</v>
      </c>
      <c r="AB276" s="35" t="s">
        <v>1948</v>
      </c>
    </row>
    <row r="277" customFormat="false" ht="15" hidden="false" customHeight="false" outlineLevel="0" collapsed="false">
      <c r="A277" s="35" t="n">
        <v>276</v>
      </c>
      <c r="B277" s="35" t="s">
        <v>1088</v>
      </c>
      <c r="C277" s="35" t="s">
        <v>1951</v>
      </c>
      <c r="D277" s="35" t="s">
        <v>1087</v>
      </c>
      <c r="E277" s="35" t="s">
        <v>1089</v>
      </c>
      <c r="F277" s="40" t="n">
        <v>3.65441616212566</v>
      </c>
      <c r="G277" s="36" t="n">
        <v>4358.6572100661</v>
      </c>
      <c r="H277" s="36" t="n">
        <v>154.269950616937</v>
      </c>
      <c r="I277" s="7" t="s">
        <v>22</v>
      </c>
      <c r="J277" s="35" t="s">
        <v>283</v>
      </c>
      <c r="K277" s="35" t="s">
        <v>423</v>
      </c>
      <c r="L277" s="35" t="n">
        <v>43</v>
      </c>
      <c r="M277" s="35" t="s">
        <v>140</v>
      </c>
      <c r="N277" s="35" t="s">
        <v>1794</v>
      </c>
      <c r="O277" s="35" t="s">
        <v>141</v>
      </c>
      <c r="P277" s="35" t="s">
        <v>50</v>
      </c>
      <c r="Q277" s="35" t="n">
        <v>0</v>
      </c>
      <c r="R277" s="35"/>
      <c r="S277" s="35" t="s">
        <v>40</v>
      </c>
      <c r="T277" s="35" t="s">
        <v>41</v>
      </c>
      <c r="U277" s="35" t="s">
        <v>140</v>
      </c>
      <c r="V277" s="35"/>
      <c r="W277" s="35"/>
      <c r="X277" s="35" t="s">
        <v>1947</v>
      </c>
      <c r="Y277" s="35" t="n">
        <v>-7.1887045</v>
      </c>
      <c r="Z277" s="35" t="n">
        <v>-48.2223915</v>
      </c>
      <c r="AA277" s="49" t="s">
        <v>1603</v>
      </c>
      <c r="AB277" s="35" t="s">
        <v>1948</v>
      </c>
    </row>
    <row r="278" customFormat="false" ht="15" hidden="false" customHeight="false" outlineLevel="0" collapsed="false">
      <c r="A278" s="35" t="n">
        <v>277</v>
      </c>
      <c r="B278" s="35" t="s">
        <v>1090</v>
      </c>
      <c r="C278" s="35" t="s">
        <v>1952</v>
      </c>
      <c r="D278" s="35" t="s">
        <v>1089</v>
      </c>
      <c r="E278" s="35" t="s">
        <v>1091</v>
      </c>
      <c r="F278" s="40" t="n">
        <v>15.2947095114485</v>
      </c>
      <c r="G278" s="36" t="n">
        <v>4373.95191957755</v>
      </c>
      <c r="H278" s="36" t="n">
        <v>169.564660128385</v>
      </c>
      <c r="I278" s="7" t="s">
        <v>22</v>
      </c>
      <c r="J278" s="35" t="s">
        <v>283</v>
      </c>
      <c r="K278" s="35" t="s">
        <v>423</v>
      </c>
      <c r="L278" s="35" t="n">
        <v>43</v>
      </c>
      <c r="M278" s="35" t="s">
        <v>140</v>
      </c>
      <c r="N278" s="35" t="s">
        <v>1794</v>
      </c>
      <c r="O278" s="35" t="s">
        <v>141</v>
      </c>
      <c r="P278" s="35" t="s">
        <v>50</v>
      </c>
      <c r="Q278" s="35" t="n">
        <v>0</v>
      </c>
      <c r="R278" s="35"/>
      <c r="S278" s="35" t="s">
        <v>40</v>
      </c>
      <c r="T278" s="35" t="s">
        <v>41</v>
      </c>
      <c r="U278" s="35" t="s">
        <v>140</v>
      </c>
      <c r="V278" s="35"/>
      <c r="W278" s="35"/>
      <c r="X278" s="35" t="s">
        <v>1947</v>
      </c>
      <c r="Y278" s="35" t="n">
        <v>-7.188782</v>
      </c>
      <c r="Z278" s="35" t="n">
        <v>-48.222356</v>
      </c>
      <c r="AA278" s="49" t="s">
        <v>1603</v>
      </c>
      <c r="AB278" s="35" t="s">
        <v>1948</v>
      </c>
    </row>
    <row r="279" customFormat="false" ht="15" hidden="false" customHeight="false" outlineLevel="0" collapsed="false">
      <c r="A279" s="35" t="n">
        <v>278</v>
      </c>
      <c r="B279" s="35" t="s">
        <v>1092</v>
      </c>
      <c r="C279" s="35" t="s">
        <v>1953</v>
      </c>
      <c r="D279" s="35" t="s">
        <v>1091</v>
      </c>
      <c r="E279" s="35" t="s">
        <v>1093</v>
      </c>
      <c r="F279" s="40" t="n">
        <v>84.0192753031508</v>
      </c>
      <c r="G279" s="36" t="n">
        <v>4457.9711948807</v>
      </c>
      <c r="H279" s="36" t="n">
        <v>253.583935431536</v>
      </c>
      <c r="I279" s="7" t="s">
        <v>22</v>
      </c>
      <c r="J279" s="35" t="s">
        <v>283</v>
      </c>
      <c r="K279" s="35" t="s">
        <v>423</v>
      </c>
      <c r="L279" s="35" t="n">
        <v>43</v>
      </c>
      <c r="M279" s="35" t="s">
        <v>140</v>
      </c>
      <c r="N279" s="35" t="s">
        <v>1794</v>
      </c>
      <c r="O279" s="35" t="s">
        <v>141</v>
      </c>
      <c r="P279" s="35" t="s">
        <v>50</v>
      </c>
      <c r="Q279" s="35" t="n">
        <v>0</v>
      </c>
      <c r="R279" s="35"/>
      <c r="S279" s="35" t="s">
        <v>40</v>
      </c>
      <c r="T279" s="35" t="s">
        <v>41</v>
      </c>
      <c r="U279" s="35" t="s">
        <v>140</v>
      </c>
      <c r="V279" s="35"/>
      <c r="W279" s="35"/>
      <c r="X279" s="35" t="s">
        <v>1947</v>
      </c>
      <c r="Y279" s="35" t="n">
        <v>-7.18895</v>
      </c>
      <c r="Z279" s="35" t="n">
        <v>-48.2226915</v>
      </c>
      <c r="AA279" s="49" t="s">
        <v>1603</v>
      </c>
      <c r="AB279" s="35" t="s">
        <v>1948</v>
      </c>
    </row>
    <row r="280" customFormat="false" ht="15" hidden="false" customHeight="false" outlineLevel="0" collapsed="false">
      <c r="A280" s="35" t="n">
        <v>279</v>
      </c>
      <c r="B280" s="35" t="s">
        <v>1094</v>
      </c>
      <c r="C280" s="35" t="s">
        <v>1954</v>
      </c>
      <c r="D280" s="35" t="s">
        <v>1093</v>
      </c>
      <c r="E280" s="35" t="s">
        <v>1095</v>
      </c>
      <c r="F280" s="40" t="n">
        <v>1.94113803583574</v>
      </c>
      <c r="G280" s="36" t="n">
        <v>4459.91233291653</v>
      </c>
      <c r="H280" s="36" t="n">
        <v>255.525073467372</v>
      </c>
      <c r="I280" s="7" t="s">
        <v>22</v>
      </c>
      <c r="J280" s="35" t="s">
        <v>283</v>
      </c>
      <c r="K280" s="35" t="s">
        <v>423</v>
      </c>
      <c r="L280" s="35" t="n">
        <v>43</v>
      </c>
      <c r="M280" s="35" t="s">
        <v>140</v>
      </c>
      <c r="N280" s="35" t="s">
        <v>1794</v>
      </c>
      <c r="O280" s="35" t="s">
        <v>141</v>
      </c>
      <c r="P280" s="35" t="s">
        <v>50</v>
      </c>
      <c r="Q280" s="35" t="n">
        <v>0</v>
      </c>
      <c r="R280" s="35"/>
      <c r="S280" s="35" t="s">
        <v>40</v>
      </c>
      <c r="T280" s="35" t="s">
        <v>41</v>
      </c>
      <c r="U280" s="35" t="s">
        <v>140</v>
      </c>
      <c r="V280" s="35"/>
      <c r="W280" s="35"/>
      <c r="X280" s="35" t="s">
        <v>1947</v>
      </c>
      <c r="Y280" s="35" t="n">
        <v>-7.1890645</v>
      </c>
      <c r="Z280" s="35" t="n">
        <v>-48.223055</v>
      </c>
      <c r="AA280" s="49" t="s">
        <v>1603</v>
      </c>
      <c r="AB280" s="35" t="s">
        <v>1948</v>
      </c>
    </row>
    <row r="281" customFormat="false" ht="15" hidden="false" customHeight="false" outlineLevel="0" collapsed="false">
      <c r="A281" s="35" t="n">
        <v>280</v>
      </c>
      <c r="B281" s="35" t="s">
        <v>1096</v>
      </c>
      <c r="C281" s="35" t="s">
        <v>1955</v>
      </c>
      <c r="D281" s="35" t="s">
        <v>1095</v>
      </c>
      <c r="E281" s="35" t="s">
        <v>1097</v>
      </c>
      <c r="F281" s="40" t="n">
        <v>30.597411175659</v>
      </c>
      <c r="G281" s="36" t="n">
        <v>4490.50974409219</v>
      </c>
      <c r="H281" s="36" t="n">
        <v>286.122484643031</v>
      </c>
      <c r="I281" s="7" t="s">
        <v>22</v>
      </c>
      <c r="J281" s="35" t="s">
        <v>283</v>
      </c>
      <c r="K281" s="35" t="s">
        <v>423</v>
      </c>
      <c r="L281" s="35" t="n">
        <v>43</v>
      </c>
      <c r="M281" s="35" t="s">
        <v>140</v>
      </c>
      <c r="N281" s="35" t="s">
        <v>1794</v>
      </c>
      <c r="O281" s="35" t="s">
        <v>141</v>
      </c>
      <c r="P281" s="35" t="s">
        <v>50</v>
      </c>
      <c r="Q281" s="35" t="n">
        <v>0</v>
      </c>
      <c r="R281" s="35"/>
      <c r="S281" s="35" t="s">
        <v>40</v>
      </c>
      <c r="T281" s="35" t="s">
        <v>41</v>
      </c>
      <c r="U281" s="35" t="s">
        <v>140</v>
      </c>
      <c r="V281" s="35"/>
      <c r="W281" s="35"/>
      <c r="X281" s="35" t="s">
        <v>1947</v>
      </c>
      <c r="Y281" s="35" t="n">
        <v>-7.189206</v>
      </c>
      <c r="Z281" s="35" t="n">
        <v>-48.2230175</v>
      </c>
      <c r="AA281" s="49" t="s">
        <v>1603</v>
      </c>
      <c r="AB281" s="35" t="s">
        <v>1948</v>
      </c>
    </row>
    <row r="282" customFormat="false" ht="15" hidden="false" customHeight="false" outlineLevel="0" collapsed="false">
      <c r="A282" s="35" t="n">
        <v>281</v>
      </c>
      <c r="B282" s="35" t="s">
        <v>1098</v>
      </c>
      <c r="C282" s="35" t="s">
        <v>1956</v>
      </c>
      <c r="D282" s="35" t="s">
        <v>1097</v>
      </c>
      <c r="E282" s="35" t="s">
        <v>1099</v>
      </c>
      <c r="F282" s="40" t="n">
        <v>4.91071812820194</v>
      </c>
      <c r="G282" s="36" t="n">
        <v>4495.42046222039</v>
      </c>
      <c r="H282" s="36" t="n">
        <v>291.033202771232</v>
      </c>
      <c r="I282" s="7" t="s">
        <v>22</v>
      </c>
      <c r="J282" s="35" t="s">
        <v>283</v>
      </c>
      <c r="K282" s="35" t="s">
        <v>423</v>
      </c>
      <c r="L282" s="35" t="n">
        <v>43</v>
      </c>
      <c r="M282" s="35" t="s">
        <v>140</v>
      </c>
      <c r="N282" s="35" t="s">
        <v>1794</v>
      </c>
      <c r="O282" s="35" t="s">
        <v>141</v>
      </c>
      <c r="P282" s="35" t="s">
        <v>50</v>
      </c>
      <c r="Q282" s="35" t="n">
        <v>0</v>
      </c>
      <c r="R282" s="35"/>
      <c r="S282" s="35" t="s">
        <v>40</v>
      </c>
      <c r="T282" s="35" t="s">
        <v>41</v>
      </c>
      <c r="U282" s="35" t="s">
        <v>140</v>
      </c>
      <c r="V282" s="35"/>
      <c r="W282" s="35"/>
      <c r="X282" s="35" t="s">
        <v>1947</v>
      </c>
      <c r="Y282" s="35" t="n">
        <v>-7.1893505</v>
      </c>
      <c r="Z282" s="35" t="n">
        <v>-48.222963</v>
      </c>
      <c r="AA282" s="49" t="s">
        <v>1603</v>
      </c>
      <c r="AB282" s="35" t="s">
        <v>1948</v>
      </c>
    </row>
    <row r="283" customFormat="false" ht="15" hidden="false" customHeight="false" outlineLevel="0" collapsed="false">
      <c r="A283" s="35" t="n">
        <v>282</v>
      </c>
      <c r="B283" s="35" t="s">
        <v>1100</v>
      </c>
      <c r="C283" s="35" t="s">
        <v>1957</v>
      </c>
      <c r="D283" s="35" t="s">
        <v>1097</v>
      </c>
      <c r="E283" s="35" t="s">
        <v>1101</v>
      </c>
      <c r="F283" s="40" t="n">
        <v>0.39995180128069</v>
      </c>
      <c r="G283" s="36" t="n">
        <v>4490.90969589347</v>
      </c>
      <c r="H283" s="36" t="n">
        <v>286.522436444311</v>
      </c>
      <c r="I283" s="7" t="s">
        <v>22</v>
      </c>
      <c r="J283" s="35" t="s">
        <v>283</v>
      </c>
      <c r="K283" s="35" t="s">
        <v>423</v>
      </c>
      <c r="L283" s="35" t="n">
        <v>43</v>
      </c>
      <c r="M283" s="35" t="s">
        <v>140</v>
      </c>
      <c r="N283" s="35" t="s">
        <v>1794</v>
      </c>
      <c r="O283" s="35" t="s">
        <v>141</v>
      </c>
      <c r="P283" s="35" t="s">
        <v>50</v>
      </c>
      <c r="Q283" s="35" t="n">
        <v>0</v>
      </c>
      <c r="R283" s="35"/>
      <c r="S283" s="35" t="s">
        <v>40</v>
      </c>
      <c r="T283" s="35" t="s">
        <v>41</v>
      </c>
      <c r="U283" s="35" t="s">
        <v>140</v>
      </c>
      <c r="V283" s="35"/>
      <c r="W283" s="35"/>
      <c r="X283" s="35" t="s">
        <v>1947</v>
      </c>
      <c r="Y283" s="35" t="n">
        <v>-7.1893405</v>
      </c>
      <c r="Z283" s="35" t="n">
        <v>-48.222983</v>
      </c>
      <c r="AA283" s="49" t="s">
        <v>1603</v>
      </c>
      <c r="AB283" s="35" t="s">
        <v>1948</v>
      </c>
    </row>
    <row r="284" customFormat="false" ht="15" hidden="false" customHeight="false" outlineLevel="0" collapsed="false">
      <c r="A284" s="35" t="n">
        <v>283</v>
      </c>
      <c r="B284" s="35" t="s">
        <v>1102</v>
      </c>
      <c r="C284" s="35" t="s">
        <v>1958</v>
      </c>
      <c r="D284" s="35" t="s">
        <v>1101</v>
      </c>
      <c r="E284" s="35" t="s">
        <v>1103</v>
      </c>
      <c r="F284" s="40" t="n">
        <v>4.91243707414158</v>
      </c>
      <c r="G284" s="36" t="n">
        <v>4495.82213296761</v>
      </c>
      <c r="H284" s="36" t="n">
        <v>291.434873518453</v>
      </c>
      <c r="I284" s="7" t="s">
        <v>22</v>
      </c>
      <c r="J284" s="35" t="s">
        <v>283</v>
      </c>
      <c r="K284" s="35" t="s">
        <v>423</v>
      </c>
      <c r="L284" s="35" t="n">
        <v>43</v>
      </c>
      <c r="M284" s="35" t="s">
        <v>140</v>
      </c>
      <c r="N284" s="35" t="s">
        <v>1794</v>
      </c>
      <c r="O284" s="35" t="s">
        <v>141</v>
      </c>
      <c r="P284" s="35" t="s">
        <v>50</v>
      </c>
      <c r="Q284" s="35" t="n">
        <v>0</v>
      </c>
      <c r="R284" s="35"/>
      <c r="S284" s="35" t="s">
        <v>40</v>
      </c>
      <c r="T284" s="35" t="s">
        <v>41</v>
      </c>
      <c r="U284" s="35" t="s">
        <v>140</v>
      </c>
      <c r="V284" s="35"/>
      <c r="W284" s="35"/>
      <c r="X284" s="35" t="s">
        <v>1947</v>
      </c>
      <c r="Y284" s="35" t="n">
        <v>-7.189364</v>
      </c>
      <c r="Z284" s="35" t="n">
        <v>-48.222986</v>
      </c>
      <c r="AA284" s="49" t="s">
        <v>1603</v>
      </c>
      <c r="AB284" s="35" t="s">
        <v>1948</v>
      </c>
    </row>
    <row r="285" customFormat="false" ht="15" hidden="false" customHeight="false" outlineLevel="0" collapsed="false">
      <c r="A285" s="35" t="n">
        <v>284</v>
      </c>
      <c r="B285" s="35" t="s">
        <v>1104</v>
      </c>
      <c r="C285" s="35" t="s">
        <v>1959</v>
      </c>
      <c r="D285" s="35" t="s">
        <v>1093</v>
      </c>
      <c r="E285" s="35" t="s">
        <v>1105</v>
      </c>
      <c r="F285" s="40" t="n">
        <v>26.0649540475314</v>
      </c>
      <c r="G285" s="36" t="n">
        <v>4484.03614892823</v>
      </c>
      <c r="H285" s="36" t="n">
        <v>279.648889479067</v>
      </c>
      <c r="I285" s="7" t="s">
        <v>22</v>
      </c>
      <c r="J285" s="35" t="s">
        <v>283</v>
      </c>
      <c r="K285" s="35" t="s">
        <v>423</v>
      </c>
      <c r="L285" s="35" t="n">
        <v>43</v>
      </c>
      <c r="M285" s="35" t="s">
        <v>140</v>
      </c>
      <c r="N285" s="35" t="s">
        <v>1794</v>
      </c>
      <c r="O285" s="35" t="s">
        <v>141</v>
      </c>
      <c r="P285" s="35" t="s">
        <v>50</v>
      </c>
      <c r="Q285" s="35" t="n">
        <v>0</v>
      </c>
      <c r="R285" s="35"/>
      <c r="S285" s="35" t="s">
        <v>40</v>
      </c>
      <c r="T285" s="35" t="s">
        <v>41</v>
      </c>
      <c r="U285" s="35" t="s">
        <v>140</v>
      </c>
      <c r="V285" s="35"/>
      <c r="W285" s="35"/>
      <c r="X285" s="35" t="s">
        <v>1947</v>
      </c>
      <c r="Y285" s="35" t="n">
        <v>-7.1890885</v>
      </c>
      <c r="Z285" s="35" t="n">
        <v>-48.2231705</v>
      </c>
      <c r="AA285" s="49" t="s">
        <v>1603</v>
      </c>
      <c r="AB285" s="35" t="s">
        <v>1948</v>
      </c>
    </row>
    <row r="286" customFormat="false" ht="15" hidden="false" customHeight="false" outlineLevel="0" collapsed="false">
      <c r="A286" s="35" t="n">
        <v>285</v>
      </c>
      <c r="B286" s="35" t="s">
        <v>1106</v>
      </c>
      <c r="C286" s="35" t="s">
        <v>1960</v>
      </c>
      <c r="D286" s="35" t="s">
        <v>1105</v>
      </c>
      <c r="E286" s="35" t="s">
        <v>1107</v>
      </c>
      <c r="F286" s="40" t="n">
        <v>21.6979914208592</v>
      </c>
      <c r="G286" s="36" t="n">
        <v>4505.73414034909</v>
      </c>
      <c r="H286" s="36" t="n">
        <v>301.346880899927</v>
      </c>
      <c r="I286" s="7" t="s">
        <v>22</v>
      </c>
      <c r="J286" s="35" t="s">
        <v>283</v>
      </c>
      <c r="K286" s="35" t="s">
        <v>423</v>
      </c>
      <c r="L286" s="35" t="n">
        <v>43</v>
      </c>
      <c r="M286" s="35" t="s">
        <v>140</v>
      </c>
      <c r="N286" s="35" t="s">
        <v>1794</v>
      </c>
      <c r="O286" s="35" t="s">
        <v>141</v>
      </c>
      <c r="P286" s="35" t="s">
        <v>50</v>
      </c>
      <c r="Q286" s="35" t="n">
        <v>0</v>
      </c>
      <c r="R286" s="35"/>
      <c r="S286" s="35" t="s">
        <v>40</v>
      </c>
      <c r="T286" s="35" t="s">
        <v>41</v>
      </c>
      <c r="U286" s="35" t="s">
        <v>140</v>
      </c>
      <c r="V286" s="35"/>
      <c r="W286" s="35"/>
      <c r="X286" s="35" t="s">
        <v>1947</v>
      </c>
      <c r="Y286" s="35" t="n">
        <v>-7.189148</v>
      </c>
      <c r="Z286" s="35" t="n">
        <v>-48.2233785</v>
      </c>
      <c r="AA286" s="49" t="s">
        <v>1603</v>
      </c>
      <c r="AB286" s="35" t="s">
        <v>1948</v>
      </c>
    </row>
    <row r="287" customFormat="false" ht="15" hidden="false" customHeight="false" outlineLevel="0" collapsed="false">
      <c r="A287" s="35" t="n">
        <v>286</v>
      </c>
      <c r="B287" s="35" t="s">
        <v>1108</v>
      </c>
      <c r="C287" s="35" t="s">
        <v>1961</v>
      </c>
      <c r="D287" s="35" t="s">
        <v>1091</v>
      </c>
      <c r="E287" s="35" t="s">
        <v>1109</v>
      </c>
      <c r="F287" s="40" t="n">
        <v>7.84842893715936</v>
      </c>
      <c r="G287" s="36" t="n">
        <v>4381.80034851471</v>
      </c>
      <c r="H287" s="36" t="n">
        <v>177.413089065544</v>
      </c>
      <c r="I287" s="7" t="s">
        <v>22</v>
      </c>
      <c r="J287" s="35" t="s">
        <v>283</v>
      </c>
      <c r="K287" s="35" t="s">
        <v>423</v>
      </c>
      <c r="L287" s="35" t="n">
        <v>43</v>
      </c>
      <c r="M287" s="35" t="s">
        <v>140</v>
      </c>
      <c r="N287" s="35" t="s">
        <v>1794</v>
      </c>
      <c r="O287" s="35" t="s">
        <v>141</v>
      </c>
      <c r="P287" s="35" t="s">
        <v>50</v>
      </c>
      <c r="Q287" s="35" t="n">
        <v>0</v>
      </c>
      <c r="R287" s="35"/>
      <c r="S287" s="35" t="s">
        <v>40</v>
      </c>
      <c r="T287" s="35" t="s">
        <v>41</v>
      </c>
      <c r="U287" s="35" t="s">
        <v>140</v>
      </c>
      <c r="V287" s="35"/>
      <c r="W287" s="35"/>
      <c r="X287" s="35" t="s">
        <v>1947</v>
      </c>
      <c r="Y287" s="35" t="n">
        <v>-7.188876</v>
      </c>
      <c r="Z287" s="35" t="n">
        <v>-48.222311</v>
      </c>
      <c r="AA287" s="49" t="s">
        <v>1603</v>
      </c>
      <c r="AB287" s="35" t="s">
        <v>1948</v>
      </c>
    </row>
    <row r="288" customFormat="false" ht="15" hidden="false" customHeight="false" outlineLevel="0" collapsed="false">
      <c r="A288" s="35" t="n">
        <v>287</v>
      </c>
      <c r="B288" s="35" t="s">
        <v>1110</v>
      </c>
      <c r="C288" s="35" t="s">
        <v>1962</v>
      </c>
      <c r="D288" s="35" t="s">
        <v>1091</v>
      </c>
      <c r="E288" s="35" t="s">
        <v>1111</v>
      </c>
      <c r="F288" s="40" t="n">
        <v>35.4657403866756</v>
      </c>
      <c r="G288" s="36" t="n">
        <v>4409.41765996422</v>
      </c>
      <c r="H288" s="36" t="n">
        <v>205.030400515061</v>
      </c>
      <c r="I288" s="7" t="s">
        <v>22</v>
      </c>
      <c r="J288" s="35" t="s">
        <v>283</v>
      </c>
      <c r="K288" s="35" t="s">
        <v>423</v>
      </c>
      <c r="L288" s="35" t="n">
        <v>43</v>
      </c>
      <c r="M288" s="35" t="s">
        <v>140</v>
      </c>
      <c r="N288" s="35" t="s">
        <v>1794</v>
      </c>
      <c r="O288" s="35" t="s">
        <v>141</v>
      </c>
      <c r="P288" s="35" t="s">
        <v>50</v>
      </c>
      <c r="Q288" s="35" t="n">
        <v>0</v>
      </c>
      <c r="R288" s="35"/>
      <c r="S288" s="35" t="s">
        <v>40</v>
      </c>
      <c r="T288" s="35" t="s">
        <v>41</v>
      </c>
      <c r="U288" s="35" t="s">
        <v>140</v>
      </c>
      <c r="V288" s="35"/>
      <c r="W288" s="35"/>
      <c r="X288" s="35" t="s">
        <v>1947</v>
      </c>
      <c r="Y288" s="35" t="n">
        <v>-7.1888</v>
      </c>
      <c r="Z288" s="35" t="n">
        <v>-48.2221715</v>
      </c>
      <c r="AA288" s="49" t="s">
        <v>1603</v>
      </c>
      <c r="AB288" s="35" t="s">
        <v>1948</v>
      </c>
    </row>
    <row r="289" customFormat="false" ht="15" hidden="false" customHeight="false" outlineLevel="0" collapsed="false">
      <c r="A289" s="35" t="n">
        <v>288</v>
      </c>
      <c r="B289" s="35" t="s">
        <v>1112</v>
      </c>
      <c r="C289" s="35" t="s">
        <v>1963</v>
      </c>
      <c r="D289" s="35" t="s">
        <v>1083</v>
      </c>
      <c r="E289" s="35" t="s">
        <v>1113</v>
      </c>
      <c r="F289" s="40" t="n">
        <v>23.2621105182364</v>
      </c>
      <c r="G289" s="36" t="n">
        <v>4307.15660229178</v>
      </c>
      <c r="H289" s="36" t="n">
        <v>102.769342842622</v>
      </c>
      <c r="I289" s="7" t="s">
        <v>22</v>
      </c>
      <c r="J289" s="35" t="s">
        <v>283</v>
      </c>
      <c r="K289" s="35" t="s">
        <v>423</v>
      </c>
      <c r="L289" s="35" t="n">
        <v>43</v>
      </c>
      <c r="M289" s="35" t="s">
        <v>140</v>
      </c>
      <c r="N289" s="35" t="s">
        <v>1794</v>
      </c>
      <c r="O289" s="35" t="s">
        <v>141</v>
      </c>
      <c r="P289" s="35" t="s">
        <v>50</v>
      </c>
      <c r="Q289" s="35" t="n">
        <v>0</v>
      </c>
      <c r="R289" s="35"/>
      <c r="S289" s="35" t="s">
        <v>40</v>
      </c>
      <c r="T289" s="35" t="s">
        <v>41</v>
      </c>
      <c r="U289" s="35" t="s">
        <v>140</v>
      </c>
      <c r="V289" s="35"/>
      <c r="W289" s="35"/>
      <c r="X289" s="35" t="s">
        <v>1947</v>
      </c>
      <c r="Y289" s="35" t="n">
        <v>-7.188119</v>
      </c>
      <c r="Z289" s="35" t="n">
        <v>-48.222721</v>
      </c>
      <c r="AA289" s="49" t="s">
        <v>1603</v>
      </c>
      <c r="AB289" s="35" t="s">
        <v>1948</v>
      </c>
    </row>
    <row r="290" customFormat="false" ht="15" hidden="false" customHeight="false" outlineLevel="0" collapsed="false">
      <c r="A290" s="35" t="n">
        <v>289</v>
      </c>
      <c r="B290" s="35" t="s">
        <v>1114</v>
      </c>
      <c r="C290" s="35" t="s">
        <v>1964</v>
      </c>
      <c r="D290" s="35" t="s">
        <v>1083</v>
      </c>
      <c r="E290" s="35" t="s">
        <v>1115</v>
      </c>
      <c r="F290" s="40" t="n">
        <v>12.3615288171716</v>
      </c>
      <c r="G290" s="36" t="n">
        <v>4296.25602059072</v>
      </c>
      <c r="H290" s="36" t="n">
        <v>91.8687611415571</v>
      </c>
      <c r="I290" s="7" t="s">
        <v>22</v>
      </c>
      <c r="J290" s="35" t="s">
        <v>283</v>
      </c>
      <c r="K290" s="35" t="s">
        <v>423</v>
      </c>
      <c r="L290" s="35" t="n">
        <v>43</v>
      </c>
      <c r="M290" s="35" t="s">
        <v>140</v>
      </c>
      <c r="N290" s="35" t="s">
        <v>1794</v>
      </c>
      <c r="O290" s="35" t="s">
        <v>141</v>
      </c>
      <c r="P290" s="35" t="s">
        <v>142</v>
      </c>
      <c r="Q290" s="35" t="n">
        <v>1</v>
      </c>
      <c r="R290" s="35"/>
      <c r="S290" s="35" t="s">
        <v>40</v>
      </c>
      <c r="T290" s="35" t="s">
        <v>41</v>
      </c>
      <c r="U290" s="35" t="s">
        <v>140</v>
      </c>
      <c r="V290" s="35"/>
      <c r="W290" s="35"/>
      <c r="X290" s="35" t="s">
        <v>1947</v>
      </c>
      <c r="Y290" s="35" t="n">
        <v>-7.1880725</v>
      </c>
      <c r="Z290" s="35" t="n">
        <v>-48.2225665</v>
      </c>
      <c r="AA290" s="49" t="s">
        <v>1603</v>
      </c>
      <c r="AB290" s="35" t="s">
        <v>1948</v>
      </c>
    </row>
    <row r="291" customFormat="false" ht="15" hidden="false" customHeight="false" outlineLevel="0" collapsed="false">
      <c r="A291" s="35" t="n">
        <v>290</v>
      </c>
      <c r="B291" s="35" t="s">
        <v>1116</v>
      </c>
      <c r="C291" s="35" t="s">
        <v>1965</v>
      </c>
      <c r="D291" s="35" t="s">
        <v>1115</v>
      </c>
      <c r="E291" s="35" t="s">
        <v>1117</v>
      </c>
      <c r="F291" s="40" t="n">
        <v>33.6270810511528</v>
      </c>
      <c r="G291" s="36" t="n">
        <v>4329.88310164187</v>
      </c>
      <c r="H291" s="36" t="n">
        <v>125.49584219271</v>
      </c>
      <c r="I291" s="7" t="s">
        <v>22</v>
      </c>
      <c r="J291" s="35" t="s">
        <v>283</v>
      </c>
      <c r="K291" s="35" t="s">
        <v>423</v>
      </c>
      <c r="L291" s="35" t="n">
        <v>43</v>
      </c>
      <c r="M291" s="35" t="s">
        <v>140</v>
      </c>
      <c r="N291" s="35" t="s">
        <v>1794</v>
      </c>
      <c r="O291" s="35" t="s">
        <v>141</v>
      </c>
      <c r="P291" s="35" t="s">
        <v>50</v>
      </c>
      <c r="Q291" s="35" t="n">
        <v>0</v>
      </c>
      <c r="R291" s="35"/>
      <c r="S291" s="35" t="s">
        <v>40</v>
      </c>
      <c r="T291" s="35" t="s">
        <v>41</v>
      </c>
      <c r="U291" s="35" t="s">
        <v>140</v>
      </c>
      <c r="V291" s="35"/>
      <c r="W291" s="35"/>
      <c r="X291" s="35" t="s">
        <v>1947</v>
      </c>
      <c r="Y291" s="35" t="n">
        <v>-7.188011</v>
      </c>
      <c r="Z291" s="35" t="n">
        <v>-48.2223675</v>
      </c>
      <c r="AA291" s="49" t="s">
        <v>1603</v>
      </c>
      <c r="AB291" s="35" t="s">
        <v>1948</v>
      </c>
    </row>
    <row r="292" customFormat="false" ht="15" hidden="false" customHeight="false" outlineLevel="0" collapsed="false">
      <c r="A292" s="35" t="n">
        <v>291</v>
      </c>
      <c r="B292" s="35" t="s">
        <v>1118</v>
      </c>
      <c r="C292" s="35" t="s">
        <v>1966</v>
      </c>
      <c r="D292" s="35" t="s">
        <v>1117</v>
      </c>
      <c r="E292" s="35" t="s">
        <v>1119</v>
      </c>
      <c r="F292" s="40" t="n">
        <v>3.5284191754112</v>
      </c>
      <c r="G292" s="36" t="n">
        <v>4333.41152081728</v>
      </c>
      <c r="H292" s="36" t="n">
        <v>129.024261368121</v>
      </c>
      <c r="I292" s="7" t="s">
        <v>22</v>
      </c>
      <c r="J292" s="35" t="s">
        <v>283</v>
      </c>
      <c r="K292" s="35" t="s">
        <v>423</v>
      </c>
      <c r="L292" s="35" t="n">
        <v>43</v>
      </c>
      <c r="M292" s="35" t="s">
        <v>140</v>
      </c>
      <c r="N292" s="35" t="s">
        <v>1794</v>
      </c>
      <c r="O292" s="35" t="s">
        <v>141</v>
      </c>
      <c r="P292" s="35" t="s">
        <v>50</v>
      </c>
      <c r="Q292" s="35" t="n">
        <v>0</v>
      </c>
      <c r="R292" s="35"/>
      <c r="S292" s="35" t="s">
        <v>40</v>
      </c>
      <c r="T292" s="35" t="s">
        <v>41</v>
      </c>
      <c r="U292" s="35" t="s">
        <v>140</v>
      </c>
      <c r="V292" s="35"/>
      <c r="W292" s="35"/>
      <c r="X292" s="35" t="s">
        <v>1947</v>
      </c>
      <c r="Y292" s="35" t="n">
        <v>-7.1879605</v>
      </c>
      <c r="Z292" s="35" t="n">
        <v>-48.222207</v>
      </c>
      <c r="AA292" s="49" t="s">
        <v>1603</v>
      </c>
      <c r="AB292" s="35" t="s">
        <v>1948</v>
      </c>
    </row>
    <row r="293" customFormat="false" ht="15" hidden="false" customHeight="false" outlineLevel="0" collapsed="false">
      <c r="A293" s="35" t="n">
        <v>292</v>
      </c>
      <c r="B293" s="35" t="s">
        <v>1120</v>
      </c>
      <c r="C293" s="35" t="s">
        <v>1967</v>
      </c>
      <c r="D293" s="35" t="s">
        <v>1119</v>
      </c>
      <c r="E293" s="35" t="s">
        <v>1121</v>
      </c>
      <c r="F293" s="40" t="n">
        <v>114.442159759499</v>
      </c>
      <c r="G293" s="36" t="n">
        <v>4447.85368057678</v>
      </c>
      <c r="H293" s="36" t="n">
        <v>243.46642112762</v>
      </c>
      <c r="I293" s="7" t="s">
        <v>22</v>
      </c>
      <c r="J293" s="35" t="s">
        <v>283</v>
      </c>
      <c r="K293" s="35" t="s">
        <v>423</v>
      </c>
      <c r="L293" s="35" t="n">
        <v>43</v>
      </c>
      <c r="M293" s="35" t="s">
        <v>140</v>
      </c>
      <c r="N293" s="35" t="s">
        <v>1794</v>
      </c>
      <c r="O293" s="35" t="s">
        <v>141</v>
      </c>
      <c r="P293" s="35" t="s">
        <v>50</v>
      </c>
      <c r="Q293" s="35" t="n">
        <v>0</v>
      </c>
      <c r="R293" s="35"/>
      <c r="S293" s="35" t="s">
        <v>40</v>
      </c>
      <c r="T293" s="35" t="s">
        <v>41</v>
      </c>
      <c r="U293" s="35" t="s">
        <v>140</v>
      </c>
      <c r="V293" s="35"/>
      <c r="W293" s="35"/>
      <c r="X293" s="35" t="s">
        <v>1947</v>
      </c>
      <c r="Y293" s="35" t="n">
        <v>-7.1878045</v>
      </c>
      <c r="Z293" s="35" t="n">
        <v>-48.221696</v>
      </c>
      <c r="AA293" s="49" t="s">
        <v>1603</v>
      </c>
      <c r="AB293" s="35" t="s">
        <v>1948</v>
      </c>
    </row>
    <row r="294" customFormat="false" ht="15" hidden="false" customHeight="false" outlineLevel="0" collapsed="false">
      <c r="A294" s="35" t="n">
        <v>293</v>
      </c>
      <c r="B294" s="35" t="s">
        <v>1122</v>
      </c>
      <c r="C294" s="35" t="s">
        <v>1968</v>
      </c>
      <c r="D294" s="35" t="s">
        <v>1121</v>
      </c>
      <c r="E294" s="35" t="s">
        <v>1123</v>
      </c>
      <c r="F294" s="40" t="n">
        <v>34.3211387071624</v>
      </c>
      <c r="G294" s="36" t="n">
        <v>4482.17481928394</v>
      </c>
      <c r="H294" s="36" t="n">
        <v>277.787559834782</v>
      </c>
      <c r="I294" s="7" t="s">
        <v>22</v>
      </c>
      <c r="J294" s="35" t="s">
        <v>283</v>
      </c>
      <c r="K294" s="35" t="s">
        <v>423</v>
      </c>
      <c r="L294" s="35" t="n">
        <v>43</v>
      </c>
      <c r="M294" s="35" t="s">
        <v>140</v>
      </c>
      <c r="N294" s="35" t="s">
        <v>1794</v>
      </c>
      <c r="O294" s="35" t="s">
        <v>141</v>
      </c>
      <c r="P294" s="35" t="s">
        <v>50</v>
      </c>
      <c r="Q294" s="35" t="n">
        <v>0</v>
      </c>
      <c r="R294" s="35"/>
      <c r="S294" s="35" t="s">
        <v>40</v>
      </c>
      <c r="T294" s="35" t="s">
        <v>41</v>
      </c>
      <c r="U294" s="35" t="s">
        <v>140</v>
      </c>
      <c r="V294" s="35"/>
      <c r="W294" s="35"/>
      <c r="X294" s="35" t="s">
        <v>1947</v>
      </c>
      <c r="Y294" s="35" t="n">
        <v>-7.1876065</v>
      </c>
      <c r="Z294" s="35" t="n">
        <v>-48.221052</v>
      </c>
      <c r="AA294" s="49" t="s">
        <v>1603</v>
      </c>
      <c r="AB294" s="35" t="s">
        <v>1948</v>
      </c>
    </row>
    <row r="295" customFormat="false" ht="15" hidden="false" customHeight="false" outlineLevel="0" collapsed="false">
      <c r="A295" s="35" t="n">
        <v>294</v>
      </c>
      <c r="B295" s="35" t="s">
        <v>1124</v>
      </c>
      <c r="C295" s="35" t="s">
        <v>1969</v>
      </c>
      <c r="D295" s="35" t="s">
        <v>1115</v>
      </c>
      <c r="E295" s="35" t="s">
        <v>1125</v>
      </c>
      <c r="F295" s="40" t="n">
        <v>1.24288560700108</v>
      </c>
      <c r="G295" s="36" t="n">
        <v>4297.49890619772</v>
      </c>
      <c r="H295" s="36" t="n">
        <v>93.1116467485581</v>
      </c>
      <c r="I295" s="7" t="s">
        <v>22</v>
      </c>
      <c r="J295" s="35" t="s">
        <v>283</v>
      </c>
      <c r="K295" s="35" t="s">
        <v>423</v>
      </c>
      <c r="L295" s="35" t="n">
        <v>43</v>
      </c>
      <c r="M295" s="35" t="s">
        <v>140</v>
      </c>
      <c r="N295" s="35" t="s">
        <v>1794</v>
      </c>
      <c r="O295" s="35" t="s">
        <v>141</v>
      </c>
      <c r="P295" s="35" t="s">
        <v>142</v>
      </c>
      <c r="Q295" s="35" t="n">
        <v>1</v>
      </c>
      <c r="R295" s="35"/>
      <c r="S295" s="35" t="s">
        <v>40</v>
      </c>
      <c r="T295" s="35" t="s">
        <v>41</v>
      </c>
      <c r="U295" s="35" t="s">
        <v>140</v>
      </c>
      <c r="V295" s="35"/>
      <c r="W295" s="35"/>
      <c r="X295" s="35" t="s">
        <v>1947</v>
      </c>
      <c r="Y295" s="35" t="n">
        <v>-7.1880505</v>
      </c>
      <c r="Z295" s="35" t="n">
        <v>-48.222514</v>
      </c>
      <c r="AA295" s="49" t="s">
        <v>1603</v>
      </c>
      <c r="AB295" s="35" t="s">
        <v>1948</v>
      </c>
    </row>
    <row r="296" customFormat="false" ht="15" hidden="false" customHeight="false" outlineLevel="0" collapsed="false">
      <c r="A296" s="35" t="n">
        <v>295</v>
      </c>
      <c r="B296" s="35" t="s">
        <v>1126</v>
      </c>
      <c r="C296" s="35" t="s">
        <v>1970</v>
      </c>
      <c r="D296" s="35" t="s">
        <v>1125</v>
      </c>
      <c r="E296" s="35" t="s">
        <v>1127</v>
      </c>
      <c r="F296" s="40" t="n">
        <v>11.2419540888715</v>
      </c>
      <c r="G296" s="36" t="n">
        <v>4308.74086028659</v>
      </c>
      <c r="H296" s="36" t="n">
        <v>11.2419540888714</v>
      </c>
      <c r="I296" s="8" t="s">
        <v>23</v>
      </c>
      <c r="J296" s="35" t="s">
        <v>283</v>
      </c>
      <c r="K296" s="35" t="s">
        <v>423</v>
      </c>
      <c r="L296" s="35" t="n">
        <v>44</v>
      </c>
      <c r="M296" s="35" t="s">
        <v>142</v>
      </c>
      <c r="N296" s="35" t="s">
        <v>1794</v>
      </c>
      <c r="O296" s="35" t="s">
        <v>143</v>
      </c>
      <c r="P296" s="35" t="s">
        <v>50</v>
      </c>
      <c r="Q296" s="35" t="n">
        <v>0</v>
      </c>
      <c r="R296" s="35"/>
      <c r="S296" s="35" t="s">
        <v>40</v>
      </c>
      <c r="T296" s="35" t="s">
        <v>41</v>
      </c>
      <c r="U296" s="35" t="s">
        <v>140</v>
      </c>
      <c r="V296" s="35" t="s">
        <v>142</v>
      </c>
      <c r="W296" s="35"/>
      <c r="X296" s="35" t="s">
        <v>1971</v>
      </c>
      <c r="Y296" s="35" t="n">
        <v>-7.187995</v>
      </c>
      <c r="Z296" s="35" t="n">
        <v>-48.2225225</v>
      </c>
      <c r="AA296" s="49" t="s">
        <v>1603</v>
      </c>
      <c r="AB296" s="35" t="s">
        <v>1972</v>
      </c>
    </row>
    <row r="297" customFormat="false" ht="15" hidden="false" customHeight="false" outlineLevel="0" collapsed="false">
      <c r="A297" s="35" t="n">
        <v>296</v>
      </c>
      <c r="B297" s="35" t="s">
        <v>1128</v>
      </c>
      <c r="C297" s="35" t="s">
        <v>1973</v>
      </c>
      <c r="D297" s="35" t="s">
        <v>1063</v>
      </c>
      <c r="E297" s="35" t="s">
        <v>1129</v>
      </c>
      <c r="F297" s="40" t="n">
        <v>69.6059811488096</v>
      </c>
      <c r="G297" s="36" t="n">
        <v>4239.84743886133</v>
      </c>
      <c r="H297" s="36" t="n">
        <v>69.6059811488094</v>
      </c>
      <c r="I297" s="7" t="s">
        <v>22</v>
      </c>
      <c r="J297" s="35" t="s">
        <v>283</v>
      </c>
      <c r="K297" s="35" t="s">
        <v>423</v>
      </c>
      <c r="L297" s="35" t="n">
        <v>45</v>
      </c>
      <c r="M297" s="35" t="s">
        <v>144</v>
      </c>
      <c r="N297" s="35" t="s">
        <v>1794</v>
      </c>
      <c r="O297" s="35" t="s">
        <v>145</v>
      </c>
      <c r="P297" s="35" t="s">
        <v>50</v>
      </c>
      <c r="Q297" s="35" t="n">
        <v>0</v>
      </c>
      <c r="R297" s="35"/>
      <c r="S297" s="35" t="s">
        <v>40</v>
      </c>
      <c r="T297" s="35" t="s">
        <v>41</v>
      </c>
      <c r="U297" s="35" t="s">
        <v>144</v>
      </c>
      <c r="V297" s="35"/>
      <c r="W297" s="35"/>
      <c r="X297" s="35" t="s">
        <v>1974</v>
      </c>
      <c r="Y297" s="35" t="n">
        <v>-7.1872845</v>
      </c>
      <c r="Z297" s="35" t="n">
        <v>-48.223355</v>
      </c>
      <c r="AA297" s="49" t="s">
        <v>1603</v>
      </c>
      <c r="AB297" s="35" t="s">
        <v>1975</v>
      </c>
    </row>
    <row r="298" customFormat="false" ht="15" hidden="false" customHeight="false" outlineLevel="0" collapsed="false">
      <c r="A298" s="35" t="n">
        <v>297</v>
      </c>
      <c r="B298" s="35" t="s">
        <v>1130</v>
      </c>
      <c r="C298" s="35" t="s">
        <v>1976</v>
      </c>
      <c r="D298" s="35" t="s">
        <v>1129</v>
      </c>
      <c r="E298" s="35" t="s">
        <v>1131</v>
      </c>
      <c r="F298" s="40" t="n">
        <v>132.955699166196</v>
      </c>
      <c r="G298" s="36" t="n">
        <v>4372.80313802752</v>
      </c>
      <c r="H298" s="36" t="n">
        <v>202.561680315005</v>
      </c>
      <c r="I298" s="7" t="s">
        <v>22</v>
      </c>
      <c r="J298" s="35" t="s">
        <v>283</v>
      </c>
      <c r="K298" s="35" t="s">
        <v>423</v>
      </c>
      <c r="L298" s="35" t="n">
        <v>45</v>
      </c>
      <c r="M298" s="35" t="s">
        <v>144</v>
      </c>
      <c r="N298" s="35" t="s">
        <v>1794</v>
      </c>
      <c r="O298" s="35" t="s">
        <v>145</v>
      </c>
      <c r="P298" s="35" t="s">
        <v>50</v>
      </c>
      <c r="Q298" s="35" t="n">
        <v>0</v>
      </c>
      <c r="R298" s="35"/>
      <c r="S298" s="35" t="s">
        <v>40</v>
      </c>
      <c r="T298" s="35" t="s">
        <v>41</v>
      </c>
      <c r="U298" s="35" t="s">
        <v>144</v>
      </c>
      <c r="V298" s="35"/>
      <c r="W298" s="35"/>
      <c r="X298" s="35" t="s">
        <v>1974</v>
      </c>
      <c r="Y298" s="35" t="n">
        <v>-7.1872595</v>
      </c>
      <c r="Z298" s="35" t="n">
        <v>-48.2242635</v>
      </c>
      <c r="AA298" s="49" t="s">
        <v>1603</v>
      </c>
      <c r="AB298" s="35" t="s">
        <v>1975</v>
      </c>
    </row>
    <row r="299" customFormat="false" ht="15" hidden="false" customHeight="false" outlineLevel="0" collapsed="false">
      <c r="A299" s="35" t="n">
        <v>298</v>
      </c>
      <c r="B299" s="35" t="s">
        <v>1132</v>
      </c>
      <c r="C299" s="35" t="s">
        <v>1977</v>
      </c>
      <c r="D299" s="35" t="s">
        <v>1131</v>
      </c>
      <c r="E299" s="35" t="s">
        <v>1133</v>
      </c>
      <c r="F299" s="40" t="n">
        <v>32.1416065225393</v>
      </c>
      <c r="G299" s="36" t="n">
        <v>4404.94474455006</v>
      </c>
      <c r="H299" s="36" t="n">
        <v>234.703286837545</v>
      </c>
      <c r="I299" s="7" t="s">
        <v>22</v>
      </c>
      <c r="J299" s="35" t="s">
        <v>283</v>
      </c>
      <c r="K299" s="35" t="s">
        <v>423</v>
      </c>
      <c r="L299" s="35" t="n">
        <v>45</v>
      </c>
      <c r="M299" s="35" t="s">
        <v>144</v>
      </c>
      <c r="N299" s="35" t="s">
        <v>1794</v>
      </c>
      <c r="O299" s="35" t="s">
        <v>145</v>
      </c>
      <c r="P299" s="35" t="s">
        <v>50</v>
      </c>
      <c r="Q299" s="35" t="n">
        <v>0</v>
      </c>
      <c r="R299" s="35"/>
      <c r="S299" s="35" t="s">
        <v>40</v>
      </c>
      <c r="T299" s="35" t="s">
        <v>41</v>
      </c>
      <c r="U299" s="35" t="s">
        <v>144</v>
      </c>
      <c r="V299" s="35"/>
      <c r="W299" s="35"/>
      <c r="X299" s="35" t="s">
        <v>1974</v>
      </c>
      <c r="Y299" s="35" t="n">
        <v>-7.187152</v>
      </c>
      <c r="Z299" s="35" t="n">
        <v>-48.2250035</v>
      </c>
      <c r="AA299" s="49" t="s">
        <v>1603</v>
      </c>
      <c r="AB299" s="35" t="s">
        <v>1975</v>
      </c>
    </row>
    <row r="300" customFormat="false" ht="15" hidden="false" customHeight="false" outlineLevel="0" collapsed="false">
      <c r="A300" s="35" t="n">
        <v>299</v>
      </c>
      <c r="B300" s="35" t="s">
        <v>1134</v>
      </c>
      <c r="C300" s="35" t="s">
        <v>1978</v>
      </c>
      <c r="D300" s="35" t="s">
        <v>1065</v>
      </c>
      <c r="E300" s="35" t="s">
        <v>1135</v>
      </c>
      <c r="F300" s="40" t="n">
        <v>7.11835112665166</v>
      </c>
      <c r="G300" s="36" t="n">
        <v>4014.10962534096</v>
      </c>
      <c r="H300" s="36" t="n">
        <v>7.11835112665176</v>
      </c>
      <c r="I300" s="7" t="s">
        <v>22</v>
      </c>
      <c r="J300" s="35" t="s">
        <v>283</v>
      </c>
      <c r="K300" s="35" t="s">
        <v>423</v>
      </c>
      <c r="L300" s="35" t="n">
        <v>46</v>
      </c>
      <c r="M300" s="35" t="s">
        <v>146</v>
      </c>
      <c r="N300" s="35" t="s">
        <v>1788</v>
      </c>
      <c r="O300" s="35" t="s">
        <v>147</v>
      </c>
      <c r="P300" s="35" t="s">
        <v>50</v>
      </c>
      <c r="Q300" s="35" t="n">
        <v>0</v>
      </c>
      <c r="R300" s="35"/>
      <c r="S300" s="35" t="s">
        <v>40</v>
      </c>
      <c r="T300" s="35" t="s">
        <v>41</v>
      </c>
      <c r="U300" s="35" t="s">
        <v>146</v>
      </c>
      <c r="V300" s="35"/>
      <c r="W300" s="35"/>
      <c r="X300" s="35" t="s">
        <v>1979</v>
      </c>
      <c r="Y300" s="35" t="n">
        <v>-7.18607</v>
      </c>
      <c r="Z300" s="35" t="n">
        <v>-48.2222025</v>
      </c>
      <c r="AA300" s="49" t="s">
        <v>1603</v>
      </c>
      <c r="AB300" s="35" t="s">
        <v>1980</v>
      </c>
    </row>
    <row r="301" customFormat="false" ht="15" hidden="false" customHeight="false" outlineLevel="0" collapsed="false">
      <c r="A301" s="35" t="n">
        <v>300</v>
      </c>
      <c r="B301" s="35" t="s">
        <v>1136</v>
      </c>
      <c r="C301" s="35" t="s">
        <v>1981</v>
      </c>
      <c r="D301" s="35" t="s">
        <v>1135</v>
      </c>
      <c r="E301" s="35" t="s">
        <v>1137</v>
      </c>
      <c r="F301" s="40" t="n">
        <v>4.0725617201965</v>
      </c>
      <c r="G301" s="36" t="n">
        <v>4018.18218706116</v>
      </c>
      <c r="H301" s="36" t="n">
        <v>11.1909128468483</v>
      </c>
      <c r="I301" s="7" t="s">
        <v>22</v>
      </c>
      <c r="J301" s="35" t="s">
        <v>283</v>
      </c>
      <c r="K301" s="35" t="s">
        <v>423</v>
      </c>
      <c r="L301" s="35" t="n">
        <v>46</v>
      </c>
      <c r="M301" s="35" t="s">
        <v>146</v>
      </c>
      <c r="N301" s="35" t="s">
        <v>1788</v>
      </c>
      <c r="O301" s="35" t="s">
        <v>147</v>
      </c>
      <c r="P301" s="35" t="s">
        <v>50</v>
      </c>
      <c r="Q301" s="35" t="n">
        <v>0</v>
      </c>
      <c r="R301" s="35"/>
      <c r="S301" s="35" t="s">
        <v>40</v>
      </c>
      <c r="T301" s="35" t="s">
        <v>41</v>
      </c>
      <c r="U301" s="35" t="s">
        <v>146</v>
      </c>
      <c r="V301" s="35"/>
      <c r="W301" s="35"/>
      <c r="X301" s="35" t="s">
        <v>1979</v>
      </c>
      <c r="Y301" s="35" t="n">
        <v>-7.186072</v>
      </c>
      <c r="Z301" s="35" t="n">
        <v>-48.222161</v>
      </c>
      <c r="AA301" s="49" t="s">
        <v>1603</v>
      </c>
      <c r="AB301" s="35" t="s">
        <v>1980</v>
      </c>
    </row>
    <row r="302" customFormat="false" ht="15" hidden="false" customHeight="false" outlineLevel="0" collapsed="false">
      <c r="A302" s="35" t="n">
        <v>301</v>
      </c>
      <c r="B302" s="35" t="s">
        <v>1138</v>
      </c>
      <c r="C302" s="35" t="s">
        <v>1982</v>
      </c>
      <c r="D302" s="35" t="s">
        <v>1069</v>
      </c>
      <c r="E302" s="35" t="s">
        <v>1139</v>
      </c>
      <c r="F302" s="40" t="n">
        <v>136.447475285789</v>
      </c>
      <c r="G302" s="36" t="n">
        <v>3989.77685098377</v>
      </c>
      <c r="H302" s="36" t="n">
        <v>136.447475285789</v>
      </c>
      <c r="I302" s="7" t="s">
        <v>22</v>
      </c>
      <c r="J302" s="35" t="s">
        <v>283</v>
      </c>
      <c r="K302" s="35" t="s">
        <v>423</v>
      </c>
      <c r="L302" s="35" t="n">
        <v>47</v>
      </c>
      <c r="M302" s="35" t="s">
        <v>148</v>
      </c>
      <c r="N302" s="35" t="s">
        <v>1794</v>
      </c>
      <c r="O302" s="35" t="s">
        <v>149</v>
      </c>
      <c r="P302" s="35" t="s">
        <v>1983</v>
      </c>
      <c r="Q302" s="35" t="n">
        <v>2</v>
      </c>
      <c r="R302" s="35"/>
      <c r="S302" s="35" t="s">
        <v>40</v>
      </c>
      <c r="T302" s="35" t="s">
        <v>41</v>
      </c>
      <c r="U302" s="35" t="s">
        <v>148</v>
      </c>
      <c r="V302" s="35"/>
      <c r="W302" s="35"/>
      <c r="X302" s="35" t="s">
        <v>1984</v>
      </c>
      <c r="Y302" s="35" t="n">
        <v>-7.1843225</v>
      </c>
      <c r="Z302" s="35" t="n">
        <v>-48.221596</v>
      </c>
      <c r="AA302" s="49" t="s">
        <v>1603</v>
      </c>
      <c r="AB302" s="35" t="s">
        <v>1985</v>
      </c>
    </row>
    <row r="303" customFormat="false" ht="15" hidden="false" customHeight="false" outlineLevel="0" collapsed="false">
      <c r="A303" s="35" t="n">
        <v>302</v>
      </c>
      <c r="B303" s="35" t="s">
        <v>1140</v>
      </c>
      <c r="C303" s="35" t="s">
        <v>1986</v>
      </c>
      <c r="D303" s="35" t="s">
        <v>1139</v>
      </c>
      <c r="E303" s="35" t="s">
        <v>1141</v>
      </c>
      <c r="F303" s="40" t="n">
        <v>79.8669548692027</v>
      </c>
      <c r="G303" s="36" t="n">
        <v>4069.64380585297</v>
      </c>
      <c r="H303" s="36" t="n">
        <v>216.314430154992</v>
      </c>
      <c r="I303" s="7" t="s">
        <v>22</v>
      </c>
      <c r="J303" s="35" t="s">
        <v>283</v>
      </c>
      <c r="K303" s="35" t="s">
        <v>423</v>
      </c>
      <c r="L303" s="35" t="n">
        <v>47</v>
      </c>
      <c r="M303" s="35" t="s">
        <v>148</v>
      </c>
      <c r="N303" s="35" t="s">
        <v>1794</v>
      </c>
      <c r="O303" s="35" t="s">
        <v>149</v>
      </c>
      <c r="P303" s="35" t="s">
        <v>150</v>
      </c>
      <c r="Q303" s="35" t="n">
        <v>1</v>
      </c>
      <c r="R303" s="35"/>
      <c r="S303" s="35" t="s">
        <v>40</v>
      </c>
      <c r="T303" s="35" t="s">
        <v>41</v>
      </c>
      <c r="U303" s="35" t="s">
        <v>148</v>
      </c>
      <c r="V303" s="35"/>
      <c r="W303" s="35"/>
      <c r="X303" s="35" t="s">
        <v>1984</v>
      </c>
      <c r="Y303" s="35" t="n">
        <v>-7.1835615</v>
      </c>
      <c r="Z303" s="35" t="n">
        <v>-48.221573</v>
      </c>
      <c r="AA303" s="49" t="s">
        <v>1603</v>
      </c>
      <c r="AB303" s="35" t="s">
        <v>1985</v>
      </c>
    </row>
    <row r="304" customFormat="false" ht="15" hidden="false" customHeight="false" outlineLevel="0" collapsed="false">
      <c r="A304" s="35" t="n">
        <v>303</v>
      </c>
      <c r="B304" s="35" t="s">
        <v>1142</v>
      </c>
      <c r="C304" s="35" t="s">
        <v>1987</v>
      </c>
      <c r="D304" s="35" t="s">
        <v>1141</v>
      </c>
      <c r="E304" s="35" t="s">
        <v>1143</v>
      </c>
      <c r="F304" s="40" t="n">
        <v>36.891956297848</v>
      </c>
      <c r="G304" s="36" t="n">
        <v>4106.53576215082</v>
      </c>
      <c r="H304" s="36" t="n">
        <v>253.20638645284</v>
      </c>
      <c r="I304" s="7" t="s">
        <v>22</v>
      </c>
      <c r="J304" s="35" t="s">
        <v>283</v>
      </c>
      <c r="K304" s="35" t="s">
        <v>423</v>
      </c>
      <c r="L304" s="35" t="n">
        <v>47</v>
      </c>
      <c r="M304" s="35" t="s">
        <v>148</v>
      </c>
      <c r="N304" s="35" t="s">
        <v>1794</v>
      </c>
      <c r="O304" s="35" t="s">
        <v>149</v>
      </c>
      <c r="P304" s="35" t="s">
        <v>150</v>
      </c>
      <c r="Q304" s="35" t="n">
        <v>1</v>
      </c>
      <c r="R304" s="35"/>
      <c r="S304" s="35" t="s">
        <v>40</v>
      </c>
      <c r="T304" s="35" t="s">
        <v>41</v>
      </c>
      <c r="U304" s="35" t="s">
        <v>148</v>
      </c>
      <c r="V304" s="35"/>
      <c r="W304" s="35"/>
      <c r="X304" s="35" t="s">
        <v>1984</v>
      </c>
      <c r="Y304" s="35" t="n">
        <v>-7.1832555</v>
      </c>
      <c r="Z304" s="35" t="n">
        <v>-48.221143</v>
      </c>
      <c r="AA304" s="49" t="s">
        <v>1603</v>
      </c>
      <c r="AB304" s="35" t="s">
        <v>1985</v>
      </c>
    </row>
    <row r="305" customFormat="false" ht="15" hidden="false" customHeight="false" outlineLevel="0" collapsed="false">
      <c r="A305" s="35" t="n">
        <v>304</v>
      </c>
      <c r="B305" s="35" t="s">
        <v>1144</v>
      </c>
      <c r="C305" s="35" t="s">
        <v>1988</v>
      </c>
      <c r="D305" s="35" t="s">
        <v>1143</v>
      </c>
      <c r="E305" s="35" t="s">
        <v>1145</v>
      </c>
      <c r="F305" s="40" t="n">
        <v>3.83396923815684</v>
      </c>
      <c r="G305" s="36" t="n">
        <v>4110.36973138898</v>
      </c>
      <c r="H305" s="36" t="n">
        <v>257.040355690996</v>
      </c>
      <c r="I305" s="7" t="s">
        <v>22</v>
      </c>
      <c r="J305" s="35" t="s">
        <v>283</v>
      </c>
      <c r="K305" s="35" t="s">
        <v>423</v>
      </c>
      <c r="L305" s="35" t="n">
        <v>47</v>
      </c>
      <c r="M305" s="35" t="s">
        <v>148</v>
      </c>
      <c r="N305" s="35" t="s">
        <v>1794</v>
      </c>
      <c r="O305" s="35" t="s">
        <v>149</v>
      </c>
      <c r="P305" s="35" t="s">
        <v>150</v>
      </c>
      <c r="Q305" s="35" t="n">
        <v>1</v>
      </c>
      <c r="R305" s="35"/>
      <c r="S305" s="35" t="s">
        <v>40</v>
      </c>
      <c r="T305" s="35" t="s">
        <v>41</v>
      </c>
      <c r="U305" s="35" t="s">
        <v>148</v>
      </c>
      <c r="V305" s="35"/>
      <c r="W305" s="35"/>
      <c r="X305" s="35" t="s">
        <v>1984</v>
      </c>
      <c r="Y305" s="35" t="n">
        <v>-7.1831495</v>
      </c>
      <c r="Z305" s="35" t="n">
        <v>-48.2209925</v>
      </c>
      <c r="AA305" s="49" t="s">
        <v>1603</v>
      </c>
      <c r="AB305" s="35" t="s">
        <v>1985</v>
      </c>
    </row>
    <row r="306" customFormat="false" ht="15" hidden="false" customHeight="false" outlineLevel="0" collapsed="false">
      <c r="A306" s="35" t="n">
        <v>305</v>
      </c>
      <c r="B306" s="35" t="s">
        <v>1146</v>
      </c>
      <c r="C306" s="35" t="s">
        <v>1989</v>
      </c>
      <c r="D306" s="35" t="s">
        <v>1145</v>
      </c>
      <c r="E306" s="35" t="s">
        <v>1147</v>
      </c>
      <c r="F306" s="40" t="n">
        <v>15.975585897008</v>
      </c>
      <c r="G306" s="36" t="n">
        <v>4126.34531728598</v>
      </c>
      <c r="H306" s="36" t="n">
        <v>273.015941588005</v>
      </c>
      <c r="I306" s="7" t="s">
        <v>22</v>
      </c>
      <c r="J306" s="35" t="s">
        <v>283</v>
      </c>
      <c r="K306" s="35" t="s">
        <v>423</v>
      </c>
      <c r="L306" s="35" t="n">
        <v>47</v>
      </c>
      <c r="M306" s="35" t="s">
        <v>148</v>
      </c>
      <c r="N306" s="35" t="s">
        <v>1794</v>
      </c>
      <c r="O306" s="35" t="s">
        <v>149</v>
      </c>
      <c r="P306" s="35" t="s">
        <v>150</v>
      </c>
      <c r="Q306" s="35" t="n">
        <v>1</v>
      </c>
      <c r="R306" s="35"/>
      <c r="S306" s="35" t="s">
        <v>40</v>
      </c>
      <c r="T306" s="35" t="s">
        <v>41</v>
      </c>
      <c r="U306" s="35" t="s">
        <v>148</v>
      </c>
      <c r="V306" s="35"/>
      <c r="W306" s="35"/>
      <c r="X306" s="35" t="s">
        <v>1984</v>
      </c>
      <c r="Y306" s="35" t="n">
        <v>-7.183097</v>
      </c>
      <c r="Z306" s="35" t="n">
        <v>-48.22092</v>
      </c>
      <c r="AA306" s="49" t="s">
        <v>1603</v>
      </c>
      <c r="AB306" s="35" t="s">
        <v>1985</v>
      </c>
    </row>
    <row r="307" customFormat="false" ht="15" hidden="false" customHeight="false" outlineLevel="0" collapsed="false">
      <c r="A307" s="35" t="n">
        <v>306</v>
      </c>
      <c r="B307" s="35" t="s">
        <v>1148</v>
      </c>
      <c r="C307" s="35" t="s">
        <v>1990</v>
      </c>
      <c r="D307" s="35" t="s">
        <v>1147</v>
      </c>
      <c r="E307" s="35" t="s">
        <v>1149</v>
      </c>
      <c r="F307" s="40" t="n">
        <v>19.300981200795</v>
      </c>
      <c r="G307" s="36" t="n">
        <v>4145.64629848678</v>
      </c>
      <c r="H307" s="36" t="n">
        <v>292.3169227888</v>
      </c>
      <c r="I307" s="7" t="s">
        <v>22</v>
      </c>
      <c r="J307" s="35" t="s">
        <v>283</v>
      </c>
      <c r="K307" s="35" t="s">
        <v>423</v>
      </c>
      <c r="L307" s="35" t="n">
        <v>47</v>
      </c>
      <c r="M307" s="35" t="s">
        <v>148</v>
      </c>
      <c r="N307" s="35" t="s">
        <v>1794</v>
      </c>
      <c r="O307" s="35" t="s">
        <v>149</v>
      </c>
      <c r="P307" s="35" t="s">
        <v>50</v>
      </c>
      <c r="Q307" s="35" t="n">
        <v>0</v>
      </c>
      <c r="R307" s="35"/>
      <c r="S307" s="35" t="s">
        <v>40</v>
      </c>
      <c r="T307" s="35" t="s">
        <v>41</v>
      </c>
      <c r="U307" s="35" t="s">
        <v>148</v>
      </c>
      <c r="V307" s="35"/>
      <c r="W307" s="35"/>
      <c r="X307" s="35" t="s">
        <v>1984</v>
      </c>
      <c r="Y307" s="35" t="n">
        <v>-7.183004</v>
      </c>
      <c r="Z307" s="35" t="n">
        <v>-48.2207905</v>
      </c>
      <c r="AA307" s="49" t="s">
        <v>1603</v>
      </c>
      <c r="AB307" s="35" t="s">
        <v>1985</v>
      </c>
    </row>
    <row r="308" customFormat="false" ht="15" hidden="false" customHeight="false" outlineLevel="0" collapsed="false">
      <c r="A308" s="35" t="n">
        <v>307</v>
      </c>
      <c r="B308" s="35" t="s">
        <v>1150</v>
      </c>
      <c r="C308" s="35" t="s">
        <v>1991</v>
      </c>
      <c r="D308" s="35" t="s">
        <v>1147</v>
      </c>
      <c r="E308" s="35" t="s">
        <v>1151</v>
      </c>
      <c r="F308" s="40" t="n">
        <v>1.10881549789517</v>
      </c>
      <c r="G308" s="36" t="n">
        <v>4127.45413278388</v>
      </c>
      <c r="H308" s="36" t="n">
        <v>274.1247570859</v>
      </c>
      <c r="I308" s="7" t="s">
        <v>22</v>
      </c>
      <c r="J308" s="35" t="s">
        <v>283</v>
      </c>
      <c r="K308" s="35" t="s">
        <v>423</v>
      </c>
      <c r="L308" s="35" t="n">
        <v>47</v>
      </c>
      <c r="M308" s="35" t="s">
        <v>148</v>
      </c>
      <c r="N308" s="35" t="s">
        <v>1794</v>
      </c>
      <c r="O308" s="35" t="s">
        <v>149</v>
      </c>
      <c r="P308" s="35" t="s">
        <v>150</v>
      </c>
      <c r="Q308" s="35" t="n">
        <v>1</v>
      </c>
      <c r="R308" s="35"/>
      <c r="S308" s="35" t="s">
        <v>40</v>
      </c>
      <c r="T308" s="35" t="s">
        <v>41</v>
      </c>
      <c r="U308" s="35" t="s">
        <v>148</v>
      </c>
      <c r="V308" s="35"/>
      <c r="W308" s="35"/>
      <c r="X308" s="35" t="s">
        <v>1984</v>
      </c>
      <c r="Y308" s="35" t="n">
        <v>-7.183058</v>
      </c>
      <c r="Z308" s="35" t="n">
        <v>-48.220859</v>
      </c>
      <c r="AA308" s="49" t="s">
        <v>1603</v>
      </c>
      <c r="AB308" s="35" t="s">
        <v>1985</v>
      </c>
    </row>
    <row r="309" customFormat="false" ht="15" hidden="false" customHeight="false" outlineLevel="0" collapsed="false">
      <c r="A309" s="35" t="n">
        <v>308</v>
      </c>
      <c r="B309" s="35" t="s">
        <v>1152</v>
      </c>
      <c r="C309" s="35" t="s">
        <v>1992</v>
      </c>
      <c r="D309" s="35" t="s">
        <v>1139</v>
      </c>
      <c r="E309" s="35" t="s">
        <v>1153</v>
      </c>
      <c r="F309" s="40" t="n">
        <v>16.8310881637894</v>
      </c>
      <c r="G309" s="36" t="n">
        <v>4006.60793914756</v>
      </c>
      <c r="H309" s="36" t="n">
        <v>153.278563449579</v>
      </c>
      <c r="I309" s="7" t="s">
        <v>22</v>
      </c>
      <c r="J309" s="35" t="s">
        <v>283</v>
      </c>
      <c r="K309" s="35" t="s">
        <v>423</v>
      </c>
      <c r="L309" s="35" t="n">
        <v>47</v>
      </c>
      <c r="M309" s="35" t="s">
        <v>148</v>
      </c>
      <c r="N309" s="35" t="s">
        <v>1794</v>
      </c>
      <c r="O309" s="35" t="s">
        <v>149</v>
      </c>
      <c r="P309" s="35" t="s">
        <v>50</v>
      </c>
      <c r="Q309" s="35" t="n">
        <v>0</v>
      </c>
      <c r="R309" s="35"/>
      <c r="S309" s="35" t="s">
        <v>40</v>
      </c>
      <c r="T309" s="35" t="s">
        <v>41</v>
      </c>
      <c r="U309" s="35" t="s">
        <v>148</v>
      </c>
      <c r="V309" s="35"/>
      <c r="W309" s="35"/>
      <c r="X309" s="35" t="s">
        <v>1984</v>
      </c>
      <c r="Y309" s="35" t="n">
        <v>-7.1837035</v>
      </c>
      <c r="Z309" s="35" t="n">
        <v>-48.2219015</v>
      </c>
      <c r="AA309" s="49" t="s">
        <v>1603</v>
      </c>
      <c r="AB309" s="35" t="s">
        <v>1985</v>
      </c>
    </row>
    <row r="310" customFormat="false" ht="15" hidden="false" customHeight="false" outlineLevel="0" collapsed="false">
      <c r="A310" s="35" t="n">
        <v>309</v>
      </c>
      <c r="B310" s="35" t="s">
        <v>1154</v>
      </c>
      <c r="C310" s="35" t="s">
        <v>1993</v>
      </c>
      <c r="D310" s="35" t="s">
        <v>1139</v>
      </c>
      <c r="E310" s="35" t="s">
        <v>1155</v>
      </c>
      <c r="F310" s="40" t="n">
        <v>9.58108876064025</v>
      </c>
      <c r="G310" s="36" t="n">
        <v>3999.35793974441</v>
      </c>
      <c r="H310" s="36" t="n">
        <v>146.028564046429</v>
      </c>
      <c r="I310" s="7" t="s">
        <v>22</v>
      </c>
      <c r="J310" s="35" t="s">
        <v>283</v>
      </c>
      <c r="K310" s="35" t="s">
        <v>423</v>
      </c>
      <c r="L310" s="35" t="n">
        <v>47</v>
      </c>
      <c r="M310" s="35" t="s">
        <v>148</v>
      </c>
      <c r="N310" s="35" t="s">
        <v>1794</v>
      </c>
      <c r="O310" s="35" t="s">
        <v>149</v>
      </c>
      <c r="P310" s="35" t="s">
        <v>152</v>
      </c>
      <c r="Q310" s="35" t="n">
        <v>1</v>
      </c>
      <c r="R310" s="35"/>
      <c r="S310" s="35" t="s">
        <v>40</v>
      </c>
      <c r="T310" s="35" t="s">
        <v>41</v>
      </c>
      <c r="U310" s="35" t="s">
        <v>148</v>
      </c>
      <c r="V310" s="35"/>
      <c r="W310" s="35"/>
      <c r="X310" s="35" t="s">
        <v>1984</v>
      </c>
      <c r="Y310" s="35" t="n">
        <v>-7.1837965</v>
      </c>
      <c r="Z310" s="35" t="n">
        <v>-48.221902</v>
      </c>
      <c r="AA310" s="49" t="s">
        <v>1603</v>
      </c>
      <c r="AB310" s="35" t="s">
        <v>1985</v>
      </c>
    </row>
    <row r="311" customFormat="false" ht="15" hidden="false" customHeight="false" outlineLevel="0" collapsed="false">
      <c r="A311" s="35" t="n">
        <v>310</v>
      </c>
      <c r="B311" s="35" t="s">
        <v>1156</v>
      </c>
      <c r="C311" s="35" t="s">
        <v>1994</v>
      </c>
      <c r="D311" s="35" t="s">
        <v>1155</v>
      </c>
      <c r="E311" s="35" t="s">
        <v>1157</v>
      </c>
      <c r="F311" s="40" t="n">
        <v>3.75754215932575</v>
      </c>
      <c r="G311" s="36" t="n">
        <v>4003.11548190373</v>
      </c>
      <c r="H311" s="36" t="n">
        <v>149.786106205755</v>
      </c>
      <c r="I311" s="7" t="s">
        <v>22</v>
      </c>
      <c r="J311" s="35" t="s">
        <v>283</v>
      </c>
      <c r="K311" s="35" t="s">
        <v>423</v>
      </c>
      <c r="L311" s="35" t="n">
        <v>47</v>
      </c>
      <c r="M311" s="35" t="s">
        <v>148</v>
      </c>
      <c r="N311" s="35" t="s">
        <v>1794</v>
      </c>
      <c r="O311" s="35" t="s">
        <v>149</v>
      </c>
      <c r="P311" s="35" t="s">
        <v>152</v>
      </c>
      <c r="Q311" s="35" t="n">
        <v>1</v>
      </c>
      <c r="R311" s="35"/>
      <c r="S311" s="35" t="s">
        <v>40</v>
      </c>
      <c r="T311" s="35" t="s">
        <v>41</v>
      </c>
      <c r="U311" s="35" t="s">
        <v>148</v>
      </c>
      <c r="V311" s="35"/>
      <c r="W311" s="35"/>
      <c r="X311" s="35" t="s">
        <v>1984</v>
      </c>
      <c r="Y311" s="35" t="n">
        <v>-7.18383</v>
      </c>
      <c r="Z311" s="35" t="n">
        <v>-48.221952</v>
      </c>
      <c r="AA311" s="49" t="s">
        <v>1603</v>
      </c>
      <c r="AB311" s="35" t="s">
        <v>1985</v>
      </c>
    </row>
    <row r="312" customFormat="false" ht="15" hidden="false" customHeight="false" outlineLevel="0" collapsed="false">
      <c r="A312" s="35" t="n">
        <v>311</v>
      </c>
      <c r="B312" s="35" t="s">
        <v>1158</v>
      </c>
      <c r="C312" s="35" t="s">
        <v>1995</v>
      </c>
      <c r="D312" s="35" t="s">
        <v>1157</v>
      </c>
      <c r="E312" s="35" t="s">
        <v>1159</v>
      </c>
      <c r="F312" s="40" t="n">
        <v>39.2854620554148</v>
      </c>
      <c r="G312" s="36" t="n">
        <v>4042.40094395915</v>
      </c>
      <c r="H312" s="36" t="n">
        <v>189.07156826117</v>
      </c>
      <c r="I312" s="7" t="s">
        <v>22</v>
      </c>
      <c r="J312" s="35" t="s">
        <v>283</v>
      </c>
      <c r="K312" s="35" t="s">
        <v>423</v>
      </c>
      <c r="L312" s="35" t="n">
        <v>47</v>
      </c>
      <c r="M312" s="35" t="s">
        <v>148</v>
      </c>
      <c r="N312" s="35" t="s">
        <v>1794</v>
      </c>
      <c r="O312" s="35" t="s">
        <v>149</v>
      </c>
      <c r="P312" s="35" t="s">
        <v>152</v>
      </c>
      <c r="Q312" s="35" t="n">
        <v>1</v>
      </c>
      <c r="R312" s="35"/>
      <c r="S312" s="35" t="s">
        <v>40</v>
      </c>
      <c r="T312" s="35" t="s">
        <v>41</v>
      </c>
      <c r="U312" s="35" t="s">
        <v>148</v>
      </c>
      <c r="V312" s="35"/>
      <c r="W312" s="35"/>
      <c r="X312" s="35" t="s">
        <v>1984</v>
      </c>
      <c r="Y312" s="35" t="n">
        <v>-7.183956</v>
      </c>
      <c r="Z312" s="35" t="n">
        <v>-48.2220995</v>
      </c>
      <c r="AA312" s="49" t="s">
        <v>1603</v>
      </c>
      <c r="AB312" s="35" t="s">
        <v>1985</v>
      </c>
    </row>
    <row r="313" customFormat="false" ht="15" hidden="false" customHeight="false" outlineLevel="0" collapsed="false">
      <c r="A313" s="35" t="n">
        <v>312</v>
      </c>
      <c r="B313" s="35" t="s">
        <v>1160</v>
      </c>
      <c r="C313" s="35" t="s">
        <v>1996</v>
      </c>
      <c r="D313" s="35" t="s">
        <v>1159</v>
      </c>
      <c r="E313" s="35" t="s">
        <v>1161</v>
      </c>
      <c r="F313" s="40" t="n">
        <v>1.58012132196582</v>
      </c>
      <c r="G313" s="36" t="n">
        <v>4043.98106528111</v>
      </c>
      <c r="H313" s="36" t="n">
        <v>190.651689583136</v>
      </c>
      <c r="I313" s="7" t="s">
        <v>22</v>
      </c>
      <c r="J313" s="35" t="s">
        <v>283</v>
      </c>
      <c r="K313" s="35" t="s">
        <v>423</v>
      </c>
      <c r="L313" s="35" t="n">
        <v>47</v>
      </c>
      <c r="M313" s="35" t="s">
        <v>148</v>
      </c>
      <c r="N313" s="35" t="s">
        <v>1794</v>
      </c>
      <c r="O313" s="35" t="s">
        <v>149</v>
      </c>
      <c r="P313" s="35" t="s">
        <v>152</v>
      </c>
      <c r="Q313" s="35" t="n">
        <v>1</v>
      </c>
      <c r="R313" s="35"/>
      <c r="S313" s="35" t="s">
        <v>40</v>
      </c>
      <c r="T313" s="35" t="s">
        <v>41</v>
      </c>
      <c r="U313" s="35" t="s">
        <v>148</v>
      </c>
      <c r="V313" s="35"/>
      <c r="W313" s="35"/>
      <c r="X313" s="35" t="s">
        <v>1984</v>
      </c>
      <c r="Y313" s="35" t="n">
        <v>-7.1840725</v>
      </c>
      <c r="Z313" s="35" t="n">
        <v>-48.222239</v>
      </c>
      <c r="AA313" s="49" t="s">
        <v>1603</v>
      </c>
      <c r="AB313" s="35" t="s">
        <v>1985</v>
      </c>
    </row>
    <row r="314" customFormat="false" ht="15" hidden="false" customHeight="false" outlineLevel="0" collapsed="false">
      <c r="A314" s="35" t="n">
        <v>313</v>
      </c>
      <c r="B314" s="35" t="s">
        <v>1162</v>
      </c>
      <c r="C314" s="35" t="s">
        <v>1997</v>
      </c>
      <c r="D314" s="35" t="s">
        <v>1151</v>
      </c>
      <c r="E314" s="35" t="s">
        <v>1163</v>
      </c>
      <c r="F314" s="40" t="n">
        <v>9.31500455665529</v>
      </c>
      <c r="G314" s="36" t="n">
        <v>4136.76913734053</v>
      </c>
      <c r="H314" s="36" t="n">
        <v>9.31500455665537</v>
      </c>
      <c r="I314" s="8" t="s">
        <v>23</v>
      </c>
      <c r="J314" s="35" t="s">
        <v>283</v>
      </c>
      <c r="K314" s="35" t="s">
        <v>423</v>
      </c>
      <c r="L314" s="35" t="n">
        <v>48</v>
      </c>
      <c r="M314" s="35" t="s">
        <v>150</v>
      </c>
      <c r="N314" s="35" t="s">
        <v>1788</v>
      </c>
      <c r="O314" s="35" t="s">
        <v>151</v>
      </c>
      <c r="P314" s="35" t="s">
        <v>50</v>
      </c>
      <c r="Q314" s="35" t="n">
        <v>0</v>
      </c>
      <c r="R314" s="35"/>
      <c r="S314" s="35" t="s">
        <v>40</v>
      </c>
      <c r="T314" s="35" t="s">
        <v>41</v>
      </c>
      <c r="U314" s="35" t="s">
        <v>148</v>
      </c>
      <c r="V314" s="35" t="s">
        <v>150</v>
      </c>
      <c r="W314" s="35"/>
      <c r="X314" s="35" t="s">
        <v>1998</v>
      </c>
      <c r="Y314" s="35" t="n">
        <v>-7.183095</v>
      </c>
      <c r="Z314" s="35" t="n">
        <v>-48.22083</v>
      </c>
      <c r="AA314" s="49" t="s">
        <v>1603</v>
      </c>
      <c r="AB314" s="35" t="s">
        <v>1999</v>
      </c>
    </row>
    <row r="315" customFormat="false" ht="15" hidden="false" customHeight="false" outlineLevel="0" collapsed="false">
      <c r="A315" s="35" t="n">
        <v>314</v>
      </c>
      <c r="B315" s="35" t="s">
        <v>1164</v>
      </c>
      <c r="C315" s="35" t="s">
        <v>2000</v>
      </c>
      <c r="D315" s="35" t="s">
        <v>1163</v>
      </c>
      <c r="E315" s="35" t="s">
        <v>1165</v>
      </c>
      <c r="F315" s="40" t="n">
        <v>15.8077872148036</v>
      </c>
      <c r="G315" s="36" t="n">
        <v>4152.57692455534</v>
      </c>
      <c r="H315" s="36" t="n">
        <v>25.1227917714587</v>
      </c>
      <c r="I315" s="8" t="s">
        <v>23</v>
      </c>
      <c r="J315" s="35" t="s">
        <v>283</v>
      </c>
      <c r="K315" s="35" t="s">
        <v>423</v>
      </c>
      <c r="L315" s="35" t="n">
        <v>48</v>
      </c>
      <c r="M315" s="35" t="s">
        <v>150</v>
      </c>
      <c r="N315" s="35" t="s">
        <v>1788</v>
      </c>
      <c r="O315" s="35" t="s">
        <v>151</v>
      </c>
      <c r="P315" s="35" t="s">
        <v>50</v>
      </c>
      <c r="Q315" s="35" t="n">
        <v>0</v>
      </c>
      <c r="R315" s="35"/>
      <c r="S315" s="35" t="s">
        <v>40</v>
      </c>
      <c r="T315" s="35" t="s">
        <v>41</v>
      </c>
      <c r="U315" s="35" t="s">
        <v>148</v>
      </c>
      <c r="V315" s="35" t="s">
        <v>150</v>
      </c>
      <c r="W315" s="35"/>
      <c r="X315" s="35" t="s">
        <v>1998</v>
      </c>
      <c r="Y315" s="35" t="n">
        <v>-7.1831235</v>
      </c>
      <c r="Z315" s="35" t="n">
        <v>-48.2207325</v>
      </c>
      <c r="AA315" s="49" t="s">
        <v>1603</v>
      </c>
      <c r="AB315" s="35" t="s">
        <v>1999</v>
      </c>
    </row>
    <row r="316" customFormat="false" ht="15" hidden="false" customHeight="false" outlineLevel="0" collapsed="false">
      <c r="A316" s="35" t="n">
        <v>315</v>
      </c>
      <c r="B316" s="35" t="s">
        <v>1166</v>
      </c>
      <c r="C316" s="35" t="s">
        <v>2001</v>
      </c>
      <c r="D316" s="35" t="s">
        <v>1161</v>
      </c>
      <c r="E316" s="35" t="s">
        <v>1167</v>
      </c>
      <c r="F316" s="40" t="n">
        <v>14.2799542782028</v>
      </c>
      <c r="G316" s="36" t="n">
        <v>4058.26101955932</v>
      </c>
      <c r="H316" s="36" t="n">
        <v>14.2799542782027</v>
      </c>
      <c r="I316" s="8" t="s">
        <v>23</v>
      </c>
      <c r="J316" s="35" t="s">
        <v>283</v>
      </c>
      <c r="K316" s="35" t="s">
        <v>423</v>
      </c>
      <c r="L316" s="35" t="n">
        <v>49</v>
      </c>
      <c r="M316" s="35" t="s">
        <v>152</v>
      </c>
      <c r="N316" s="35" t="s">
        <v>1788</v>
      </c>
      <c r="O316" s="35" t="s">
        <v>153</v>
      </c>
      <c r="P316" s="35" t="s">
        <v>50</v>
      </c>
      <c r="Q316" s="35" t="n">
        <v>0</v>
      </c>
      <c r="R316" s="35"/>
      <c r="S316" s="35" t="s">
        <v>40</v>
      </c>
      <c r="T316" s="35" t="s">
        <v>41</v>
      </c>
      <c r="U316" s="35" t="s">
        <v>148</v>
      </c>
      <c r="V316" s="35" t="s">
        <v>152</v>
      </c>
      <c r="W316" s="35"/>
      <c r="X316" s="35" t="s">
        <v>2002</v>
      </c>
      <c r="Y316" s="35" t="n">
        <v>-7.184051</v>
      </c>
      <c r="Z316" s="35" t="n">
        <v>-48.2223075</v>
      </c>
      <c r="AA316" s="49" t="s">
        <v>1603</v>
      </c>
      <c r="AB316" s="35" t="s">
        <v>2003</v>
      </c>
    </row>
    <row r="317" customFormat="false" ht="15" hidden="false" customHeight="false" outlineLevel="0" collapsed="false">
      <c r="A317" s="35" t="n">
        <v>316</v>
      </c>
      <c r="B317" s="35" t="s">
        <v>1168</v>
      </c>
      <c r="C317" s="35" t="s">
        <v>2004</v>
      </c>
      <c r="D317" s="35" t="s">
        <v>1071</v>
      </c>
      <c r="E317" s="35" t="s">
        <v>1169</v>
      </c>
      <c r="F317" s="40" t="n">
        <v>22.7244254540442</v>
      </c>
      <c r="G317" s="36" t="n">
        <v>3795.91053438741</v>
      </c>
      <c r="H317" s="36" t="n">
        <v>22.7244254540442</v>
      </c>
      <c r="I317" s="7" t="s">
        <v>22</v>
      </c>
      <c r="J317" s="35" t="s">
        <v>283</v>
      </c>
      <c r="K317" s="35" t="s">
        <v>423</v>
      </c>
      <c r="L317" s="35" t="n">
        <v>50</v>
      </c>
      <c r="M317" s="35" t="s">
        <v>154</v>
      </c>
      <c r="N317" s="35" t="s">
        <v>1788</v>
      </c>
      <c r="O317" s="35" t="s">
        <v>155</v>
      </c>
      <c r="P317" s="35" t="s">
        <v>50</v>
      </c>
      <c r="Q317" s="35" t="n">
        <v>0</v>
      </c>
      <c r="R317" s="35"/>
      <c r="S317" s="35" t="s">
        <v>40</v>
      </c>
      <c r="T317" s="35" t="s">
        <v>41</v>
      </c>
      <c r="U317" s="35" t="s">
        <v>154</v>
      </c>
      <c r="V317" s="35"/>
      <c r="W317" s="35"/>
      <c r="X317" s="35" t="s">
        <v>2005</v>
      </c>
      <c r="Y317" s="35" t="n">
        <v>-7.1848895</v>
      </c>
      <c r="Z317" s="35" t="n">
        <v>-48.2205525</v>
      </c>
      <c r="AA317" s="49" t="s">
        <v>1603</v>
      </c>
      <c r="AB317" s="35" t="s">
        <v>2006</v>
      </c>
    </row>
    <row r="318" customFormat="false" ht="15" hidden="false" customHeight="false" outlineLevel="0" collapsed="false">
      <c r="A318" s="35" t="n">
        <v>317</v>
      </c>
      <c r="B318" s="35" t="s">
        <v>1170</v>
      </c>
      <c r="C318" s="35" t="s">
        <v>2007</v>
      </c>
      <c r="D318" s="35" t="s">
        <v>1169</v>
      </c>
      <c r="E318" s="35" t="s">
        <v>1171</v>
      </c>
      <c r="F318" s="40" t="n">
        <v>18.5673838804647</v>
      </c>
      <c r="G318" s="36" t="n">
        <v>3814.47791826787</v>
      </c>
      <c r="H318" s="36" t="n">
        <v>41.2918093345088</v>
      </c>
      <c r="I318" s="7" t="s">
        <v>22</v>
      </c>
      <c r="J318" s="35" t="s">
        <v>283</v>
      </c>
      <c r="K318" s="35" t="s">
        <v>423</v>
      </c>
      <c r="L318" s="35" t="n">
        <v>50</v>
      </c>
      <c r="M318" s="35" t="s">
        <v>154</v>
      </c>
      <c r="N318" s="35" t="s">
        <v>1788</v>
      </c>
      <c r="O318" s="35" t="s">
        <v>155</v>
      </c>
      <c r="P318" s="35" t="s">
        <v>50</v>
      </c>
      <c r="Q318" s="35" t="n">
        <v>0</v>
      </c>
      <c r="R318" s="35"/>
      <c r="S318" s="35" t="s">
        <v>40</v>
      </c>
      <c r="T318" s="35" t="s">
        <v>41</v>
      </c>
      <c r="U318" s="35" t="s">
        <v>154</v>
      </c>
      <c r="V318" s="35"/>
      <c r="W318" s="35"/>
      <c r="X318" s="35" t="s">
        <v>2005</v>
      </c>
      <c r="Y318" s="35" t="n">
        <v>-7.184964</v>
      </c>
      <c r="Z318" s="35" t="n">
        <v>-48.220393</v>
      </c>
      <c r="AA318" s="49" t="s">
        <v>1603</v>
      </c>
      <c r="AB318" s="35" t="s">
        <v>2006</v>
      </c>
    </row>
    <row r="319" customFormat="false" ht="15" hidden="false" customHeight="false" outlineLevel="0" collapsed="false">
      <c r="A319" s="35" t="n">
        <v>318</v>
      </c>
      <c r="B319" s="35" t="s">
        <v>1172</v>
      </c>
      <c r="C319" s="35" t="s">
        <v>2008</v>
      </c>
      <c r="D319" s="35" t="s">
        <v>1169</v>
      </c>
      <c r="E319" s="35" t="s">
        <v>1173</v>
      </c>
      <c r="F319" s="40" t="n">
        <v>4.62861577908961</v>
      </c>
      <c r="G319" s="36" t="n">
        <v>3800.53915016649</v>
      </c>
      <c r="H319" s="36" t="n">
        <v>27.3530412331338</v>
      </c>
      <c r="I319" s="7" t="s">
        <v>22</v>
      </c>
      <c r="J319" s="35" t="s">
        <v>283</v>
      </c>
      <c r="K319" s="35" t="s">
        <v>423</v>
      </c>
      <c r="L319" s="35" t="n">
        <v>50</v>
      </c>
      <c r="M319" s="35" t="s">
        <v>154</v>
      </c>
      <c r="N319" s="35" t="s">
        <v>1788</v>
      </c>
      <c r="O319" s="35" t="s">
        <v>155</v>
      </c>
      <c r="P319" s="35" t="s">
        <v>50</v>
      </c>
      <c r="Q319" s="35" t="n">
        <v>0</v>
      </c>
      <c r="R319" s="35"/>
      <c r="S319" s="35" t="s">
        <v>40</v>
      </c>
      <c r="T319" s="35" t="s">
        <v>41</v>
      </c>
      <c r="U319" s="35" t="s">
        <v>154</v>
      </c>
      <c r="V319" s="35"/>
      <c r="W319" s="35"/>
      <c r="X319" s="35" t="s">
        <v>2005</v>
      </c>
      <c r="Y319" s="35" t="n">
        <v>-7.1849745</v>
      </c>
      <c r="Z319" s="35" t="n">
        <v>-48.220491</v>
      </c>
      <c r="AA319" s="49" t="s">
        <v>1603</v>
      </c>
      <c r="AB319" s="35" t="s">
        <v>2006</v>
      </c>
    </row>
    <row r="320" customFormat="false" ht="15" hidden="false" customHeight="false" outlineLevel="0" collapsed="false">
      <c r="A320" s="35" t="n">
        <v>319</v>
      </c>
      <c r="B320" s="35" t="s">
        <v>1174</v>
      </c>
      <c r="C320" s="35" t="s">
        <v>2009</v>
      </c>
      <c r="D320" s="35" t="s">
        <v>1073</v>
      </c>
      <c r="E320" s="35" t="s">
        <v>1175</v>
      </c>
      <c r="F320" s="40" t="n">
        <v>28.3500989681362</v>
      </c>
      <c r="G320" s="36" t="n">
        <v>3723.25130802133</v>
      </c>
      <c r="H320" s="36" t="n">
        <v>28.3500989681361</v>
      </c>
      <c r="I320" s="7" t="s">
        <v>22</v>
      </c>
      <c r="J320" s="35" t="s">
        <v>283</v>
      </c>
      <c r="K320" s="35" t="s">
        <v>423</v>
      </c>
      <c r="L320" s="35" t="n">
        <v>51</v>
      </c>
      <c r="M320" s="35" t="s">
        <v>156</v>
      </c>
      <c r="N320" s="35" t="s">
        <v>1788</v>
      </c>
      <c r="O320" s="35" t="s">
        <v>157</v>
      </c>
      <c r="P320" s="35" t="s">
        <v>50</v>
      </c>
      <c r="Q320" s="35" t="n">
        <v>0</v>
      </c>
      <c r="R320" s="35"/>
      <c r="S320" s="35" t="s">
        <v>40</v>
      </c>
      <c r="T320" s="35" t="s">
        <v>41</v>
      </c>
      <c r="U320" s="35" t="s">
        <v>156</v>
      </c>
      <c r="V320" s="35"/>
      <c r="W320" s="35"/>
      <c r="X320" s="35" t="s">
        <v>2010</v>
      </c>
      <c r="Y320" s="35" t="n">
        <v>-7.1847935</v>
      </c>
      <c r="Z320" s="35" t="n">
        <v>-48.2198725</v>
      </c>
      <c r="AA320" s="49" t="s">
        <v>1603</v>
      </c>
      <c r="AB320" s="35" t="s">
        <v>2011</v>
      </c>
    </row>
    <row r="321" customFormat="false" ht="15" hidden="false" customHeight="false" outlineLevel="0" collapsed="false">
      <c r="A321" s="35" t="n">
        <v>320</v>
      </c>
      <c r="B321" s="35" t="s">
        <v>1176</v>
      </c>
      <c r="C321" s="35" t="s">
        <v>2012</v>
      </c>
      <c r="D321" s="35" t="s">
        <v>695</v>
      </c>
      <c r="E321" s="35" t="s">
        <v>1177</v>
      </c>
      <c r="F321" s="40" t="n">
        <v>11.4363257873533</v>
      </c>
      <c r="G321" s="36" t="n">
        <v>3751.38096741242</v>
      </c>
      <c r="H321" s="36" t="n">
        <v>779.216236467344</v>
      </c>
      <c r="I321" s="6" t="s">
        <v>21</v>
      </c>
      <c r="J321" s="35" t="s">
        <v>283</v>
      </c>
      <c r="K321" s="35" t="s">
        <v>439</v>
      </c>
      <c r="L321" s="35" t="n">
        <v>52</v>
      </c>
      <c r="M321" s="35" t="s">
        <v>41</v>
      </c>
      <c r="N321" s="35" t="s">
        <v>1674</v>
      </c>
      <c r="O321" s="35" t="s">
        <v>160</v>
      </c>
      <c r="P321" s="35" t="s">
        <v>50</v>
      </c>
      <c r="Q321" s="35" t="n">
        <v>0</v>
      </c>
      <c r="R321" s="35"/>
      <c r="S321" s="35" t="s">
        <v>40</v>
      </c>
      <c r="T321" s="35" t="s">
        <v>41</v>
      </c>
      <c r="U321" s="35"/>
      <c r="V321" s="35"/>
      <c r="W321" s="35"/>
      <c r="X321" s="35" t="s">
        <v>1676</v>
      </c>
      <c r="Y321" s="35" t="n">
        <v>-7.1857165</v>
      </c>
      <c r="Z321" s="35" t="n">
        <v>-48.2185335</v>
      </c>
      <c r="AA321" s="49" t="s">
        <v>1603</v>
      </c>
      <c r="AB321" s="35" t="s">
        <v>1677</v>
      </c>
    </row>
    <row r="322" customFormat="false" ht="15" hidden="false" customHeight="false" outlineLevel="0" collapsed="false">
      <c r="A322" s="35" t="n">
        <v>321</v>
      </c>
      <c r="B322" s="35" t="s">
        <v>1178</v>
      </c>
      <c r="C322" s="35" t="s">
        <v>2013</v>
      </c>
      <c r="D322" s="35" t="s">
        <v>1177</v>
      </c>
      <c r="E322" s="35" t="s">
        <v>1179</v>
      </c>
      <c r="F322" s="40" t="n">
        <v>2.97610380403368</v>
      </c>
      <c r="G322" s="36" t="n">
        <v>3754.35707121646</v>
      </c>
      <c r="H322" s="36" t="n">
        <v>782.192340271377</v>
      </c>
      <c r="I322" s="6" t="s">
        <v>21</v>
      </c>
      <c r="J322" s="35" t="s">
        <v>283</v>
      </c>
      <c r="K322" s="35" t="s">
        <v>439</v>
      </c>
      <c r="L322" s="35" t="n">
        <v>52</v>
      </c>
      <c r="M322" s="35" t="s">
        <v>41</v>
      </c>
      <c r="N322" s="35" t="s">
        <v>1674</v>
      </c>
      <c r="O322" s="35" t="s">
        <v>160</v>
      </c>
      <c r="P322" s="35" t="s">
        <v>50</v>
      </c>
      <c r="Q322" s="35" t="n">
        <v>0</v>
      </c>
      <c r="R322" s="35" t="s">
        <v>161</v>
      </c>
      <c r="S322" s="35" t="s">
        <v>40</v>
      </c>
      <c r="T322" s="35" t="s">
        <v>41</v>
      </c>
      <c r="U322" s="35"/>
      <c r="V322" s="35"/>
      <c r="W322" s="35"/>
      <c r="X322" s="35" t="s">
        <v>1676</v>
      </c>
      <c r="Y322" s="35" t="n">
        <v>-7.1857615</v>
      </c>
      <c r="Z322" s="35" t="n">
        <v>-48.2185805</v>
      </c>
      <c r="AA322" s="49" t="s">
        <v>1603</v>
      </c>
      <c r="AB322" s="35" t="s">
        <v>1677</v>
      </c>
    </row>
    <row r="323" customFormat="false" ht="15" hidden="false" customHeight="false" outlineLevel="0" collapsed="false">
      <c r="A323" s="35" t="n">
        <v>322</v>
      </c>
      <c r="B323" s="35" t="s">
        <v>1180</v>
      </c>
      <c r="C323" s="35" t="s">
        <v>2014</v>
      </c>
      <c r="D323" s="35" t="s">
        <v>1179</v>
      </c>
      <c r="E323" s="35" t="s">
        <v>1181</v>
      </c>
      <c r="F323" s="40" t="n">
        <v>91.9430732206074</v>
      </c>
      <c r="G323" s="36" t="n">
        <v>3846.30014443707</v>
      </c>
      <c r="H323" s="36" t="n">
        <v>874.135413491985</v>
      </c>
      <c r="I323" s="6" t="s">
        <v>21</v>
      </c>
      <c r="J323" s="35" t="s">
        <v>283</v>
      </c>
      <c r="K323" s="35" t="s">
        <v>439</v>
      </c>
      <c r="L323" s="35" t="n">
        <v>52</v>
      </c>
      <c r="M323" s="35" t="s">
        <v>41</v>
      </c>
      <c r="N323" s="35" t="s">
        <v>1674</v>
      </c>
      <c r="O323" s="35" t="s">
        <v>160</v>
      </c>
      <c r="P323" s="35" t="s">
        <v>50</v>
      </c>
      <c r="Q323" s="35" t="n">
        <v>0</v>
      </c>
      <c r="R323" s="35"/>
      <c r="S323" s="35" t="s">
        <v>40</v>
      </c>
      <c r="T323" s="35" t="s">
        <v>41</v>
      </c>
      <c r="U323" s="35"/>
      <c r="V323" s="35"/>
      <c r="W323" s="35"/>
      <c r="X323" s="35" t="s">
        <v>1676</v>
      </c>
      <c r="Y323" s="35" t="n">
        <v>-7.186062</v>
      </c>
      <c r="Z323" s="35" t="n">
        <v>-48.218886</v>
      </c>
      <c r="AA323" s="49" t="s">
        <v>1603</v>
      </c>
      <c r="AB323" s="35" t="s">
        <v>1677</v>
      </c>
    </row>
    <row r="324" customFormat="false" ht="15" hidden="false" customHeight="false" outlineLevel="0" collapsed="false">
      <c r="A324" s="35" t="n">
        <v>323</v>
      </c>
      <c r="B324" s="35" t="s">
        <v>1182</v>
      </c>
      <c r="C324" s="35" t="s">
        <v>2015</v>
      </c>
      <c r="D324" s="35" t="s">
        <v>1181</v>
      </c>
      <c r="E324" s="35" t="s">
        <v>1183</v>
      </c>
      <c r="F324" s="40" t="n">
        <v>11.2094707162589</v>
      </c>
      <c r="G324" s="36" t="n">
        <v>3857.50961515332</v>
      </c>
      <c r="H324" s="36" t="n">
        <v>885.344884208244</v>
      </c>
      <c r="I324" s="6" t="s">
        <v>21</v>
      </c>
      <c r="J324" s="35" t="s">
        <v>283</v>
      </c>
      <c r="K324" s="35" t="s">
        <v>439</v>
      </c>
      <c r="L324" s="35" t="n">
        <v>52</v>
      </c>
      <c r="M324" s="35" t="s">
        <v>41</v>
      </c>
      <c r="N324" s="35" t="s">
        <v>1674</v>
      </c>
      <c r="O324" s="35" t="s">
        <v>160</v>
      </c>
      <c r="P324" s="35" t="s">
        <v>50</v>
      </c>
      <c r="Q324" s="35" t="n">
        <v>0</v>
      </c>
      <c r="R324" s="35"/>
      <c r="S324" s="35" t="s">
        <v>40</v>
      </c>
      <c r="T324" s="35" t="s">
        <v>41</v>
      </c>
      <c r="U324" s="35"/>
      <c r="V324" s="35"/>
      <c r="W324" s="35"/>
      <c r="X324" s="35" t="s">
        <v>1676</v>
      </c>
      <c r="Y324" s="35" t="n">
        <v>-7.18639</v>
      </c>
      <c r="Z324" s="35" t="n">
        <v>-48.2192165</v>
      </c>
      <c r="AA324" s="49" t="s">
        <v>1603</v>
      </c>
      <c r="AB324" s="35" t="s">
        <v>1677</v>
      </c>
    </row>
    <row r="325" customFormat="false" ht="15" hidden="false" customHeight="false" outlineLevel="0" collapsed="false">
      <c r="A325" s="35" t="n">
        <v>324</v>
      </c>
      <c r="B325" s="35" t="s">
        <v>1184</v>
      </c>
      <c r="C325" s="35" t="s">
        <v>2016</v>
      </c>
      <c r="D325" s="35" t="s">
        <v>695</v>
      </c>
      <c r="E325" s="35" t="s">
        <v>1185</v>
      </c>
      <c r="F325" s="40" t="n">
        <v>20.0513461220241</v>
      </c>
      <c r="G325" s="36" t="n">
        <v>3759.99598774709</v>
      </c>
      <c r="H325" s="36" t="n">
        <v>787.831256802014</v>
      </c>
      <c r="I325" s="6" t="s">
        <v>21</v>
      </c>
      <c r="J325" s="35" t="s">
        <v>283</v>
      </c>
      <c r="K325" s="35" t="s">
        <v>439</v>
      </c>
      <c r="L325" s="35" t="n">
        <v>52</v>
      </c>
      <c r="M325" s="35" t="s">
        <v>41</v>
      </c>
      <c r="N325" s="35" t="s">
        <v>1674</v>
      </c>
      <c r="O325" s="35" t="s">
        <v>160</v>
      </c>
      <c r="P325" s="35" t="s">
        <v>2017</v>
      </c>
      <c r="Q325" s="35" t="n">
        <v>4</v>
      </c>
      <c r="R325" s="35"/>
      <c r="S325" s="35" t="s">
        <v>40</v>
      </c>
      <c r="T325" s="35" t="s">
        <v>41</v>
      </c>
      <c r="U325" s="35"/>
      <c r="V325" s="35"/>
      <c r="W325" s="35"/>
      <c r="X325" s="35" t="s">
        <v>1676</v>
      </c>
      <c r="Y325" s="35" t="n">
        <v>-7.1856185</v>
      </c>
      <c r="Z325" s="35" t="n">
        <v>-48.2184305</v>
      </c>
      <c r="AA325" s="49" t="s">
        <v>1603</v>
      </c>
      <c r="AB325" s="35" t="s">
        <v>1677</v>
      </c>
    </row>
    <row r="326" customFormat="false" ht="15" hidden="false" customHeight="false" outlineLevel="0" collapsed="false">
      <c r="A326" s="35" t="n">
        <v>325</v>
      </c>
      <c r="B326" s="35" t="s">
        <v>1186</v>
      </c>
      <c r="C326" s="35" t="s">
        <v>2018</v>
      </c>
      <c r="D326" s="35" t="s">
        <v>1185</v>
      </c>
      <c r="E326" s="35" t="s">
        <v>1187</v>
      </c>
      <c r="F326" s="40" t="n">
        <v>2.27320461651226</v>
      </c>
      <c r="G326" s="36" t="n">
        <v>3762.26919236361</v>
      </c>
      <c r="H326" s="36" t="n">
        <v>790.104461418527</v>
      </c>
      <c r="I326" s="6" t="s">
        <v>21</v>
      </c>
      <c r="J326" s="35" t="s">
        <v>283</v>
      </c>
      <c r="K326" s="35" t="s">
        <v>439</v>
      </c>
      <c r="L326" s="35" t="n">
        <v>52</v>
      </c>
      <c r="M326" s="35" t="s">
        <v>41</v>
      </c>
      <c r="N326" s="35" t="s">
        <v>1674</v>
      </c>
      <c r="O326" s="35" t="s">
        <v>160</v>
      </c>
      <c r="P326" s="35" t="s">
        <v>2017</v>
      </c>
      <c r="Q326" s="35" t="n">
        <v>4</v>
      </c>
      <c r="R326" s="35"/>
      <c r="S326" s="35" t="s">
        <v>40</v>
      </c>
      <c r="T326" s="35" t="s">
        <v>41</v>
      </c>
      <c r="U326" s="35"/>
      <c r="V326" s="35"/>
      <c r="W326" s="35"/>
      <c r="X326" s="35" t="s">
        <v>1676</v>
      </c>
      <c r="Y326" s="35" t="n">
        <v>-7.1855485</v>
      </c>
      <c r="Z326" s="35" t="n">
        <v>-48.218358</v>
      </c>
      <c r="AA326" s="49" t="s">
        <v>1603</v>
      </c>
      <c r="AB326" s="35" t="s">
        <v>1677</v>
      </c>
    </row>
    <row r="327" customFormat="false" ht="15" hidden="false" customHeight="false" outlineLevel="0" collapsed="false">
      <c r="A327" s="35" t="n">
        <v>326</v>
      </c>
      <c r="B327" s="35" t="s">
        <v>1188</v>
      </c>
      <c r="C327" s="35" t="s">
        <v>2019</v>
      </c>
      <c r="D327" s="35" t="s">
        <v>1187</v>
      </c>
      <c r="E327" s="35" t="s">
        <v>1189</v>
      </c>
      <c r="F327" s="40" t="n">
        <v>54.0382408321484</v>
      </c>
      <c r="G327" s="36" t="n">
        <v>3816.30743319576</v>
      </c>
      <c r="H327" s="36" t="n">
        <v>54.0382408321484</v>
      </c>
      <c r="I327" s="7" t="s">
        <v>22</v>
      </c>
      <c r="J327" s="35" t="s">
        <v>283</v>
      </c>
      <c r="K327" s="35" t="s">
        <v>439</v>
      </c>
      <c r="L327" s="35" t="n">
        <v>53</v>
      </c>
      <c r="M327" s="35" t="s">
        <v>162</v>
      </c>
      <c r="N327" s="35" t="s">
        <v>1794</v>
      </c>
      <c r="O327" s="35" t="s">
        <v>163</v>
      </c>
      <c r="P327" s="35" t="s">
        <v>2020</v>
      </c>
      <c r="Q327" s="35" t="n">
        <v>3</v>
      </c>
      <c r="R327" s="35"/>
      <c r="S327" s="35" t="s">
        <v>40</v>
      </c>
      <c r="T327" s="35" t="s">
        <v>41</v>
      </c>
      <c r="U327" s="35" t="s">
        <v>162</v>
      </c>
      <c r="V327" s="35"/>
      <c r="W327" s="35"/>
      <c r="X327" s="35" t="s">
        <v>2021</v>
      </c>
      <c r="Y327" s="35" t="n">
        <v>-7.1853695</v>
      </c>
      <c r="Z327" s="35" t="n">
        <v>-48.2181775</v>
      </c>
      <c r="AA327" s="49" t="s">
        <v>1603</v>
      </c>
      <c r="AB327" s="35" t="s">
        <v>2022</v>
      </c>
    </row>
    <row r="328" customFormat="false" ht="15" hidden="false" customHeight="false" outlineLevel="0" collapsed="false">
      <c r="A328" s="35" t="n">
        <v>327</v>
      </c>
      <c r="B328" s="35" t="s">
        <v>1190</v>
      </c>
      <c r="C328" s="35" t="s">
        <v>2023</v>
      </c>
      <c r="D328" s="35" t="s">
        <v>1189</v>
      </c>
      <c r="E328" s="35" t="s">
        <v>1191</v>
      </c>
      <c r="F328" s="40" t="n">
        <v>115.438180815287</v>
      </c>
      <c r="G328" s="36" t="n">
        <v>3931.74561401104</v>
      </c>
      <c r="H328" s="36" t="n">
        <v>169.476421647435</v>
      </c>
      <c r="I328" s="7" t="s">
        <v>22</v>
      </c>
      <c r="J328" s="35" t="s">
        <v>283</v>
      </c>
      <c r="K328" s="35" t="s">
        <v>439</v>
      </c>
      <c r="L328" s="35" t="n">
        <v>53</v>
      </c>
      <c r="M328" s="35" t="s">
        <v>162</v>
      </c>
      <c r="N328" s="35" t="s">
        <v>1794</v>
      </c>
      <c r="O328" s="35" t="s">
        <v>163</v>
      </c>
      <c r="P328" s="35" t="s">
        <v>2020</v>
      </c>
      <c r="Q328" s="35" t="n">
        <v>3</v>
      </c>
      <c r="R328" s="35"/>
      <c r="S328" s="35" t="s">
        <v>40</v>
      </c>
      <c r="T328" s="35" t="s">
        <v>41</v>
      </c>
      <c r="U328" s="35" t="s">
        <v>162</v>
      </c>
      <c r="V328" s="35"/>
      <c r="W328" s="35"/>
      <c r="X328" s="35" t="s">
        <v>2021</v>
      </c>
      <c r="Y328" s="35" t="n">
        <v>-7.184833</v>
      </c>
      <c r="Z328" s="35" t="n">
        <v>-48.217632</v>
      </c>
      <c r="AA328" s="49" t="s">
        <v>1603</v>
      </c>
      <c r="AB328" s="35" t="s">
        <v>2022</v>
      </c>
    </row>
    <row r="329" customFormat="false" ht="15" hidden="false" customHeight="false" outlineLevel="0" collapsed="false">
      <c r="A329" s="35" t="n">
        <v>328</v>
      </c>
      <c r="B329" s="35" t="s">
        <v>1192</v>
      </c>
      <c r="C329" s="35" t="s">
        <v>2024</v>
      </c>
      <c r="D329" s="35" t="s">
        <v>1191</v>
      </c>
      <c r="E329" s="35" t="s">
        <v>1193</v>
      </c>
      <c r="F329" s="40" t="n">
        <v>24.9843814198236</v>
      </c>
      <c r="G329" s="36" t="n">
        <v>3956.72999543087</v>
      </c>
      <c r="H329" s="36" t="n">
        <v>194.460803067258</v>
      </c>
      <c r="I329" s="7" t="s">
        <v>22</v>
      </c>
      <c r="J329" s="35" t="s">
        <v>283</v>
      </c>
      <c r="K329" s="35" t="s">
        <v>439</v>
      </c>
      <c r="L329" s="35" t="n">
        <v>53</v>
      </c>
      <c r="M329" s="35" t="s">
        <v>162</v>
      </c>
      <c r="N329" s="35" t="s">
        <v>1794</v>
      </c>
      <c r="O329" s="35" t="s">
        <v>163</v>
      </c>
      <c r="P329" s="35" t="s">
        <v>2020</v>
      </c>
      <c r="Q329" s="35" t="n">
        <v>3</v>
      </c>
      <c r="R329" s="35"/>
      <c r="S329" s="35" t="s">
        <v>40</v>
      </c>
      <c r="T329" s="35" t="s">
        <v>41</v>
      </c>
      <c r="U329" s="35" t="s">
        <v>162</v>
      </c>
      <c r="V329" s="35"/>
      <c r="W329" s="35"/>
      <c r="X329" s="35" t="s">
        <v>2021</v>
      </c>
      <c r="Y329" s="35" t="n">
        <v>-7.184548</v>
      </c>
      <c r="Z329" s="35" t="n">
        <v>-48.2171805</v>
      </c>
      <c r="AA329" s="49" t="s">
        <v>1603</v>
      </c>
      <c r="AB329" s="35" t="s">
        <v>2022</v>
      </c>
    </row>
    <row r="330" customFormat="false" ht="15" hidden="false" customHeight="false" outlineLevel="0" collapsed="false">
      <c r="A330" s="35" t="n">
        <v>329</v>
      </c>
      <c r="B330" s="35" t="s">
        <v>1194</v>
      </c>
      <c r="C330" s="35" t="s">
        <v>2025</v>
      </c>
      <c r="D330" s="35" t="s">
        <v>1193</v>
      </c>
      <c r="E330" s="35" t="s">
        <v>1195</v>
      </c>
      <c r="F330" s="40" t="n">
        <v>2.44106221790257</v>
      </c>
      <c r="G330" s="36" t="n">
        <v>3959.17105764877</v>
      </c>
      <c r="H330" s="36" t="n">
        <v>196.901865285161</v>
      </c>
      <c r="I330" s="7" t="s">
        <v>22</v>
      </c>
      <c r="J330" s="35" t="s">
        <v>283</v>
      </c>
      <c r="K330" s="35" t="s">
        <v>439</v>
      </c>
      <c r="L330" s="35" t="n">
        <v>53</v>
      </c>
      <c r="M330" s="35" t="s">
        <v>162</v>
      </c>
      <c r="N330" s="35" t="s">
        <v>1794</v>
      </c>
      <c r="O330" s="35" t="s">
        <v>163</v>
      </c>
      <c r="P330" s="35" t="s">
        <v>2020</v>
      </c>
      <c r="Q330" s="35" t="n">
        <v>3</v>
      </c>
      <c r="R330" s="35"/>
      <c r="S330" s="35" t="s">
        <v>40</v>
      </c>
      <c r="T330" s="35" t="s">
        <v>41</v>
      </c>
      <c r="U330" s="35" t="s">
        <v>162</v>
      </c>
      <c r="V330" s="35"/>
      <c r="W330" s="35"/>
      <c r="X330" s="35" t="s">
        <v>2021</v>
      </c>
      <c r="Y330" s="35" t="n">
        <v>-7.1846365</v>
      </c>
      <c r="Z330" s="35" t="n">
        <v>-48.217094</v>
      </c>
      <c r="AA330" s="49" t="s">
        <v>1603</v>
      </c>
      <c r="AB330" s="35" t="s">
        <v>2022</v>
      </c>
    </row>
    <row r="331" customFormat="false" ht="15" hidden="false" customHeight="false" outlineLevel="0" collapsed="false">
      <c r="A331" s="35" t="n">
        <v>330</v>
      </c>
      <c r="B331" s="35" t="s">
        <v>1196</v>
      </c>
      <c r="C331" s="35" t="s">
        <v>2026</v>
      </c>
      <c r="D331" s="35" t="s">
        <v>1191</v>
      </c>
      <c r="E331" s="35" t="s">
        <v>1197</v>
      </c>
      <c r="F331" s="40" t="n">
        <v>28.1939813391898</v>
      </c>
      <c r="G331" s="36" t="n">
        <v>3959.93959535023</v>
      </c>
      <c r="H331" s="36" t="n">
        <v>197.670402986625</v>
      </c>
      <c r="I331" s="7" t="s">
        <v>22</v>
      </c>
      <c r="J331" s="35" t="s">
        <v>283</v>
      </c>
      <c r="K331" s="35" t="s">
        <v>439</v>
      </c>
      <c r="L331" s="35" t="n">
        <v>53</v>
      </c>
      <c r="M331" s="35" t="s">
        <v>162</v>
      </c>
      <c r="N331" s="35" t="s">
        <v>1794</v>
      </c>
      <c r="O331" s="35" t="s">
        <v>163</v>
      </c>
      <c r="P331" s="35" t="s">
        <v>50</v>
      </c>
      <c r="Q331" s="35" t="n">
        <v>0</v>
      </c>
      <c r="R331" s="35"/>
      <c r="S331" s="35" t="s">
        <v>40</v>
      </c>
      <c r="T331" s="35" t="s">
        <v>41</v>
      </c>
      <c r="U331" s="35" t="s">
        <v>162</v>
      </c>
      <c r="V331" s="35"/>
      <c r="W331" s="35"/>
      <c r="X331" s="35" t="s">
        <v>2021</v>
      </c>
      <c r="Y331" s="35" t="n">
        <v>-7.184379</v>
      </c>
      <c r="Z331" s="35" t="n">
        <v>-48.217169</v>
      </c>
      <c r="AA331" s="49" t="s">
        <v>1603</v>
      </c>
      <c r="AB331" s="35" t="s">
        <v>2022</v>
      </c>
    </row>
    <row r="332" customFormat="false" ht="15" hidden="false" customHeight="false" outlineLevel="0" collapsed="false">
      <c r="A332" s="35" t="n">
        <v>331</v>
      </c>
      <c r="B332" s="35" t="s">
        <v>1198</v>
      </c>
      <c r="C332" s="35" t="s">
        <v>2027</v>
      </c>
      <c r="D332" s="35" t="s">
        <v>1191</v>
      </c>
      <c r="E332" s="35" t="s">
        <v>1199</v>
      </c>
      <c r="F332" s="40" t="n">
        <v>21.2310487704843</v>
      </c>
      <c r="G332" s="36" t="n">
        <v>3952.97666278153</v>
      </c>
      <c r="H332" s="36" t="n">
        <v>190.70747041792</v>
      </c>
      <c r="I332" s="7" t="s">
        <v>22</v>
      </c>
      <c r="J332" s="35" t="s">
        <v>283</v>
      </c>
      <c r="K332" s="35" t="s">
        <v>439</v>
      </c>
      <c r="L332" s="35" t="n">
        <v>53</v>
      </c>
      <c r="M332" s="35" t="s">
        <v>162</v>
      </c>
      <c r="N332" s="35" t="s">
        <v>1794</v>
      </c>
      <c r="O332" s="35" t="s">
        <v>163</v>
      </c>
      <c r="P332" s="35" t="s">
        <v>50</v>
      </c>
      <c r="Q332" s="35" t="n">
        <v>0</v>
      </c>
      <c r="R332" s="35"/>
      <c r="S332" s="35" t="s">
        <v>40</v>
      </c>
      <c r="T332" s="35" t="s">
        <v>41</v>
      </c>
      <c r="U332" s="35" t="s">
        <v>162</v>
      </c>
      <c r="V332" s="35"/>
      <c r="W332" s="35"/>
      <c r="X332" s="35" t="s">
        <v>2021</v>
      </c>
      <c r="Y332" s="35" t="n">
        <v>-7.184399</v>
      </c>
      <c r="Z332" s="35" t="n">
        <v>-48.2173265</v>
      </c>
      <c r="AA332" s="49" t="s">
        <v>1603</v>
      </c>
      <c r="AB332" s="35" t="s">
        <v>2022</v>
      </c>
    </row>
    <row r="333" customFormat="false" ht="15" hidden="false" customHeight="false" outlineLevel="0" collapsed="false">
      <c r="A333" s="35" t="n">
        <v>332</v>
      </c>
      <c r="B333" s="35" t="s">
        <v>1200</v>
      </c>
      <c r="C333" s="35" t="s">
        <v>2028</v>
      </c>
      <c r="D333" s="35" t="s">
        <v>1195</v>
      </c>
      <c r="E333" s="35" t="s">
        <v>1201</v>
      </c>
      <c r="F333" s="40" t="n">
        <v>115.708550738923</v>
      </c>
      <c r="G333" s="36" t="n">
        <v>4074.87960838769</v>
      </c>
      <c r="H333" s="36" t="n">
        <v>115.708550738923</v>
      </c>
      <c r="I333" s="8" t="s">
        <v>23</v>
      </c>
      <c r="J333" s="35" t="s">
        <v>283</v>
      </c>
      <c r="K333" s="35" t="s">
        <v>439</v>
      </c>
      <c r="L333" s="35" t="n">
        <v>54</v>
      </c>
      <c r="M333" s="35" t="s">
        <v>164</v>
      </c>
      <c r="N333" s="35" t="s">
        <v>1794</v>
      </c>
      <c r="O333" s="35" t="s">
        <v>165</v>
      </c>
      <c r="P333" s="35" t="s">
        <v>2029</v>
      </c>
      <c r="Q333" s="35" t="n">
        <v>2</v>
      </c>
      <c r="R333" s="35"/>
      <c r="S333" s="35" t="s">
        <v>40</v>
      </c>
      <c r="T333" s="35" t="s">
        <v>41</v>
      </c>
      <c r="U333" s="35" t="s">
        <v>162</v>
      </c>
      <c r="V333" s="35" t="s">
        <v>164</v>
      </c>
      <c r="W333" s="35"/>
      <c r="X333" s="35" t="s">
        <v>2030</v>
      </c>
      <c r="Y333" s="35" t="n">
        <v>-7.1850205</v>
      </c>
      <c r="Z333" s="35" t="n">
        <v>-48.216724</v>
      </c>
      <c r="AA333" s="49" t="s">
        <v>1603</v>
      </c>
      <c r="AB333" s="35" t="s">
        <v>2031</v>
      </c>
    </row>
    <row r="334" customFormat="false" ht="15" hidden="false" customHeight="false" outlineLevel="0" collapsed="false">
      <c r="A334" s="35" t="n">
        <v>333</v>
      </c>
      <c r="B334" s="35" t="s">
        <v>1202</v>
      </c>
      <c r="C334" s="35" t="s">
        <v>2032</v>
      </c>
      <c r="D334" s="35" t="s">
        <v>1201</v>
      </c>
      <c r="E334" s="35" t="s">
        <v>1203</v>
      </c>
      <c r="F334" s="40" t="n">
        <v>60.0246046307925</v>
      </c>
      <c r="G334" s="36" t="n">
        <v>4134.90421301848</v>
      </c>
      <c r="H334" s="36" t="n">
        <v>175.733155369715</v>
      </c>
      <c r="I334" s="8" t="s">
        <v>23</v>
      </c>
      <c r="J334" s="35" t="s">
        <v>283</v>
      </c>
      <c r="K334" s="35" t="s">
        <v>439</v>
      </c>
      <c r="L334" s="35" t="n">
        <v>54</v>
      </c>
      <c r="M334" s="35" t="s">
        <v>164</v>
      </c>
      <c r="N334" s="35" t="s">
        <v>1794</v>
      </c>
      <c r="O334" s="35" t="s">
        <v>165</v>
      </c>
      <c r="P334" s="35" t="s">
        <v>166</v>
      </c>
      <c r="Q334" s="35" t="n">
        <v>1</v>
      </c>
      <c r="R334" s="35"/>
      <c r="S334" s="35" t="s">
        <v>40</v>
      </c>
      <c r="T334" s="35" t="s">
        <v>41</v>
      </c>
      <c r="U334" s="35" t="s">
        <v>162</v>
      </c>
      <c r="V334" s="35" t="s">
        <v>164</v>
      </c>
      <c r="W334" s="35"/>
      <c r="X334" s="35" t="s">
        <v>2030</v>
      </c>
      <c r="Y334" s="35" t="n">
        <v>-7.1852125</v>
      </c>
      <c r="Z334" s="35" t="n">
        <v>-48.2161615</v>
      </c>
      <c r="AA334" s="49" t="s">
        <v>1603</v>
      </c>
      <c r="AB334" s="35" t="s">
        <v>2031</v>
      </c>
    </row>
    <row r="335" customFormat="false" ht="15" hidden="false" customHeight="false" outlineLevel="0" collapsed="false">
      <c r="A335" s="35" t="n">
        <v>334</v>
      </c>
      <c r="B335" s="35" t="s">
        <v>1204</v>
      </c>
      <c r="C335" s="35" t="s">
        <v>2033</v>
      </c>
      <c r="D335" s="35" t="s">
        <v>1203</v>
      </c>
      <c r="E335" s="35" t="s">
        <v>1205</v>
      </c>
      <c r="F335" s="40" t="n">
        <v>160.878840688353</v>
      </c>
      <c r="G335" s="36" t="n">
        <v>4295.78305370684</v>
      </c>
      <c r="H335" s="36" t="n">
        <v>336.611996058067</v>
      </c>
      <c r="I335" s="8" t="s">
        <v>23</v>
      </c>
      <c r="J335" s="35" t="s">
        <v>283</v>
      </c>
      <c r="K335" s="35" t="s">
        <v>439</v>
      </c>
      <c r="L335" s="35" t="n">
        <v>54</v>
      </c>
      <c r="M335" s="35" t="s">
        <v>164</v>
      </c>
      <c r="N335" s="35" t="s">
        <v>1794</v>
      </c>
      <c r="O335" s="35" t="s">
        <v>165</v>
      </c>
      <c r="P335" s="35" t="s">
        <v>50</v>
      </c>
      <c r="Q335" s="35" t="n">
        <v>0</v>
      </c>
      <c r="R335" s="35"/>
      <c r="S335" s="35" t="s">
        <v>40</v>
      </c>
      <c r="T335" s="35" t="s">
        <v>41</v>
      </c>
      <c r="U335" s="35" t="s">
        <v>162</v>
      </c>
      <c r="V335" s="35" t="s">
        <v>164</v>
      </c>
      <c r="W335" s="35"/>
      <c r="X335" s="35" t="s">
        <v>2030</v>
      </c>
      <c r="Y335" s="35" t="n">
        <v>-7.184512</v>
      </c>
      <c r="Z335" s="35" t="n">
        <v>-48.215452</v>
      </c>
      <c r="AA335" s="49" t="s">
        <v>1603</v>
      </c>
      <c r="AB335" s="35" t="s">
        <v>2031</v>
      </c>
    </row>
    <row r="336" customFormat="false" ht="15" hidden="false" customHeight="false" outlineLevel="0" collapsed="false">
      <c r="A336" s="35" t="n">
        <v>335</v>
      </c>
      <c r="B336" s="35" t="s">
        <v>1206</v>
      </c>
      <c r="C336" s="35" t="s">
        <v>2034</v>
      </c>
      <c r="D336" s="35" t="s">
        <v>1205</v>
      </c>
      <c r="E336" s="35" t="s">
        <v>1207</v>
      </c>
      <c r="F336" s="40" t="n">
        <v>6.77466965344859</v>
      </c>
      <c r="G336" s="36" t="n">
        <v>4302.55772336028</v>
      </c>
      <c r="H336" s="36" t="n">
        <v>343.386665711516</v>
      </c>
      <c r="I336" s="8" t="s">
        <v>23</v>
      </c>
      <c r="J336" s="35" t="s">
        <v>283</v>
      </c>
      <c r="K336" s="35" t="s">
        <v>439</v>
      </c>
      <c r="L336" s="35" t="n">
        <v>54</v>
      </c>
      <c r="M336" s="35" t="s">
        <v>164</v>
      </c>
      <c r="N336" s="35" t="s">
        <v>1794</v>
      </c>
      <c r="O336" s="35" t="s">
        <v>165</v>
      </c>
      <c r="P336" s="35" t="s">
        <v>50</v>
      </c>
      <c r="Q336" s="35" t="n">
        <v>0</v>
      </c>
      <c r="R336" s="35"/>
      <c r="S336" s="35" t="s">
        <v>40</v>
      </c>
      <c r="T336" s="35" t="s">
        <v>41</v>
      </c>
      <c r="U336" s="35" t="s">
        <v>162</v>
      </c>
      <c r="V336" s="35" t="s">
        <v>164</v>
      </c>
      <c r="W336" s="35"/>
      <c r="X336" s="35" t="s">
        <v>2030</v>
      </c>
      <c r="Y336" s="35" t="n">
        <v>-7.183969</v>
      </c>
      <c r="Z336" s="35" t="n">
        <v>-48.214958</v>
      </c>
      <c r="AA336" s="49" t="s">
        <v>1603</v>
      </c>
      <c r="AB336" s="35" t="s">
        <v>2031</v>
      </c>
    </row>
    <row r="337" customFormat="false" ht="15" hidden="false" customHeight="false" outlineLevel="0" collapsed="false">
      <c r="A337" s="35" t="n">
        <v>336</v>
      </c>
      <c r="B337" s="35" t="s">
        <v>1208</v>
      </c>
      <c r="C337" s="35" t="s">
        <v>2035</v>
      </c>
      <c r="D337" s="35" t="s">
        <v>1205</v>
      </c>
      <c r="E337" s="35" t="s">
        <v>1209</v>
      </c>
      <c r="F337" s="40" t="n">
        <v>206.369316168451</v>
      </c>
      <c r="G337" s="36" t="n">
        <v>4502.15236987529</v>
      </c>
      <c r="H337" s="36" t="n">
        <v>542.981312226519</v>
      </c>
      <c r="I337" s="8" t="s">
        <v>23</v>
      </c>
      <c r="J337" s="35" t="s">
        <v>283</v>
      </c>
      <c r="K337" s="35" t="s">
        <v>439</v>
      </c>
      <c r="L337" s="35" t="n">
        <v>54</v>
      </c>
      <c r="M337" s="35" t="s">
        <v>164</v>
      </c>
      <c r="N337" s="35" t="s">
        <v>1794</v>
      </c>
      <c r="O337" s="35" t="s">
        <v>165</v>
      </c>
      <c r="P337" s="35" t="s">
        <v>50</v>
      </c>
      <c r="Q337" s="35" t="n">
        <v>0</v>
      </c>
      <c r="R337" s="35"/>
      <c r="S337" s="35" t="s">
        <v>40</v>
      </c>
      <c r="T337" s="35" t="s">
        <v>41</v>
      </c>
      <c r="U337" s="35" t="s">
        <v>162</v>
      </c>
      <c r="V337" s="35" t="s">
        <v>164</v>
      </c>
      <c r="W337" s="35"/>
      <c r="X337" s="35" t="s">
        <v>2030</v>
      </c>
      <c r="Y337" s="35" t="n">
        <v>-7.184398</v>
      </c>
      <c r="Z337" s="35" t="n">
        <v>-48.2140995</v>
      </c>
      <c r="AA337" s="49" t="s">
        <v>1603</v>
      </c>
      <c r="AB337" s="35" t="s">
        <v>2031</v>
      </c>
    </row>
    <row r="338" customFormat="false" ht="15" hidden="false" customHeight="false" outlineLevel="0" collapsed="false">
      <c r="A338" s="35" t="n">
        <v>337</v>
      </c>
      <c r="B338" s="35" t="s">
        <v>1210</v>
      </c>
      <c r="C338" s="35" t="s">
        <v>2036</v>
      </c>
      <c r="D338" s="35" t="s">
        <v>1209</v>
      </c>
      <c r="E338" s="35" t="s">
        <v>1211</v>
      </c>
      <c r="F338" s="40" t="n">
        <v>67.4621796618189</v>
      </c>
      <c r="G338" s="36" t="n">
        <v>4569.61454953711</v>
      </c>
      <c r="H338" s="36" t="n">
        <v>610.443491888337</v>
      </c>
      <c r="I338" s="8" t="s">
        <v>23</v>
      </c>
      <c r="J338" s="35" t="s">
        <v>283</v>
      </c>
      <c r="K338" s="35" t="s">
        <v>439</v>
      </c>
      <c r="L338" s="35" t="n">
        <v>54</v>
      </c>
      <c r="M338" s="35" t="s">
        <v>164</v>
      </c>
      <c r="N338" s="35" t="s">
        <v>1794</v>
      </c>
      <c r="O338" s="35" t="s">
        <v>165</v>
      </c>
      <c r="P338" s="35" t="s">
        <v>50</v>
      </c>
      <c r="Q338" s="35" t="n">
        <v>0</v>
      </c>
      <c r="R338" s="35"/>
      <c r="S338" s="35" t="s">
        <v>40</v>
      </c>
      <c r="T338" s="35" t="s">
        <v>41</v>
      </c>
      <c r="U338" s="35" t="s">
        <v>162</v>
      </c>
      <c r="V338" s="35" t="s">
        <v>164</v>
      </c>
      <c r="W338" s="35"/>
      <c r="X338" s="35" t="s">
        <v>2030</v>
      </c>
      <c r="Y338" s="35" t="n">
        <v>-7.184731</v>
      </c>
      <c r="Z338" s="35" t="n">
        <v>-48.2129595</v>
      </c>
      <c r="AA338" s="49" t="s">
        <v>1603</v>
      </c>
      <c r="AB338" s="35" t="s">
        <v>2031</v>
      </c>
    </row>
    <row r="339" customFormat="false" ht="15" hidden="false" customHeight="false" outlineLevel="0" collapsed="false">
      <c r="A339" s="35" t="n">
        <v>338</v>
      </c>
      <c r="B339" s="35" t="s">
        <v>1212</v>
      </c>
      <c r="C339" s="35" t="s">
        <v>2037</v>
      </c>
      <c r="D339" s="35" t="s">
        <v>1205</v>
      </c>
      <c r="E339" s="35" t="s">
        <v>1213</v>
      </c>
      <c r="F339" s="40" t="n">
        <v>73.4819870953834</v>
      </c>
      <c r="G339" s="36" t="n">
        <v>4369.26504080222</v>
      </c>
      <c r="H339" s="36" t="n">
        <v>410.093983153451</v>
      </c>
      <c r="I339" s="8" t="s">
        <v>23</v>
      </c>
      <c r="J339" s="35" t="s">
        <v>283</v>
      </c>
      <c r="K339" s="35" t="s">
        <v>439</v>
      </c>
      <c r="L339" s="35" t="n">
        <v>54</v>
      </c>
      <c r="M339" s="35" t="s">
        <v>164</v>
      </c>
      <c r="N339" s="35" t="s">
        <v>1794</v>
      </c>
      <c r="O339" s="35" t="s">
        <v>165</v>
      </c>
      <c r="P339" s="35" t="s">
        <v>50</v>
      </c>
      <c r="Q339" s="35" t="n">
        <v>0</v>
      </c>
      <c r="R339" s="35"/>
      <c r="S339" s="35" t="s">
        <v>40</v>
      </c>
      <c r="T339" s="35" t="s">
        <v>41</v>
      </c>
      <c r="U339" s="35" t="s">
        <v>162</v>
      </c>
      <c r="V339" s="35" t="s">
        <v>164</v>
      </c>
      <c r="W339" s="35"/>
      <c r="X339" s="35" t="s">
        <v>2030</v>
      </c>
      <c r="Y339" s="35" t="n">
        <v>-7.183768</v>
      </c>
      <c r="Z339" s="35" t="n">
        <v>-48.2147</v>
      </c>
      <c r="AA339" s="49" t="s">
        <v>1603</v>
      </c>
      <c r="AB339" s="35" t="s">
        <v>2031</v>
      </c>
    </row>
    <row r="340" customFormat="false" ht="15" hidden="false" customHeight="false" outlineLevel="0" collapsed="false">
      <c r="A340" s="35" t="n">
        <v>339</v>
      </c>
      <c r="B340" s="35" t="s">
        <v>1214</v>
      </c>
      <c r="C340" s="35" t="s">
        <v>2038</v>
      </c>
      <c r="D340" s="35" t="s">
        <v>1203</v>
      </c>
      <c r="E340" s="35" t="s">
        <v>1215</v>
      </c>
      <c r="F340" s="40" t="n">
        <v>0.943512482316457</v>
      </c>
      <c r="G340" s="36" t="n">
        <v>4135.8477255008</v>
      </c>
      <c r="H340" s="36" t="n">
        <v>176.676667852032</v>
      </c>
      <c r="I340" s="8" t="s">
        <v>23</v>
      </c>
      <c r="J340" s="35" t="s">
        <v>283</v>
      </c>
      <c r="K340" s="35" t="s">
        <v>439</v>
      </c>
      <c r="L340" s="35" t="n">
        <v>54</v>
      </c>
      <c r="M340" s="35" t="s">
        <v>164</v>
      </c>
      <c r="N340" s="35" t="s">
        <v>1794</v>
      </c>
      <c r="O340" s="35" t="s">
        <v>165</v>
      </c>
      <c r="P340" s="35" t="s">
        <v>166</v>
      </c>
      <c r="Q340" s="35" t="n">
        <v>1</v>
      </c>
      <c r="R340" s="35"/>
      <c r="S340" s="35" t="s">
        <v>40</v>
      </c>
      <c r="T340" s="35" t="s">
        <v>41</v>
      </c>
      <c r="U340" s="35" t="s">
        <v>162</v>
      </c>
      <c r="V340" s="35" t="s">
        <v>164</v>
      </c>
      <c r="W340" s="35"/>
      <c r="X340" s="35" t="s">
        <v>2030</v>
      </c>
      <c r="Y340" s="35" t="n">
        <v>-7.1850275</v>
      </c>
      <c r="Z340" s="35" t="n">
        <v>-48.215958</v>
      </c>
      <c r="AA340" s="49" t="s">
        <v>1603</v>
      </c>
      <c r="AB340" s="35" t="s">
        <v>2031</v>
      </c>
    </row>
    <row r="341" customFormat="false" ht="15" hidden="false" customHeight="false" outlineLevel="0" collapsed="false">
      <c r="A341" s="35" t="n">
        <v>340</v>
      </c>
      <c r="B341" s="35" t="s">
        <v>1216</v>
      </c>
      <c r="C341" s="35" t="s">
        <v>2039</v>
      </c>
      <c r="D341" s="35" t="s">
        <v>1201</v>
      </c>
      <c r="E341" s="35" t="s">
        <v>1217</v>
      </c>
      <c r="F341" s="40" t="n">
        <v>36.189922334603</v>
      </c>
      <c r="G341" s="36" t="n">
        <v>4111.06953072229</v>
      </c>
      <c r="H341" s="36" t="n">
        <v>151.898473073526</v>
      </c>
      <c r="I341" s="8" t="s">
        <v>23</v>
      </c>
      <c r="J341" s="35" t="s">
        <v>283</v>
      </c>
      <c r="K341" s="35" t="s">
        <v>439</v>
      </c>
      <c r="L341" s="35" t="n">
        <v>54</v>
      </c>
      <c r="M341" s="35" t="s">
        <v>164</v>
      </c>
      <c r="N341" s="35" t="s">
        <v>1794</v>
      </c>
      <c r="O341" s="35" t="s">
        <v>165</v>
      </c>
      <c r="P341" s="35" t="s">
        <v>168</v>
      </c>
      <c r="Q341" s="35" t="n">
        <v>1</v>
      </c>
      <c r="R341" s="35"/>
      <c r="S341" s="35" t="s">
        <v>40</v>
      </c>
      <c r="T341" s="35" t="s">
        <v>41</v>
      </c>
      <c r="U341" s="35" t="s">
        <v>162</v>
      </c>
      <c r="V341" s="35" t="s">
        <v>164</v>
      </c>
      <c r="W341" s="35"/>
      <c r="X341" s="35" t="s">
        <v>2030</v>
      </c>
      <c r="Y341" s="35" t="n">
        <v>-7.185513</v>
      </c>
      <c r="Z341" s="35" t="n">
        <v>-48.216247</v>
      </c>
      <c r="AA341" s="49" t="s">
        <v>1603</v>
      </c>
      <c r="AB341" s="35" t="s">
        <v>2031</v>
      </c>
    </row>
    <row r="342" customFormat="false" ht="15" hidden="false" customHeight="false" outlineLevel="0" collapsed="false">
      <c r="A342" s="35" t="n">
        <v>341</v>
      </c>
      <c r="B342" s="35" t="s">
        <v>1218</v>
      </c>
      <c r="C342" s="35" t="s">
        <v>2040</v>
      </c>
      <c r="D342" s="35" t="s">
        <v>1217</v>
      </c>
      <c r="E342" s="35" t="s">
        <v>1219</v>
      </c>
      <c r="F342" s="40" t="n">
        <v>43.0846822853661</v>
      </c>
      <c r="G342" s="36" t="n">
        <v>4154.15421300766</v>
      </c>
      <c r="H342" s="36" t="n">
        <v>194.983155358892</v>
      </c>
      <c r="I342" s="8" t="s">
        <v>23</v>
      </c>
      <c r="J342" s="35" t="s">
        <v>283</v>
      </c>
      <c r="K342" s="35" t="s">
        <v>439</v>
      </c>
      <c r="L342" s="35" t="n">
        <v>54</v>
      </c>
      <c r="M342" s="35" t="s">
        <v>164</v>
      </c>
      <c r="N342" s="35" t="s">
        <v>1794</v>
      </c>
      <c r="O342" s="35" t="s">
        <v>165</v>
      </c>
      <c r="P342" s="35" t="s">
        <v>168</v>
      </c>
      <c r="Q342" s="35" t="n">
        <v>1</v>
      </c>
      <c r="R342" s="35"/>
      <c r="S342" s="35" t="s">
        <v>40</v>
      </c>
      <c r="T342" s="35" t="s">
        <v>41</v>
      </c>
      <c r="U342" s="35" t="s">
        <v>162</v>
      </c>
      <c r="V342" s="35" t="s">
        <v>164</v>
      </c>
      <c r="W342" s="35"/>
      <c r="X342" s="35" t="s">
        <v>2030</v>
      </c>
      <c r="Y342" s="35" t="n">
        <v>-7.1857695</v>
      </c>
      <c r="Z342" s="35" t="n">
        <v>-48.2159975</v>
      </c>
      <c r="AA342" s="49" t="s">
        <v>1603</v>
      </c>
      <c r="AB342" s="35" t="s">
        <v>2031</v>
      </c>
    </row>
    <row r="343" customFormat="false" ht="15" hidden="false" customHeight="false" outlineLevel="0" collapsed="false">
      <c r="A343" s="35" t="n">
        <v>342</v>
      </c>
      <c r="B343" s="35" t="s">
        <v>1220</v>
      </c>
      <c r="C343" s="35" t="s">
        <v>2041</v>
      </c>
      <c r="D343" s="35" t="s">
        <v>1219</v>
      </c>
      <c r="E343" s="35" t="s">
        <v>1221</v>
      </c>
      <c r="F343" s="40" t="n">
        <v>17.7052236957206</v>
      </c>
      <c r="G343" s="36" t="n">
        <v>4171.85943670338</v>
      </c>
      <c r="H343" s="36" t="n">
        <v>212.688379054613</v>
      </c>
      <c r="I343" s="8" t="s">
        <v>23</v>
      </c>
      <c r="J343" s="35" t="s">
        <v>283</v>
      </c>
      <c r="K343" s="35" t="s">
        <v>439</v>
      </c>
      <c r="L343" s="35" t="n">
        <v>54</v>
      </c>
      <c r="M343" s="35" t="s">
        <v>164</v>
      </c>
      <c r="N343" s="35" t="s">
        <v>1794</v>
      </c>
      <c r="O343" s="35" t="s">
        <v>165</v>
      </c>
      <c r="P343" s="35" t="s">
        <v>50</v>
      </c>
      <c r="Q343" s="35" t="n">
        <v>0</v>
      </c>
      <c r="R343" s="35"/>
      <c r="S343" s="35" t="s">
        <v>40</v>
      </c>
      <c r="T343" s="35" t="s">
        <v>41</v>
      </c>
      <c r="U343" s="35" t="s">
        <v>162</v>
      </c>
      <c r="V343" s="35" t="s">
        <v>164</v>
      </c>
      <c r="W343" s="35"/>
      <c r="X343" s="35" t="s">
        <v>2030</v>
      </c>
      <c r="Y343" s="35" t="n">
        <v>-7.1859665</v>
      </c>
      <c r="Z343" s="35" t="n">
        <v>-48.2158065</v>
      </c>
      <c r="AA343" s="49" t="s">
        <v>1603</v>
      </c>
      <c r="AB343" s="35" t="s">
        <v>2031</v>
      </c>
    </row>
    <row r="344" customFormat="false" ht="15" hidden="false" customHeight="false" outlineLevel="0" collapsed="false">
      <c r="A344" s="35" t="n">
        <v>343</v>
      </c>
      <c r="B344" s="35" t="s">
        <v>1222</v>
      </c>
      <c r="C344" s="35" t="s">
        <v>2042</v>
      </c>
      <c r="D344" s="35" t="s">
        <v>1219</v>
      </c>
      <c r="E344" s="35" t="s">
        <v>1223</v>
      </c>
      <c r="F344" s="40" t="n">
        <v>16.0358884396847</v>
      </c>
      <c r="G344" s="36" t="n">
        <v>4170.19010144734</v>
      </c>
      <c r="H344" s="36" t="n">
        <v>211.019043798577</v>
      </c>
      <c r="I344" s="8" t="s">
        <v>23</v>
      </c>
      <c r="J344" s="35" t="s">
        <v>283</v>
      </c>
      <c r="K344" s="35" t="s">
        <v>439</v>
      </c>
      <c r="L344" s="35" t="n">
        <v>54</v>
      </c>
      <c r="M344" s="35" t="s">
        <v>164</v>
      </c>
      <c r="N344" s="35" t="s">
        <v>1794</v>
      </c>
      <c r="O344" s="35" t="s">
        <v>165</v>
      </c>
      <c r="P344" s="35" t="s">
        <v>50</v>
      </c>
      <c r="Q344" s="35" t="n">
        <v>0</v>
      </c>
      <c r="R344" s="35"/>
      <c r="S344" s="35" t="s">
        <v>40</v>
      </c>
      <c r="T344" s="35" t="s">
        <v>41</v>
      </c>
      <c r="U344" s="35" t="s">
        <v>162</v>
      </c>
      <c r="V344" s="35" t="s">
        <v>164</v>
      </c>
      <c r="W344" s="35"/>
      <c r="X344" s="35" t="s">
        <v>2030</v>
      </c>
      <c r="Y344" s="35" t="n">
        <v>-7.185964</v>
      </c>
      <c r="Z344" s="35" t="n">
        <v>-48.215909</v>
      </c>
      <c r="AA344" s="49" t="s">
        <v>1603</v>
      </c>
      <c r="AB344" s="35" t="s">
        <v>2031</v>
      </c>
    </row>
    <row r="345" customFormat="false" ht="15" hidden="false" customHeight="false" outlineLevel="0" collapsed="false">
      <c r="A345" s="35" t="n">
        <v>344</v>
      </c>
      <c r="B345" s="35" t="s">
        <v>1224</v>
      </c>
      <c r="C345" s="35" t="s">
        <v>2043</v>
      </c>
      <c r="D345" s="35" t="s">
        <v>1219</v>
      </c>
      <c r="E345" s="35" t="s">
        <v>1225</v>
      </c>
      <c r="F345" s="40" t="n">
        <v>40.6040250948513</v>
      </c>
      <c r="G345" s="36" t="n">
        <v>4194.75823810251</v>
      </c>
      <c r="H345" s="36" t="n">
        <v>235.587180453743</v>
      </c>
      <c r="I345" s="8" t="s">
        <v>23</v>
      </c>
      <c r="J345" s="35" t="s">
        <v>283</v>
      </c>
      <c r="K345" s="35" t="s">
        <v>439</v>
      </c>
      <c r="L345" s="35" t="n">
        <v>54</v>
      </c>
      <c r="M345" s="35" t="s">
        <v>164</v>
      </c>
      <c r="N345" s="35" t="s">
        <v>1794</v>
      </c>
      <c r="O345" s="35" t="s">
        <v>165</v>
      </c>
      <c r="P345" s="35" t="s">
        <v>168</v>
      </c>
      <c r="Q345" s="35" t="n">
        <v>1</v>
      </c>
      <c r="R345" s="35"/>
      <c r="S345" s="35" t="s">
        <v>40</v>
      </c>
      <c r="T345" s="35" t="s">
        <v>41</v>
      </c>
      <c r="U345" s="35" t="s">
        <v>162</v>
      </c>
      <c r="V345" s="35" t="s">
        <v>164</v>
      </c>
      <c r="W345" s="35"/>
      <c r="X345" s="35" t="s">
        <v>2030</v>
      </c>
      <c r="Y345" s="35" t="n">
        <v>-7.185786</v>
      </c>
      <c r="Z345" s="35" t="n">
        <v>-48.215726</v>
      </c>
      <c r="AA345" s="49" t="s">
        <v>1603</v>
      </c>
      <c r="AB345" s="35" t="s">
        <v>2031</v>
      </c>
    </row>
    <row r="346" customFormat="false" ht="15" hidden="false" customHeight="false" outlineLevel="0" collapsed="false">
      <c r="A346" s="35" t="n">
        <v>345</v>
      </c>
      <c r="B346" s="35" t="s">
        <v>1226</v>
      </c>
      <c r="C346" s="35" t="s">
        <v>2044</v>
      </c>
      <c r="D346" s="35" t="s">
        <v>1225</v>
      </c>
      <c r="E346" s="35" t="s">
        <v>1227</v>
      </c>
      <c r="F346" s="40" t="n">
        <v>27.3343447693555</v>
      </c>
      <c r="G346" s="36" t="n">
        <v>4222.09258287187</v>
      </c>
      <c r="H346" s="36" t="n">
        <v>262.921525223098</v>
      </c>
      <c r="I346" s="8" t="s">
        <v>23</v>
      </c>
      <c r="J346" s="35" t="s">
        <v>283</v>
      </c>
      <c r="K346" s="35" t="s">
        <v>439</v>
      </c>
      <c r="L346" s="35" t="n">
        <v>54</v>
      </c>
      <c r="M346" s="35" t="s">
        <v>164</v>
      </c>
      <c r="N346" s="35" t="s">
        <v>1794</v>
      </c>
      <c r="O346" s="35" t="s">
        <v>165</v>
      </c>
      <c r="P346" s="35" t="s">
        <v>50</v>
      </c>
      <c r="Q346" s="35" t="n">
        <v>0</v>
      </c>
      <c r="R346" s="35"/>
      <c r="S346" s="35" t="s">
        <v>40</v>
      </c>
      <c r="T346" s="35" t="s">
        <v>41</v>
      </c>
      <c r="U346" s="35" t="s">
        <v>162</v>
      </c>
      <c r="V346" s="35" t="s">
        <v>164</v>
      </c>
      <c r="W346" s="35"/>
      <c r="X346" s="35" t="s">
        <v>2030</v>
      </c>
      <c r="Y346" s="35" t="n">
        <v>-7.1855775</v>
      </c>
      <c r="Z346" s="35" t="n">
        <v>-48.215501</v>
      </c>
      <c r="AA346" s="49" t="s">
        <v>1603</v>
      </c>
      <c r="AB346" s="35" t="s">
        <v>2031</v>
      </c>
    </row>
    <row r="347" customFormat="false" ht="15" hidden="false" customHeight="false" outlineLevel="0" collapsed="false">
      <c r="A347" s="35" t="n">
        <v>346</v>
      </c>
      <c r="B347" s="35" t="s">
        <v>1228</v>
      </c>
      <c r="C347" s="35" t="s">
        <v>2045</v>
      </c>
      <c r="D347" s="35" t="s">
        <v>1225</v>
      </c>
      <c r="E347" s="35" t="s">
        <v>1229</v>
      </c>
      <c r="F347" s="40" t="n">
        <v>2.34955586786914</v>
      </c>
      <c r="G347" s="36" t="n">
        <v>4197.10779397038</v>
      </c>
      <c r="H347" s="36" t="n">
        <v>237.936736321612</v>
      </c>
      <c r="I347" s="8" t="s">
        <v>23</v>
      </c>
      <c r="J347" s="35" t="s">
        <v>283</v>
      </c>
      <c r="K347" s="35" t="s">
        <v>439</v>
      </c>
      <c r="L347" s="35" t="n">
        <v>54</v>
      </c>
      <c r="M347" s="35" t="s">
        <v>164</v>
      </c>
      <c r="N347" s="35" t="s">
        <v>1794</v>
      </c>
      <c r="O347" s="35" t="s">
        <v>165</v>
      </c>
      <c r="P347" s="35" t="s">
        <v>168</v>
      </c>
      <c r="Q347" s="35" t="n">
        <v>1</v>
      </c>
      <c r="R347" s="35"/>
      <c r="S347" s="35" t="s">
        <v>40</v>
      </c>
      <c r="T347" s="35" t="s">
        <v>41</v>
      </c>
      <c r="U347" s="35" t="s">
        <v>162</v>
      </c>
      <c r="V347" s="35" t="s">
        <v>164</v>
      </c>
      <c r="W347" s="35"/>
      <c r="X347" s="35" t="s">
        <v>2030</v>
      </c>
      <c r="Y347" s="35" t="n">
        <v>-7.1856705</v>
      </c>
      <c r="Z347" s="35" t="n">
        <v>-48.2155825</v>
      </c>
      <c r="AA347" s="49" t="s">
        <v>1603</v>
      </c>
      <c r="AB347" s="35" t="s">
        <v>2031</v>
      </c>
    </row>
    <row r="348" customFormat="false" ht="15" hidden="false" customHeight="false" outlineLevel="0" collapsed="false">
      <c r="A348" s="35" t="n">
        <v>347</v>
      </c>
      <c r="B348" s="35" t="s">
        <v>1230</v>
      </c>
      <c r="C348" s="35" t="s">
        <v>2046</v>
      </c>
      <c r="D348" s="35" t="s">
        <v>1201</v>
      </c>
      <c r="E348" s="35" t="s">
        <v>1231</v>
      </c>
      <c r="F348" s="40" t="n">
        <v>9.1685487688558</v>
      </c>
      <c r="G348" s="36" t="n">
        <v>4084.04815715655</v>
      </c>
      <c r="H348" s="36" t="n">
        <v>124.877099507779</v>
      </c>
      <c r="I348" s="8" t="s">
        <v>23</v>
      </c>
      <c r="J348" s="35" t="s">
        <v>283</v>
      </c>
      <c r="K348" s="35" t="s">
        <v>439</v>
      </c>
      <c r="L348" s="35" t="n">
        <v>54</v>
      </c>
      <c r="M348" s="35" t="s">
        <v>164</v>
      </c>
      <c r="N348" s="35" t="s">
        <v>1794</v>
      </c>
      <c r="O348" s="35" t="s">
        <v>165</v>
      </c>
      <c r="P348" s="35" t="s">
        <v>50</v>
      </c>
      <c r="Q348" s="35" t="n">
        <v>0</v>
      </c>
      <c r="R348" s="35"/>
      <c r="S348" s="35" t="s">
        <v>40</v>
      </c>
      <c r="T348" s="35" t="s">
        <v>41</v>
      </c>
      <c r="U348" s="35" t="s">
        <v>162</v>
      </c>
      <c r="V348" s="35" t="s">
        <v>164</v>
      </c>
      <c r="W348" s="35"/>
      <c r="X348" s="35" t="s">
        <v>2030</v>
      </c>
      <c r="Y348" s="35" t="n">
        <v>-7.185424</v>
      </c>
      <c r="Z348" s="35" t="n">
        <v>-48.2163915</v>
      </c>
      <c r="AA348" s="49" t="s">
        <v>1603</v>
      </c>
      <c r="AB348" s="35" t="s">
        <v>2031</v>
      </c>
    </row>
    <row r="349" customFormat="false" ht="15" hidden="false" customHeight="false" outlineLevel="0" collapsed="false">
      <c r="A349" s="35" t="n">
        <v>348</v>
      </c>
      <c r="B349" s="35" t="s">
        <v>1232</v>
      </c>
      <c r="C349" s="35" t="s">
        <v>2047</v>
      </c>
      <c r="D349" s="35" t="s">
        <v>1215</v>
      </c>
      <c r="E349" s="35" t="s">
        <v>1233</v>
      </c>
      <c r="F349" s="40" t="n">
        <v>8.080333236384</v>
      </c>
      <c r="G349" s="36" t="n">
        <v>4143.92805873718</v>
      </c>
      <c r="H349" s="36" t="n">
        <v>8.08033323638392</v>
      </c>
      <c r="I349" s="9" t="s">
        <v>24</v>
      </c>
      <c r="J349" s="35" t="s">
        <v>283</v>
      </c>
      <c r="K349" s="35" t="s">
        <v>439</v>
      </c>
      <c r="L349" s="35" t="n">
        <v>55</v>
      </c>
      <c r="M349" s="35" t="s">
        <v>166</v>
      </c>
      <c r="N349" s="35" t="s">
        <v>1788</v>
      </c>
      <c r="O349" s="35" t="s">
        <v>167</v>
      </c>
      <c r="P349" s="35" t="s">
        <v>50</v>
      </c>
      <c r="Q349" s="35" t="n">
        <v>0</v>
      </c>
      <c r="R349" s="35"/>
      <c r="S349" s="35" t="s">
        <v>40</v>
      </c>
      <c r="T349" s="35" t="s">
        <v>41</v>
      </c>
      <c r="U349" s="35" t="s">
        <v>162</v>
      </c>
      <c r="V349" s="35" t="s">
        <v>164</v>
      </c>
      <c r="W349" s="35" t="s">
        <v>166</v>
      </c>
      <c r="X349" s="35" t="s">
        <v>2048</v>
      </c>
      <c r="Y349" s="35" t="n">
        <v>-7.1850125</v>
      </c>
      <c r="Z349" s="35" t="n">
        <v>-48.21592</v>
      </c>
      <c r="AA349" s="49" t="s">
        <v>1603</v>
      </c>
      <c r="AB349" s="35" t="s">
        <v>2049</v>
      </c>
    </row>
    <row r="350" customFormat="false" ht="15" hidden="false" customHeight="false" outlineLevel="0" collapsed="false">
      <c r="A350" s="35" t="n">
        <v>349</v>
      </c>
      <c r="B350" s="35" t="s">
        <v>1234</v>
      </c>
      <c r="C350" s="35" t="s">
        <v>2050</v>
      </c>
      <c r="D350" s="35" t="s">
        <v>1229</v>
      </c>
      <c r="E350" s="35" t="s">
        <v>1235</v>
      </c>
      <c r="F350" s="40" t="n">
        <v>21.0684456589855</v>
      </c>
      <c r="G350" s="36" t="n">
        <v>4218.17623962936</v>
      </c>
      <c r="H350" s="36" t="n">
        <v>21.0684456589852</v>
      </c>
      <c r="I350" s="9" t="s">
        <v>24</v>
      </c>
      <c r="J350" s="35" t="s">
        <v>283</v>
      </c>
      <c r="K350" s="35" t="s">
        <v>439</v>
      </c>
      <c r="L350" s="35" t="n">
        <v>56</v>
      </c>
      <c r="M350" s="35" t="s">
        <v>168</v>
      </c>
      <c r="N350" s="35" t="s">
        <v>1788</v>
      </c>
      <c r="O350" s="35" t="s">
        <v>169</v>
      </c>
      <c r="P350" s="35" t="s">
        <v>50</v>
      </c>
      <c r="Q350" s="35" t="n">
        <v>0</v>
      </c>
      <c r="R350" s="35"/>
      <c r="S350" s="35" t="s">
        <v>40</v>
      </c>
      <c r="T350" s="35" t="s">
        <v>41</v>
      </c>
      <c r="U350" s="35" t="s">
        <v>162</v>
      </c>
      <c r="V350" s="35" t="s">
        <v>164</v>
      </c>
      <c r="W350" s="35" t="s">
        <v>168</v>
      </c>
      <c r="X350" s="35" t="s">
        <v>2051</v>
      </c>
      <c r="Y350" s="35" t="n">
        <v>-7.1857455</v>
      </c>
      <c r="Z350" s="35" t="n">
        <v>-48.215508</v>
      </c>
      <c r="AA350" s="49" t="s">
        <v>1603</v>
      </c>
      <c r="AB350" s="35" t="s">
        <v>2052</v>
      </c>
    </row>
    <row r="351" customFormat="false" ht="15" hidden="false" customHeight="false" outlineLevel="0" collapsed="false">
      <c r="A351" s="35" t="n">
        <v>350</v>
      </c>
      <c r="B351" s="35" t="s">
        <v>1236</v>
      </c>
      <c r="C351" s="35" t="s">
        <v>2053</v>
      </c>
      <c r="D351" s="35" t="s">
        <v>1235</v>
      </c>
      <c r="E351" s="35" t="s">
        <v>1237</v>
      </c>
      <c r="F351" s="40" t="n">
        <v>7.84000772063632</v>
      </c>
      <c r="G351" s="36" t="n">
        <v>4226.01624735</v>
      </c>
      <c r="H351" s="36" t="n">
        <v>28.9084533796213</v>
      </c>
      <c r="I351" s="9" t="s">
        <v>24</v>
      </c>
      <c r="J351" s="35" t="s">
        <v>283</v>
      </c>
      <c r="K351" s="35" t="s">
        <v>439</v>
      </c>
      <c r="L351" s="35" t="n">
        <v>56</v>
      </c>
      <c r="M351" s="35" t="s">
        <v>168</v>
      </c>
      <c r="N351" s="35" t="s">
        <v>1788</v>
      </c>
      <c r="O351" s="35" t="s">
        <v>169</v>
      </c>
      <c r="P351" s="35" t="s">
        <v>50</v>
      </c>
      <c r="Q351" s="35" t="n">
        <v>0</v>
      </c>
      <c r="R351" s="35"/>
      <c r="S351" s="35" t="s">
        <v>40</v>
      </c>
      <c r="T351" s="35" t="s">
        <v>41</v>
      </c>
      <c r="U351" s="35" t="s">
        <v>162</v>
      </c>
      <c r="V351" s="35" t="s">
        <v>164</v>
      </c>
      <c r="W351" s="35" t="s">
        <v>168</v>
      </c>
      <c r="X351" s="35" t="s">
        <v>2051</v>
      </c>
      <c r="Y351" s="35" t="n">
        <v>-7.185846</v>
      </c>
      <c r="Z351" s="35" t="n">
        <v>-48.2154535</v>
      </c>
      <c r="AA351" s="49" t="s">
        <v>1603</v>
      </c>
      <c r="AB351" s="35" t="s">
        <v>2052</v>
      </c>
    </row>
    <row r="352" customFormat="false" ht="15" hidden="false" customHeight="false" outlineLevel="0" collapsed="false">
      <c r="A352" s="35" t="n">
        <v>351</v>
      </c>
      <c r="B352" s="35" t="s">
        <v>1238</v>
      </c>
      <c r="C352" s="35" t="s">
        <v>2054</v>
      </c>
      <c r="D352" s="35" t="s">
        <v>699</v>
      </c>
      <c r="E352" s="35" t="s">
        <v>1239</v>
      </c>
      <c r="F352" s="40" t="n">
        <v>1.04670240530509</v>
      </c>
      <c r="G352" s="36" t="n">
        <v>3902.16802624605</v>
      </c>
      <c r="H352" s="36" t="n">
        <v>930.003295300968</v>
      </c>
      <c r="I352" s="6" t="s">
        <v>21</v>
      </c>
      <c r="J352" s="35" t="s">
        <v>283</v>
      </c>
      <c r="K352" s="35" t="s">
        <v>450</v>
      </c>
      <c r="L352" s="35" t="n">
        <v>57</v>
      </c>
      <c r="M352" s="35" t="s">
        <v>41</v>
      </c>
      <c r="N352" s="35" t="s">
        <v>1674</v>
      </c>
      <c r="O352" s="35" t="s">
        <v>172</v>
      </c>
      <c r="P352" s="35" t="s">
        <v>172</v>
      </c>
      <c r="Q352" s="35" t="n">
        <v>1</v>
      </c>
      <c r="R352" s="35"/>
      <c r="S352" s="35" t="s">
        <v>40</v>
      </c>
      <c r="T352" s="35" t="s">
        <v>41</v>
      </c>
      <c r="U352" s="35"/>
      <c r="V352" s="35"/>
      <c r="W352" s="35"/>
      <c r="X352" s="35" t="s">
        <v>1676</v>
      </c>
      <c r="Y352" s="35" t="n">
        <v>-7.186737</v>
      </c>
      <c r="Z352" s="35" t="n">
        <v>-48.2174935</v>
      </c>
      <c r="AA352" s="49" t="s">
        <v>1603</v>
      </c>
      <c r="AB352" s="35" t="s">
        <v>1677</v>
      </c>
    </row>
    <row r="353" customFormat="false" ht="15" hidden="false" customHeight="false" outlineLevel="0" collapsed="false">
      <c r="A353" s="35" t="n">
        <v>352</v>
      </c>
      <c r="B353" s="35" t="s">
        <v>1240</v>
      </c>
      <c r="C353" s="35" t="s">
        <v>2055</v>
      </c>
      <c r="D353" s="35" t="s">
        <v>1239</v>
      </c>
      <c r="E353" s="35" t="s">
        <v>1241</v>
      </c>
      <c r="F353" s="40" t="n">
        <v>7.84550519134476</v>
      </c>
      <c r="G353" s="36" t="n">
        <v>3910.01353143739</v>
      </c>
      <c r="H353" s="36" t="n">
        <v>7.84550519134473</v>
      </c>
      <c r="I353" s="7" t="s">
        <v>22</v>
      </c>
      <c r="J353" s="35" t="s">
        <v>283</v>
      </c>
      <c r="K353" s="35" t="s">
        <v>450</v>
      </c>
      <c r="L353" s="35" t="n">
        <v>58</v>
      </c>
      <c r="M353" s="35" t="s">
        <v>172</v>
      </c>
      <c r="N353" s="35" t="s">
        <v>1794</v>
      </c>
      <c r="O353" s="35" t="s">
        <v>173</v>
      </c>
      <c r="P353" s="35" t="s">
        <v>50</v>
      </c>
      <c r="Q353" s="35" t="n">
        <v>0</v>
      </c>
      <c r="R353" s="35"/>
      <c r="S353" s="35" t="s">
        <v>40</v>
      </c>
      <c r="T353" s="35" t="s">
        <v>41</v>
      </c>
      <c r="U353" s="35" t="s">
        <v>172</v>
      </c>
      <c r="V353" s="35"/>
      <c r="W353" s="35"/>
      <c r="X353" s="35" t="s">
        <v>2056</v>
      </c>
      <c r="Y353" s="35" t="n">
        <v>-7.1867705</v>
      </c>
      <c r="Z353" s="35" t="n">
        <v>-48.2175155</v>
      </c>
      <c r="AA353" s="49" t="s">
        <v>1603</v>
      </c>
      <c r="AB353" s="35" t="s">
        <v>2057</v>
      </c>
    </row>
    <row r="354" customFormat="false" ht="15" hidden="false" customHeight="false" outlineLevel="0" collapsed="false">
      <c r="A354" s="35" t="n">
        <v>353</v>
      </c>
      <c r="B354" s="35" t="s">
        <v>1242</v>
      </c>
      <c r="C354" s="35" t="s">
        <v>2058</v>
      </c>
      <c r="D354" s="35" t="s">
        <v>703</v>
      </c>
      <c r="E354" s="35" t="s">
        <v>1243</v>
      </c>
      <c r="F354" s="40" t="n">
        <v>1.51139038339779</v>
      </c>
      <c r="G354" s="36" t="n">
        <v>4006.95297006661</v>
      </c>
      <c r="H354" s="36" t="n">
        <v>1034.78823912153</v>
      </c>
      <c r="I354" s="6" t="s">
        <v>21</v>
      </c>
      <c r="J354" s="35" t="s">
        <v>283</v>
      </c>
      <c r="K354" s="35" t="s">
        <v>451</v>
      </c>
      <c r="L354" s="35" t="n">
        <v>59</v>
      </c>
      <c r="M354" s="35" t="s">
        <v>41</v>
      </c>
      <c r="N354" s="35" t="s">
        <v>1674</v>
      </c>
      <c r="O354" s="35" t="s">
        <v>176</v>
      </c>
      <c r="P354" s="35" t="s">
        <v>176</v>
      </c>
      <c r="Q354" s="35" t="n">
        <v>1</v>
      </c>
      <c r="R354" s="35"/>
      <c r="S354" s="35" t="s">
        <v>40</v>
      </c>
      <c r="T354" s="35" t="s">
        <v>41</v>
      </c>
      <c r="U354" s="35"/>
      <c r="V354" s="35"/>
      <c r="W354" s="35"/>
      <c r="X354" s="35" t="s">
        <v>1676</v>
      </c>
      <c r="Y354" s="35" t="n">
        <v>-7.1874055</v>
      </c>
      <c r="Z354" s="35" t="n">
        <v>-48.216827</v>
      </c>
      <c r="AA354" s="49" t="s">
        <v>1603</v>
      </c>
      <c r="AB354" s="35" t="s">
        <v>1677</v>
      </c>
    </row>
    <row r="355" customFormat="false" ht="15" hidden="false" customHeight="false" outlineLevel="0" collapsed="false">
      <c r="A355" s="35" t="n">
        <v>354</v>
      </c>
      <c r="B355" s="35" t="s">
        <v>1244</v>
      </c>
      <c r="C355" s="35" t="s">
        <v>2059</v>
      </c>
      <c r="D355" s="35" t="s">
        <v>1243</v>
      </c>
      <c r="E355" s="35" t="s">
        <v>1245</v>
      </c>
      <c r="F355" s="40" t="n">
        <v>13.2195307549832</v>
      </c>
      <c r="G355" s="36" t="n">
        <v>4020.1725008216</v>
      </c>
      <c r="H355" s="36" t="n">
        <v>13.2195307549832</v>
      </c>
      <c r="I355" s="7" t="s">
        <v>22</v>
      </c>
      <c r="J355" s="35" t="s">
        <v>283</v>
      </c>
      <c r="K355" s="35" t="s">
        <v>451</v>
      </c>
      <c r="L355" s="35" t="n">
        <v>60</v>
      </c>
      <c r="M355" s="35" t="s">
        <v>176</v>
      </c>
      <c r="N355" s="35" t="s">
        <v>1788</v>
      </c>
      <c r="O355" s="35" t="s">
        <v>177</v>
      </c>
      <c r="P355" s="35" t="s">
        <v>50</v>
      </c>
      <c r="Q355" s="35" t="n">
        <v>0</v>
      </c>
      <c r="R355" s="35"/>
      <c r="S355" s="35" t="s">
        <v>40</v>
      </c>
      <c r="T355" s="35" t="s">
        <v>41</v>
      </c>
      <c r="U355" s="35" t="s">
        <v>176</v>
      </c>
      <c r="V355" s="35"/>
      <c r="W355" s="35"/>
      <c r="X355" s="35" t="s">
        <v>2060</v>
      </c>
      <c r="Y355" s="35" t="n">
        <v>-7.187469</v>
      </c>
      <c r="Z355" s="35" t="n">
        <v>-48.216846</v>
      </c>
      <c r="AA355" s="49" t="s">
        <v>1603</v>
      </c>
      <c r="AB355" s="35" t="s">
        <v>2061</v>
      </c>
    </row>
    <row r="356" customFormat="false" ht="15" hidden="false" customHeight="false" outlineLevel="0" collapsed="false">
      <c r="A356" s="35" t="n">
        <v>355</v>
      </c>
      <c r="B356" s="35" t="s">
        <v>1246</v>
      </c>
      <c r="C356" s="35" t="s">
        <v>2062</v>
      </c>
      <c r="D356" s="35" t="s">
        <v>705</v>
      </c>
      <c r="E356" s="35" t="s">
        <v>1247</v>
      </c>
      <c r="F356" s="40" t="n">
        <v>5.22732582900442</v>
      </c>
      <c r="G356" s="36" t="n">
        <v>4040.82096296168</v>
      </c>
      <c r="H356" s="36" t="n">
        <v>1068.6562320166</v>
      </c>
      <c r="I356" s="6" t="s">
        <v>21</v>
      </c>
      <c r="J356" s="35" t="s">
        <v>283</v>
      </c>
      <c r="K356" s="35" t="s">
        <v>452</v>
      </c>
      <c r="L356" s="35" t="n">
        <v>61</v>
      </c>
      <c r="M356" s="35" t="s">
        <v>41</v>
      </c>
      <c r="N356" s="35" t="s">
        <v>1674</v>
      </c>
      <c r="O356" s="35" t="s">
        <v>180</v>
      </c>
      <c r="P356" s="35" t="s">
        <v>50</v>
      </c>
      <c r="Q356" s="35" t="n">
        <v>0</v>
      </c>
      <c r="R356" s="35"/>
      <c r="S356" s="35" t="s">
        <v>40</v>
      </c>
      <c r="T356" s="35" t="s">
        <v>41</v>
      </c>
      <c r="U356" s="35"/>
      <c r="V356" s="35"/>
      <c r="W356" s="35"/>
      <c r="X356" s="35" t="s">
        <v>1676</v>
      </c>
      <c r="Y356" s="35" t="n">
        <v>-7.1876145</v>
      </c>
      <c r="Z356" s="35" t="n">
        <v>-48.2166325</v>
      </c>
      <c r="AA356" s="49" t="s">
        <v>1603</v>
      </c>
      <c r="AB356" s="35" t="s">
        <v>1677</v>
      </c>
    </row>
    <row r="357" customFormat="false" ht="15" hidden="false" customHeight="false" outlineLevel="0" collapsed="false">
      <c r="A357" s="35" t="n">
        <v>356</v>
      </c>
      <c r="B357" s="35" t="s">
        <v>1248</v>
      </c>
      <c r="C357" s="35" t="s">
        <v>2063</v>
      </c>
      <c r="D357" s="35" t="s">
        <v>717</v>
      </c>
      <c r="E357" s="35" t="s">
        <v>1249</v>
      </c>
      <c r="F357" s="40" t="n">
        <v>5.07598983515913</v>
      </c>
      <c r="G357" s="36" t="n">
        <v>4049.47248860714</v>
      </c>
      <c r="H357" s="36" t="n">
        <v>10.2513448994359</v>
      </c>
      <c r="I357" s="6" t="s">
        <v>21</v>
      </c>
      <c r="J357" s="35" t="s">
        <v>283</v>
      </c>
      <c r="K357" s="35" t="s">
        <v>453</v>
      </c>
      <c r="L357" s="35" t="n">
        <v>62</v>
      </c>
      <c r="M357" s="35" t="s">
        <v>43</v>
      </c>
      <c r="N357" s="35" t="s">
        <v>1674</v>
      </c>
      <c r="O357" s="35" t="s">
        <v>183</v>
      </c>
      <c r="P357" s="35" t="s">
        <v>50</v>
      </c>
      <c r="Q357" s="35" t="n">
        <v>0</v>
      </c>
      <c r="R357" s="35"/>
      <c r="S357" s="35" t="s">
        <v>40</v>
      </c>
      <c r="T357" s="35" t="s">
        <v>41</v>
      </c>
      <c r="U357" s="35" t="s">
        <v>43</v>
      </c>
      <c r="V357" s="35"/>
      <c r="W357" s="35"/>
      <c r="X357" s="35" t="s">
        <v>1718</v>
      </c>
      <c r="Y357" s="35" t="n">
        <v>-7.1876395</v>
      </c>
      <c r="Z357" s="35" t="n">
        <v>-48.216606</v>
      </c>
      <c r="AA357" s="49" t="s">
        <v>1603</v>
      </c>
      <c r="AB357" s="35" t="s">
        <v>1719</v>
      </c>
    </row>
    <row r="358" customFormat="false" ht="15" hidden="false" customHeight="false" outlineLevel="0" collapsed="false">
      <c r="A358" s="35" t="n">
        <v>357</v>
      </c>
      <c r="B358" s="35" t="s">
        <v>1250</v>
      </c>
      <c r="C358" s="35" t="s">
        <v>2064</v>
      </c>
      <c r="D358" s="35" t="s">
        <v>725</v>
      </c>
      <c r="E358" s="35" t="s">
        <v>1251</v>
      </c>
      <c r="F358" s="40" t="n">
        <v>1.09645659891133</v>
      </c>
      <c r="G358" s="36" t="n">
        <v>4103.35900111792</v>
      </c>
      <c r="H358" s="36" t="n">
        <v>64.1378574102178</v>
      </c>
      <c r="I358" s="6" t="s">
        <v>21</v>
      </c>
      <c r="J358" s="35" t="s">
        <v>283</v>
      </c>
      <c r="K358" s="35" t="s">
        <v>454</v>
      </c>
      <c r="L358" s="35" t="n">
        <v>63</v>
      </c>
      <c r="M358" s="35" t="s">
        <v>43</v>
      </c>
      <c r="N358" s="35" t="s">
        <v>1674</v>
      </c>
      <c r="O358" s="35" t="s">
        <v>186</v>
      </c>
      <c r="P358" s="35" t="s">
        <v>50</v>
      </c>
      <c r="Q358" s="35" t="n">
        <v>0</v>
      </c>
      <c r="R358" s="35"/>
      <c r="S358" s="35" t="s">
        <v>40</v>
      </c>
      <c r="T358" s="35" t="s">
        <v>41</v>
      </c>
      <c r="U358" s="35" t="s">
        <v>43</v>
      </c>
      <c r="V358" s="35"/>
      <c r="W358" s="35"/>
      <c r="X358" s="35" t="s">
        <v>1718</v>
      </c>
      <c r="Y358" s="35" t="n">
        <v>-7.1880145</v>
      </c>
      <c r="Z358" s="35" t="n">
        <v>-48.2162225</v>
      </c>
      <c r="AA358" s="49" t="s">
        <v>1603</v>
      </c>
      <c r="AB358" s="35" t="s">
        <v>1719</v>
      </c>
    </row>
    <row r="359" customFormat="false" ht="15" hidden="false" customHeight="false" outlineLevel="0" collapsed="false">
      <c r="A359" s="35" t="n">
        <v>358</v>
      </c>
      <c r="B359" s="35" t="s">
        <v>1252</v>
      </c>
      <c r="C359" s="35" t="s">
        <v>2065</v>
      </c>
      <c r="D359" s="35" t="s">
        <v>729</v>
      </c>
      <c r="E359" s="35" t="s">
        <v>1253</v>
      </c>
      <c r="F359" s="40" t="n">
        <v>20.753852847014</v>
      </c>
      <c r="G359" s="36" t="n">
        <v>4245.89421141062</v>
      </c>
      <c r="H359" s="36" t="n">
        <v>206.673067702917</v>
      </c>
      <c r="I359" s="6" t="s">
        <v>21</v>
      </c>
      <c r="J359" s="35" t="s">
        <v>283</v>
      </c>
      <c r="K359" s="35" t="s">
        <v>455</v>
      </c>
      <c r="L359" s="35" t="n">
        <v>64</v>
      </c>
      <c r="M359" s="35" t="s">
        <v>43</v>
      </c>
      <c r="N359" s="35" t="s">
        <v>1674</v>
      </c>
      <c r="O359" s="35" t="s">
        <v>189</v>
      </c>
      <c r="P359" s="35" t="s">
        <v>50</v>
      </c>
      <c r="Q359" s="35" t="n">
        <v>0</v>
      </c>
      <c r="R359" s="35"/>
      <c r="S359" s="35" t="s">
        <v>40</v>
      </c>
      <c r="T359" s="35" t="s">
        <v>41</v>
      </c>
      <c r="U359" s="35" t="s">
        <v>43</v>
      </c>
      <c r="V359" s="35"/>
      <c r="W359" s="35"/>
      <c r="X359" s="35" t="s">
        <v>1718</v>
      </c>
      <c r="Y359" s="35" t="n">
        <v>-7.1871665</v>
      </c>
      <c r="Z359" s="35" t="n">
        <v>-48.215369</v>
      </c>
      <c r="AA359" s="49" t="s">
        <v>1603</v>
      </c>
      <c r="AB359" s="35" t="s">
        <v>1719</v>
      </c>
    </row>
    <row r="360" customFormat="false" ht="15" hidden="false" customHeight="false" outlineLevel="0" collapsed="false">
      <c r="A360" s="35" t="n">
        <v>359</v>
      </c>
      <c r="B360" s="35" t="s">
        <v>1254</v>
      </c>
      <c r="C360" s="35" t="s">
        <v>2066</v>
      </c>
      <c r="D360" s="35" t="s">
        <v>825</v>
      </c>
      <c r="E360" s="35" t="s">
        <v>1255</v>
      </c>
      <c r="F360" s="40" t="n">
        <v>3.10748162665976</v>
      </c>
      <c r="G360" s="36" t="n">
        <v>4268.766408869</v>
      </c>
      <c r="H360" s="36" t="n">
        <v>3.10748162666005</v>
      </c>
      <c r="I360" s="7" t="s">
        <v>22</v>
      </c>
      <c r="J360" s="35" t="s">
        <v>283</v>
      </c>
      <c r="K360" s="35" t="s">
        <v>456</v>
      </c>
      <c r="L360" s="35" t="n">
        <v>65</v>
      </c>
      <c r="M360" s="35" t="s">
        <v>191</v>
      </c>
      <c r="N360" s="35" t="s">
        <v>1794</v>
      </c>
      <c r="O360" s="35" t="s">
        <v>192</v>
      </c>
      <c r="P360" s="35" t="s">
        <v>50</v>
      </c>
      <c r="Q360" s="35" t="n">
        <v>0</v>
      </c>
      <c r="R360" s="35"/>
      <c r="S360" s="35" t="s">
        <v>40</v>
      </c>
      <c r="T360" s="35" t="s">
        <v>41</v>
      </c>
      <c r="U360" s="35" t="s">
        <v>43</v>
      </c>
      <c r="V360" s="35" t="s">
        <v>191</v>
      </c>
      <c r="W360" s="35"/>
      <c r="X360" s="35" t="s">
        <v>2067</v>
      </c>
      <c r="Y360" s="35" t="n">
        <v>-7.1869845</v>
      </c>
      <c r="Z360" s="35" t="n">
        <v>-48.215696</v>
      </c>
      <c r="AA360" s="49" t="s">
        <v>1603</v>
      </c>
      <c r="AB360" s="35" t="s">
        <v>2068</v>
      </c>
    </row>
    <row r="361" customFormat="false" ht="15" hidden="false" customHeight="false" outlineLevel="0" collapsed="false">
      <c r="A361" s="35" t="n">
        <v>360</v>
      </c>
      <c r="B361" s="35" t="s">
        <v>1256</v>
      </c>
      <c r="C361" s="35" t="s">
        <v>2069</v>
      </c>
      <c r="D361" s="35" t="s">
        <v>1255</v>
      </c>
      <c r="E361" s="35" t="s">
        <v>1257</v>
      </c>
      <c r="F361" s="40" t="n">
        <v>2.28963901358202</v>
      </c>
      <c r="G361" s="36" t="n">
        <v>4271.05604788258</v>
      </c>
      <c r="H361" s="36" t="n">
        <v>5.39712064024207</v>
      </c>
      <c r="I361" s="7" t="s">
        <v>22</v>
      </c>
      <c r="J361" s="35" t="s">
        <v>283</v>
      </c>
      <c r="K361" s="35" t="s">
        <v>456</v>
      </c>
      <c r="L361" s="35" t="n">
        <v>65</v>
      </c>
      <c r="M361" s="35" t="s">
        <v>191</v>
      </c>
      <c r="N361" s="35" t="s">
        <v>1794</v>
      </c>
      <c r="O361" s="35" t="s">
        <v>192</v>
      </c>
      <c r="P361" s="35" t="s">
        <v>50</v>
      </c>
      <c r="Q361" s="35" t="n">
        <v>0</v>
      </c>
      <c r="R361" s="35"/>
      <c r="S361" s="35" t="s">
        <v>40</v>
      </c>
      <c r="T361" s="35" t="s">
        <v>41</v>
      </c>
      <c r="U361" s="35" t="s">
        <v>43</v>
      </c>
      <c r="V361" s="35" t="s">
        <v>191</v>
      </c>
      <c r="W361" s="35"/>
      <c r="X361" s="35" t="s">
        <v>2067</v>
      </c>
      <c r="Y361" s="35" t="n">
        <v>-7.1869865</v>
      </c>
      <c r="Z361" s="35" t="n">
        <v>-48.215708</v>
      </c>
      <c r="AA361" s="49" t="s">
        <v>1603</v>
      </c>
      <c r="AB361" s="35" t="s">
        <v>2068</v>
      </c>
    </row>
    <row r="362" customFormat="false" ht="15" hidden="false" customHeight="false" outlineLevel="0" collapsed="false">
      <c r="A362" s="35" t="n">
        <v>361</v>
      </c>
      <c r="B362" s="35" t="s">
        <v>1258</v>
      </c>
      <c r="C362" s="35" t="s">
        <v>2070</v>
      </c>
      <c r="D362" s="35" t="s">
        <v>1255</v>
      </c>
      <c r="E362" s="35" t="s">
        <v>1259</v>
      </c>
      <c r="F362" s="40" t="n">
        <v>4.02740086171115</v>
      </c>
      <c r="G362" s="36" t="n">
        <v>4272.79380973071</v>
      </c>
      <c r="H362" s="36" t="n">
        <v>7.13488248837075</v>
      </c>
      <c r="I362" s="7" t="s">
        <v>22</v>
      </c>
      <c r="J362" s="35" t="s">
        <v>283</v>
      </c>
      <c r="K362" s="35" t="s">
        <v>456</v>
      </c>
      <c r="L362" s="35" t="n">
        <v>65</v>
      </c>
      <c r="M362" s="35" t="s">
        <v>191</v>
      </c>
      <c r="N362" s="35" t="s">
        <v>1794</v>
      </c>
      <c r="O362" s="35" t="s">
        <v>192</v>
      </c>
      <c r="P362" s="35" t="s">
        <v>50</v>
      </c>
      <c r="Q362" s="35" t="n">
        <v>0</v>
      </c>
      <c r="R362" s="35"/>
      <c r="S362" s="35" t="s">
        <v>40</v>
      </c>
      <c r="T362" s="35" t="s">
        <v>41</v>
      </c>
      <c r="U362" s="35" t="s">
        <v>43</v>
      </c>
      <c r="V362" s="35" t="s">
        <v>191</v>
      </c>
      <c r="W362" s="35"/>
      <c r="X362" s="35" t="s">
        <v>2067</v>
      </c>
      <c r="Y362" s="35" t="n">
        <v>-7.186985</v>
      </c>
      <c r="Z362" s="35" t="n">
        <v>-48.2157185</v>
      </c>
      <c r="AA362" s="49" t="s">
        <v>1603</v>
      </c>
      <c r="AB362" s="35" t="s">
        <v>2068</v>
      </c>
    </row>
    <row r="363" customFormat="false" ht="15" hidden="false" customHeight="false" outlineLevel="0" collapsed="false">
      <c r="A363" s="35" t="n">
        <v>362</v>
      </c>
      <c r="B363" s="35" t="s">
        <v>1260</v>
      </c>
      <c r="C363" s="35" t="s">
        <v>2071</v>
      </c>
      <c r="D363" s="35" t="s">
        <v>1259</v>
      </c>
      <c r="E363" s="35" t="s">
        <v>1261</v>
      </c>
      <c r="F363" s="40" t="n">
        <v>2.01360710148781</v>
      </c>
      <c r="G363" s="36" t="n">
        <v>4274.8074168322</v>
      </c>
      <c r="H363" s="36" t="n">
        <v>9.1484895898584</v>
      </c>
      <c r="I363" s="7" t="s">
        <v>22</v>
      </c>
      <c r="J363" s="35" t="s">
        <v>283</v>
      </c>
      <c r="K363" s="35" t="s">
        <v>456</v>
      </c>
      <c r="L363" s="35" t="n">
        <v>65</v>
      </c>
      <c r="M363" s="35" t="s">
        <v>191</v>
      </c>
      <c r="N363" s="35" t="s">
        <v>1794</v>
      </c>
      <c r="O363" s="35" t="s">
        <v>192</v>
      </c>
      <c r="P363" s="35" t="s">
        <v>50</v>
      </c>
      <c r="Q363" s="35" t="n">
        <v>0</v>
      </c>
      <c r="R363" s="35"/>
      <c r="S363" s="35" t="s">
        <v>40</v>
      </c>
      <c r="T363" s="35" t="s">
        <v>41</v>
      </c>
      <c r="U363" s="35" t="s">
        <v>43</v>
      </c>
      <c r="V363" s="35" t="s">
        <v>191</v>
      </c>
      <c r="W363" s="35"/>
      <c r="X363" s="35" t="s">
        <v>2067</v>
      </c>
      <c r="Y363" s="35" t="n">
        <v>-7.1869755</v>
      </c>
      <c r="Z363" s="35" t="n">
        <v>-48.215724</v>
      </c>
      <c r="AA363" s="49" t="s">
        <v>1603</v>
      </c>
      <c r="AB363" s="35" t="s">
        <v>2068</v>
      </c>
    </row>
    <row r="364" customFormat="false" ht="15" hidden="false" customHeight="false" outlineLevel="0" collapsed="false">
      <c r="A364" s="35" t="n">
        <v>363</v>
      </c>
      <c r="B364" s="35" t="s">
        <v>1262</v>
      </c>
      <c r="C364" s="35" t="s">
        <v>2072</v>
      </c>
      <c r="D364" s="35" t="s">
        <v>733</v>
      </c>
      <c r="E364" s="35" t="s">
        <v>1263</v>
      </c>
      <c r="F364" s="40" t="n">
        <v>21.2250378053289</v>
      </c>
      <c r="G364" s="36" t="n">
        <v>4324.53944530507</v>
      </c>
      <c r="H364" s="36" t="n">
        <v>285.318301597368</v>
      </c>
      <c r="I364" s="6" t="s">
        <v>21</v>
      </c>
      <c r="J364" s="35" t="s">
        <v>283</v>
      </c>
      <c r="K364" s="35" t="s">
        <v>459</v>
      </c>
      <c r="L364" s="35" t="n">
        <v>66</v>
      </c>
      <c r="M364" s="35" t="s">
        <v>43</v>
      </c>
      <c r="N364" s="35" t="s">
        <v>1674</v>
      </c>
      <c r="O364" s="35" t="s">
        <v>195</v>
      </c>
      <c r="P364" s="35" t="s">
        <v>50</v>
      </c>
      <c r="Q364" s="35" t="n">
        <v>0</v>
      </c>
      <c r="R364" s="35"/>
      <c r="S364" s="35" t="s">
        <v>40</v>
      </c>
      <c r="T364" s="35" t="s">
        <v>41</v>
      </c>
      <c r="U364" s="35" t="s">
        <v>43</v>
      </c>
      <c r="V364" s="35"/>
      <c r="W364" s="35"/>
      <c r="X364" s="35" t="s">
        <v>1718</v>
      </c>
      <c r="Y364" s="35" t="n">
        <v>-7.187651</v>
      </c>
      <c r="Z364" s="35" t="n">
        <v>-48.2148575</v>
      </c>
      <c r="AA364" s="49" t="s">
        <v>1603</v>
      </c>
      <c r="AB364" s="35" t="s">
        <v>1719</v>
      </c>
    </row>
    <row r="365" customFormat="false" ht="15" hidden="false" customHeight="false" outlineLevel="0" collapsed="false">
      <c r="A365" s="35" t="n">
        <v>364</v>
      </c>
      <c r="B365" s="35" t="s">
        <v>1264</v>
      </c>
      <c r="C365" s="35" t="s">
        <v>2073</v>
      </c>
      <c r="D365" s="35" t="s">
        <v>816</v>
      </c>
      <c r="E365" s="35" t="s">
        <v>1265</v>
      </c>
      <c r="F365" s="40" t="n">
        <v>11.1913334108057</v>
      </c>
      <c r="G365" s="36" t="n">
        <v>4373.48864726438</v>
      </c>
      <c r="H365" s="36" t="n">
        <v>11.1913334108058</v>
      </c>
      <c r="I365" s="7" t="s">
        <v>22</v>
      </c>
      <c r="J365" s="35" t="s">
        <v>283</v>
      </c>
      <c r="K365" s="35" t="s">
        <v>460</v>
      </c>
      <c r="L365" s="35" t="n">
        <v>67</v>
      </c>
      <c r="M365" s="35" t="s">
        <v>197</v>
      </c>
      <c r="N365" s="35" t="s">
        <v>1788</v>
      </c>
      <c r="O365" s="35" t="s">
        <v>198</v>
      </c>
      <c r="P365" s="35" t="s">
        <v>50</v>
      </c>
      <c r="Q365" s="35" t="n">
        <v>0</v>
      </c>
      <c r="R365" s="35"/>
      <c r="S365" s="35" t="s">
        <v>40</v>
      </c>
      <c r="T365" s="35" t="s">
        <v>41</v>
      </c>
      <c r="U365" s="35" t="s">
        <v>43</v>
      </c>
      <c r="V365" s="35" t="s">
        <v>197</v>
      </c>
      <c r="W365" s="35"/>
      <c r="X365" s="35" t="s">
        <v>2074</v>
      </c>
      <c r="Y365" s="35" t="n">
        <v>-7.188069</v>
      </c>
      <c r="Z365" s="35" t="n">
        <v>-48.215357</v>
      </c>
      <c r="AA365" s="49" t="s">
        <v>1603</v>
      </c>
      <c r="AB365" s="35" t="s">
        <v>2075</v>
      </c>
    </row>
    <row r="366" customFormat="false" ht="15" hidden="false" customHeight="false" outlineLevel="0" collapsed="false">
      <c r="A366" s="35" t="n">
        <v>365</v>
      </c>
      <c r="B366" s="35" t="s">
        <v>1266</v>
      </c>
      <c r="C366" s="35" t="s">
        <v>2076</v>
      </c>
      <c r="D366" s="35" t="s">
        <v>1265</v>
      </c>
      <c r="E366" s="35" t="s">
        <v>1267</v>
      </c>
      <c r="F366" s="40" t="n">
        <v>15.2279556028461</v>
      </c>
      <c r="G366" s="36" t="n">
        <v>4388.71660286722</v>
      </c>
      <c r="H366" s="36" t="n">
        <v>26.4192890136519</v>
      </c>
      <c r="I366" s="7" t="s">
        <v>22</v>
      </c>
      <c r="J366" s="35" t="s">
        <v>283</v>
      </c>
      <c r="K366" s="35" t="s">
        <v>460</v>
      </c>
      <c r="L366" s="35" t="n">
        <v>67</v>
      </c>
      <c r="M366" s="35" t="s">
        <v>197</v>
      </c>
      <c r="N366" s="35" t="s">
        <v>1788</v>
      </c>
      <c r="O366" s="35" t="s">
        <v>198</v>
      </c>
      <c r="P366" s="35" t="s">
        <v>50</v>
      </c>
      <c r="Q366" s="35" t="n">
        <v>0</v>
      </c>
      <c r="R366" s="35"/>
      <c r="S366" s="35" t="s">
        <v>40</v>
      </c>
      <c r="T366" s="35" t="s">
        <v>41</v>
      </c>
      <c r="U366" s="35" t="s">
        <v>43</v>
      </c>
      <c r="V366" s="35" t="s">
        <v>197</v>
      </c>
      <c r="W366" s="35"/>
      <c r="X366" s="35" t="s">
        <v>2074</v>
      </c>
      <c r="Y366" s="35" t="n">
        <v>-7.1880545</v>
      </c>
      <c r="Z366" s="35" t="n">
        <v>-48.215337</v>
      </c>
      <c r="AA366" s="49" t="s">
        <v>1603</v>
      </c>
      <c r="AB366" s="35" t="s">
        <v>2075</v>
      </c>
    </row>
    <row r="367" customFormat="false" ht="15" hidden="false" customHeight="false" outlineLevel="0" collapsed="false">
      <c r="A367" s="35" t="n">
        <v>366</v>
      </c>
      <c r="B367" s="35" t="s">
        <v>1268</v>
      </c>
      <c r="C367" s="35" t="s">
        <v>2077</v>
      </c>
      <c r="D367" s="35" t="s">
        <v>1265</v>
      </c>
      <c r="E367" s="35" t="s">
        <v>1269</v>
      </c>
      <c r="F367" s="40" t="n">
        <v>8.25070029977865</v>
      </c>
      <c r="G367" s="36" t="n">
        <v>4381.73934756416</v>
      </c>
      <c r="H367" s="36" t="n">
        <v>19.4420337105848</v>
      </c>
      <c r="I367" s="7" t="s">
        <v>22</v>
      </c>
      <c r="J367" s="35" t="s">
        <v>283</v>
      </c>
      <c r="K367" s="35" t="s">
        <v>460</v>
      </c>
      <c r="L367" s="35" t="n">
        <v>67</v>
      </c>
      <c r="M367" s="35" t="s">
        <v>197</v>
      </c>
      <c r="N367" s="35" t="s">
        <v>1788</v>
      </c>
      <c r="O367" s="35" t="s">
        <v>198</v>
      </c>
      <c r="P367" s="35" t="s">
        <v>50</v>
      </c>
      <c r="Q367" s="35" t="n">
        <v>0</v>
      </c>
      <c r="R367" s="35"/>
      <c r="S367" s="35" t="s">
        <v>40</v>
      </c>
      <c r="T367" s="35" t="s">
        <v>41</v>
      </c>
      <c r="U367" s="35" t="s">
        <v>43</v>
      </c>
      <c r="V367" s="35" t="s">
        <v>197</v>
      </c>
      <c r="W367" s="35"/>
      <c r="X367" s="35" t="s">
        <v>2074</v>
      </c>
      <c r="Y367" s="35" t="n">
        <v>-7.188026</v>
      </c>
      <c r="Z367" s="35" t="n">
        <v>-48.215428</v>
      </c>
      <c r="AA367" s="49" t="s">
        <v>1603</v>
      </c>
      <c r="AB367" s="35" t="s">
        <v>2075</v>
      </c>
    </row>
    <row r="368" customFormat="false" ht="15" hidden="false" customHeight="false" outlineLevel="0" collapsed="false">
      <c r="A368" s="35" t="n">
        <v>367</v>
      </c>
      <c r="B368" s="35" t="s">
        <v>1270</v>
      </c>
      <c r="C368" s="35" t="s">
        <v>2078</v>
      </c>
      <c r="D368" s="35" t="s">
        <v>735</v>
      </c>
      <c r="E368" s="35" t="s">
        <v>1271</v>
      </c>
      <c r="F368" s="40" t="n">
        <v>55.9360441778601</v>
      </c>
      <c r="G368" s="36" t="n">
        <v>4439.16413334374</v>
      </c>
      <c r="H368" s="36" t="n">
        <v>399.942989636041</v>
      </c>
      <c r="I368" s="6" t="s">
        <v>21</v>
      </c>
      <c r="J368" s="35" t="s">
        <v>283</v>
      </c>
      <c r="K368" s="35" t="s">
        <v>463</v>
      </c>
      <c r="L368" s="35" t="n">
        <v>68</v>
      </c>
      <c r="M368" s="35" t="s">
        <v>43</v>
      </c>
      <c r="N368" s="35" t="s">
        <v>1674</v>
      </c>
      <c r="O368" s="35" t="s">
        <v>201</v>
      </c>
      <c r="P368" s="35" t="s">
        <v>50</v>
      </c>
      <c r="Q368" s="35" t="n">
        <v>0</v>
      </c>
      <c r="R368" s="35"/>
      <c r="S368" s="35" t="s">
        <v>40</v>
      </c>
      <c r="T368" s="35" t="s">
        <v>41</v>
      </c>
      <c r="U368" s="35" t="s">
        <v>43</v>
      </c>
      <c r="V368" s="35"/>
      <c r="W368" s="35"/>
      <c r="X368" s="35" t="s">
        <v>1718</v>
      </c>
      <c r="Y368" s="35" t="n">
        <v>-7.1880165</v>
      </c>
      <c r="Z368" s="35" t="n">
        <v>-48.2141925</v>
      </c>
      <c r="AA368" s="49" t="s">
        <v>1603</v>
      </c>
      <c r="AB368" s="35" t="s">
        <v>1719</v>
      </c>
    </row>
    <row r="369" customFormat="false" ht="15" hidden="false" customHeight="false" outlineLevel="0" collapsed="false">
      <c r="A369" s="35" t="n">
        <v>368</v>
      </c>
      <c r="B369" s="35" t="s">
        <v>1272</v>
      </c>
      <c r="C369" s="35" t="s">
        <v>2079</v>
      </c>
      <c r="D369" s="35" t="s">
        <v>1271</v>
      </c>
      <c r="E369" s="35" t="s">
        <v>1273</v>
      </c>
      <c r="F369" s="40" t="n">
        <v>42.9213205524429</v>
      </c>
      <c r="G369" s="36" t="n">
        <v>4482.08545389619</v>
      </c>
      <c r="H369" s="36" t="n">
        <v>442.864310188484</v>
      </c>
      <c r="I369" s="6" t="s">
        <v>21</v>
      </c>
      <c r="J369" s="35" t="s">
        <v>283</v>
      </c>
      <c r="K369" s="35" t="s">
        <v>463</v>
      </c>
      <c r="L369" s="35" t="n">
        <v>68</v>
      </c>
      <c r="M369" s="35" t="s">
        <v>43</v>
      </c>
      <c r="N369" s="35" t="s">
        <v>1674</v>
      </c>
      <c r="O369" s="35" t="s">
        <v>201</v>
      </c>
      <c r="P369" s="35" t="s">
        <v>50</v>
      </c>
      <c r="Q369" s="35" t="n">
        <v>0</v>
      </c>
      <c r="R369" s="35"/>
      <c r="S369" s="35" t="s">
        <v>40</v>
      </c>
      <c r="T369" s="35" t="s">
        <v>41</v>
      </c>
      <c r="U369" s="35" t="s">
        <v>43</v>
      </c>
      <c r="V369" s="35"/>
      <c r="W369" s="35"/>
      <c r="X369" s="35" t="s">
        <v>1718</v>
      </c>
      <c r="Y369" s="35" t="n">
        <v>-7.187978</v>
      </c>
      <c r="Z369" s="35" t="n">
        <v>-48.213868</v>
      </c>
      <c r="AA369" s="49" t="s">
        <v>1603</v>
      </c>
      <c r="AB369" s="35" t="s">
        <v>1719</v>
      </c>
    </row>
    <row r="370" customFormat="false" ht="15" hidden="false" customHeight="false" outlineLevel="0" collapsed="false">
      <c r="A370" s="35" t="n">
        <v>369</v>
      </c>
      <c r="B370" s="35" t="s">
        <v>1274</v>
      </c>
      <c r="C370" s="35" t="s">
        <v>2080</v>
      </c>
      <c r="D370" s="35" t="s">
        <v>1273</v>
      </c>
      <c r="E370" s="35" t="s">
        <v>1275</v>
      </c>
      <c r="F370" s="40" t="n">
        <v>16.4716543239053</v>
      </c>
      <c r="G370" s="36" t="n">
        <v>4498.55710822009</v>
      </c>
      <c r="H370" s="36" t="n">
        <v>459.33596451239</v>
      </c>
      <c r="I370" s="6" t="s">
        <v>21</v>
      </c>
      <c r="J370" s="35" t="s">
        <v>283</v>
      </c>
      <c r="K370" s="35" t="s">
        <v>463</v>
      </c>
      <c r="L370" s="35" t="n">
        <v>68</v>
      </c>
      <c r="M370" s="35" t="s">
        <v>43</v>
      </c>
      <c r="N370" s="35" t="s">
        <v>1674</v>
      </c>
      <c r="O370" s="35" t="s">
        <v>201</v>
      </c>
      <c r="P370" s="35" t="s">
        <v>50</v>
      </c>
      <c r="Q370" s="35" t="n">
        <v>0</v>
      </c>
      <c r="R370" s="35"/>
      <c r="S370" s="35" t="s">
        <v>40</v>
      </c>
      <c r="T370" s="35" t="s">
        <v>41</v>
      </c>
      <c r="U370" s="35" t="s">
        <v>43</v>
      </c>
      <c r="V370" s="35"/>
      <c r="W370" s="35"/>
      <c r="X370" s="35" t="s">
        <v>1718</v>
      </c>
      <c r="Y370" s="35" t="n">
        <v>-7.188167</v>
      </c>
      <c r="Z370" s="35" t="n">
        <v>-48.213678</v>
      </c>
      <c r="AA370" s="49" t="s">
        <v>1603</v>
      </c>
      <c r="AB370" s="35" t="s">
        <v>1719</v>
      </c>
    </row>
    <row r="371" customFormat="false" ht="15" hidden="false" customHeight="false" outlineLevel="0" collapsed="false">
      <c r="A371" s="35" t="n">
        <v>370</v>
      </c>
      <c r="B371" s="35" t="s">
        <v>1276</v>
      </c>
      <c r="C371" s="35" t="s">
        <v>2081</v>
      </c>
      <c r="D371" s="35" t="s">
        <v>1271</v>
      </c>
      <c r="E371" s="35" t="s">
        <v>1277</v>
      </c>
      <c r="F371" s="40" t="n">
        <v>34.4729699332397</v>
      </c>
      <c r="G371" s="36" t="n">
        <v>4473.63710327698</v>
      </c>
      <c r="H371" s="36" t="n">
        <v>434.415959569281</v>
      </c>
      <c r="I371" s="6" t="s">
        <v>21</v>
      </c>
      <c r="J371" s="35" t="s">
        <v>283</v>
      </c>
      <c r="K371" s="35" t="s">
        <v>463</v>
      </c>
      <c r="L371" s="35" t="n">
        <v>68</v>
      </c>
      <c r="M371" s="35" t="s">
        <v>43</v>
      </c>
      <c r="N371" s="35" t="s">
        <v>1674</v>
      </c>
      <c r="O371" s="35" t="s">
        <v>201</v>
      </c>
      <c r="P371" s="35" t="s">
        <v>50</v>
      </c>
      <c r="Q371" s="35" t="n">
        <v>0</v>
      </c>
      <c r="R371" s="35"/>
      <c r="S371" s="35" t="s">
        <v>40</v>
      </c>
      <c r="T371" s="35" t="s">
        <v>41</v>
      </c>
      <c r="U371" s="35" t="s">
        <v>43</v>
      </c>
      <c r="V371" s="35"/>
      <c r="W371" s="35"/>
      <c r="X371" s="35" t="s">
        <v>1718</v>
      </c>
      <c r="Y371" s="35" t="n">
        <v>-7.187738</v>
      </c>
      <c r="Z371" s="35" t="n">
        <v>-48.213894</v>
      </c>
      <c r="AA371" s="49" t="s">
        <v>1603</v>
      </c>
      <c r="AB371" s="35" t="s">
        <v>1719</v>
      </c>
    </row>
    <row r="372" customFormat="false" ht="15" hidden="false" customHeight="false" outlineLevel="0" collapsed="false">
      <c r="A372" s="35" t="n">
        <v>371</v>
      </c>
      <c r="B372" s="35" t="s">
        <v>1278</v>
      </c>
      <c r="C372" s="35" t="s">
        <v>2082</v>
      </c>
      <c r="D372" s="35" t="s">
        <v>1271</v>
      </c>
      <c r="E372" s="35" t="s">
        <v>1279</v>
      </c>
      <c r="F372" s="40" t="n">
        <v>140.037812016846</v>
      </c>
      <c r="G372" s="36" t="n">
        <v>4579.20194536059</v>
      </c>
      <c r="H372" s="36" t="n">
        <v>539.980801652887</v>
      </c>
      <c r="I372" s="6" t="s">
        <v>21</v>
      </c>
      <c r="J372" s="35" t="s">
        <v>283</v>
      </c>
      <c r="K372" s="35" t="s">
        <v>463</v>
      </c>
      <c r="L372" s="35" t="n">
        <v>68</v>
      </c>
      <c r="M372" s="35" t="s">
        <v>43</v>
      </c>
      <c r="N372" s="35" t="s">
        <v>1674</v>
      </c>
      <c r="O372" s="35" t="s">
        <v>201</v>
      </c>
      <c r="P372" s="35" t="s">
        <v>50</v>
      </c>
      <c r="Q372" s="35" t="n">
        <v>0</v>
      </c>
      <c r="R372" s="35"/>
      <c r="S372" s="35" t="s">
        <v>40</v>
      </c>
      <c r="T372" s="35" t="s">
        <v>41</v>
      </c>
      <c r="U372" s="35" t="s">
        <v>43</v>
      </c>
      <c r="V372" s="35"/>
      <c r="W372" s="35"/>
      <c r="X372" s="35" t="s">
        <v>1718</v>
      </c>
      <c r="Y372" s="35" t="n">
        <v>-7.187385</v>
      </c>
      <c r="Z372" s="35" t="n">
        <v>-48.2144425</v>
      </c>
      <c r="AA372" s="49" t="s">
        <v>1603</v>
      </c>
      <c r="AB372" s="35" t="s">
        <v>1719</v>
      </c>
    </row>
    <row r="373" customFormat="false" ht="15" hidden="false" customHeight="false" outlineLevel="0" collapsed="false">
      <c r="A373" s="35" t="n">
        <v>372</v>
      </c>
      <c r="B373" s="35" t="s">
        <v>1280</v>
      </c>
      <c r="C373" s="35" t="s">
        <v>2083</v>
      </c>
      <c r="D373" s="35" t="s">
        <v>1279</v>
      </c>
      <c r="E373" s="35" t="s">
        <v>1281</v>
      </c>
      <c r="F373" s="40" t="n">
        <v>64.6287625043365</v>
      </c>
      <c r="G373" s="36" t="n">
        <v>4643.83070786493</v>
      </c>
      <c r="H373" s="36" t="n">
        <v>604.609564157224</v>
      </c>
      <c r="I373" s="6" t="s">
        <v>21</v>
      </c>
      <c r="J373" s="35" t="s">
        <v>283</v>
      </c>
      <c r="K373" s="35" t="s">
        <v>463</v>
      </c>
      <c r="L373" s="35" t="n">
        <v>68</v>
      </c>
      <c r="M373" s="35" t="s">
        <v>43</v>
      </c>
      <c r="N373" s="35" t="s">
        <v>1674</v>
      </c>
      <c r="O373" s="35" t="s">
        <v>201</v>
      </c>
      <c r="P373" s="35" t="s">
        <v>50</v>
      </c>
      <c r="Q373" s="35" t="n">
        <v>0</v>
      </c>
      <c r="R373" s="35"/>
      <c r="S373" s="35" t="s">
        <v>40</v>
      </c>
      <c r="T373" s="35" t="s">
        <v>41</v>
      </c>
      <c r="U373" s="35" t="s">
        <v>43</v>
      </c>
      <c r="V373" s="35"/>
      <c r="W373" s="35"/>
      <c r="X373" s="35" t="s">
        <v>1718</v>
      </c>
      <c r="Y373" s="35" t="n">
        <v>-7.1867165</v>
      </c>
      <c r="Z373" s="35" t="n">
        <v>-48.21508</v>
      </c>
      <c r="AA373" s="49" t="s">
        <v>1603</v>
      </c>
      <c r="AB373" s="35" t="s">
        <v>1719</v>
      </c>
    </row>
    <row r="374" customFormat="false" ht="15" hidden="false" customHeight="false" outlineLevel="0" collapsed="false">
      <c r="A374" s="35" t="n">
        <v>373</v>
      </c>
      <c r="B374" s="35" t="s">
        <v>1282</v>
      </c>
      <c r="C374" s="35" t="s">
        <v>2084</v>
      </c>
      <c r="D374" s="35" t="s">
        <v>735</v>
      </c>
      <c r="E374" s="35" t="s">
        <v>1283</v>
      </c>
      <c r="F374" s="40" t="n">
        <v>20.6042127052428</v>
      </c>
      <c r="G374" s="36" t="n">
        <v>4403.83230187113</v>
      </c>
      <c r="H374" s="36" t="n">
        <v>364.611158163424</v>
      </c>
      <c r="I374" s="6" t="s">
        <v>21</v>
      </c>
      <c r="J374" s="35" t="s">
        <v>283</v>
      </c>
      <c r="K374" s="35" t="s">
        <v>463</v>
      </c>
      <c r="L374" s="35" t="n">
        <v>68</v>
      </c>
      <c r="M374" s="35" t="s">
        <v>43</v>
      </c>
      <c r="N374" s="35" t="s">
        <v>1674</v>
      </c>
      <c r="O374" s="35" t="s">
        <v>201</v>
      </c>
      <c r="P374" s="35" t="s">
        <v>50</v>
      </c>
      <c r="Q374" s="35" t="n">
        <v>0</v>
      </c>
      <c r="R374" s="35"/>
      <c r="S374" s="35" t="s">
        <v>40</v>
      </c>
      <c r="T374" s="35" t="s">
        <v>41</v>
      </c>
      <c r="U374" s="35" t="s">
        <v>43</v>
      </c>
      <c r="V374" s="35"/>
      <c r="W374" s="35"/>
      <c r="X374" s="35" t="s">
        <v>1718</v>
      </c>
      <c r="Y374" s="35" t="n">
        <v>-7.1882525</v>
      </c>
      <c r="Z374" s="35" t="n">
        <v>-48.214445</v>
      </c>
      <c r="AA374" s="49" t="s">
        <v>1603</v>
      </c>
      <c r="AB374" s="35" t="s">
        <v>1719</v>
      </c>
    </row>
    <row r="375" customFormat="false" ht="15" hidden="false" customHeight="false" outlineLevel="0" collapsed="false">
      <c r="A375" s="35" t="n">
        <v>374</v>
      </c>
      <c r="B375" s="35" t="s">
        <v>1284</v>
      </c>
      <c r="C375" s="35" t="s">
        <v>2085</v>
      </c>
      <c r="D375" s="35" t="s">
        <v>812</v>
      </c>
      <c r="E375" s="35" t="s">
        <v>1285</v>
      </c>
      <c r="F375" s="40" t="n">
        <v>12.4566790360217</v>
      </c>
      <c r="G375" s="36" t="n">
        <v>4426.84643862676</v>
      </c>
      <c r="H375" s="36" t="n">
        <v>12.4566790360213</v>
      </c>
      <c r="I375" s="7" t="s">
        <v>22</v>
      </c>
      <c r="J375" s="35" t="s">
        <v>283</v>
      </c>
      <c r="K375" s="35" t="s">
        <v>468</v>
      </c>
      <c r="L375" s="35" t="n">
        <v>69</v>
      </c>
      <c r="M375" s="35" t="s">
        <v>203</v>
      </c>
      <c r="N375" s="35" t="s">
        <v>1788</v>
      </c>
      <c r="O375" s="35" t="s">
        <v>204</v>
      </c>
      <c r="P375" s="35" t="s">
        <v>50</v>
      </c>
      <c r="Q375" s="35" t="n">
        <v>0</v>
      </c>
      <c r="R375" s="35"/>
      <c r="S375" s="35" t="s">
        <v>40</v>
      </c>
      <c r="T375" s="35" t="s">
        <v>41</v>
      </c>
      <c r="U375" s="35" t="s">
        <v>43</v>
      </c>
      <c r="V375" s="35" t="s">
        <v>203</v>
      </c>
      <c r="W375" s="35"/>
      <c r="X375" s="35" t="s">
        <v>2086</v>
      </c>
      <c r="Y375" s="35" t="n">
        <v>-7.1883875</v>
      </c>
      <c r="Z375" s="35" t="n">
        <v>-48.214201</v>
      </c>
      <c r="AA375" s="49" t="s">
        <v>1603</v>
      </c>
      <c r="AB375" s="35" t="s">
        <v>2087</v>
      </c>
    </row>
    <row r="376" customFormat="false" ht="15" hidden="false" customHeight="false" outlineLevel="0" collapsed="false">
      <c r="A376" s="35" t="n">
        <v>375</v>
      </c>
      <c r="B376" s="35" t="s">
        <v>1286</v>
      </c>
      <c r="C376" s="35" t="s">
        <v>2088</v>
      </c>
      <c r="D376" s="35" t="s">
        <v>1285</v>
      </c>
      <c r="E376" s="35" t="s">
        <v>1287</v>
      </c>
      <c r="F376" s="40" t="n">
        <v>8.51970636959758</v>
      </c>
      <c r="G376" s="36" t="n">
        <v>4435.36614499636</v>
      </c>
      <c r="H376" s="36" t="n">
        <v>20.9763854056191</v>
      </c>
      <c r="I376" s="7" t="s">
        <v>22</v>
      </c>
      <c r="J376" s="35" t="s">
        <v>283</v>
      </c>
      <c r="K376" s="35" t="s">
        <v>468</v>
      </c>
      <c r="L376" s="35" t="n">
        <v>69</v>
      </c>
      <c r="M376" s="35" t="s">
        <v>203</v>
      </c>
      <c r="N376" s="35" t="s">
        <v>1788</v>
      </c>
      <c r="O376" s="35" t="s">
        <v>204</v>
      </c>
      <c r="P376" s="35" t="s">
        <v>50</v>
      </c>
      <c r="Q376" s="35" t="n">
        <v>0</v>
      </c>
      <c r="R376" s="35"/>
      <c r="S376" s="35" t="s">
        <v>40</v>
      </c>
      <c r="T376" s="35" t="s">
        <v>41</v>
      </c>
      <c r="U376" s="35" t="s">
        <v>43</v>
      </c>
      <c r="V376" s="35" t="s">
        <v>203</v>
      </c>
      <c r="W376" s="35"/>
      <c r="X376" s="35" t="s">
        <v>2086</v>
      </c>
      <c r="Y376" s="35" t="n">
        <v>-7.1884405</v>
      </c>
      <c r="Z376" s="35" t="n">
        <v>-48.2142035</v>
      </c>
      <c r="AA376" s="49" t="s">
        <v>1603</v>
      </c>
      <c r="AB376" s="35" t="s">
        <v>2087</v>
      </c>
    </row>
    <row r="377" customFormat="false" ht="15" hidden="false" customHeight="false" outlineLevel="0" collapsed="false">
      <c r="A377" s="35" t="n">
        <v>376</v>
      </c>
      <c r="B377" s="35" t="s">
        <v>1288</v>
      </c>
      <c r="C377" s="35" t="s">
        <v>2089</v>
      </c>
      <c r="D377" s="35" t="s">
        <v>1285</v>
      </c>
      <c r="E377" s="35" t="s">
        <v>1289</v>
      </c>
      <c r="F377" s="40" t="n">
        <v>15.9332321340148</v>
      </c>
      <c r="G377" s="36" t="n">
        <v>4442.77967076078</v>
      </c>
      <c r="H377" s="36" t="n">
        <v>28.3899111700357</v>
      </c>
      <c r="I377" s="7" t="s">
        <v>22</v>
      </c>
      <c r="J377" s="35" t="s">
        <v>283</v>
      </c>
      <c r="K377" s="35" t="s">
        <v>468</v>
      </c>
      <c r="L377" s="35" t="n">
        <v>69</v>
      </c>
      <c r="M377" s="35" t="s">
        <v>203</v>
      </c>
      <c r="N377" s="35" t="s">
        <v>1788</v>
      </c>
      <c r="O377" s="35" t="s">
        <v>204</v>
      </c>
      <c r="P377" s="35" t="s">
        <v>50</v>
      </c>
      <c r="Q377" s="35" t="n">
        <v>0</v>
      </c>
      <c r="R377" s="35"/>
      <c r="S377" s="35" t="s">
        <v>40</v>
      </c>
      <c r="T377" s="35" t="s">
        <v>41</v>
      </c>
      <c r="U377" s="35" t="s">
        <v>43</v>
      </c>
      <c r="V377" s="35" t="s">
        <v>203</v>
      </c>
      <c r="W377" s="35"/>
      <c r="X377" s="35" t="s">
        <v>2086</v>
      </c>
      <c r="Y377" s="35" t="n">
        <v>-7.1884335</v>
      </c>
      <c r="Z377" s="35" t="n">
        <v>-48.214168</v>
      </c>
      <c r="AA377" s="49" t="s">
        <v>1603</v>
      </c>
      <c r="AB377" s="35" t="s">
        <v>2087</v>
      </c>
    </row>
    <row r="378" customFormat="false" ht="15" hidden="false" customHeight="false" outlineLevel="0" collapsed="false">
      <c r="A378" s="35" t="n">
        <v>377</v>
      </c>
      <c r="B378" s="35" t="s">
        <v>1290</v>
      </c>
      <c r="C378" s="35" t="s">
        <v>2090</v>
      </c>
      <c r="D378" s="35" t="s">
        <v>748</v>
      </c>
      <c r="E378" s="35" t="s">
        <v>1291</v>
      </c>
      <c r="F378" s="40" t="n">
        <v>18.2133410321518</v>
      </c>
      <c r="G378" s="36" t="n">
        <v>4688.06936138653</v>
      </c>
      <c r="H378" s="36" t="n">
        <v>648.848217678832</v>
      </c>
      <c r="I378" s="6" t="s">
        <v>21</v>
      </c>
      <c r="J378" s="35" t="s">
        <v>283</v>
      </c>
      <c r="K378" s="35" t="s">
        <v>471</v>
      </c>
      <c r="L378" s="35" t="n">
        <v>70</v>
      </c>
      <c r="M378" s="35" t="s">
        <v>43</v>
      </c>
      <c r="N378" s="35" t="s">
        <v>1674</v>
      </c>
      <c r="O378" s="35" t="s">
        <v>207</v>
      </c>
      <c r="P378" s="35" t="s">
        <v>50</v>
      </c>
      <c r="Q378" s="35" t="n">
        <v>0</v>
      </c>
      <c r="R378" s="35"/>
      <c r="S378" s="35" t="s">
        <v>40</v>
      </c>
      <c r="T378" s="35" t="s">
        <v>41</v>
      </c>
      <c r="U378" s="35" t="s">
        <v>43</v>
      </c>
      <c r="V378" s="35"/>
      <c r="W378" s="35"/>
      <c r="X378" s="35" t="s">
        <v>1718</v>
      </c>
      <c r="Y378" s="35" t="n">
        <v>-7.1890645</v>
      </c>
      <c r="Z378" s="35" t="n">
        <v>-48.2119905</v>
      </c>
      <c r="AA378" s="49" t="s">
        <v>1603</v>
      </c>
      <c r="AB378" s="35" t="s">
        <v>1719</v>
      </c>
    </row>
    <row r="379" customFormat="false" ht="15" hidden="false" customHeight="false" outlineLevel="0" collapsed="false">
      <c r="A379" s="35" t="n">
        <v>378</v>
      </c>
      <c r="B379" s="35" t="s">
        <v>1292</v>
      </c>
      <c r="C379" s="35" t="s">
        <v>2091</v>
      </c>
      <c r="D379" s="35" t="s">
        <v>810</v>
      </c>
      <c r="E379" s="35" t="s">
        <v>1293</v>
      </c>
      <c r="F379" s="40" t="n">
        <v>14.1372602645311</v>
      </c>
      <c r="G379" s="36" t="n">
        <v>4694.17755088843</v>
      </c>
      <c r="H379" s="36" t="n">
        <v>14.1372602645315</v>
      </c>
      <c r="I379" s="7" t="s">
        <v>22</v>
      </c>
      <c r="J379" s="35" t="s">
        <v>283</v>
      </c>
      <c r="K379" s="35" t="s">
        <v>472</v>
      </c>
      <c r="L379" s="35" t="n">
        <v>71</v>
      </c>
      <c r="M379" s="35" t="s">
        <v>209</v>
      </c>
      <c r="N379" s="35" t="s">
        <v>1794</v>
      </c>
      <c r="O379" s="35" t="s">
        <v>210</v>
      </c>
      <c r="P379" s="35" t="s">
        <v>50</v>
      </c>
      <c r="Q379" s="35" t="n">
        <v>0</v>
      </c>
      <c r="R379" s="35"/>
      <c r="S379" s="35" t="s">
        <v>40</v>
      </c>
      <c r="T379" s="35" t="s">
        <v>41</v>
      </c>
      <c r="U379" s="35" t="s">
        <v>43</v>
      </c>
      <c r="V379" s="35" t="s">
        <v>209</v>
      </c>
      <c r="W379" s="35"/>
      <c r="X379" s="35" t="s">
        <v>2092</v>
      </c>
      <c r="Y379" s="35" t="n">
        <v>-7.1891075</v>
      </c>
      <c r="Z379" s="35" t="n">
        <v>-48.211857</v>
      </c>
      <c r="AA379" s="49" t="s">
        <v>1603</v>
      </c>
      <c r="AB379" s="35" t="s">
        <v>2093</v>
      </c>
    </row>
    <row r="380" customFormat="false" ht="15" hidden="false" customHeight="false" outlineLevel="0" collapsed="false">
      <c r="A380" s="35" t="n">
        <v>379</v>
      </c>
      <c r="B380" s="35" t="s">
        <v>1294</v>
      </c>
      <c r="C380" s="35" t="s">
        <v>2094</v>
      </c>
      <c r="D380" s="35" t="s">
        <v>1293</v>
      </c>
      <c r="E380" s="35" t="s">
        <v>1295</v>
      </c>
      <c r="F380" s="40" t="n">
        <v>4.52861470517461</v>
      </c>
      <c r="G380" s="36" t="n">
        <v>4698.70616559361</v>
      </c>
      <c r="H380" s="36" t="n">
        <v>18.6658749697062</v>
      </c>
      <c r="I380" s="7" t="s">
        <v>22</v>
      </c>
      <c r="J380" s="35" t="s">
        <v>283</v>
      </c>
      <c r="K380" s="35" t="s">
        <v>472</v>
      </c>
      <c r="L380" s="35" t="n">
        <v>71</v>
      </c>
      <c r="M380" s="35" t="s">
        <v>209</v>
      </c>
      <c r="N380" s="35" t="s">
        <v>1794</v>
      </c>
      <c r="O380" s="35" t="s">
        <v>210</v>
      </c>
      <c r="P380" s="35" t="s">
        <v>50</v>
      </c>
      <c r="Q380" s="35" t="n">
        <v>0</v>
      </c>
      <c r="R380" s="35"/>
      <c r="S380" s="35" t="s">
        <v>40</v>
      </c>
      <c r="T380" s="35" t="s">
        <v>41</v>
      </c>
      <c r="U380" s="35" t="s">
        <v>43</v>
      </c>
      <c r="V380" s="35" t="s">
        <v>209</v>
      </c>
      <c r="W380" s="35"/>
      <c r="X380" s="35" t="s">
        <v>2092</v>
      </c>
      <c r="Y380" s="35" t="n">
        <v>-7.189172</v>
      </c>
      <c r="Z380" s="35" t="n">
        <v>-48.2118805</v>
      </c>
      <c r="AA380" s="49" t="s">
        <v>1603</v>
      </c>
      <c r="AB380" s="35" t="s">
        <v>2093</v>
      </c>
    </row>
    <row r="381" customFormat="false" ht="15" hidden="false" customHeight="false" outlineLevel="0" collapsed="false">
      <c r="A381" s="35" t="n">
        <v>380</v>
      </c>
      <c r="B381" s="35" t="s">
        <v>1296</v>
      </c>
      <c r="C381" s="35" t="s">
        <v>2095</v>
      </c>
      <c r="D381" s="35" t="s">
        <v>752</v>
      </c>
      <c r="E381" s="35" t="s">
        <v>1297</v>
      </c>
      <c r="F381" s="40" t="n">
        <v>27.0972491195253</v>
      </c>
      <c r="G381" s="36" t="n">
        <v>4807.56693639732</v>
      </c>
      <c r="H381" s="36" t="n">
        <v>768.345792689612</v>
      </c>
      <c r="I381" s="6" t="s">
        <v>21</v>
      </c>
      <c r="J381" s="35" t="s">
        <v>283</v>
      </c>
      <c r="K381" s="35" t="s">
        <v>473</v>
      </c>
      <c r="L381" s="35" t="n">
        <v>72</v>
      </c>
      <c r="M381" s="35" t="s">
        <v>43</v>
      </c>
      <c r="N381" s="35" t="s">
        <v>1674</v>
      </c>
      <c r="O381" s="35" t="s">
        <v>213</v>
      </c>
      <c r="P381" s="35" t="s">
        <v>50</v>
      </c>
      <c r="Q381" s="35" t="n">
        <v>0</v>
      </c>
      <c r="R381" s="35"/>
      <c r="S381" s="35" t="s">
        <v>40</v>
      </c>
      <c r="T381" s="35" t="s">
        <v>41</v>
      </c>
      <c r="U381" s="35" t="s">
        <v>43</v>
      </c>
      <c r="V381" s="35"/>
      <c r="W381" s="35"/>
      <c r="X381" s="35" t="s">
        <v>1718</v>
      </c>
      <c r="Y381" s="35" t="n">
        <v>-7.188373</v>
      </c>
      <c r="Z381" s="35" t="n">
        <v>-48.2112515</v>
      </c>
      <c r="AA381" s="49" t="s">
        <v>1603</v>
      </c>
      <c r="AB381" s="35" t="s">
        <v>1719</v>
      </c>
    </row>
    <row r="382" customFormat="false" ht="15" hidden="false" customHeight="false" outlineLevel="0" collapsed="false">
      <c r="A382" s="35" t="n">
        <v>381</v>
      </c>
      <c r="B382" s="35" t="s">
        <v>1298</v>
      </c>
      <c r="C382" s="35" t="s">
        <v>2096</v>
      </c>
      <c r="D382" s="35" t="s">
        <v>752</v>
      </c>
      <c r="E382" s="35" t="s">
        <v>1299</v>
      </c>
      <c r="F382" s="40" t="n">
        <v>8.59726121004438</v>
      </c>
      <c r="G382" s="36" t="n">
        <v>4789.06694848783</v>
      </c>
      <c r="H382" s="36" t="n">
        <v>749.845804780131</v>
      </c>
      <c r="I382" s="6" t="s">
        <v>21</v>
      </c>
      <c r="J382" s="35" t="s">
        <v>283</v>
      </c>
      <c r="K382" s="35" t="s">
        <v>473</v>
      </c>
      <c r="L382" s="35" t="n">
        <v>72</v>
      </c>
      <c r="M382" s="35" t="s">
        <v>43</v>
      </c>
      <c r="N382" s="35" t="s">
        <v>1674</v>
      </c>
      <c r="O382" s="35" t="s">
        <v>213</v>
      </c>
      <c r="P382" s="35" t="s">
        <v>50</v>
      </c>
      <c r="Q382" s="35" t="n">
        <v>0</v>
      </c>
      <c r="R382" s="35"/>
      <c r="S382" s="35" t="s">
        <v>40</v>
      </c>
      <c r="T382" s="35" t="s">
        <v>41</v>
      </c>
      <c r="U382" s="35" t="s">
        <v>43</v>
      </c>
      <c r="V382" s="35"/>
      <c r="W382" s="35"/>
      <c r="X382" s="35" t="s">
        <v>1718</v>
      </c>
      <c r="Y382" s="35" t="n">
        <v>-7.1884155</v>
      </c>
      <c r="Z382" s="35" t="n">
        <v>-48.2110955</v>
      </c>
      <c r="AA382" s="49" t="s">
        <v>1603</v>
      </c>
      <c r="AB382" s="35" t="s">
        <v>1719</v>
      </c>
    </row>
    <row r="383" customFormat="false" ht="15" hidden="false" customHeight="false" outlineLevel="0" collapsed="false">
      <c r="A383" s="35" t="n">
        <v>382</v>
      </c>
      <c r="B383" s="35" t="s">
        <v>1300</v>
      </c>
      <c r="C383" s="35" t="s">
        <v>2097</v>
      </c>
      <c r="D383" s="35" t="s">
        <v>754</v>
      </c>
      <c r="E383" s="35" t="s">
        <v>1301</v>
      </c>
      <c r="F383" s="40" t="n">
        <v>18.8952627016858</v>
      </c>
      <c r="G383" s="36" t="n">
        <v>4907.60382676994</v>
      </c>
      <c r="H383" s="36" t="n">
        <v>868.382683062235</v>
      </c>
      <c r="I383" s="6" t="s">
        <v>21</v>
      </c>
      <c r="J383" s="35" t="s">
        <v>283</v>
      </c>
      <c r="K383" s="35" t="s">
        <v>476</v>
      </c>
      <c r="L383" s="35" t="n">
        <v>73</v>
      </c>
      <c r="M383" s="35" t="s">
        <v>43</v>
      </c>
      <c r="N383" s="35" t="s">
        <v>1674</v>
      </c>
      <c r="O383" s="35" t="s">
        <v>216</v>
      </c>
      <c r="P383" s="35" t="s">
        <v>50</v>
      </c>
      <c r="Q383" s="35" t="n">
        <v>0</v>
      </c>
      <c r="R383" s="35"/>
      <c r="S383" s="35" t="s">
        <v>40</v>
      </c>
      <c r="T383" s="35" t="s">
        <v>41</v>
      </c>
      <c r="U383" s="35" t="s">
        <v>43</v>
      </c>
      <c r="V383" s="35"/>
      <c r="W383" s="35"/>
      <c r="X383" s="35" t="s">
        <v>1718</v>
      </c>
      <c r="Y383" s="35" t="n">
        <v>-7.1878275</v>
      </c>
      <c r="Z383" s="35" t="n">
        <v>-48.21028</v>
      </c>
      <c r="AA383" s="49" t="s">
        <v>1603</v>
      </c>
      <c r="AB383" s="35" t="s">
        <v>1719</v>
      </c>
    </row>
    <row r="384" customFormat="false" ht="15" hidden="false" customHeight="false" outlineLevel="0" collapsed="false">
      <c r="A384" s="35" t="n">
        <v>383</v>
      </c>
      <c r="B384" s="35" t="s">
        <v>1302</v>
      </c>
      <c r="C384" s="35" t="s">
        <v>2098</v>
      </c>
      <c r="D384" s="35" t="s">
        <v>754</v>
      </c>
      <c r="E384" s="35" t="s">
        <v>1303</v>
      </c>
      <c r="F384" s="40" t="n">
        <v>47.3082617945954</v>
      </c>
      <c r="G384" s="36" t="n">
        <v>4936.01682586285</v>
      </c>
      <c r="H384" s="36" t="n">
        <v>896.795682155145</v>
      </c>
      <c r="I384" s="6" t="s">
        <v>21</v>
      </c>
      <c r="J384" s="35" t="s">
        <v>283</v>
      </c>
      <c r="K384" s="35" t="s">
        <v>476</v>
      </c>
      <c r="L384" s="35" t="n">
        <v>73</v>
      </c>
      <c r="M384" s="35" t="s">
        <v>43</v>
      </c>
      <c r="N384" s="35" t="s">
        <v>1674</v>
      </c>
      <c r="O384" s="35" t="s">
        <v>216</v>
      </c>
      <c r="P384" s="35" t="s">
        <v>50</v>
      </c>
      <c r="Q384" s="35" t="n">
        <v>0</v>
      </c>
      <c r="R384" s="35"/>
      <c r="S384" s="35" t="s">
        <v>40</v>
      </c>
      <c r="T384" s="35" t="s">
        <v>41</v>
      </c>
      <c r="U384" s="35" t="s">
        <v>43</v>
      </c>
      <c r="V384" s="35"/>
      <c r="W384" s="35"/>
      <c r="X384" s="35" t="s">
        <v>1718</v>
      </c>
      <c r="Y384" s="35" t="n">
        <v>-7.187744</v>
      </c>
      <c r="Z384" s="35" t="n">
        <v>-48.210568</v>
      </c>
      <c r="AA384" s="49" t="s">
        <v>1603</v>
      </c>
      <c r="AB384" s="35" t="s">
        <v>1719</v>
      </c>
    </row>
    <row r="385" customFormat="false" ht="15" hidden="false" customHeight="false" outlineLevel="0" collapsed="false">
      <c r="A385" s="35" t="n">
        <v>384</v>
      </c>
      <c r="B385" s="35" t="s">
        <v>1304</v>
      </c>
      <c r="C385" s="35" t="s">
        <v>2099</v>
      </c>
      <c r="D385" s="35" t="s">
        <v>758</v>
      </c>
      <c r="E385" s="35" t="s">
        <v>1305</v>
      </c>
      <c r="F385" s="40" t="n">
        <v>27.0292857462262</v>
      </c>
      <c r="G385" s="36" t="n">
        <v>5028.22813818515</v>
      </c>
      <c r="H385" s="36" t="n">
        <v>989.006994477451</v>
      </c>
      <c r="I385" s="6" t="s">
        <v>21</v>
      </c>
      <c r="J385" s="35" t="s">
        <v>283</v>
      </c>
      <c r="K385" s="35" t="s">
        <v>479</v>
      </c>
      <c r="L385" s="35" t="n">
        <v>74</v>
      </c>
      <c r="M385" s="35" t="s">
        <v>43</v>
      </c>
      <c r="N385" s="35" t="s">
        <v>1674</v>
      </c>
      <c r="O385" s="35" t="s">
        <v>219</v>
      </c>
      <c r="P385" s="35" t="s">
        <v>50</v>
      </c>
      <c r="Q385" s="35" t="n">
        <v>0</v>
      </c>
      <c r="R385" s="35"/>
      <c r="S385" s="35" t="s">
        <v>40</v>
      </c>
      <c r="T385" s="35" t="s">
        <v>41</v>
      </c>
      <c r="U385" s="35" t="s">
        <v>43</v>
      </c>
      <c r="V385" s="35"/>
      <c r="W385" s="35"/>
      <c r="X385" s="35" t="s">
        <v>1718</v>
      </c>
      <c r="Y385" s="35" t="n">
        <v>-7.1871015</v>
      </c>
      <c r="Z385" s="35" t="n">
        <v>-48.209465</v>
      </c>
      <c r="AA385" s="49" t="s">
        <v>1603</v>
      </c>
      <c r="AB385" s="35" t="s">
        <v>1719</v>
      </c>
    </row>
    <row r="386" customFormat="false" ht="15" hidden="false" customHeight="false" outlineLevel="0" collapsed="false">
      <c r="A386" s="35" t="n">
        <v>385</v>
      </c>
      <c r="B386" s="35" t="s">
        <v>1306</v>
      </c>
      <c r="C386" s="35" t="s">
        <v>2100</v>
      </c>
      <c r="D386" s="35" t="s">
        <v>1305</v>
      </c>
      <c r="E386" s="35" t="s">
        <v>1307</v>
      </c>
      <c r="F386" s="40" t="n">
        <v>3.78485972045959</v>
      </c>
      <c r="G386" s="36" t="n">
        <v>5032.01299790561</v>
      </c>
      <c r="H386" s="36" t="n">
        <v>992.79185419791</v>
      </c>
      <c r="I386" s="6" t="s">
        <v>21</v>
      </c>
      <c r="J386" s="35" t="s">
        <v>283</v>
      </c>
      <c r="K386" s="35" t="s">
        <v>479</v>
      </c>
      <c r="L386" s="35" t="n">
        <v>74</v>
      </c>
      <c r="M386" s="35" t="s">
        <v>43</v>
      </c>
      <c r="N386" s="35" t="s">
        <v>1674</v>
      </c>
      <c r="O386" s="35" t="s">
        <v>219</v>
      </c>
      <c r="P386" s="35" t="s">
        <v>50</v>
      </c>
      <c r="Q386" s="35" t="n">
        <v>0</v>
      </c>
      <c r="R386" s="35"/>
      <c r="S386" s="35" t="s">
        <v>40</v>
      </c>
      <c r="T386" s="35" t="s">
        <v>41</v>
      </c>
      <c r="U386" s="35" t="s">
        <v>43</v>
      </c>
      <c r="V386" s="35"/>
      <c r="W386" s="35"/>
      <c r="X386" s="35" t="s">
        <v>1718</v>
      </c>
      <c r="Y386" s="35" t="n">
        <v>-7.1870155</v>
      </c>
      <c r="Z386" s="35" t="n">
        <v>-48.2093555</v>
      </c>
      <c r="AA386" s="49" t="s">
        <v>1603</v>
      </c>
      <c r="AB386" s="35" t="s">
        <v>1719</v>
      </c>
    </row>
    <row r="387" customFormat="false" ht="15" hidden="false" customHeight="false" outlineLevel="0" collapsed="false">
      <c r="A387" s="35" t="n">
        <v>386</v>
      </c>
      <c r="B387" s="35" t="s">
        <v>1308</v>
      </c>
      <c r="C387" s="35" t="s">
        <v>2101</v>
      </c>
      <c r="D387" s="35" t="s">
        <v>1307</v>
      </c>
      <c r="E387" s="35" t="s">
        <v>1309</v>
      </c>
      <c r="F387" s="40" t="n">
        <v>19.1666094480376</v>
      </c>
      <c r="G387" s="36" t="n">
        <v>5051.17960735365</v>
      </c>
      <c r="H387" s="36" t="n">
        <v>1011.95846364595</v>
      </c>
      <c r="I387" s="6" t="s">
        <v>21</v>
      </c>
      <c r="J387" s="35" t="s">
        <v>283</v>
      </c>
      <c r="K387" s="35" t="s">
        <v>479</v>
      </c>
      <c r="L387" s="35" t="n">
        <v>74</v>
      </c>
      <c r="M387" s="35" t="s">
        <v>43</v>
      </c>
      <c r="N387" s="35" t="s">
        <v>1674</v>
      </c>
      <c r="O387" s="35" t="s">
        <v>219</v>
      </c>
      <c r="P387" s="35" t="s">
        <v>50</v>
      </c>
      <c r="Q387" s="35" t="n">
        <v>0</v>
      </c>
      <c r="R387" s="35"/>
      <c r="S387" s="35" t="s">
        <v>40</v>
      </c>
      <c r="T387" s="35" t="s">
        <v>41</v>
      </c>
      <c r="U387" s="35" t="s">
        <v>43</v>
      </c>
      <c r="V387" s="35"/>
      <c r="W387" s="35"/>
      <c r="X387" s="35" t="s">
        <v>1718</v>
      </c>
      <c r="Y387" s="35" t="n">
        <v>-7.186952</v>
      </c>
      <c r="Z387" s="35" t="n">
        <v>-48.2092735</v>
      </c>
      <c r="AA387" s="49" t="s">
        <v>1603</v>
      </c>
      <c r="AB387" s="35" t="s">
        <v>1719</v>
      </c>
    </row>
    <row r="388" customFormat="false" ht="15" hidden="false" customHeight="false" outlineLevel="0" collapsed="false">
      <c r="A388" s="35" t="n">
        <v>387</v>
      </c>
      <c r="B388" s="35" t="s">
        <v>1310</v>
      </c>
      <c r="C388" s="35" t="s">
        <v>2102</v>
      </c>
      <c r="D388" s="35" t="s">
        <v>758</v>
      </c>
      <c r="E388" s="35" t="s">
        <v>1311</v>
      </c>
      <c r="F388" s="40" t="n">
        <v>14.1543309759042</v>
      </c>
      <c r="G388" s="36" t="n">
        <v>5015.35318341483</v>
      </c>
      <c r="H388" s="36" t="n">
        <v>976.132039707129</v>
      </c>
      <c r="I388" s="6" t="s">
        <v>21</v>
      </c>
      <c r="J388" s="35" t="s">
        <v>283</v>
      </c>
      <c r="K388" s="35" t="s">
        <v>479</v>
      </c>
      <c r="L388" s="35" t="n">
        <v>74</v>
      </c>
      <c r="M388" s="35" t="s">
        <v>43</v>
      </c>
      <c r="N388" s="35" t="s">
        <v>1674</v>
      </c>
      <c r="O388" s="35" t="s">
        <v>219</v>
      </c>
      <c r="P388" s="35" t="s">
        <v>50</v>
      </c>
      <c r="Q388" s="35" t="n">
        <v>0</v>
      </c>
      <c r="R388" s="35"/>
      <c r="S388" s="35" t="s">
        <v>40</v>
      </c>
      <c r="T388" s="35" t="s">
        <v>41</v>
      </c>
      <c r="U388" s="35" t="s">
        <v>43</v>
      </c>
      <c r="V388" s="35"/>
      <c r="W388" s="35"/>
      <c r="X388" s="35" t="s">
        <v>1718</v>
      </c>
      <c r="Y388" s="35" t="n">
        <v>-7.187165</v>
      </c>
      <c r="Z388" s="35" t="n">
        <v>-48.209624</v>
      </c>
      <c r="AA388" s="49" t="s">
        <v>1603</v>
      </c>
      <c r="AB388" s="35" t="s">
        <v>1719</v>
      </c>
    </row>
    <row r="389" customFormat="false" ht="15" hidden="false" customHeight="false" outlineLevel="0" collapsed="false">
      <c r="A389" s="35" t="n">
        <v>388</v>
      </c>
      <c r="B389" s="35" t="s">
        <v>1312</v>
      </c>
      <c r="C389" s="35" t="s">
        <v>2103</v>
      </c>
      <c r="D389" s="35" t="s">
        <v>760</v>
      </c>
      <c r="E389" s="35" t="s">
        <v>1313</v>
      </c>
      <c r="F389" s="40" t="n">
        <v>13.9141206141148</v>
      </c>
      <c r="G389" s="36" t="n">
        <v>5102.88695131354</v>
      </c>
      <c r="H389" s="36" t="n">
        <v>1063.66580760584</v>
      </c>
      <c r="I389" s="6" t="s">
        <v>21</v>
      </c>
      <c r="J389" s="35" t="s">
        <v>283</v>
      </c>
      <c r="K389" s="35" t="s">
        <v>482</v>
      </c>
      <c r="L389" s="35" t="n">
        <v>75</v>
      </c>
      <c r="M389" s="35" t="s">
        <v>43</v>
      </c>
      <c r="N389" s="35" t="s">
        <v>1674</v>
      </c>
      <c r="O389" s="35" t="s">
        <v>222</v>
      </c>
      <c r="P389" s="35" t="s">
        <v>50</v>
      </c>
      <c r="Q389" s="35" t="n">
        <v>0</v>
      </c>
      <c r="R389" s="35"/>
      <c r="S389" s="35" t="s">
        <v>40</v>
      </c>
      <c r="T389" s="35" t="s">
        <v>41</v>
      </c>
      <c r="U389" s="35" t="s">
        <v>43</v>
      </c>
      <c r="V389" s="35"/>
      <c r="W389" s="35"/>
      <c r="X389" s="35" t="s">
        <v>1718</v>
      </c>
      <c r="Y389" s="35" t="n">
        <v>-7.1873635</v>
      </c>
      <c r="Z389" s="35" t="n">
        <v>-48.2087855</v>
      </c>
      <c r="AA389" s="49" t="s">
        <v>1603</v>
      </c>
      <c r="AB389" s="35" t="s">
        <v>1719</v>
      </c>
    </row>
    <row r="390" customFormat="false" ht="15" hidden="false" customHeight="false" outlineLevel="0" collapsed="false">
      <c r="A390" s="35" t="n">
        <v>389</v>
      </c>
      <c r="B390" s="35" t="s">
        <v>1314</v>
      </c>
      <c r="C390" s="35" t="s">
        <v>2104</v>
      </c>
      <c r="D390" s="35" t="s">
        <v>1313</v>
      </c>
      <c r="E390" s="35" t="s">
        <v>1315</v>
      </c>
      <c r="F390" s="40" t="n">
        <v>3.26794319200948</v>
      </c>
      <c r="G390" s="36" t="n">
        <v>5106.15489450555</v>
      </c>
      <c r="H390" s="36" t="n">
        <v>1066.93375079785</v>
      </c>
      <c r="I390" s="6" t="s">
        <v>21</v>
      </c>
      <c r="J390" s="35" t="s">
        <v>283</v>
      </c>
      <c r="K390" s="35" t="s">
        <v>482</v>
      </c>
      <c r="L390" s="35" t="n">
        <v>75</v>
      </c>
      <c r="M390" s="35" t="s">
        <v>43</v>
      </c>
      <c r="N390" s="35" t="s">
        <v>1674</v>
      </c>
      <c r="O390" s="35" t="s">
        <v>222</v>
      </c>
      <c r="P390" s="35" t="s">
        <v>50</v>
      </c>
      <c r="Q390" s="35" t="n">
        <v>0</v>
      </c>
      <c r="R390" s="35"/>
      <c r="S390" s="35" t="s">
        <v>40</v>
      </c>
      <c r="T390" s="35" t="s">
        <v>41</v>
      </c>
      <c r="U390" s="35" t="s">
        <v>43</v>
      </c>
      <c r="V390" s="35"/>
      <c r="W390" s="35"/>
      <c r="X390" s="35" t="s">
        <v>1718</v>
      </c>
      <c r="Y390" s="35" t="n">
        <v>-7.18729</v>
      </c>
      <c r="Z390" s="35" t="n">
        <v>-48.2087615</v>
      </c>
      <c r="AA390" s="49" t="s">
        <v>1603</v>
      </c>
      <c r="AB390" s="35" t="s">
        <v>1719</v>
      </c>
    </row>
    <row r="391" customFormat="false" ht="15" hidden="false" customHeight="false" outlineLevel="0" collapsed="false">
      <c r="A391" s="35" t="n">
        <v>390</v>
      </c>
      <c r="B391" s="35" t="s">
        <v>1316</v>
      </c>
      <c r="C391" s="35" t="s">
        <v>2105</v>
      </c>
      <c r="D391" s="35" t="s">
        <v>1315</v>
      </c>
      <c r="E391" s="35" t="s">
        <v>1317</v>
      </c>
      <c r="F391" s="40" t="n">
        <v>52.7715114694485</v>
      </c>
      <c r="G391" s="36" t="n">
        <v>5158.926405975</v>
      </c>
      <c r="H391" s="36" t="n">
        <v>1119.7052622673</v>
      </c>
      <c r="I391" s="6" t="s">
        <v>21</v>
      </c>
      <c r="J391" s="35" t="s">
        <v>283</v>
      </c>
      <c r="K391" s="35" t="s">
        <v>482</v>
      </c>
      <c r="L391" s="35" t="n">
        <v>75</v>
      </c>
      <c r="M391" s="35" t="s">
        <v>43</v>
      </c>
      <c r="N391" s="35" t="s">
        <v>1674</v>
      </c>
      <c r="O391" s="35" t="s">
        <v>222</v>
      </c>
      <c r="P391" s="35" t="s">
        <v>50</v>
      </c>
      <c r="Q391" s="35" t="n">
        <v>0</v>
      </c>
      <c r="R391" s="35"/>
      <c r="S391" s="35" t="s">
        <v>40</v>
      </c>
      <c r="T391" s="35" t="s">
        <v>41</v>
      </c>
      <c r="U391" s="35" t="s">
        <v>43</v>
      </c>
      <c r="V391" s="35"/>
      <c r="W391" s="35"/>
      <c r="X391" s="35" t="s">
        <v>1718</v>
      </c>
      <c r="Y391" s="35" t="n">
        <v>-7.1870485</v>
      </c>
      <c r="Z391" s="35" t="n">
        <v>-48.208689</v>
      </c>
      <c r="AA391" s="49" t="s">
        <v>1603</v>
      </c>
      <c r="AB391" s="35" t="s">
        <v>1719</v>
      </c>
    </row>
    <row r="392" customFormat="false" ht="15" hidden="false" customHeight="false" outlineLevel="0" collapsed="false">
      <c r="A392" s="35" t="n">
        <v>391</v>
      </c>
      <c r="B392" s="35" t="s">
        <v>1318</v>
      </c>
      <c r="C392" s="35" t="s">
        <v>2106</v>
      </c>
      <c r="D392" s="35" t="s">
        <v>760</v>
      </c>
      <c r="E392" s="35" t="s">
        <v>1319</v>
      </c>
      <c r="F392" s="40" t="n">
        <v>13.7744420025891</v>
      </c>
      <c r="G392" s="36" t="n">
        <v>5102.74727270202</v>
      </c>
      <c r="H392" s="36" t="n">
        <v>1063.52612899431</v>
      </c>
      <c r="I392" s="6" t="s">
        <v>21</v>
      </c>
      <c r="J392" s="35" t="s">
        <v>283</v>
      </c>
      <c r="K392" s="35" t="s">
        <v>482</v>
      </c>
      <c r="L392" s="35" t="n">
        <v>75</v>
      </c>
      <c r="M392" s="35" t="s">
        <v>43</v>
      </c>
      <c r="N392" s="35" t="s">
        <v>1674</v>
      </c>
      <c r="O392" s="35" t="s">
        <v>222</v>
      </c>
      <c r="P392" s="35" t="s">
        <v>50</v>
      </c>
      <c r="Q392" s="35" t="n">
        <v>0</v>
      </c>
      <c r="R392" s="35"/>
      <c r="S392" s="35" t="s">
        <v>40</v>
      </c>
      <c r="T392" s="35" t="s">
        <v>41</v>
      </c>
      <c r="U392" s="35" t="s">
        <v>43</v>
      </c>
      <c r="V392" s="35"/>
      <c r="W392" s="35"/>
      <c r="X392" s="35" t="s">
        <v>1718</v>
      </c>
      <c r="Y392" s="35" t="n">
        <v>-7.187482</v>
      </c>
      <c r="Z392" s="35" t="n">
        <v>-48.208824</v>
      </c>
      <c r="AA392" s="49" t="s">
        <v>1603</v>
      </c>
      <c r="AB392" s="35" t="s">
        <v>1719</v>
      </c>
    </row>
    <row r="393" customFormat="false" ht="15" hidden="false" customHeight="false" outlineLevel="0" collapsed="false">
      <c r="A393" s="35" t="n">
        <v>392</v>
      </c>
      <c r="B393" s="35" t="s">
        <v>1320</v>
      </c>
      <c r="C393" s="35" t="s">
        <v>2107</v>
      </c>
      <c r="D393" s="35" t="s">
        <v>769</v>
      </c>
      <c r="E393" s="35" t="s">
        <v>1321</v>
      </c>
      <c r="F393" s="40" t="n">
        <v>13.753559573682</v>
      </c>
      <c r="G393" s="36" t="n">
        <v>5241.39120569247</v>
      </c>
      <c r="H393" s="36" t="n">
        <v>1202.17006198477</v>
      </c>
      <c r="I393" s="6" t="s">
        <v>21</v>
      </c>
      <c r="J393" s="35" t="s">
        <v>283</v>
      </c>
      <c r="K393" s="35" t="s">
        <v>485</v>
      </c>
      <c r="L393" s="35" t="n">
        <v>76</v>
      </c>
      <c r="M393" s="35" t="s">
        <v>43</v>
      </c>
      <c r="N393" s="35" t="s">
        <v>1674</v>
      </c>
      <c r="O393" s="35" t="s">
        <v>225</v>
      </c>
      <c r="P393" s="35" t="s">
        <v>50</v>
      </c>
      <c r="Q393" s="35" t="n">
        <v>0</v>
      </c>
      <c r="R393" s="35"/>
      <c r="S393" s="35" t="s">
        <v>40</v>
      </c>
      <c r="T393" s="35" t="s">
        <v>41</v>
      </c>
      <c r="U393" s="35" t="s">
        <v>43</v>
      </c>
      <c r="V393" s="35"/>
      <c r="W393" s="35"/>
      <c r="X393" s="35" t="s">
        <v>1718</v>
      </c>
      <c r="Y393" s="35" t="n">
        <v>-7.1877205</v>
      </c>
      <c r="Z393" s="35" t="n">
        <v>-48.20763</v>
      </c>
      <c r="AA393" s="49" t="s">
        <v>1603</v>
      </c>
      <c r="AB393" s="35" t="s">
        <v>1719</v>
      </c>
    </row>
    <row r="394" customFormat="false" ht="15" hidden="false" customHeight="false" outlineLevel="0" collapsed="false">
      <c r="A394" s="35" t="n">
        <v>393</v>
      </c>
      <c r="B394" s="35" t="s">
        <v>1322</v>
      </c>
      <c r="C394" s="35" t="s">
        <v>2108</v>
      </c>
      <c r="D394" s="35" t="s">
        <v>775</v>
      </c>
      <c r="E394" s="35" t="s">
        <v>1323</v>
      </c>
      <c r="F394" s="40" t="n">
        <v>5.11387270273531</v>
      </c>
      <c r="G394" s="36" t="n">
        <v>5287.69020883068</v>
      </c>
      <c r="H394" s="36" t="n">
        <v>1248.46906512298</v>
      </c>
      <c r="I394" s="6" t="s">
        <v>21</v>
      </c>
      <c r="J394" s="35" t="s">
        <v>283</v>
      </c>
      <c r="K394" s="35" t="s">
        <v>486</v>
      </c>
      <c r="L394" s="35" t="n">
        <v>77</v>
      </c>
      <c r="M394" s="35" t="s">
        <v>43</v>
      </c>
      <c r="N394" s="35" t="s">
        <v>1674</v>
      </c>
      <c r="O394" s="35" t="s">
        <v>228</v>
      </c>
      <c r="P394" s="35" t="s">
        <v>50</v>
      </c>
      <c r="Q394" s="35" t="n">
        <v>0</v>
      </c>
      <c r="R394" s="35"/>
      <c r="S394" s="35" t="s">
        <v>40</v>
      </c>
      <c r="T394" s="35" t="s">
        <v>41</v>
      </c>
      <c r="U394" s="35" t="s">
        <v>43</v>
      </c>
      <c r="V394" s="35"/>
      <c r="W394" s="35"/>
      <c r="X394" s="35" t="s">
        <v>1718</v>
      </c>
      <c r="Y394" s="35" t="n">
        <v>-7.1882755</v>
      </c>
      <c r="Z394" s="35" t="n">
        <v>-48.2077735</v>
      </c>
      <c r="AA394" s="49" t="s">
        <v>1603</v>
      </c>
      <c r="AB394" s="35" t="s">
        <v>1719</v>
      </c>
    </row>
    <row r="395" customFormat="false" ht="15" hidden="false" customHeight="false" outlineLevel="0" collapsed="false">
      <c r="A395" s="35" t="n">
        <v>394</v>
      </c>
      <c r="B395" s="35" t="s">
        <v>1324</v>
      </c>
      <c r="C395" s="35" t="s">
        <v>2109</v>
      </c>
      <c r="D395" s="35" t="s">
        <v>781</v>
      </c>
      <c r="E395" s="35" t="s">
        <v>1325</v>
      </c>
      <c r="F395" s="40" t="n">
        <v>2.04197237448375</v>
      </c>
      <c r="G395" s="36" t="n">
        <v>5288.39999944163</v>
      </c>
      <c r="H395" s="36" t="n">
        <v>2.04197237448352</v>
      </c>
      <c r="I395" s="6" t="s">
        <v>21</v>
      </c>
      <c r="J395" s="35" t="s">
        <v>283</v>
      </c>
      <c r="K395" s="35" t="s">
        <v>487</v>
      </c>
      <c r="L395" s="35" t="n">
        <v>78</v>
      </c>
      <c r="M395" s="35" t="s">
        <v>230</v>
      </c>
      <c r="N395" s="35" t="s">
        <v>1674</v>
      </c>
      <c r="O395" s="35" t="s">
        <v>231</v>
      </c>
      <c r="P395" s="35" t="s">
        <v>2110</v>
      </c>
      <c r="Q395" s="35" t="n">
        <v>15</v>
      </c>
      <c r="R395" s="35"/>
      <c r="S395" s="35" t="s">
        <v>40</v>
      </c>
      <c r="T395" s="35" t="s">
        <v>41</v>
      </c>
      <c r="U395" s="35" t="s">
        <v>43</v>
      </c>
      <c r="V395" s="35" t="s">
        <v>230</v>
      </c>
      <c r="W395" s="35"/>
      <c r="X395" s="35" t="s">
        <v>2111</v>
      </c>
      <c r="Y395" s="35" t="n">
        <v>-7.1882835</v>
      </c>
      <c r="Z395" s="35" t="n">
        <v>-48.2078135</v>
      </c>
      <c r="AA395" s="49" t="s">
        <v>1603</v>
      </c>
      <c r="AB395" s="35" t="s">
        <v>2112</v>
      </c>
    </row>
    <row r="396" customFormat="false" ht="15" hidden="false" customHeight="false" outlineLevel="0" collapsed="false">
      <c r="A396" s="35" t="n">
        <v>395</v>
      </c>
      <c r="B396" s="35" t="s">
        <v>1326</v>
      </c>
      <c r="C396" s="35" t="s">
        <v>2113</v>
      </c>
      <c r="D396" s="35" t="s">
        <v>1325</v>
      </c>
      <c r="E396" s="35" t="s">
        <v>1327</v>
      </c>
      <c r="F396" s="40" t="n">
        <v>0.351353840256877</v>
      </c>
      <c r="G396" s="36" t="n">
        <v>5288.75135328189</v>
      </c>
      <c r="H396" s="36" t="n">
        <v>2.39332621474023</v>
      </c>
      <c r="I396" s="6" t="s">
        <v>21</v>
      </c>
      <c r="J396" s="35" t="s">
        <v>283</v>
      </c>
      <c r="K396" s="35" t="s">
        <v>487</v>
      </c>
      <c r="L396" s="35" t="n">
        <v>78</v>
      </c>
      <c r="M396" s="35" t="s">
        <v>230</v>
      </c>
      <c r="N396" s="35" t="s">
        <v>1674</v>
      </c>
      <c r="O396" s="35" t="s">
        <v>231</v>
      </c>
      <c r="P396" s="35" t="s">
        <v>2110</v>
      </c>
      <c r="Q396" s="35" t="n">
        <v>15</v>
      </c>
      <c r="R396" s="35"/>
      <c r="S396" s="35" t="s">
        <v>40</v>
      </c>
      <c r="T396" s="35" t="s">
        <v>41</v>
      </c>
      <c r="U396" s="35" t="s">
        <v>43</v>
      </c>
      <c r="V396" s="35" t="s">
        <v>230</v>
      </c>
      <c r="W396" s="35"/>
      <c r="X396" s="35" t="s">
        <v>2111</v>
      </c>
      <c r="Y396" s="35" t="n">
        <v>-7.1882935</v>
      </c>
      <c r="Z396" s="35" t="n">
        <v>-48.2078165</v>
      </c>
      <c r="AA396" s="49" t="s">
        <v>1603</v>
      </c>
      <c r="AB396" s="35" t="s">
        <v>2112</v>
      </c>
    </row>
    <row r="397" customFormat="false" ht="15" hidden="false" customHeight="false" outlineLevel="0" collapsed="false">
      <c r="A397" s="35" t="n">
        <v>396</v>
      </c>
      <c r="B397" s="35" t="s">
        <v>1328</v>
      </c>
      <c r="C397" s="35" t="s">
        <v>2114</v>
      </c>
      <c r="D397" s="35" t="s">
        <v>1327</v>
      </c>
      <c r="E397" s="35" t="s">
        <v>1329</v>
      </c>
      <c r="F397" s="40" t="n">
        <v>2.86200495186962</v>
      </c>
      <c r="G397" s="36" t="n">
        <v>5291.61335823376</v>
      </c>
      <c r="H397" s="36" t="n">
        <v>5.25533116660972</v>
      </c>
      <c r="I397" s="6" t="s">
        <v>21</v>
      </c>
      <c r="J397" s="35" t="s">
        <v>283</v>
      </c>
      <c r="K397" s="35" t="s">
        <v>487</v>
      </c>
      <c r="L397" s="35" t="n">
        <v>78</v>
      </c>
      <c r="M397" s="35" t="s">
        <v>230</v>
      </c>
      <c r="N397" s="35" t="s">
        <v>1674</v>
      </c>
      <c r="O397" s="35" t="s">
        <v>231</v>
      </c>
      <c r="P397" s="35" t="s">
        <v>2110</v>
      </c>
      <c r="Q397" s="35" t="n">
        <v>15</v>
      </c>
      <c r="R397" s="35"/>
      <c r="S397" s="35" t="s">
        <v>40</v>
      </c>
      <c r="T397" s="35" t="s">
        <v>41</v>
      </c>
      <c r="U397" s="35" t="s">
        <v>43</v>
      </c>
      <c r="V397" s="35" t="s">
        <v>230</v>
      </c>
      <c r="W397" s="35"/>
      <c r="X397" s="35" t="s">
        <v>2111</v>
      </c>
      <c r="Y397" s="35" t="n">
        <v>-7.1883055</v>
      </c>
      <c r="Z397" s="35" t="n">
        <v>-48.2078085</v>
      </c>
      <c r="AA397" s="49" t="s">
        <v>1603</v>
      </c>
      <c r="AB397" s="35" t="s">
        <v>2112</v>
      </c>
    </row>
    <row r="398" customFormat="false" ht="15" hidden="false" customHeight="false" outlineLevel="0" collapsed="false">
      <c r="A398" s="35" t="n">
        <v>397</v>
      </c>
      <c r="B398" s="35" t="s">
        <v>1330</v>
      </c>
      <c r="C398" s="35" t="s">
        <v>2115</v>
      </c>
      <c r="D398" s="35" t="s">
        <v>1329</v>
      </c>
      <c r="E398" s="35" t="s">
        <v>1331</v>
      </c>
      <c r="F398" s="40" t="n">
        <v>100.090223558677</v>
      </c>
      <c r="G398" s="36" t="n">
        <v>5391.70358179243</v>
      </c>
      <c r="H398" s="36" t="n">
        <v>105.345554725287</v>
      </c>
      <c r="I398" s="6" t="s">
        <v>21</v>
      </c>
      <c r="J398" s="35" t="s">
        <v>283</v>
      </c>
      <c r="K398" s="35" t="s">
        <v>487</v>
      </c>
      <c r="L398" s="35" t="n">
        <v>78</v>
      </c>
      <c r="M398" s="35" t="s">
        <v>230</v>
      </c>
      <c r="N398" s="35" t="s">
        <v>1674</v>
      </c>
      <c r="O398" s="35" t="s">
        <v>231</v>
      </c>
      <c r="P398" s="35" t="s">
        <v>2110</v>
      </c>
      <c r="Q398" s="35" t="n">
        <v>15</v>
      </c>
      <c r="R398" s="35"/>
      <c r="S398" s="35" t="s">
        <v>40</v>
      </c>
      <c r="T398" s="35" t="s">
        <v>41</v>
      </c>
      <c r="U398" s="35" t="s">
        <v>43</v>
      </c>
      <c r="V398" s="35" t="s">
        <v>230</v>
      </c>
      <c r="W398" s="35"/>
      <c r="X398" s="35" t="s">
        <v>2111</v>
      </c>
      <c r="Y398" s="35" t="n">
        <v>-7.1887485</v>
      </c>
      <c r="Z398" s="35" t="n">
        <v>-48.2079265</v>
      </c>
      <c r="AA398" s="49" t="s">
        <v>1603</v>
      </c>
      <c r="AB398" s="35" t="s">
        <v>2112</v>
      </c>
    </row>
    <row r="399" customFormat="false" ht="15" hidden="false" customHeight="false" outlineLevel="0" collapsed="false">
      <c r="A399" s="35" t="n">
        <v>398</v>
      </c>
      <c r="B399" s="35" t="s">
        <v>1332</v>
      </c>
      <c r="C399" s="35" t="s">
        <v>2116</v>
      </c>
      <c r="D399" s="35" t="s">
        <v>1331</v>
      </c>
      <c r="E399" s="35" t="s">
        <v>1333</v>
      </c>
      <c r="F399" s="40" t="n">
        <v>22.8970076602246</v>
      </c>
      <c r="G399" s="36" t="n">
        <v>5414.60058945266</v>
      </c>
      <c r="H399" s="36" t="n">
        <v>128.242562385512</v>
      </c>
      <c r="I399" s="6" t="s">
        <v>21</v>
      </c>
      <c r="J399" s="35" t="s">
        <v>283</v>
      </c>
      <c r="K399" s="35" t="s">
        <v>487</v>
      </c>
      <c r="L399" s="35" t="n">
        <v>78</v>
      </c>
      <c r="M399" s="35" t="s">
        <v>230</v>
      </c>
      <c r="N399" s="35" t="s">
        <v>1674</v>
      </c>
      <c r="O399" s="35" t="s">
        <v>231</v>
      </c>
      <c r="P399" s="35" t="s">
        <v>2110</v>
      </c>
      <c r="Q399" s="35" t="n">
        <v>15</v>
      </c>
      <c r="R399" s="35"/>
      <c r="S399" s="35" t="s">
        <v>40</v>
      </c>
      <c r="T399" s="35" t="s">
        <v>41</v>
      </c>
      <c r="U399" s="35" t="s">
        <v>43</v>
      </c>
      <c r="V399" s="35" t="s">
        <v>230</v>
      </c>
      <c r="W399" s="35"/>
      <c r="X399" s="35" t="s">
        <v>2111</v>
      </c>
      <c r="Y399" s="35" t="n">
        <v>-7.18928</v>
      </c>
      <c r="Z399" s="35" t="n">
        <v>-48.2080805</v>
      </c>
      <c r="AA399" s="49" t="s">
        <v>1603</v>
      </c>
      <c r="AB399" s="35" t="s">
        <v>2112</v>
      </c>
    </row>
    <row r="400" customFormat="false" ht="15" hidden="false" customHeight="false" outlineLevel="0" collapsed="false">
      <c r="A400" s="35" t="n">
        <v>399</v>
      </c>
      <c r="B400" s="35" t="s">
        <v>1334</v>
      </c>
      <c r="C400" s="35" t="s">
        <v>2117</v>
      </c>
      <c r="D400" s="35" t="s">
        <v>1333</v>
      </c>
      <c r="E400" s="35" t="s">
        <v>1335</v>
      </c>
      <c r="F400" s="40" t="n">
        <v>105.116086667758</v>
      </c>
      <c r="G400" s="36" t="n">
        <v>5519.71667612042</v>
      </c>
      <c r="H400" s="36" t="n">
        <v>233.35864905327</v>
      </c>
      <c r="I400" s="6" t="s">
        <v>21</v>
      </c>
      <c r="J400" s="35" t="s">
        <v>283</v>
      </c>
      <c r="K400" s="35" t="s">
        <v>487</v>
      </c>
      <c r="L400" s="35" t="n">
        <v>78</v>
      </c>
      <c r="M400" s="35" t="s">
        <v>230</v>
      </c>
      <c r="N400" s="35" t="s">
        <v>1674</v>
      </c>
      <c r="O400" s="35" t="s">
        <v>231</v>
      </c>
      <c r="P400" s="35" t="s">
        <v>2118</v>
      </c>
      <c r="Q400" s="35" t="n">
        <v>14</v>
      </c>
      <c r="R400" s="35"/>
      <c r="S400" s="35" t="s">
        <v>40</v>
      </c>
      <c r="T400" s="35" t="s">
        <v>41</v>
      </c>
      <c r="U400" s="35" t="s">
        <v>43</v>
      </c>
      <c r="V400" s="35" t="s">
        <v>230</v>
      </c>
      <c r="W400" s="35"/>
      <c r="X400" s="35" t="s">
        <v>2111</v>
      </c>
      <c r="Y400" s="35" t="n">
        <v>-7.1892405</v>
      </c>
      <c r="Z400" s="35" t="n">
        <v>-48.2085645</v>
      </c>
      <c r="AA400" s="49" t="s">
        <v>1603</v>
      </c>
      <c r="AB400" s="35" t="s">
        <v>2112</v>
      </c>
    </row>
    <row r="401" customFormat="false" ht="15" hidden="false" customHeight="false" outlineLevel="0" collapsed="false">
      <c r="A401" s="35" t="n">
        <v>400</v>
      </c>
      <c r="B401" s="35" t="s">
        <v>1336</v>
      </c>
      <c r="C401" s="35" t="s">
        <v>2119</v>
      </c>
      <c r="D401" s="35" t="s">
        <v>1335</v>
      </c>
      <c r="E401" s="35" t="s">
        <v>1337</v>
      </c>
      <c r="F401" s="40" t="n">
        <v>13.2674088321104</v>
      </c>
      <c r="G401" s="36" t="n">
        <v>5532.98408495253</v>
      </c>
      <c r="H401" s="36" t="n">
        <v>246.62605788538</v>
      </c>
      <c r="I401" s="6" t="s">
        <v>21</v>
      </c>
      <c r="J401" s="35" t="s">
        <v>283</v>
      </c>
      <c r="K401" s="35" t="s">
        <v>487</v>
      </c>
      <c r="L401" s="35" t="n">
        <v>78</v>
      </c>
      <c r="M401" s="35" t="s">
        <v>230</v>
      </c>
      <c r="N401" s="35" t="s">
        <v>1674</v>
      </c>
      <c r="O401" s="35" t="s">
        <v>231</v>
      </c>
      <c r="P401" s="35" t="s">
        <v>2120</v>
      </c>
      <c r="Q401" s="35" t="n">
        <v>13</v>
      </c>
      <c r="R401" s="35"/>
      <c r="S401" s="35" t="s">
        <v>40</v>
      </c>
      <c r="T401" s="35" t="s">
        <v>41</v>
      </c>
      <c r="U401" s="35" t="s">
        <v>43</v>
      </c>
      <c r="V401" s="35" t="s">
        <v>230</v>
      </c>
      <c r="W401" s="35"/>
      <c r="X401" s="35" t="s">
        <v>2111</v>
      </c>
      <c r="Y401" s="35" t="n">
        <v>-7.189083</v>
      </c>
      <c r="Z401" s="35" t="n">
        <v>-48.209077</v>
      </c>
      <c r="AA401" s="49" t="s">
        <v>1603</v>
      </c>
      <c r="AB401" s="35" t="s">
        <v>2112</v>
      </c>
    </row>
    <row r="402" customFormat="false" ht="15" hidden="false" customHeight="false" outlineLevel="0" collapsed="false">
      <c r="A402" s="35" t="n">
        <v>401</v>
      </c>
      <c r="B402" s="35" t="s">
        <v>1338</v>
      </c>
      <c r="C402" s="35" t="s">
        <v>2121</v>
      </c>
      <c r="D402" s="35" t="s">
        <v>1337</v>
      </c>
      <c r="E402" s="35" t="s">
        <v>1339</v>
      </c>
      <c r="F402" s="40" t="n">
        <v>1.71354333076682</v>
      </c>
      <c r="G402" s="36" t="n">
        <v>5534.69762828329</v>
      </c>
      <c r="H402" s="36" t="n">
        <v>248.339601216147</v>
      </c>
      <c r="I402" s="6" t="s">
        <v>21</v>
      </c>
      <c r="J402" s="35" t="s">
        <v>283</v>
      </c>
      <c r="K402" s="35" t="s">
        <v>487</v>
      </c>
      <c r="L402" s="35" t="n">
        <v>78</v>
      </c>
      <c r="M402" s="35" t="s">
        <v>230</v>
      </c>
      <c r="N402" s="35" t="s">
        <v>1674</v>
      </c>
      <c r="O402" s="35" t="s">
        <v>231</v>
      </c>
      <c r="P402" s="35" t="s">
        <v>2120</v>
      </c>
      <c r="Q402" s="35" t="n">
        <v>13</v>
      </c>
      <c r="R402" s="35" t="s">
        <v>1340</v>
      </c>
      <c r="S402" s="35" t="s">
        <v>40</v>
      </c>
      <c r="T402" s="35" t="s">
        <v>41</v>
      </c>
      <c r="U402" s="35" t="s">
        <v>43</v>
      </c>
      <c r="V402" s="35" t="s">
        <v>230</v>
      </c>
      <c r="W402" s="35"/>
      <c r="X402" s="35" t="s">
        <v>2111</v>
      </c>
      <c r="Y402" s="35" t="n">
        <v>-7.189062</v>
      </c>
      <c r="Z402" s="35" t="n">
        <v>-48.2091415</v>
      </c>
      <c r="AA402" s="49" t="s">
        <v>1603</v>
      </c>
      <c r="AB402" s="35" t="s">
        <v>2112</v>
      </c>
    </row>
    <row r="403" customFormat="false" ht="15" hidden="false" customHeight="false" outlineLevel="0" collapsed="false">
      <c r="A403" s="35" t="n">
        <v>402</v>
      </c>
      <c r="B403" s="35" t="s">
        <v>1341</v>
      </c>
      <c r="C403" s="35" t="s">
        <v>2122</v>
      </c>
      <c r="D403" s="35" t="s">
        <v>1339</v>
      </c>
      <c r="E403" s="35" t="s">
        <v>1342</v>
      </c>
      <c r="F403" s="40" t="n">
        <v>15.3980383934369</v>
      </c>
      <c r="G403" s="36" t="n">
        <v>5550.09566667673</v>
      </c>
      <c r="H403" s="36" t="n">
        <v>263.737639609583</v>
      </c>
      <c r="I403" s="6" t="s">
        <v>21</v>
      </c>
      <c r="J403" s="35" t="s">
        <v>283</v>
      </c>
      <c r="K403" s="35" t="s">
        <v>487</v>
      </c>
      <c r="L403" s="35" t="n">
        <v>78</v>
      </c>
      <c r="M403" s="35" t="s">
        <v>230</v>
      </c>
      <c r="N403" s="35" t="s">
        <v>1674</v>
      </c>
      <c r="O403" s="35" t="s">
        <v>231</v>
      </c>
      <c r="P403" s="35" t="s">
        <v>2120</v>
      </c>
      <c r="Q403" s="35" t="n">
        <v>13</v>
      </c>
      <c r="R403" s="35"/>
      <c r="S403" s="35" t="s">
        <v>40</v>
      </c>
      <c r="T403" s="35" t="s">
        <v>41</v>
      </c>
      <c r="U403" s="35" t="s">
        <v>43</v>
      </c>
      <c r="V403" s="35" t="s">
        <v>230</v>
      </c>
      <c r="W403" s="35"/>
      <c r="X403" s="35" t="s">
        <v>2111</v>
      </c>
      <c r="Y403" s="35" t="n">
        <v>-7.1890375</v>
      </c>
      <c r="Z403" s="35" t="n">
        <v>-48.209215</v>
      </c>
      <c r="AA403" s="49" t="s">
        <v>1603</v>
      </c>
      <c r="AB403" s="35" t="s">
        <v>2112</v>
      </c>
    </row>
    <row r="404" customFormat="false" ht="15" hidden="false" customHeight="false" outlineLevel="0" collapsed="false">
      <c r="A404" s="35" t="n">
        <v>403</v>
      </c>
      <c r="B404" s="35" t="s">
        <v>1343</v>
      </c>
      <c r="C404" s="35" t="s">
        <v>2123</v>
      </c>
      <c r="D404" s="35" t="s">
        <v>1342</v>
      </c>
      <c r="E404" s="35" t="s">
        <v>1344</v>
      </c>
      <c r="F404" s="40" t="n">
        <v>30.5598260969807</v>
      </c>
      <c r="G404" s="36" t="n">
        <v>5580.65549277371</v>
      </c>
      <c r="H404" s="36" t="n">
        <v>294.297465706564</v>
      </c>
      <c r="I404" s="6" t="s">
        <v>21</v>
      </c>
      <c r="J404" s="35" t="s">
        <v>283</v>
      </c>
      <c r="K404" s="35" t="s">
        <v>487</v>
      </c>
      <c r="L404" s="35" t="n">
        <v>78</v>
      </c>
      <c r="M404" s="35" t="s">
        <v>230</v>
      </c>
      <c r="N404" s="35" t="s">
        <v>1674</v>
      </c>
      <c r="O404" s="35" t="s">
        <v>231</v>
      </c>
      <c r="P404" s="35" t="s">
        <v>2124</v>
      </c>
      <c r="Q404" s="35" t="n">
        <v>10</v>
      </c>
      <c r="R404" s="35"/>
      <c r="S404" s="35" t="s">
        <v>40</v>
      </c>
      <c r="T404" s="35" t="s">
        <v>41</v>
      </c>
      <c r="U404" s="35" t="s">
        <v>43</v>
      </c>
      <c r="V404" s="35" t="s">
        <v>230</v>
      </c>
      <c r="W404" s="35"/>
      <c r="X404" s="35" t="s">
        <v>2111</v>
      </c>
      <c r="Y404" s="35" t="n">
        <v>-7.189147</v>
      </c>
      <c r="Z404" s="35" t="n">
        <v>-48.2093195</v>
      </c>
      <c r="AA404" s="49" t="s">
        <v>1603</v>
      </c>
      <c r="AB404" s="35" t="s">
        <v>2112</v>
      </c>
    </row>
    <row r="405" customFormat="false" ht="15" hidden="false" customHeight="false" outlineLevel="0" collapsed="false">
      <c r="A405" s="35" t="n">
        <v>404</v>
      </c>
      <c r="B405" s="35" t="s">
        <v>1345</v>
      </c>
      <c r="C405" s="35" t="s">
        <v>2125</v>
      </c>
      <c r="D405" s="35" t="s">
        <v>1344</v>
      </c>
      <c r="E405" s="35" t="s">
        <v>1346</v>
      </c>
      <c r="F405" s="40" t="n">
        <v>29.812920747405</v>
      </c>
      <c r="G405" s="36" t="n">
        <v>5610.46841352112</v>
      </c>
      <c r="H405" s="36" t="n">
        <v>324.110386453969</v>
      </c>
      <c r="I405" s="6" t="s">
        <v>21</v>
      </c>
      <c r="J405" s="35" t="s">
        <v>283</v>
      </c>
      <c r="K405" s="35" t="s">
        <v>487</v>
      </c>
      <c r="L405" s="35" t="n">
        <v>78</v>
      </c>
      <c r="M405" s="35" t="s">
        <v>230</v>
      </c>
      <c r="N405" s="35" t="s">
        <v>1674</v>
      </c>
      <c r="O405" s="35" t="s">
        <v>231</v>
      </c>
      <c r="P405" s="35" t="s">
        <v>2126</v>
      </c>
      <c r="Q405" s="35" t="n">
        <v>9</v>
      </c>
      <c r="R405" s="35"/>
      <c r="S405" s="35" t="s">
        <v>40</v>
      </c>
      <c r="T405" s="35" t="s">
        <v>41</v>
      </c>
      <c r="U405" s="35" t="s">
        <v>43</v>
      </c>
      <c r="V405" s="35" t="s">
        <v>230</v>
      </c>
      <c r="W405" s="35"/>
      <c r="X405" s="35" t="s">
        <v>2111</v>
      </c>
      <c r="Y405" s="35" t="n">
        <v>-7.1894075</v>
      </c>
      <c r="Z405" s="35" t="n">
        <v>-48.2093965</v>
      </c>
      <c r="AA405" s="49" t="s">
        <v>1603</v>
      </c>
      <c r="AB405" s="35" t="s">
        <v>2112</v>
      </c>
    </row>
    <row r="406" customFormat="false" ht="15" hidden="false" customHeight="false" outlineLevel="0" collapsed="false">
      <c r="A406" s="35" t="n">
        <v>405</v>
      </c>
      <c r="B406" s="35" t="s">
        <v>1347</v>
      </c>
      <c r="C406" s="35" t="s">
        <v>2127</v>
      </c>
      <c r="D406" s="35" t="s">
        <v>1346</v>
      </c>
      <c r="E406" s="35" t="s">
        <v>1348</v>
      </c>
      <c r="F406" s="40" t="n">
        <v>29.7063506691495</v>
      </c>
      <c r="G406" s="36" t="n">
        <v>5640.17476419026</v>
      </c>
      <c r="H406" s="36" t="n">
        <v>353.816737123118</v>
      </c>
      <c r="I406" s="6" t="s">
        <v>21</v>
      </c>
      <c r="J406" s="35" t="s">
        <v>283</v>
      </c>
      <c r="K406" s="35" t="s">
        <v>487</v>
      </c>
      <c r="L406" s="35" t="n">
        <v>78</v>
      </c>
      <c r="M406" s="35" t="s">
        <v>230</v>
      </c>
      <c r="N406" s="35" t="s">
        <v>1674</v>
      </c>
      <c r="O406" s="35" t="s">
        <v>231</v>
      </c>
      <c r="P406" s="35" t="s">
        <v>2126</v>
      </c>
      <c r="Q406" s="35" t="n">
        <v>9</v>
      </c>
      <c r="R406" s="35"/>
      <c r="S406" s="35" t="s">
        <v>40</v>
      </c>
      <c r="T406" s="35" t="s">
        <v>41</v>
      </c>
      <c r="U406" s="35" t="s">
        <v>43</v>
      </c>
      <c r="V406" s="35" t="s">
        <v>230</v>
      </c>
      <c r="W406" s="35"/>
      <c r="X406" s="35" t="s">
        <v>2111</v>
      </c>
      <c r="Y406" s="35" t="n">
        <v>-7.189664</v>
      </c>
      <c r="Z406" s="35" t="n">
        <v>-48.2094735</v>
      </c>
      <c r="AA406" s="49" t="s">
        <v>1603</v>
      </c>
      <c r="AB406" s="35" t="s">
        <v>2112</v>
      </c>
    </row>
    <row r="407" customFormat="false" ht="15" hidden="false" customHeight="false" outlineLevel="0" collapsed="false">
      <c r="A407" s="35" t="n">
        <v>406</v>
      </c>
      <c r="B407" s="35" t="s">
        <v>1349</v>
      </c>
      <c r="C407" s="35" t="s">
        <v>2128</v>
      </c>
      <c r="D407" s="35" t="s">
        <v>1348</v>
      </c>
      <c r="E407" s="35" t="s">
        <v>1350</v>
      </c>
      <c r="F407" s="40" t="n">
        <v>37.498237149433</v>
      </c>
      <c r="G407" s="36" t="n">
        <v>5677.6730013397</v>
      </c>
      <c r="H407" s="36" t="n">
        <v>391.314974272552</v>
      </c>
      <c r="I407" s="6" t="s">
        <v>21</v>
      </c>
      <c r="J407" s="35" t="s">
        <v>283</v>
      </c>
      <c r="K407" s="35" t="s">
        <v>487</v>
      </c>
      <c r="L407" s="35" t="n">
        <v>78</v>
      </c>
      <c r="M407" s="35" t="s">
        <v>230</v>
      </c>
      <c r="N407" s="35" t="s">
        <v>1674</v>
      </c>
      <c r="O407" s="35" t="s">
        <v>231</v>
      </c>
      <c r="P407" s="35" t="s">
        <v>50</v>
      </c>
      <c r="Q407" s="35" t="n">
        <v>0</v>
      </c>
      <c r="R407" s="35"/>
      <c r="S407" s="35" t="s">
        <v>40</v>
      </c>
      <c r="T407" s="35" t="s">
        <v>41</v>
      </c>
      <c r="U407" s="35" t="s">
        <v>43</v>
      </c>
      <c r="V407" s="35" t="s">
        <v>230</v>
      </c>
      <c r="W407" s="35"/>
      <c r="X407" s="35" t="s">
        <v>2111</v>
      </c>
      <c r="Y407" s="35" t="n">
        <v>-7.189738</v>
      </c>
      <c r="Z407" s="35" t="n">
        <v>-48.209673</v>
      </c>
      <c r="AA407" s="49" t="s">
        <v>1603</v>
      </c>
      <c r="AB407" s="35" t="s">
        <v>2112</v>
      </c>
    </row>
    <row r="408" customFormat="false" ht="15" hidden="false" customHeight="false" outlineLevel="0" collapsed="false">
      <c r="A408" s="35" t="n">
        <v>407</v>
      </c>
      <c r="B408" s="35" t="s">
        <v>1351</v>
      </c>
      <c r="C408" s="35" t="s">
        <v>2129</v>
      </c>
      <c r="D408" s="35" t="s">
        <v>1348</v>
      </c>
      <c r="E408" s="35" t="s">
        <v>1352</v>
      </c>
      <c r="F408" s="40" t="n">
        <v>9.38789294057289</v>
      </c>
      <c r="G408" s="36" t="n">
        <v>5649.56265713084</v>
      </c>
      <c r="H408" s="36" t="n">
        <v>363.204630063691</v>
      </c>
      <c r="I408" s="6" t="s">
        <v>21</v>
      </c>
      <c r="J408" s="35" t="s">
        <v>283</v>
      </c>
      <c r="K408" s="35" t="s">
        <v>487</v>
      </c>
      <c r="L408" s="35" t="n">
        <v>78</v>
      </c>
      <c r="M408" s="35" t="s">
        <v>230</v>
      </c>
      <c r="N408" s="35" t="s">
        <v>1674</v>
      </c>
      <c r="O408" s="35" t="s">
        <v>231</v>
      </c>
      <c r="P408" s="35" t="s">
        <v>2130</v>
      </c>
      <c r="Q408" s="35" t="n">
        <v>8</v>
      </c>
      <c r="R408" s="35"/>
      <c r="S408" s="35" t="s">
        <v>40</v>
      </c>
      <c r="T408" s="35" t="s">
        <v>41</v>
      </c>
      <c r="U408" s="35" t="s">
        <v>43</v>
      </c>
      <c r="V408" s="35" t="s">
        <v>230</v>
      </c>
      <c r="W408" s="35"/>
      <c r="X408" s="35" t="s">
        <v>2111</v>
      </c>
      <c r="Y408" s="35" t="n">
        <v>-7.1898325</v>
      </c>
      <c r="Z408" s="35" t="n">
        <v>-48.209524</v>
      </c>
      <c r="AA408" s="49" t="s">
        <v>1603</v>
      </c>
      <c r="AB408" s="35" t="s">
        <v>2112</v>
      </c>
    </row>
    <row r="409" customFormat="false" ht="15" hidden="false" customHeight="false" outlineLevel="0" collapsed="false">
      <c r="A409" s="35" t="n">
        <v>408</v>
      </c>
      <c r="B409" s="35" t="s">
        <v>1353</v>
      </c>
      <c r="C409" s="35" t="s">
        <v>2131</v>
      </c>
      <c r="D409" s="35" t="s">
        <v>1352</v>
      </c>
      <c r="E409" s="35" t="s">
        <v>1354</v>
      </c>
      <c r="F409" s="40" t="n">
        <v>31.4624012209987</v>
      </c>
      <c r="G409" s="36" t="n">
        <v>5681.02505835184</v>
      </c>
      <c r="H409" s="36" t="n">
        <v>394.66703128469</v>
      </c>
      <c r="I409" s="6" t="s">
        <v>21</v>
      </c>
      <c r="J409" s="35" t="s">
        <v>283</v>
      </c>
      <c r="K409" s="35" t="s">
        <v>487</v>
      </c>
      <c r="L409" s="35" t="n">
        <v>78</v>
      </c>
      <c r="M409" s="35" t="s">
        <v>230</v>
      </c>
      <c r="N409" s="35" t="s">
        <v>1674</v>
      </c>
      <c r="O409" s="35" t="s">
        <v>231</v>
      </c>
      <c r="P409" s="35" t="s">
        <v>2132</v>
      </c>
      <c r="Q409" s="35" t="n">
        <v>7</v>
      </c>
      <c r="R409" s="35"/>
      <c r="S409" s="35" t="s">
        <v>40</v>
      </c>
      <c r="T409" s="35" t="s">
        <v>41</v>
      </c>
      <c r="U409" s="35" t="s">
        <v>43</v>
      </c>
      <c r="V409" s="35" t="s">
        <v>230</v>
      </c>
      <c r="W409" s="35"/>
      <c r="X409" s="35" t="s">
        <v>2111</v>
      </c>
      <c r="Y409" s="35" t="n">
        <v>-7.1900085</v>
      </c>
      <c r="Z409" s="35" t="n">
        <v>-48.209577</v>
      </c>
      <c r="AA409" s="49" t="s">
        <v>1603</v>
      </c>
      <c r="AB409" s="35" t="s">
        <v>2112</v>
      </c>
    </row>
    <row r="410" customFormat="false" ht="15" hidden="false" customHeight="false" outlineLevel="0" collapsed="false">
      <c r="A410" s="35" t="n">
        <v>409</v>
      </c>
      <c r="B410" s="35" t="s">
        <v>1355</v>
      </c>
      <c r="C410" s="35" t="s">
        <v>2133</v>
      </c>
      <c r="D410" s="35" t="s">
        <v>1354</v>
      </c>
      <c r="E410" s="35" t="s">
        <v>1356</v>
      </c>
      <c r="F410" s="40" t="n">
        <v>30.9418194444797</v>
      </c>
      <c r="G410" s="36" t="n">
        <v>5711.96687779632</v>
      </c>
      <c r="H410" s="36" t="n">
        <v>425.60885072917</v>
      </c>
      <c r="I410" s="6" t="s">
        <v>21</v>
      </c>
      <c r="J410" s="35" t="s">
        <v>283</v>
      </c>
      <c r="K410" s="35" t="s">
        <v>487</v>
      </c>
      <c r="L410" s="35" t="n">
        <v>78</v>
      </c>
      <c r="M410" s="35" t="s">
        <v>230</v>
      </c>
      <c r="N410" s="35" t="s">
        <v>1674</v>
      </c>
      <c r="O410" s="35" t="s">
        <v>231</v>
      </c>
      <c r="P410" s="35" t="s">
        <v>2134</v>
      </c>
      <c r="Q410" s="35" t="n">
        <v>6</v>
      </c>
      <c r="R410" s="35"/>
      <c r="S410" s="35" t="s">
        <v>40</v>
      </c>
      <c r="T410" s="35" t="s">
        <v>41</v>
      </c>
      <c r="U410" s="35" t="s">
        <v>43</v>
      </c>
      <c r="V410" s="35" t="s">
        <v>230</v>
      </c>
      <c r="W410" s="35"/>
      <c r="X410" s="35" t="s">
        <v>2111</v>
      </c>
      <c r="Y410" s="35" t="n">
        <v>-7.1902775</v>
      </c>
      <c r="Z410" s="35" t="n">
        <v>-48.2096575</v>
      </c>
      <c r="AA410" s="49" t="s">
        <v>1603</v>
      </c>
      <c r="AB410" s="35" t="s">
        <v>2112</v>
      </c>
    </row>
    <row r="411" customFormat="false" ht="15" hidden="false" customHeight="false" outlineLevel="0" collapsed="false">
      <c r="A411" s="35" t="n">
        <v>410</v>
      </c>
      <c r="B411" s="35" t="s">
        <v>1357</v>
      </c>
      <c r="C411" s="35" t="s">
        <v>2135</v>
      </c>
      <c r="D411" s="35" t="s">
        <v>1356</v>
      </c>
      <c r="E411" s="35" t="s">
        <v>1358</v>
      </c>
      <c r="F411" s="40" t="n">
        <v>1.30031201947912</v>
      </c>
      <c r="G411" s="36" t="n">
        <v>5713.26718981579</v>
      </c>
      <c r="H411" s="36" t="n">
        <v>426.909162748649</v>
      </c>
      <c r="I411" s="6" t="s">
        <v>21</v>
      </c>
      <c r="J411" s="35" t="s">
        <v>283</v>
      </c>
      <c r="K411" s="35" t="s">
        <v>487</v>
      </c>
      <c r="L411" s="35" t="n">
        <v>78</v>
      </c>
      <c r="M411" s="35" t="s">
        <v>230</v>
      </c>
      <c r="N411" s="35" t="s">
        <v>1674</v>
      </c>
      <c r="O411" s="35" t="s">
        <v>231</v>
      </c>
      <c r="P411" s="35" t="s">
        <v>2134</v>
      </c>
      <c r="Q411" s="35" t="n">
        <v>6</v>
      </c>
      <c r="R411" s="35" t="s">
        <v>1359</v>
      </c>
      <c r="S411" s="35" t="s">
        <v>40</v>
      </c>
      <c r="T411" s="35" t="s">
        <v>41</v>
      </c>
      <c r="U411" s="35" t="s">
        <v>43</v>
      </c>
      <c r="V411" s="35" t="s">
        <v>230</v>
      </c>
      <c r="W411" s="35"/>
      <c r="X411" s="35" t="s">
        <v>2111</v>
      </c>
      <c r="Y411" s="35" t="n">
        <v>-7.1904165</v>
      </c>
      <c r="Z411" s="35" t="n">
        <v>-48.209699</v>
      </c>
      <c r="AA411" s="49" t="s">
        <v>1603</v>
      </c>
      <c r="AB411" s="35" t="s">
        <v>2112</v>
      </c>
    </row>
    <row r="412" customFormat="false" ht="15" hidden="false" customHeight="false" outlineLevel="0" collapsed="false">
      <c r="A412" s="35" t="n">
        <v>411</v>
      </c>
      <c r="B412" s="35" t="s">
        <v>1360</v>
      </c>
      <c r="C412" s="35" t="s">
        <v>2136</v>
      </c>
      <c r="D412" s="35" t="s">
        <v>1358</v>
      </c>
      <c r="E412" s="35" t="s">
        <v>1361</v>
      </c>
      <c r="F412" s="40" t="n">
        <v>10.8684601030174</v>
      </c>
      <c r="G412" s="36" t="n">
        <v>5724.13564991881</v>
      </c>
      <c r="H412" s="36" t="n">
        <v>437.777622851666</v>
      </c>
      <c r="I412" s="6" t="s">
        <v>21</v>
      </c>
      <c r="J412" s="35" t="s">
        <v>283</v>
      </c>
      <c r="K412" s="35" t="s">
        <v>487</v>
      </c>
      <c r="L412" s="35" t="n">
        <v>78</v>
      </c>
      <c r="M412" s="35" t="s">
        <v>230</v>
      </c>
      <c r="N412" s="35" t="s">
        <v>1674</v>
      </c>
      <c r="O412" s="35" t="s">
        <v>231</v>
      </c>
      <c r="P412" s="35" t="s">
        <v>2134</v>
      </c>
      <c r="Q412" s="35" t="n">
        <v>6</v>
      </c>
      <c r="R412" s="35"/>
      <c r="S412" s="35" t="s">
        <v>40</v>
      </c>
      <c r="T412" s="35" t="s">
        <v>41</v>
      </c>
      <c r="U412" s="35" t="s">
        <v>43</v>
      </c>
      <c r="V412" s="35" t="s">
        <v>230</v>
      </c>
      <c r="W412" s="35"/>
      <c r="X412" s="35" t="s">
        <v>2111</v>
      </c>
      <c r="Y412" s="35" t="n">
        <v>-7.190469</v>
      </c>
      <c r="Z412" s="35" t="n">
        <v>-48.2097145</v>
      </c>
      <c r="AA412" s="49" t="s">
        <v>1603</v>
      </c>
      <c r="AB412" s="35" t="s">
        <v>2112</v>
      </c>
    </row>
    <row r="413" customFormat="false" ht="15" hidden="false" customHeight="false" outlineLevel="0" collapsed="false">
      <c r="A413" s="35" t="n">
        <v>412</v>
      </c>
      <c r="B413" s="35" t="s">
        <v>1362</v>
      </c>
      <c r="C413" s="35" t="s">
        <v>2137</v>
      </c>
      <c r="D413" s="35" t="s">
        <v>1361</v>
      </c>
      <c r="E413" s="35" t="s">
        <v>1363</v>
      </c>
      <c r="F413" s="40" t="n">
        <v>14.9755127896219</v>
      </c>
      <c r="G413" s="36" t="n">
        <v>5739.11116270843</v>
      </c>
      <c r="H413" s="36" t="n">
        <v>452.753135641287</v>
      </c>
      <c r="I413" s="6" t="s">
        <v>21</v>
      </c>
      <c r="J413" s="35" t="s">
        <v>283</v>
      </c>
      <c r="K413" s="35" t="s">
        <v>487</v>
      </c>
      <c r="L413" s="35" t="n">
        <v>78</v>
      </c>
      <c r="M413" s="35" t="s">
        <v>230</v>
      </c>
      <c r="N413" s="35" t="s">
        <v>1674</v>
      </c>
      <c r="O413" s="35" t="s">
        <v>231</v>
      </c>
      <c r="P413" s="35" t="s">
        <v>2134</v>
      </c>
      <c r="Q413" s="35" t="n">
        <v>6</v>
      </c>
      <c r="R413" s="35"/>
      <c r="S413" s="35" t="s">
        <v>40</v>
      </c>
      <c r="T413" s="35" t="s">
        <v>41</v>
      </c>
      <c r="U413" s="35" t="s">
        <v>43</v>
      </c>
      <c r="V413" s="35" t="s">
        <v>230</v>
      </c>
      <c r="W413" s="35"/>
      <c r="X413" s="35" t="s">
        <v>2111</v>
      </c>
      <c r="Y413" s="35" t="n">
        <v>-7.1905805</v>
      </c>
      <c r="Z413" s="35" t="n">
        <v>-48.2097475</v>
      </c>
      <c r="AA413" s="49" t="s">
        <v>1603</v>
      </c>
      <c r="AB413" s="35" t="s">
        <v>2112</v>
      </c>
    </row>
    <row r="414" customFormat="false" ht="15" hidden="false" customHeight="false" outlineLevel="0" collapsed="false">
      <c r="A414" s="35" t="n">
        <v>413</v>
      </c>
      <c r="B414" s="35" t="s">
        <v>1364</v>
      </c>
      <c r="C414" s="35" t="s">
        <v>2138</v>
      </c>
      <c r="D414" s="35" t="s">
        <v>1363</v>
      </c>
      <c r="E414" s="35" t="s">
        <v>1365</v>
      </c>
      <c r="F414" s="40" t="n">
        <v>31.5689124527314</v>
      </c>
      <c r="G414" s="36" t="n">
        <v>5770.68007516116</v>
      </c>
      <c r="H414" s="36" t="n">
        <v>484.322048094019</v>
      </c>
      <c r="I414" s="6" t="s">
        <v>21</v>
      </c>
      <c r="J414" s="35" t="s">
        <v>283</v>
      </c>
      <c r="K414" s="35" t="s">
        <v>487</v>
      </c>
      <c r="L414" s="35" t="n">
        <v>78</v>
      </c>
      <c r="M414" s="35" t="s">
        <v>230</v>
      </c>
      <c r="N414" s="35" t="s">
        <v>1674</v>
      </c>
      <c r="O414" s="35" t="s">
        <v>231</v>
      </c>
      <c r="P414" s="35" t="s">
        <v>50</v>
      </c>
      <c r="Q414" s="35" t="n">
        <v>0</v>
      </c>
      <c r="R414" s="35"/>
      <c r="S414" s="35" t="s">
        <v>40</v>
      </c>
      <c r="T414" s="35" t="s">
        <v>41</v>
      </c>
      <c r="U414" s="35" t="s">
        <v>43</v>
      </c>
      <c r="V414" s="35" t="s">
        <v>230</v>
      </c>
      <c r="W414" s="35"/>
      <c r="X414" s="35" t="s">
        <v>2111</v>
      </c>
      <c r="Y414" s="35" t="n">
        <v>-7.190781</v>
      </c>
      <c r="Z414" s="35" t="n">
        <v>-48.209808</v>
      </c>
      <c r="AA414" s="49" t="s">
        <v>1603</v>
      </c>
      <c r="AB414" s="35" t="s">
        <v>2112</v>
      </c>
    </row>
    <row r="415" customFormat="false" ht="15" hidden="false" customHeight="false" outlineLevel="0" collapsed="false">
      <c r="A415" s="35" t="n">
        <v>414</v>
      </c>
      <c r="B415" s="35" t="s">
        <v>1366</v>
      </c>
      <c r="C415" s="35" t="s">
        <v>2139</v>
      </c>
      <c r="D415" s="35" t="s">
        <v>1365</v>
      </c>
      <c r="E415" s="35" t="s">
        <v>1367</v>
      </c>
      <c r="F415" s="40" t="n">
        <v>35.0415473845152</v>
      </c>
      <c r="G415" s="36" t="n">
        <v>5805.72162254568</v>
      </c>
      <c r="H415" s="36" t="n">
        <v>519.363595478534</v>
      </c>
      <c r="I415" s="6" t="s">
        <v>21</v>
      </c>
      <c r="J415" s="35" t="s">
        <v>283</v>
      </c>
      <c r="K415" s="35" t="s">
        <v>487</v>
      </c>
      <c r="L415" s="35" t="n">
        <v>78</v>
      </c>
      <c r="M415" s="35" t="s">
        <v>230</v>
      </c>
      <c r="N415" s="35" t="s">
        <v>1674</v>
      </c>
      <c r="O415" s="35" t="s">
        <v>231</v>
      </c>
      <c r="P415" s="35" t="s">
        <v>50</v>
      </c>
      <c r="Q415" s="35" t="n">
        <v>0</v>
      </c>
      <c r="R415" s="35"/>
      <c r="S415" s="35" t="s">
        <v>40</v>
      </c>
      <c r="T415" s="35" t="s">
        <v>41</v>
      </c>
      <c r="U415" s="35" t="s">
        <v>43</v>
      </c>
      <c r="V415" s="35" t="s">
        <v>230</v>
      </c>
      <c r="W415" s="35"/>
      <c r="X415" s="35" t="s">
        <v>2111</v>
      </c>
      <c r="Y415" s="35" t="n">
        <v>-7.191065</v>
      </c>
      <c r="Z415" s="35" t="n">
        <v>-48.2099035</v>
      </c>
      <c r="AA415" s="49" t="s">
        <v>1603</v>
      </c>
      <c r="AB415" s="35" t="s">
        <v>2112</v>
      </c>
    </row>
    <row r="416" customFormat="false" ht="15" hidden="false" customHeight="false" outlineLevel="0" collapsed="false">
      <c r="A416" s="35" t="n">
        <v>415</v>
      </c>
      <c r="B416" s="35" t="s">
        <v>1368</v>
      </c>
      <c r="C416" s="35" t="s">
        <v>2140</v>
      </c>
      <c r="D416" s="35" t="s">
        <v>1367</v>
      </c>
      <c r="E416" s="35" t="s">
        <v>1369</v>
      </c>
      <c r="F416" s="40" t="n">
        <v>6.36535197037655</v>
      </c>
      <c r="G416" s="36" t="n">
        <v>5812.08697451606</v>
      </c>
      <c r="H416" s="36" t="n">
        <v>525.728947448911</v>
      </c>
      <c r="I416" s="6" t="s">
        <v>21</v>
      </c>
      <c r="J416" s="35" t="s">
        <v>283</v>
      </c>
      <c r="K416" s="35" t="s">
        <v>487</v>
      </c>
      <c r="L416" s="35" t="n">
        <v>78</v>
      </c>
      <c r="M416" s="35" t="s">
        <v>230</v>
      </c>
      <c r="N416" s="35" t="s">
        <v>1674</v>
      </c>
      <c r="O416" s="35" t="s">
        <v>231</v>
      </c>
      <c r="P416" s="35" t="s">
        <v>50</v>
      </c>
      <c r="Q416" s="35" t="n">
        <v>0</v>
      </c>
      <c r="R416" s="35"/>
      <c r="S416" s="35" t="s">
        <v>40</v>
      </c>
      <c r="T416" s="35" t="s">
        <v>41</v>
      </c>
      <c r="U416" s="35" t="s">
        <v>43</v>
      </c>
      <c r="V416" s="35" t="s">
        <v>230</v>
      </c>
      <c r="W416" s="35"/>
      <c r="X416" s="35" t="s">
        <v>2111</v>
      </c>
      <c r="Y416" s="35" t="n">
        <v>-7.1912405</v>
      </c>
      <c r="Z416" s="35" t="n">
        <v>-48.209966</v>
      </c>
      <c r="AA416" s="49" t="s">
        <v>1603</v>
      </c>
      <c r="AB416" s="35" t="s">
        <v>2112</v>
      </c>
    </row>
    <row r="417" customFormat="false" ht="15" hidden="false" customHeight="false" outlineLevel="0" collapsed="false">
      <c r="A417" s="35" t="n">
        <v>416</v>
      </c>
      <c r="B417" s="35" t="s">
        <v>1370</v>
      </c>
      <c r="C417" s="35" t="s">
        <v>2141</v>
      </c>
      <c r="D417" s="35" t="s">
        <v>1369</v>
      </c>
      <c r="E417" s="35" t="s">
        <v>1371</v>
      </c>
      <c r="F417" s="40" t="n">
        <v>50.1754386331962</v>
      </c>
      <c r="G417" s="36" t="n">
        <v>5862.26241314925</v>
      </c>
      <c r="H417" s="36" t="n">
        <v>575.904386082107</v>
      </c>
      <c r="I417" s="6" t="s">
        <v>21</v>
      </c>
      <c r="J417" s="35" t="s">
        <v>283</v>
      </c>
      <c r="K417" s="35" t="s">
        <v>487</v>
      </c>
      <c r="L417" s="35" t="n">
        <v>78</v>
      </c>
      <c r="M417" s="35" t="s">
        <v>230</v>
      </c>
      <c r="N417" s="35" t="s">
        <v>1674</v>
      </c>
      <c r="O417" s="35" t="s">
        <v>231</v>
      </c>
      <c r="P417" s="35" t="s">
        <v>50</v>
      </c>
      <c r="Q417" s="35" t="n">
        <v>0</v>
      </c>
      <c r="R417" s="35"/>
      <c r="S417" s="35" t="s">
        <v>40</v>
      </c>
      <c r="T417" s="35" t="s">
        <v>41</v>
      </c>
      <c r="U417" s="35" t="s">
        <v>43</v>
      </c>
      <c r="V417" s="35" t="s">
        <v>230</v>
      </c>
      <c r="W417" s="35"/>
      <c r="X417" s="35" t="s">
        <v>2111</v>
      </c>
      <c r="Y417" s="35" t="n">
        <v>-7.1914845</v>
      </c>
      <c r="Z417" s="35" t="n">
        <v>-48.210038</v>
      </c>
      <c r="AA417" s="49" t="s">
        <v>1603</v>
      </c>
      <c r="AB417" s="35" t="s">
        <v>2112</v>
      </c>
    </row>
    <row r="418" customFormat="false" ht="15" hidden="false" customHeight="false" outlineLevel="0" collapsed="false">
      <c r="A418" s="35" t="n">
        <v>417</v>
      </c>
      <c r="B418" s="35" t="s">
        <v>1372</v>
      </c>
      <c r="C418" s="35" t="s">
        <v>2142</v>
      </c>
      <c r="D418" s="35" t="s">
        <v>1371</v>
      </c>
      <c r="E418" s="35" t="s">
        <v>1373</v>
      </c>
      <c r="F418" s="40" t="n">
        <v>38.4363936368477</v>
      </c>
      <c r="G418" s="36" t="n">
        <v>5900.6988067861</v>
      </c>
      <c r="H418" s="36" t="n">
        <v>614.340779718955</v>
      </c>
      <c r="I418" s="6" t="s">
        <v>21</v>
      </c>
      <c r="J418" s="35" t="s">
        <v>283</v>
      </c>
      <c r="K418" s="35" t="s">
        <v>487</v>
      </c>
      <c r="L418" s="35" t="n">
        <v>78</v>
      </c>
      <c r="M418" s="35" t="s">
        <v>230</v>
      </c>
      <c r="N418" s="35" t="s">
        <v>1674</v>
      </c>
      <c r="O418" s="35" t="s">
        <v>231</v>
      </c>
      <c r="P418" s="35" t="s">
        <v>50</v>
      </c>
      <c r="Q418" s="35" t="n">
        <v>0</v>
      </c>
      <c r="R418" s="35"/>
      <c r="S418" s="35" t="s">
        <v>40</v>
      </c>
      <c r="T418" s="35" t="s">
        <v>41</v>
      </c>
      <c r="U418" s="35" t="s">
        <v>43</v>
      </c>
      <c r="V418" s="35" t="s">
        <v>230</v>
      </c>
      <c r="W418" s="35"/>
      <c r="X418" s="35" t="s">
        <v>2111</v>
      </c>
      <c r="Y418" s="35" t="n">
        <v>-7.191867</v>
      </c>
      <c r="Z418" s="35" t="n">
        <v>-48.2101505</v>
      </c>
      <c r="AA418" s="49" t="s">
        <v>1603</v>
      </c>
      <c r="AB418" s="35" t="s">
        <v>2112</v>
      </c>
    </row>
    <row r="419" customFormat="false" ht="15" hidden="false" customHeight="false" outlineLevel="0" collapsed="false">
      <c r="A419" s="35" t="n">
        <v>418</v>
      </c>
      <c r="B419" s="35" t="s">
        <v>1374</v>
      </c>
      <c r="C419" s="35" t="s">
        <v>2143</v>
      </c>
      <c r="D419" s="35" t="s">
        <v>1363</v>
      </c>
      <c r="E419" s="35" t="s">
        <v>1375</v>
      </c>
      <c r="F419" s="40" t="n">
        <v>1.60725373850292</v>
      </c>
      <c r="G419" s="36" t="n">
        <v>5740.71841644694</v>
      </c>
      <c r="H419" s="36" t="n">
        <v>454.36038937979</v>
      </c>
      <c r="I419" s="6" t="s">
        <v>21</v>
      </c>
      <c r="J419" s="35" t="s">
        <v>283</v>
      </c>
      <c r="K419" s="35" t="s">
        <v>487</v>
      </c>
      <c r="L419" s="35" t="n">
        <v>78</v>
      </c>
      <c r="M419" s="35" t="s">
        <v>230</v>
      </c>
      <c r="N419" s="35" t="s">
        <v>1674</v>
      </c>
      <c r="O419" s="35" t="s">
        <v>231</v>
      </c>
      <c r="P419" s="35" t="s">
        <v>2134</v>
      </c>
      <c r="Q419" s="35" t="n">
        <v>6</v>
      </c>
      <c r="R419" s="35" t="s">
        <v>1376</v>
      </c>
      <c r="S419" s="35" t="s">
        <v>40</v>
      </c>
      <c r="T419" s="35" t="s">
        <v>41</v>
      </c>
      <c r="U419" s="35" t="s">
        <v>43</v>
      </c>
      <c r="V419" s="35" t="s">
        <v>230</v>
      </c>
      <c r="W419" s="35"/>
      <c r="X419" s="35" t="s">
        <v>2111</v>
      </c>
      <c r="Y419" s="35" t="n">
        <v>-7.190643</v>
      </c>
      <c r="Z419" s="35" t="n">
        <v>-48.209774</v>
      </c>
      <c r="AA419" s="49" t="s">
        <v>1603</v>
      </c>
      <c r="AB419" s="35" t="s">
        <v>2112</v>
      </c>
    </row>
    <row r="420" customFormat="false" ht="15" hidden="false" customHeight="false" outlineLevel="0" collapsed="false">
      <c r="A420" s="35" t="n">
        <v>419</v>
      </c>
      <c r="B420" s="35" t="s">
        <v>1377</v>
      </c>
      <c r="C420" s="35" t="s">
        <v>2144</v>
      </c>
      <c r="D420" s="35" t="s">
        <v>1375</v>
      </c>
      <c r="E420" s="35" t="s">
        <v>1378</v>
      </c>
      <c r="F420" s="40" t="n">
        <v>14.0015601713899</v>
      </c>
      <c r="G420" s="36" t="n">
        <v>5754.71997661833</v>
      </c>
      <c r="H420" s="36" t="n">
        <v>468.361949551179</v>
      </c>
      <c r="I420" s="6" t="s">
        <v>21</v>
      </c>
      <c r="J420" s="35" t="s">
        <v>283</v>
      </c>
      <c r="K420" s="35" t="s">
        <v>487</v>
      </c>
      <c r="L420" s="35" t="n">
        <v>78</v>
      </c>
      <c r="M420" s="35" t="s">
        <v>230</v>
      </c>
      <c r="N420" s="35" t="s">
        <v>1674</v>
      </c>
      <c r="O420" s="35" t="s">
        <v>231</v>
      </c>
      <c r="P420" s="35" t="s">
        <v>2134</v>
      </c>
      <c r="Q420" s="35" t="n">
        <v>6</v>
      </c>
      <c r="R420" s="35"/>
      <c r="S420" s="35" t="s">
        <v>40</v>
      </c>
      <c r="T420" s="35" t="s">
        <v>41</v>
      </c>
      <c r="U420" s="35" t="s">
        <v>43</v>
      </c>
      <c r="V420" s="35" t="s">
        <v>230</v>
      </c>
      <c r="W420" s="35"/>
      <c r="X420" s="35" t="s">
        <v>2111</v>
      </c>
      <c r="Y420" s="35" t="n">
        <v>-7.190622</v>
      </c>
      <c r="Z420" s="35" t="n">
        <v>-48.2098415</v>
      </c>
      <c r="AA420" s="49" t="s">
        <v>1603</v>
      </c>
      <c r="AB420" s="35" t="s">
        <v>2112</v>
      </c>
    </row>
    <row r="421" customFormat="false" ht="15" hidden="false" customHeight="false" outlineLevel="0" collapsed="false">
      <c r="A421" s="35" t="n">
        <v>420</v>
      </c>
      <c r="B421" s="35" t="s">
        <v>1379</v>
      </c>
      <c r="C421" s="35" t="s">
        <v>2145</v>
      </c>
      <c r="D421" s="35" t="s">
        <v>1378</v>
      </c>
      <c r="E421" s="35" t="s">
        <v>1380</v>
      </c>
      <c r="F421" s="40" t="n">
        <v>53.5685967213713</v>
      </c>
      <c r="G421" s="36" t="n">
        <v>5808.2885733397</v>
      </c>
      <c r="H421" s="36" t="n">
        <v>521.930546272551</v>
      </c>
      <c r="I421" s="6" t="s">
        <v>21</v>
      </c>
      <c r="J421" s="35" t="s">
        <v>283</v>
      </c>
      <c r="K421" s="35" t="s">
        <v>487</v>
      </c>
      <c r="L421" s="35" t="n">
        <v>78</v>
      </c>
      <c r="M421" s="35" t="s">
        <v>230</v>
      </c>
      <c r="N421" s="35" t="s">
        <v>1674</v>
      </c>
      <c r="O421" s="35" t="s">
        <v>231</v>
      </c>
      <c r="P421" s="35" t="s">
        <v>2146</v>
      </c>
      <c r="Q421" s="35" t="n">
        <v>5</v>
      </c>
      <c r="R421" s="35"/>
      <c r="S421" s="35" t="s">
        <v>40</v>
      </c>
      <c r="T421" s="35" t="s">
        <v>41</v>
      </c>
      <c r="U421" s="35" t="s">
        <v>43</v>
      </c>
      <c r="V421" s="35" t="s">
        <v>230</v>
      </c>
      <c r="W421" s="35"/>
      <c r="X421" s="35" t="s">
        <v>2111</v>
      </c>
      <c r="Y421" s="35" t="n">
        <v>-7.190532</v>
      </c>
      <c r="Z421" s="35" t="n">
        <v>-48.210134</v>
      </c>
      <c r="AA421" s="49" t="s">
        <v>1603</v>
      </c>
      <c r="AB421" s="35" t="s">
        <v>2112</v>
      </c>
    </row>
    <row r="422" customFormat="false" ht="15" hidden="false" customHeight="false" outlineLevel="0" collapsed="false">
      <c r="A422" s="35" t="n">
        <v>421</v>
      </c>
      <c r="B422" s="35" t="s">
        <v>1381</v>
      </c>
      <c r="C422" s="35" t="s">
        <v>2147</v>
      </c>
      <c r="D422" s="35" t="s">
        <v>1380</v>
      </c>
      <c r="E422" s="35" t="s">
        <v>1382</v>
      </c>
      <c r="F422" s="40" t="n">
        <v>1.92912537228788</v>
      </c>
      <c r="G422" s="36" t="n">
        <v>5810.21769871198</v>
      </c>
      <c r="H422" s="36" t="n">
        <v>523.859671644838</v>
      </c>
      <c r="I422" s="6" t="s">
        <v>21</v>
      </c>
      <c r="J422" s="35" t="s">
        <v>283</v>
      </c>
      <c r="K422" s="35" t="s">
        <v>487</v>
      </c>
      <c r="L422" s="35" t="n">
        <v>78</v>
      </c>
      <c r="M422" s="35" t="s">
        <v>230</v>
      </c>
      <c r="N422" s="35" t="s">
        <v>1674</v>
      </c>
      <c r="O422" s="35" t="s">
        <v>231</v>
      </c>
      <c r="P422" s="35" t="s">
        <v>50</v>
      </c>
      <c r="Q422" s="35" t="n">
        <v>0</v>
      </c>
      <c r="R422" s="35"/>
      <c r="S422" s="35" t="s">
        <v>40</v>
      </c>
      <c r="T422" s="35" t="s">
        <v>41</v>
      </c>
      <c r="U422" s="35" t="s">
        <v>43</v>
      </c>
      <c r="V422" s="35" t="s">
        <v>230</v>
      </c>
      <c r="W422" s="35"/>
      <c r="X422" s="35" t="s">
        <v>2111</v>
      </c>
      <c r="Y422" s="35" t="n">
        <v>-7.1904645</v>
      </c>
      <c r="Z422" s="35" t="n">
        <v>-48.210374</v>
      </c>
      <c r="AA422" s="49" t="s">
        <v>1603</v>
      </c>
      <c r="AB422" s="35" t="s">
        <v>2112</v>
      </c>
    </row>
    <row r="423" customFormat="false" ht="15" hidden="false" customHeight="false" outlineLevel="0" collapsed="false">
      <c r="A423" s="35" t="n">
        <v>422</v>
      </c>
      <c r="B423" s="35" t="s">
        <v>1383</v>
      </c>
      <c r="C423" s="35" t="s">
        <v>2148</v>
      </c>
      <c r="D423" s="35" t="s">
        <v>1382</v>
      </c>
      <c r="E423" s="35" t="s">
        <v>1384</v>
      </c>
      <c r="F423" s="40" t="n">
        <v>13.4112563809549</v>
      </c>
      <c r="G423" s="36" t="n">
        <v>5823.62895509294</v>
      </c>
      <c r="H423" s="36" t="n">
        <v>537.270928025793</v>
      </c>
      <c r="I423" s="6" t="s">
        <v>21</v>
      </c>
      <c r="J423" s="35" t="s">
        <v>283</v>
      </c>
      <c r="K423" s="35" t="s">
        <v>487</v>
      </c>
      <c r="L423" s="35" t="n">
        <v>78</v>
      </c>
      <c r="M423" s="35" t="s">
        <v>230</v>
      </c>
      <c r="N423" s="35" t="s">
        <v>1674</v>
      </c>
      <c r="O423" s="35" t="s">
        <v>231</v>
      </c>
      <c r="P423" s="35" t="s">
        <v>50</v>
      </c>
      <c r="Q423" s="35" t="n">
        <v>0</v>
      </c>
      <c r="R423" s="35"/>
      <c r="S423" s="35" t="s">
        <v>40</v>
      </c>
      <c r="T423" s="35" t="s">
        <v>41</v>
      </c>
      <c r="U423" s="35" t="s">
        <v>43</v>
      </c>
      <c r="V423" s="35" t="s">
        <v>230</v>
      </c>
      <c r="W423" s="35"/>
      <c r="X423" s="35" t="s">
        <v>2111</v>
      </c>
      <c r="Y423" s="35" t="n">
        <v>-7.1904825</v>
      </c>
      <c r="Z423" s="35" t="n">
        <v>-48.210441</v>
      </c>
      <c r="AA423" s="49" t="s">
        <v>1603</v>
      </c>
      <c r="AB423" s="35" t="s">
        <v>2112</v>
      </c>
    </row>
    <row r="424" customFormat="false" ht="15" hidden="false" customHeight="false" outlineLevel="0" collapsed="false">
      <c r="A424" s="35" t="n">
        <v>423</v>
      </c>
      <c r="B424" s="35" t="s">
        <v>1385</v>
      </c>
      <c r="C424" s="35" t="s">
        <v>2149</v>
      </c>
      <c r="D424" s="35" t="s">
        <v>1384</v>
      </c>
      <c r="E424" s="35" t="s">
        <v>1386</v>
      </c>
      <c r="F424" s="40" t="n">
        <v>13.0254070278481</v>
      </c>
      <c r="G424" s="36" t="n">
        <v>5836.65436212079</v>
      </c>
      <c r="H424" s="36" t="n">
        <v>550.296335053641</v>
      </c>
      <c r="I424" s="6" t="s">
        <v>21</v>
      </c>
      <c r="J424" s="35" t="s">
        <v>283</v>
      </c>
      <c r="K424" s="35" t="s">
        <v>487</v>
      </c>
      <c r="L424" s="35" t="n">
        <v>78</v>
      </c>
      <c r="M424" s="35" t="s">
        <v>230</v>
      </c>
      <c r="N424" s="35" t="s">
        <v>1674</v>
      </c>
      <c r="O424" s="35" t="s">
        <v>231</v>
      </c>
      <c r="P424" s="35" t="s">
        <v>50</v>
      </c>
      <c r="Q424" s="35" t="n">
        <v>0</v>
      </c>
      <c r="R424" s="35"/>
      <c r="S424" s="35" t="s">
        <v>40</v>
      </c>
      <c r="T424" s="35" t="s">
        <v>41</v>
      </c>
      <c r="U424" s="35" t="s">
        <v>43</v>
      </c>
      <c r="V424" s="35" t="s">
        <v>230</v>
      </c>
      <c r="W424" s="35"/>
      <c r="X424" s="35" t="s">
        <v>2111</v>
      </c>
      <c r="Y424" s="35" t="n">
        <v>-7.190499</v>
      </c>
      <c r="Z424" s="35" t="n">
        <v>-48.210441</v>
      </c>
      <c r="AA424" s="49" t="s">
        <v>1603</v>
      </c>
      <c r="AB424" s="35" t="s">
        <v>2112</v>
      </c>
    </row>
    <row r="425" customFormat="false" ht="15" hidden="false" customHeight="false" outlineLevel="0" collapsed="false">
      <c r="A425" s="35" t="n">
        <v>424</v>
      </c>
      <c r="B425" s="35" t="s">
        <v>1387</v>
      </c>
      <c r="C425" s="35" t="s">
        <v>2150</v>
      </c>
      <c r="D425" s="35" t="s">
        <v>1380</v>
      </c>
      <c r="E425" s="35" t="s">
        <v>1388</v>
      </c>
      <c r="F425" s="40" t="n">
        <v>15.9244329383117</v>
      </c>
      <c r="G425" s="36" t="n">
        <v>5824.21300627801</v>
      </c>
      <c r="H425" s="36" t="n">
        <v>537.854979210862</v>
      </c>
      <c r="I425" s="6" t="s">
        <v>21</v>
      </c>
      <c r="J425" s="35" t="s">
        <v>283</v>
      </c>
      <c r="K425" s="35" t="s">
        <v>487</v>
      </c>
      <c r="L425" s="35" t="n">
        <v>78</v>
      </c>
      <c r="M425" s="35" t="s">
        <v>230</v>
      </c>
      <c r="N425" s="35" t="s">
        <v>1674</v>
      </c>
      <c r="O425" s="35" t="s">
        <v>231</v>
      </c>
      <c r="P425" s="35" t="s">
        <v>2146</v>
      </c>
      <c r="Q425" s="35" t="n">
        <v>5</v>
      </c>
      <c r="R425" s="35"/>
      <c r="S425" s="35" t="s">
        <v>40</v>
      </c>
      <c r="T425" s="35" t="s">
        <v>41</v>
      </c>
      <c r="U425" s="35" t="s">
        <v>43</v>
      </c>
      <c r="V425" s="35" t="s">
        <v>230</v>
      </c>
      <c r="W425" s="35"/>
      <c r="X425" s="35" t="s">
        <v>2111</v>
      </c>
      <c r="Y425" s="35" t="n">
        <v>-7.19044</v>
      </c>
      <c r="Z425" s="35" t="n">
        <v>-48.210435</v>
      </c>
      <c r="AA425" s="49" t="s">
        <v>1603</v>
      </c>
      <c r="AB425" s="35" t="s">
        <v>2112</v>
      </c>
    </row>
    <row r="426" customFormat="false" ht="15" hidden="false" customHeight="false" outlineLevel="0" collapsed="false">
      <c r="A426" s="35" t="n">
        <v>425</v>
      </c>
      <c r="B426" s="35" t="s">
        <v>1389</v>
      </c>
      <c r="C426" s="35" t="s">
        <v>2151</v>
      </c>
      <c r="D426" s="35" t="s">
        <v>1388</v>
      </c>
      <c r="E426" s="35" t="s">
        <v>1390</v>
      </c>
      <c r="F426" s="40" t="n">
        <v>24.9337245557702</v>
      </c>
      <c r="G426" s="36" t="n">
        <v>5849.14673083378</v>
      </c>
      <c r="H426" s="36" t="n">
        <v>562.788703766632</v>
      </c>
      <c r="I426" s="6" t="s">
        <v>21</v>
      </c>
      <c r="J426" s="35" t="s">
        <v>283</v>
      </c>
      <c r="K426" s="35" t="s">
        <v>487</v>
      </c>
      <c r="L426" s="35" t="n">
        <v>78</v>
      </c>
      <c r="M426" s="35" t="s">
        <v>230</v>
      </c>
      <c r="N426" s="35" t="s">
        <v>1674</v>
      </c>
      <c r="O426" s="35" t="s">
        <v>231</v>
      </c>
      <c r="P426" s="35" t="s">
        <v>2152</v>
      </c>
      <c r="Q426" s="35" t="n">
        <v>4</v>
      </c>
      <c r="R426" s="35"/>
      <c r="S426" s="35" t="s">
        <v>40</v>
      </c>
      <c r="T426" s="35" t="s">
        <v>41</v>
      </c>
      <c r="U426" s="35" t="s">
        <v>43</v>
      </c>
      <c r="V426" s="35" t="s">
        <v>230</v>
      </c>
      <c r="W426" s="35"/>
      <c r="X426" s="35" t="s">
        <v>2111</v>
      </c>
      <c r="Y426" s="35" t="n">
        <v>-7.190386</v>
      </c>
      <c r="Z426" s="35" t="n">
        <v>-48.210612</v>
      </c>
      <c r="AA426" s="49" t="s">
        <v>1603</v>
      </c>
      <c r="AB426" s="35" t="s">
        <v>2112</v>
      </c>
    </row>
    <row r="427" customFormat="false" ht="15" hidden="false" customHeight="false" outlineLevel="0" collapsed="false">
      <c r="A427" s="35" t="n">
        <v>426</v>
      </c>
      <c r="B427" s="35" t="s">
        <v>1391</v>
      </c>
      <c r="C427" s="35" t="s">
        <v>2153</v>
      </c>
      <c r="D427" s="35" t="s">
        <v>1390</v>
      </c>
      <c r="E427" s="35" t="s">
        <v>1392</v>
      </c>
      <c r="F427" s="40" t="n">
        <v>26.3298684171045</v>
      </c>
      <c r="G427" s="36" t="n">
        <v>5875.47659925088</v>
      </c>
      <c r="H427" s="36" t="n">
        <v>589.118572183736</v>
      </c>
      <c r="I427" s="6" t="s">
        <v>21</v>
      </c>
      <c r="J427" s="35" t="s">
        <v>283</v>
      </c>
      <c r="K427" s="35" t="s">
        <v>487</v>
      </c>
      <c r="L427" s="35" t="n">
        <v>78</v>
      </c>
      <c r="M427" s="35" t="s">
        <v>230</v>
      </c>
      <c r="N427" s="35" t="s">
        <v>1674</v>
      </c>
      <c r="O427" s="35" t="s">
        <v>231</v>
      </c>
      <c r="P427" s="35" t="s">
        <v>2152</v>
      </c>
      <c r="Q427" s="35" t="n">
        <v>4</v>
      </c>
      <c r="R427" s="35"/>
      <c r="S427" s="35" t="s">
        <v>40</v>
      </c>
      <c r="T427" s="35" t="s">
        <v>41</v>
      </c>
      <c r="U427" s="35" t="s">
        <v>43</v>
      </c>
      <c r="V427" s="35" t="s">
        <v>230</v>
      </c>
      <c r="W427" s="35"/>
      <c r="X427" s="35" t="s">
        <v>2111</v>
      </c>
      <c r="Y427" s="35" t="n">
        <v>-7.190318</v>
      </c>
      <c r="Z427" s="35" t="n">
        <v>-48.210834</v>
      </c>
      <c r="AA427" s="49" t="s">
        <v>1603</v>
      </c>
      <c r="AB427" s="35" t="s">
        <v>2112</v>
      </c>
    </row>
    <row r="428" customFormat="false" ht="15" hidden="false" customHeight="false" outlineLevel="0" collapsed="false">
      <c r="A428" s="35" t="n">
        <v>427</v>
      </c>
      <c r="B428" s="35" t="s">
        <v>1393</v>
      </c>
      <c r="C428" s="35" t="s">
        <v>2154</v>
      </c>
      <c r="D428" s="35" t="s">
        <v>1392</v>
      </c>
      <c r="E428" s="35" t="s">
        <v>1394</v>
      </c>
      <c r="F428" s="40" t="n">
        <v>31.632848537148</v>
      </c>
      <c r="G428" s="36" t="n">
        <v>5907.10944778803</v>
      </c>
      <c r="H428" s="36" t="n">
        <v>620.751420720884</v>
      </c>
      <c r="I428" s="6" t="s">
        <v>21</v>
      </c>
      <c r="J428" s="35" t="s">
        <v>283</v>
      </c>
      <c r="K428" s="35" t="s">
        <v>487</v>
      </c>
      <c r="L428" s="35" t="n">
        <v>78</v>
      </c>
      <c r="M428" s="35" t="s">
        <v>230</v>
      </c>
      <c r="N428" s="35" t="s">
        <v>1674</v>
      </c>
      <c r="O428" s="35" t="s">
        <v>231</v>
      </c>
      <c r="P428" s="35" t="s">
        <v>233</v>
      </c>
      <c r="Q428" s="35" t="n">
        <v>1</v>
      </c>
      <c r="R428" s="35"/>
      <c r="S428" s="35" t="s">
        <v>40</v>
      </c>
      <c r="T428" s="35" t="s">
        <v>41</v>
      </c>
      <c r="U428" s="35" t="s">
        <v>43</v>
      </c>
      <c r="V428" s="35" t="s">
        <v>230</v>
      </c>
      <c r="W428" s="35"/>
      <c r="X428" s="35" t="s">
        <v>2111</v>
      </c>
      <c r="Y428" s="35" t="n">
        <v>-7.190147</v>
      </c>
      <c r="Z428" s="35" t="n">
        <v>-48.210906</v>
      </c>
      <c r="AA428" s="49" t="s">
        <v>1603</v>
      </c>
      <c r="AB428" s="35" t="s">
        <v>2112</v>
      </c>
    </row>
    <row r="429" customFormat="false" ht="15" hidden="false" customHeight="false" outlineLevel="0" collapsed="false">
      <c r="A429" s="35" t="n">
        <v>428</v>
      </c>
      <c r="B429" s="35" t="s">
        <v>1395</v>
      </c>
      <c r="C429" s="35" t="s">
        <v>2155</v>
      </c>
      <c r="D429" s="35" t="s">
        <v>1394</v>
      </c>
      <c r="E429" s="35" t="s">
        <v>1396</v>
      </c>
      <c r="F429" s="40" t="n">
        <v>3.83168342978909</v>
      </c>
      <c r="G429" s="36" t="n">
        <v>5910.94113121782</v>
      </c>
      <c r="H429" s="36" t="n">
        <v>624.583104150674</v>
      </c>
      <c r="I429" s="6" t="s">
        <v>21</v>
      </c>
      <c r="J429" s="35" t="s">
        <v>283</v>
      </c>
      <c r="K429" s="35" t="s">
        <v>487</v>
      </c>
      <c r="L429" s="35" t="n">
        <v>78</v>
      </c>
      <c r="M429" s="35" t="s">
        <v>230</v>
      </c>
      <c r="N429" s="35" t="s">
        <v>1674</v>
      </c>
      <c r="O429" s="35" t="s">
        <v>231</v>
      </c>
      <c r="P429" s="35" t="s">
        <v>233</v>
      </c>
      <c r="Q429" s="35" t="n">
        <v>1</v>
      </c>
      <c r="R429" s="35"/>
      <c r="S429" s="35" t="s">
        <v>40</v>
      </c>
      <c r="T429" s="35" t="s">
        <v>41</v>
      </c>
      <c r="U429" s="35" t="s">
        <v>43</v>
      </c>
      <c r="V429" s="35" t="s">
        <v>230</v>
      </c>
      <c r="W429" s="35"/>
      <c r="X429" s="35" t="s">
        <v>2111</v>
      </c>
      <c r="Y429" s="35" t="n">
        <v>-7.1899945</v>
      </c>
      <c r="Z429" s="35" t="n">
        <v>-48.210859</v>
      </c>
      <c r="AA429" s="49" t="s">
        <v>1603</v>
      </c>
      <c r="AB429" s="35" t="s">
        <v>2112</v>
      </c>
    </row>
    <row r="430" customFormat="false" ht="15" hidden="false" customHeight="false" outlineLevel="0" collapsed="false">
      <c r="A430" s="35" t="n">
        <v>429</v>
      </c>
      <c r="B430" s="35" t="s">
        <v>1397</v>
      </c>
      <c r="C430" s="35" t="s">
        <v>2156</v>
      </c>
      <c r="D430" s="35" t="s">
        <v>1396</v>
      </c>
      <c r="E430" s="35" t="s">
        <v>1398</v>
      </c>
      <c r="F430" s="40" t="n">
        <v>63.7556567107083</v>
      </c>
      <c r="G430" s="36" t="n">
        <v>5974.69678792853</v>
      </c>
      <c r="H430" s="36" t="n">
        <v>688.338760861382</v>
      </c>
      <c r="I430" s="6" t="s">
        <v>21</v>
      </c>
      <c r="J430" s="35" t="s">
        <v>283</v>
      </c>
      <c r="K430" s="35" t="s">
        <v>487</v>
      </c>
      <c r="L430" s="35" t="n">
        <v>78</v>
      </c>
      <c r="M430" s="35" t="s">
        <v>230</v>
      </c>
      <c r="N430" s="35" t="s">
        <v>1674</v>
      </c>
      <c r="O430" s="35" t="s">
        <v>231</v>
      </c>
      <c r="P430" s="35" t="s">
        <v>233</v>
      </c>
      <c r="Q430" s="35" t="n">
        <v>1</v>
      </c>
      <c r="R430" s="35"/>
      <c r="S430" s="35" t="s">
        <v>40</v>
      </c>
      <c r="T430" s="35" t="s">
        <v>41</v>
      </c>
      <c r="U430" s="35" t="s">
        <v>43</v>
      </c>
      <c r="V430" s="35" t="s">
        <v>230</v>
      </c>
      <c r="W430" s="35"/>
      <c r="X430" s="35" t="s">
        <v>2111</v>
      </c>
      <c r="Y430" s="35" t="n">
        <v>-7.189704</v>
      </c>
      <c r="Z430" s="35" t="n">
        <v>-48.210769</v>
      </c>
      <c r="AA430" s="49" t="s">
        <v>1603</v>
      </c>
      <c r="AB430" s="35" t="s">
        <v>2112</v>
      </c>
    </row>
    <row r="431" customFormat="false" ht="15" hidden="false" customHeight="false" outlineLevel="0" collapsed="false">
      <c r="A431" s="35" t="n">
        <v>430</v>
      </c>
      <c r="B431" s="35" t="s">
        <v>1399</v>
      </c>
      <c r="C431" s="35" t="s">
        <v>2157</v>
      </c>
      <c r="D431" s="35" t="s">
        <v>1398</v>
      </c>
      <c r="E431" s="35" t="s">
        <v>1400</v>
      </c>
      <c r="F431" s="40" t="n">
        <v>31.890123395006</v>
      </c>
      <c r="G431" s="36" t="n">
        <v>6006.58691132353</v>
      </c>
      <c r="H431" s="36" t="n">
        <v>720.228884256389</v>
      </c>
      <c r="I431" s="6" t="s">
        <v>21</v>
      </c>
      <c r="J431" s="35" t="s">
        <v>283</v>
      </c>
      <c r="K431" s="35" t="s">
        <v>487</v>
      </c>
      <c r="L431" s="35" t="n">
        <v>78</v>
      </c>
      <c r="M431" s="35" t="s">
        <v>230</v>
      </c>
      <c r="N431" s="35" t="s">
        <v>1674</v>
      </c>
      <c r="O431" s="35" t="s">
        <v>231</v>
      </c>
      <c r="P431" s="35" t="s">
        <v>233</v>
      </c>
      <c r="Q431" s="35" t="n">
        <v>1</v>
      </c>
      <c r="R431" s="35"/>
      <c r="S431" s="35" t="s">
        <v>40</v>
      </c>
      <c r="T431" s="35" t="s">
        <v>41</v>
      </c>
      <c r="U431" s="35" t="s">
        <v>43</v>
      </c>
      <c r="V431" s="35" t="s">
        <v>230</v>
      </c>
      <c r="W431" s="35"/>
      <c r="X431" s="35" t="s">
        <v>2111</v>
      </c>
      <c r="Y431" s="35" t="n">
        <v>-7.189389</v>
      </c>
      <c r="Z431" s="35" t="n">
        <v>-48.2108225</v>
      </c>
      <c r="AA431" s="49" t="s">
        <v>1603</v>
      </c>
      <c r="AB431" s="35" t="s">
        <v>2112</v>
      </c>
    </row>
    <row r="432" customFormat="false" ht="15" hidden="false" customHeight="false" outlineLevel="0" collapsed="false">
      <c r="A432" s="35" t="n">
        <v>431</v>
      </c>
      <c r="B432" s="35" t="s">
        <v>1401</v>
      </c>
      <c r="C432" s="35" t="s">
        <v>2158</v>
      </c>
      <c r="D432" s="35" t="s">
        <v>1400</v>
      </c>
      <c r="E432" s="35" t="s">
        <v>1402</v>
      </c>
      <c r="F432" s="40" t="n">
        <v>4.23061034948215</v>
      </c>
      <c r="G432" s="36" t="n">
        <v>6010.81752167302</v>
      </c>
      <c r="H432" s="36" t="n">
        <v>724.459494605871</v>
      </c>
      <c r="I432" s="6" t="s">
        <v>21</v>
      </c>
      <c r="J432" s="35" t="s">
        <v>283</v>
      </c>
      <c r="K432" s="35" t="s">
        <v>487</v>
      </c>
      <c r="L432" s="35" t="n">
        <v>78</v>
      </c>
      <c r="M432" s="35" t="s">
        <v>230</v>
      </c>
      <c r="N432" s="35" t="s">
        <v>1674</v>
      </c>
      <c r="O432" s="35" t="s">
        <v>231</v>
      </c>
      <c r="P432" s="35" t="s">
        <v>233</v>
      </c>
      <c r="Q432" s="35" t="n">
        <v>1</v>
      </c>
      <c r="R432" s="35"/>
      <c r="S432" s="35" t="s">
        <v>40</v>
      </c>
      <c r="T432" s="35" t="s">
        <v>41</v>
      </c>
      <c r="U432" s="35" t="s">
        <v>43</v>
      </c>
      <c r="V432" s="35" t="s">
        <v>230</v>
      </c>
      <c r="W432" s="35"/>
      <c r="X432" s="35" t="s">
        <v>2111</v>
      </c>
      <c r="Y432" s="35" t="n">
        <v>-7.189343</v>
      </c>
      <c r="Z432" s="35" t="n">
        <v>-48.2109795</v>
      </c>
      <c r="AA432" s="49" t="s">
        <v>1603</v>
      </c>
      <c r="AB432" s="35" t="s">
        <v>2112</v>
      </c>
    </row>
    <row r="433" customFormat="false" ht="15" hidden="false" customHeight="false" outlineLevel="0" collapsed="false">
      <c r="A433" s="35" t="n">
        <v>432</v>
      </c>
      <c r="B433" s="35" t="s">
        <v>1403</v>
      </c>
      <c r="C433" s="35" t="s">
        <v>2159</v>
      </c>
      <c r="D433" s="35" t="s">
        <v>1402</v>
      </c>
      <c r="E433" s="35" t="s">
        <v>1404</v>
      </c>
      <c r="F433" s="40" t="n">
        <v>17.3006902546738</v>
      </c>
      <c r="G433" s="36" t="n">
        <v>6028.11821192769</v>
      </c>
      <c r="H433" s="36" t="n">
        <v>741.760184860545</v>
      </c>
      <c r="I433" s="6" t="s">
        <v>21</v>
      </c>
      <c r="J433" s="35" t="s">
        <v>283</v>
      </c>
      <c r="K433" s="35" t="s">
        <v>487</v>
      </c>
      <c r="L433" s="35" t="n">
        <v>78</v>
      </c>
      <c r="M433" s="35" t="s">
        <v>230</v>
      </c>
      <c r="N433" s="35" t="s">
        <v>1674</v>
      </c>
      <c r="O433" s="35" t="s">
        <v>231</v>
      </c>
      <c r="P433" s="35" t="s">
        <v>233</v>
      </c>
      <c r="Q433" s="35" t="n">
        <v>1</v>
      </c>
      <c r="R433" s="35"/>
      <c r="S433" s="35" t="s">
        <v>40</v>
      </c>
      <c r="T433" s="35" t="s">
        <v>41</v>
      </c>
      <c r="U433" s="35" t="s">
        <v>43</v>
      </c>
      <c r="V433" s="35" t="s">
        <v>230</v>
      </c>
      <c r="W433" s="35"/>
      <c r="X433" s="35" t="s">
        <v>2111</v>
      </c>
      <c r="Y433" s="35" t="n">
        <v>-7.189317</v>
      </c>
      <c r="Z433" s="35" t="n">
        <v>-48.2110735</v>
      </c>
      <c r="AA433" s="49" t="s">
        <v>1603</v>
      </c>
      <c r="AB433" s="35" t="s">
        <v>2112</v>
      </c>
    </row>
    <row r="434" customFormat="false" ht="15" hidden="false" customHeight="false" outlineLevel="0" collapsed="false">
      <c r="A434" s="35" t="n">
        <v>433</v>
      </c>
      <c r="B434" s="35" t="s">
        <v>1405</v>
      </c>
      <c r="C434" s="35" t="s">
        <v>2160</v>
      </c>
      <c r="D434" s="35" t="s">
        <v>1404</v>
      </c>
      <c r="E434" s="35" t="s">
        <v>1406</v>
      </c>
      <c r="F434" s="40" t="n">
        <v>24.828368293906</v>
      </c>
      <c r="G434" s="36" t="n">
        <v>6052.9465802216</v>
      </c>
      <c r="H434" s="36" t="n">
        <v>766.588553154451</v>
      </c>
      <c r="I434" s="6" t="s">
        <v>21</v>
      </c>
      <c r="J434" s="35" t="s">
        <v>283</v>
      </c>
      <c r="K434" s="35" t="s">
        <v>487</v>
      </c>
      <c r="L434" s="35" t="n">
        <v>78</v>
      </c>
      <c r="M434" s="35" t="s">
        <v>230</v>
      </c>
      <c r="N434" s="35" t="s">
        <v>1674</v>
      </c>
      <c r="O434" s="35" t="s">
        <v>231</v>
      </c>
      <c r="P434" s="35" t="s">
        <v>50</v>
      </c>
      <c r="Q434" s="35" t="n">
        <v>0</v>
      </c>
      <c r="R434" s="35"/>
      <c r="S434" s="35" t="s">
        <v>40</v>
      </c>
      <c r="T434" s="35" t="s">
        <v>41</v>
      </c>
      <c r="U434" s="35" t="s">
        <v>43</v>
      </c>
      <c r="V434" s="35" t="s">
        <v>230</v>
      </c>
      <c r="W434" s="35"/>
      <c r="X434" s="35" t="s">
        <v>2111</v>
      </c>
      <c r="Y434" s="35" t="n">
        <v>-7.189263</v>
      </c>
      <c r="Z434" s="35" t="n">
        <v>-48.2112565</v>
      </c>
      <c r="AA434" s="49" t="s">
        <v>1603</v>
      </c>
      <c r="AB434" s="35" t="s">
        <v>2112</v>
      </c>
    </row>
    <row r="435" customFormat="false" ht="15" hidden="false" customHeight="false" outlineLevel="0" collapsed="false">
      <c r="A435" s="35" t="n">
        <v>434</v>
      </c>
      <c r="B435" s="35" t="s">
        <v>1407</v>
      </c>
      <c r="C435" s="35" t="s">
        <v>2161</v>
      </c>
      <c r="D435" s="35" t="s">
        <v>1404</v>
      </c>
      <c r="E435" s="35" t="s">
        <v>1408</v>
      </c>
      <c r="F435" s="40" t="n">
        <v>0.783182191523194</v>
      </c>
      <c r="G435" s="36" t="n">
        <v>6028.90139411921</v>
      </c>
      <c r="H435" s="36" t="n">
        <v>742.543367052068</v>
      </c>
      <c r="I435" s="6" t="s">
        <v>21</v>
      </c>
      <c r="J435" s="35" t="s">
        <v>283</v>
      </c>
      <c r="K435" s="35" t="s">
        <v>487</v>
      </c>
      <c r="L435" s="35" t="n">
        <v>78</v>
      </c>
      <c r="M435" s="35" t="s">
        <v>230</v>
      </c>
      <c r="N435" s="35" t="s">
        <v>1674</v>
      </c>
      <c r="O435" s="35" t="s">
        <v>231</v>
      </c>
      <c r="P435" s="35" t="s">
        <v>233</v>
      </c>
      <c r="Q435" s="35" t="n">
        <v>1</v>
      </c>
      <c r="R435" s="35"/>
      <c r="S435" s="35" t="s">
        <v>40</v>
      </c>
      <c r="T435" s="35" t="s">
        <v>41</v>
      </c>
      <c r="U435" s="35" t="s">
        <v>43</v>
      </c>
      <c r="V435" s="35" t="s">
        <v>230</v>
      </c>
      <c r="W435" s="35"/>
      <c r="X435" s="35" t="s">
        <v>2111</v>
      </c>
      <c r="Y435" s="35" t="n">
        <v>-7.1892935</v>
      </c>
      <c r="Z435" s="35" t="n">
        <v>-48.2111465</v>
      </c>
      <c r="AA435" s="49" t="s">
        <v>1603</v>
      </c>
      <c r="AB435" s="35" t="s">
        <v>2112</v>
      </c>
    </row>
    <row r="436" customFormat="false" ht="15" hidden="false" customHeight="false" outlineLevel="0" collapsed="false">
      <c r="A436" s="35" t="n">
        <v>435</v>
      </c>
      <c r="B436" s="35" t="s">
        <v>1409</v>
      </c>
      <c r="C436" s="35" t="s">
        <v>2162</v>
      </c>
      <c r="D436" s="35" t="s">
        <v>1398</v>
      </c>
      <c r="E436" s="35" t="s">
        <v>1410</v>
      </c>
      <c r="F436" s="40" t="n">
        <v>50.2249837669704</v>
      </c>
      <c r="G436" s="36" t="n">
        <v>6024.9217716955</v>
      </c>
      <c r="H436" s="36" t="n">
        <v>738.563744628353</v>
      </c>
      <c r="I436" s="6" t="s">
        <v>21</v>
      </c>
      <c r="J436" s="35" t="s">
        <v>283</v>
      </c>
      <c r="K436" s="35" t="s">
        <v>487</v>
      </c>
      <c r="L436" s="35" t="n">
        <v>78</v>
      </c>
      <c r="M436" s="35" t="s">
        <v>230</v>
      </c>
      <c r="N436" s="35" t="s">
        <v>1674</v>
      </c>
      <c r="O436" s="35" t="s">
        <v>231</v>
      </c>
      <c r="P436" s="35" t="s">
        <v>50</v>
      </c>
      <c r="Q436" s="35" t="n">
        <v>0</v>
      </c>
      <c r="R436" s="35"/>
      <c r="S436" s="35" t="s">
        <v>40</v>
      </c>
      <c r="T436" s="35" t="s">
        <v>41</v>
      </c>
      <c r="U436" s="35" t="s">
        <v>43</v>
      </c>
      <c r="V436" s="35" t="s">
        <v>230</v>
      </c>
      <c r="W436" s="35"/>
      <c r="X436" s="35" t="s">
        <v>2111</v>
      </c>
      <c r="Y436" s="35" t="n">
        <v>-7.189495</v>
      </c>
      <c r="Z436" s="35" t="n">
        <v>-48.210466</v>
      </c>
      <c r="AA436" s="49" t="s">
        <v>1603</v>
      </c>
      <c r="AB436" s="35" t="s">
        <v>2112</v>
      </c>
    </row>
    <row r="437" customFormat="false" ht="15" hidden="false" customHeight="false" outlineLevel="0" collapsed="false">
      <c r="A437" s="35" t="n">
        <v>436</v>
      </c>
      <c r="B437" s="35" t="s">
        <v>1411</v>
      </c>
      <c r="C437" s="35" t="s">
        <v>2163</v>
      </c>
      <c r="D437" s="35" t="s">
        <v>1410</v>
      </c>
      <c r="E437" s="35" t="s">
        <v>1412</v>
      </c>
      <c r="F437" s="40" t="n">
        <v>32.2390501807261</v>
      </c>
      <c r="G437" s="36" t="n">
        <v>6057.16082187622</v>
      </c>
      <c r="H437" s="36" t="n">
        <v>770.802794809079</v>
      </c>
      <c r="I437" s="6" t="s">
        <v>21</v>
      </c>
      <c r="J437" s="35" t="s">
        <v>283</v>
      </c>
      <c r="K437" s="35" t="s">
        <v>487</v>
      </c>
      <c r="L437" s="35" t="n">
        <v>78</v>
      </c>
      <c r="M437" s="35" t="s">
        <v>230</v>
      </c>
      <c r="N437" s="35" t="s">
        <v>1674</v>
      </c>
      <c r="O437" s="35" t="s">
        <v>231</v>
      </c>
      <c r="P437" s="35" t="s">
        <v>50</v>
      </c>
      <c r="Q437" s="35" t="n">
        <v>0</v>
      </c>
      <c r="R437" s="35"/>
      <c r="S437" s="35" t="s">
        <v>40</v>
      </c>
      <c r="T437" s="35" t="s">
        <v>41</v>
      </c>
      <c r="U437" s="35" t="s">
        <v>43</v>
      </c>
      <c r="V437" s="35" t="s">
        <v>230</v>
      </c>
      <c r="W437" s="35"/>
      <c r="X437" s="35" t="s">
        <v>2111</v>
      </c>
      <c r="Y437" s="35" t="n">
        <v>-7.1896015</v>
      </c>
      <c r="Z437" s="35" t="n">
        <v>-48.210108</v>
      </c>
      <c r="AA437" s="49" t="s">
        <v>1603</v>
      </c>
      <c r="AB437" s="35" t="s">
        <v>2112</v>
      </c>
    </row>
    <row r="438" customFormat="false" ht="15" hidden="false" customHeight="false" outlineLevel="0" collapsed="false">
      <c r="A438" s="35" t="n">
        <v>437</v>
      </c>
      <c r="B438" s="35" t="s">
        <v>1413</v>
      </c>
      <c r="C438" s="35" t="s">
        <v>2164</v>
      </c>
      <c r="D438" s="35" t="s">
        <v>1410</v>
      </c>
      <c r="E438" s="35" t="s">
        <v>1414</v>
      </c>
      <c r="F438" s="40" t="n">
        <v>15.5601411275504</v>
      </c>
      <c r="G438" s="36" t="n">
        <v>6040.48191282305</v>
      </c>
      <c r="H438" s="36" t="n">
        <v>754.123885755903</v>
      </c>
      <c r="I438" s="6" t="s">
        <v>21</v>
      </c>
      <c r="J438" s="35" t="s">
        <v>283</v>
      </c>
      <c r="K438" s="35" t="s">
        <v>487</v>
      </c>
      <c r="L438" s="35" t="n">
        <v>78</v>
      </c>
      <c r="M438" s="35" t="s">
        <v>230</v>
      </c>
      <c r="N438" s="35" t="s">
        <v>1674</v>
      </c>
      <c r="O438" s="35" t="s">
        <v>231</v>
      </c>
      <c r="P438" s="35" t="s">
        <v>50</v>
      </c>
      <c r="Q438" s="35" t="n">
        <v>0</v>
      </c>
      <c r="R438" s="35"/>
      <c r="S438" s="35" t="s">
        <v>40</v>
      </c>
      <c r="T438" s="35" t="s">
        <v>41</v>
      </c>
      <c r="U438" s="35" t="s">
        <v>43</v>
      </c>
      <c r="V438" s="35" t="s">
        <v>230</v>
      </c>
      <c r="W438" s="35"/>
      <c r="X438" s="35" t="s">
        <v>2111</v>
      </c>
      <c r="Y438" s="35" t="n">
        <v>-7.1895515</v>
      </c>
      <c r="Z438" s="35" t="n">
        <v>-48.210178</v>
      </c>
      <c r="AA438" s="49" t="s">
        <v>1603</v>
      </c>
      <c r="AB438" s="35" t="s">
        <v>2112</v>
      </c>
    </row>
    <row r="439" customFormat="false" ht="15" hidden="false" customHeight="false" outlineLevel="0" collapsed="false">
      <c r="A439" s="35" t="n">
        <v>438</v>
      </c>
      <c r="B439" s="35" t="s">
        <v>1415</v>
      </c>
      <c r="C439" s="35" t="s">
        <v>2165</v>
      </c>
      <c r="D439" s="35" t="s">
        <v>1398</v>
      </c>
      <c r="E439" s="35" t="s">
        <v>1416</v>
      </c>
      <c r="F439" s="40" t="n">
        <v>46.4697542375884</v>
      </c>
      <c r="G439" s="36" t="n">
        <v>6021.16654216612</v>
      </c>
      <c r="H439" s="36" t="n">
        <v>734.80851509897</v>
      </c>
      <c r="I439" s="6" t="s">
        <v>21</v>
      </c>
      <c r="J439" s="35" t="s">
        <v>283</v>
      </c>
      <c r="K439" s="35" t="s">
        <v>487</v>
      </c>
      <c r="L439" s="35" t="n">
        <v>78</v>
      </c>
      <c r="M439" s="35" t="s">
        <v>230</v>
      </c>
      <c r="N439" s="35" t="s">
        <v>1674</v>
      </c>
      <c r="O439" s="35" t="s">
        <v>231</v>
      </c>
      <c r="P439" s="35" t="s">
        <v>50</v>
      </c>
      <c r="Q439" s="35" t="n">
        <v>0</v>
      </c>
      <c r="R439" s="35"/>
      <c r="S439" s="35" t="s">
        <v>40</v>
      </c>
      <c r="T439" s="35" t="s">
        <v>41</v>
      </c>
      <c r="U439" s="35" t="s">
        <v>43</v>
      </c>
      <c r="V439" s="35" t="s">
        <v>230</v>
      </c>
      <c r="W439" s="35"/>
      <c r="X439" s="35" t="s">
        <v>2111</v>
      </c>
      <c r="Y439" s="35" t="n">
        <v>-7.18923</v>
      </c>
      <c r="Z439" s="35" t="n">
        <v>-48.210623</v>
      </c>
      <c r="AA439" s="49" t="s">
        <v>1603</v>
      </c>
      <c r="AB439" s="35" t="s">
        <v>2112</v>
      </c>
    </row>
    <row r="440" customFormat="false" ht="15" hidden="false" customHeight="false" outlineLevel="0" collapsed="false">
      <c r="A440" s="35" t="n">
        <v>439</v>
      </c>
      <c r="B440" s="35" t="s">
        <v>1417</v>
      </c>
      <c r="C440" s="35" t="s">
        <v>2166</v>
      </c>
      <c r="D440" s="35" t="s">
        <v>1416</v>
      </c>
      <c r="E440" s="35" t="s">
        <v>1418</v>
      </c>
      <c r="F440" s="40" t="n">
        <v>37.2208328864097</v>
      </c>
      <c r="G440" s="36" t="n">
        <v>6058.38737505253</v>
      </c>
      <c r="H440" s="36" t="n">
        <v>772.02934798538</v>
      </c>
      <c r="I440" s="6" t="s">
        <v>21</v>
      </c>
      <c r="J440" s="35" t="s">
        <v>283</v>
      </c>
      <c r="K440" s="35" t="s">
        <v>487</v>
      </c>
      <c r="L440" s="35" t="n">
        <v>78</v>
      </c>
      <c r="M440" s="35" t="s">
        <v>230</v>
      </c>
      <c r="N440" s="35" t="s">
        <v>1674</v>
      </c>
      <c r="O440" s="35" t="s">
        <v>231</v>
      </c>
      <c r="P440" s="35" t="s">
        <v>50</v>
      </c>
      <c r="Q440" s="35" t="n">
        <v>0</v>
      </c>
      <c r="R440" s="35"/>
      <c r="S440" s="35" t="s">
        <v>40</v>
      </c>
      <c r="T440" s="35" t="s">
        <v>41</v>
      </c>
      <c r="U440" s="35" t="s">
        <v>43</v>
      </c>
      <c r="V440" s="35" t="s">
        <v>230</v>
      </c>
      <c r="W440" s="35"/>
      <c r="X440" s="35" t="s">
        <v>2111</v>
      </c>
      <c r="Y440" s="35" t="n">
        <v>-7.18887</v>
      </c>
      <c r="Z440" s="35" t="n">
        <v>-48.2105125</v>
      </c>
      <c r="AA440" s="49" t="s">
        <v>1603</v>
      </c>
      <c r="AB440" s="35" t="s">
        <v>2112</v>
      </c>
    </row>
    <row r="441" customFormat="false" ht="15" hidden="false" customHeight="false" outlineLevel="0" collapsed="false">
      <c r="A441" s="35" t="n">
        <v>440</v>
      </c>
      <c r="B441" s="35" t="s">
        <v>1419</v>
      </c>
      <c r="C441" s="35" t="s">
        <v>2167</v>
      </c>
      <c r="D441" s="35" t="s">
        <v>1392</v>
      </c>
      <c r="E441" s="35" t="s">
        <v>1420</v>
      </c>
      <c r="F441" s="40" t="n">
        <v>36.4774356442136</v>
      </c>
      <c r="G441" s="36" t="n">
        <v>5911.9540348951</v>
      </c>
      <c r="H441" s="36" t="n">
        <v>625.59600782795</v>
      </c>
      <c r="I441" s="6" t="s">
        <v>21</v>
      </c>
      <c r="J441" s="35" t="s">
        <v>283</v>
      </c>
      <c r="K441" s="35" t="s">
        <v>487</v>
      </c>
      <c r="L441" s="35" t="n">
        <v>78</v>
      </c>
      <c r="M441" s="35" t="s">
        <v>230</v>
      </c>
      <c r="N441" s="35" t="s">
        <v>1674</v>
      </c>
      <c r="O441" s="35" t="s">
        <v>231</v>
      </c>
      <c r="P441" s="35" t="s">
        <v>235</v>
      </c>
      <c r="Q441" s="35" t="n">
        <v>1</v>
      </c>
      <c r="R441" s="35"/>
      <c r="S441" s="35" t="s">
        <v>40</v>
      </c>
      <c r="T441" s="35" t="s">
        <v>41</v>
      </c>
      <c r="U441" s="35" t="s">
        <v>43</v>
      </c>
      <c r="V441" s="35" t="s">
        <v>230</v>
      </c>
      <c r="W441" s="35"/>
      <c r="X441" s="35" t="s">
        <v>2111</v>
      </c>
      <c r="Y441" s="35" t="n">
        <v>-7.1904395</v>
      </c>
      <c r="Z441" s="35" t="n">
        <v>-48.2109975</v>
      </c>
      <c r="AA441" s="49" t="s">
        <v>1603</v>
      </c>
      <c r="AB441" s="35" t="s">
        <v>2112</v>
      </c>
    </row>
    <row r="442" customFormat="false" ht="15" hidden="false" customHeight="false" outlineLevel="0" collapsed="false">
      <c r="A442" s="35" t="n">
        <v>441</v>
      </c>
      <c r="B442" s="35" t="s">
        <v>1421</v>
      </c>
      <c r="C442" s="35" t="s">
        <v>2168</v>
      </c>
      <c r="D442" s="35" t="s">
        <v>1420</v>
      </c>
      <c r="E442" s="35" t="s">
        <v>1422</v>
      </c>
      <c r="F442" s="40" t="n">
        <v>3.66605687940877</v>
      </c>
      <c r="G442" s="36" t="n">
        <v>5915.62009177451</v>
      </c>
      <c r="H442" s="36" t="n">
        <v>629.262064707359</v>
      </c>
      <c r="I442" s="6" t="s">
        <v>21</v>
      </c>
      <c r="J442" s="35" t="s">
        <v>283</v>
      </c>
      <c r="K442" s="35" t="s">
        <v>487</v>
      </c>
      <c r="L442" s="35" t="n">
        <v>78</v>
      </c>
      <c r="M442" s="35" t="s">
        <v>230</v>
      </c>
      <c r="N442" s="35" t="s">
        <v>1674</v>
      </c>
      <c r="O442" s="35" t="s">
        <v>231</v>
      </c>
      <c r="P442" s="35" t="s">
        <v>235</v>
      </c>
      <c r="Q442" s="35" t="n">
        <v>1</v>
      </c>
      <c r="R442" s="35"/>
      <c r="S442" s="35" t="s">
        <v>40</v>
      </c>
      <c r="T442" s="35" t="s">
        <v>41</v>
      </c>
      <c r="U442" s="35" t="s">
        <v>43</v>
      </c>
      <c r="V442" s="35" t="s">
        <v>230</v>
      </c>
      <c r="W442" s="35"/>
      <c r="X442" s="35" t="s">
        <v>2111</v>
      </c>
      <c r="Y442" s="35" t="n">
        <v>-7.190612</v>
      </c>
      <c r="Z442" s="35" t="n">
        <v>-48.211051</v>
      </c>
      <c r="AA442" s="49" t="s">
        <v>1603</v>
      </c>
      <c r="AB442" s="35" t="s">
        <v>2112</v>
      </c>
    </row>
    <row r="443" customFormat="false" ht="15" hidden="false" customHeight="false" outlineLevel="0" collapsed="false">
      <c r="A443" s="35" t="n">
        <v>442</v>
      </c>
      <c r="B443" s="35" t="s">
        <v>1423</v>
      </c>
      <c r="C443" s="35" t="s">
        <v>2169</v>
      </c>
      <c r="D443" s="35" t="s">
        <v>1422</v>
      </c>
      <c r="E443" s="35" t="s">
        <v>1424</v>
      </c>
      <c r="F443" s="40" t="n">
        <v>10.7519795204491</v>
      </c>
      <c r="G443" s="36" t="n">
        <v>5926.37207129495</v>
      </c>
      <c r="H443" s="36" t="n">
        <v>640.014044227808</v>
      </c>
      <c r="I443" s="6" t="s">
        <v>21</v>
      </c>
      <c r="J443" s="35" t="s">
        <v>283</v>
      </c>
      <c r="K443" s="35" t="s">
        <v>487</v>
      </c>
      <c r="L443" s="35" t="n">
        <v>78</v>
      </c>
      <c r="M443" s="35" t="s">
        <v>230</v>
      </c>
      <c r="N443" s="35" t="s">
        <v>1674</v>
      </c>
      <c r="O443" s="35" t="s">
        <v>231</v>
      </c>
      <c r="P443" s="35" t="s">
        <v>235</v>
      </c>
      <c r="Q443" s="35" t="n">
        <v>1</v>
      </c>
      <c r="R443" s="35"/>
      <c r="S443" s="35" t="s">
        <v>40</v>
      </c>
      <c r="T443" s="35" t="s">
        <v>41</v>
      </c>
      <c r="U443" s="35" t="s">
        <v>43</v>
      </c>
      <c r="V443" s="35" t="s">
        <v>230</v>
      </c>
      <c r="W443" s="35"/>
      <c r="X443" s="35" t="s">
        <v>2111</v>
      </c>
      <c r="Y443" s="35" t="n">
        <v>-7.190674</v>
      </c>
      <c r="Z443" s="35" t="n">
        <v>-48.21107</v>
      </c>
      <c r="AA443" s="49" t="s">
        <v>1603</v>
      </c>
      <c r="AB443" s="35" t="s">
        <v>2112</v>
      </c>
    </row>
    <row r="444" customFormat="false" ht="15" hidden="false" customHeight="false" outlineLevel="0" collapsed="false">
      <c r="A444" s="35" t="n">
        <v>443</v>
      </c>
      <c r="B444" s="35" t="s">
        <v>1425</v>
      </c>
      <c r="C444" s="35" t="s">
        <v>2170</v>
      </c>
      <c r="D444" s="35" t="s">
        <v>1424</v>
      </c>
      <c r="E444" s="35" t="s">
        <v>1426</v>
      </c>
      <c r="F444" s="40" t="n">
        <v>18.8071944275262</v>
      </c>
      <c r="G444" s="36" t="n">
        <v>5945.17926572248</v>
      </c>
      <c r="H444" s="36" t="n">
        <v>658.821238655334</v>
      </c>
      <c r="I444" s="6" t="s">
        <v>21</v>
      </c>
      <c r="J444" s="35" t="s">
        <v>283</v>
      </c>
      <c r="K444" s="35" t="s">
        <v>487</v>
      </c>
      <c r="L444" s="35" t="n">
        <v>78</v>
      </c>
      <c r="M444" s="35" t="s">
        <v>230</v>
      </c>
      <c r="N444" s="35" t="s">
        <v>1674</v>
      </c>
      <c r="O444" s="35" t="s">
        <v>231</v>
      </c>
      <c r="P444" s="35" t="s">
        <v>50</v>
      </c>
      <c r="Q444" s="35" t="n">
        <v>0</v>
      </c>
      <c r="R444" s="35"/>
      <c r="S444" s="35" t="s">
        <v>40</v>
      </c>
      <c r="T444" s="35" t="s">
        <v>41</v>
      </c>
      <c r="U444" s="35" t="s">
        <v>43</v>
      </c>
      <c r="V444" s="35" t="s">
        <v>230</v>
      </c>
      <c r="W444" s="35"/>
      <c r="X444" s="35" t="s">
        <v>2111</v>
      </c>
      <c r="Y444" s="35" t="n">
        <v>-7.190801</v>
      </c>
      <c r="Z444" s="35" t="n">
        <v>-48.2111095</v>
      </c>
      <c r="AA444" s="49" t="s">
        <v>1603</v>
      </c>
      <c r="AB444" s="35" t="s">
        <v>2112</v>
      </c>
    </row>
    <row r="445" customFormat="false" ht="15" hidden="false" customHeight="false" outlineLevel="0" collapsed="false">
      <c r="A445" s="35" t="n">
        <v>444</v>
      </c>
      <c r="B445" s="35" t="s">
        <v>1427</v>
      </c>
      <c r="C445" s="35" t="s">
        <v>2171</v>
      </c>
      <c r="D445" s="35" t="s">
        <v>1424</v>
      </c>
      <c r="E445" s="35" t="s">
        <v>1428</v>
      </c>
      <c r="F445" s="40" t="n">
        <v>1.64150618337416</v>
      </c>
      <c r="G445" s="36" t="n">
        <v>5928.01357747833</v>
      </c>
      <c r="H445" s="36" t="n">
        <v>641.655550411182</v>
      </c>
      <c r="I445" s="6" t="s">
        <v>21</v>
      </c>
      <c r="J445" s="35" t="s">
        <v>283</v>
      </c>
      <c r="K445" s="35" t="s">
        <v>487</v>
      </c>
      <c r="L445" s="35" t="n">
        <v>78</v>
      </c>
      <c r="M445" s="35" t="s">
        <v>230</v>
      </c>
      <c r="N445" s="35" t="s">
        <v>1674</v>
      </c>
      <c r="O445" s="35" t="s">
        <v>231</v>
      </c>
      <c r="P445" s="35" t="s">
        <v>235</v>
      </c>
      <c r="Q445" s="35" t="n">
        <v>1</v>
      </c>
      <c r="R445" s="35"/>
      <c r="S445" s="35" t="s">
        <v>40</v>
      </c>
      <c r="T445" s="35" t="s">
        <v>41</v>
      </c>
      <c r="U445" s="35" t="s">
        <v>43</v>
      </c>
      <c r="V445" s="35" t="s">
        <v>230</v>
      </c>
      <c r="W445" s="35"/>
      <c r="X445" s="35" t="s">
        <v>2111</v>
      </c>
      <c r="Y445" s="35" t="n">
        <v>-7.1907225</v>
      </c>
      <c r="Z445" s="35" t="n">
        <v>-48.211078</v>
      </c>
      <c r="AA445" s="49" t="s">
        <v>1603</v>
      </c>
      <c r="AB445" s="35" t="s">
        <v>2112</v>
      </c>
    </row>
    <row r="446" customFormat="false" ht="15" hidden="false" customHeight="false" outlineLevel="0" collapsed="false">
      <c r="A446" s="35" t="n">
        <v>445</v>
      </c>
      <c r="B446" s="35" t="s">
        <v>1429</v>
      </c>
      <c r="C446" s="35" t="s">
        <v>2172</v>
      </c>
      <c r="D446" s="35" t="s">
        <v>1420</v>
      </c>
      <c r="E446" s="35" t="s">
        <v>1430</v>
      </c>
      <c r="F446" s="40" t="n">
        <v>3.9706153041147</v>
      </c>
      <c r="G446" s="36" t="n">
        <v>5915.92465019921</v>
      </c>
      <c r="H446" s="36" t="n">
        <v>629.566623132065</v>
      </c>
      <c r="I446" s="6" t="s">
        <v>21</v>
      </c>
      <c r="J446" s="35" t="s">
        <v>283</v>
      </c>
      <c r="K446" s="35" t="s">
        <v>487</v>
      </c>
      <c r="L446" s="35" t="n">
        <v>78</v>
      </c>
      <c r="M446" s="35" t="s">
        <v>230</v>
      </c>
      <c r="N446" s="35" t="s">
        <v>1674</v>
      </c>
      <c r="O446" s="35" t="s">
        <v>231</v>
      </c>
      <c r="P446" s="35" t="s">
        <v>50</v>
      </c>
      <c r="Q446" s="35" t="n">
        <v>0</v>
      </c>
      <c r="R446" s="35"/>
      <c r="S446" s="35" t="s">
        <v>40</v>
      </c>
      <c r="T446" s="35" t="s">
        <v>41</v>
      </c>
      <c r="U446" s="35" t="s">
        <v>43</v>
      </c>
      <c r="V446" s="35" t="s">
        <v>230</v>
      </c>
      <c r="W446" s="35"/>
      <c r="X446" s="35" t="s">
        <v>2111</v>
      </c>
      <c r="Y446" s="35" t="n">
        <v>-7.190613</v>
      </c>
      <c r="Z446" s="35" t="n">
        <v>-48.2110525</v>
      </c>
      <c r="AA446" s="49" t="s">
        <v>1603</v>
      </c>
      <c r="AB446" s="35" t="s">
        <v>2112</v>
      </c>
    </row>
    <row r="447" customFormat="false" ht="15" hidden="false" customHeight="false" outlineLevel="0" collapsed="false">
      <c r="A447" s="35" t="n">
        <v>446</v>
      </c>
      <c r="B447" s="35" t="s">
        <v>1431</v>
      </c>
      <c r="C447" s="35" t="s">
        <v>2173</v>
      </c>
      <c r="D447" s="35" t="s">
        <v>1392</v>
      </c>
      <c r="E447" s="35" t="s">
        <v>1432</v>
      </c>
      <c r="F447" s="40" t="n">
        <v>30.1772083490265</v>
      </c>
      <c r="G447" s="36" t="n">
        <v>5905.65380759991</v>
      </c>
      <c r="H447" s="36" t="n">
        <v>619.295780532763</v>
      </c>
      <c r="I447" s="6" t="s">
        <v>21</v>
      </c>
      <c r="J447" s="35" t="s">
        <v>283</v>
      </c>
      <c r="K447" s="35" t="s">
        <v>487</v>
      </c>
      <c r="L447" s="35" t="n">
        <v>78</v>
      </c>
      <c r="M447" s="35" t="s">
        <v>230</v>
      </c>
      <c r="N447" s="35" t="s">
        <v>1674</v>
      </c>
      <c r="O447" s="35" t="s">
        <v>231</v>
      </c>
      <c r="P447" s="35" t="s">
        <v>2174</v>
      </c>
      <c r="Q447" s="35" t="n">
        <v>2</v>
      </c>
      <c r="R447" s="35"/>
      <c r="S447" s="35" t="s">
        <v>40</v>
      </c>
      <c r="T447" s="35" t="s">
        <v>41</v>
      </c>
      <c r="U447" s="35" t="s">
        <v>43</v>
      </c>
      <c r="V447" s="35" t="s">
        <v>230</v>
      </c>
      <c r="W447" s="35"/>
      <c r="X447" s="35" t="s">
        <v>2111</v>
      </c>
      <c r="Y447" s="35" t="n">
        <v>-7.190244</v>
      </c>
      <c r="Z447" s="35" t="n">
        <v>-48.211079</v>
      </c>
      <c r="AA447" s="49" t="s">
        <v>1603</v>
      </c>
      <c r="AB447" s="35" t="s">
        <v>2112</v>
      </c>
    </row>
    <row r="448" customFormat="false" ht="15" hidden="false" customHeight="false" outlineLevel="0" collapsed="false">
      <c r="A448" s="35" t="n">
        <v>447</v>
      </c>
      <c r="B448" s="35" t="s">
        <v>1433</v>
      </c>
      <c r="C448" s="35" t="s">
        <v>2175</v>
      </c>
      <c r="D448" s="35" t="s">
        <v>1432</v>
      </c>
      <c r="E448" s="35" t="s">
        <v>1434</v>
      </c>
      <c r="F448" s="40" t="n">
        <v>26.3298762474634</v>
      </c>
      <c r="G448" s="36" t="n">
        <v>5931.98368384737</v>
      </c>
      <c r="H448" s="36" t="n">
        <v>645.625656780227</v>
      </c>
      <c r="I448" s="6" t="s">
        <v>21</v>
      </c>
      <c r="J448" s="35" t="s">
        <v>283</v>
      </c>
      <c r="K448" s="35" t="s">
        <v>487</v>
      </c>
      <c r="L448" s="35" t="n">
        <v>78</v>
      </c>
      <c r="M448" s="35" t="s">
        <v>230</v>
      </c>
      <c r="N448" s="35" t="s">
        <v>1674</v>
      </c>
      <c r="O448" s="35" t="s">
        <v>231</v>
      </c>
      <c r="P448" s="35" t="s">
        <v>237</v>
      </c>
      <c r="Q448" s="35" t="n">
        <v>1</v>
      </c>
      <c r="R448" s="35"/>
      <c r="S448" s="35" t="s">
        <v>40</v>
      </c>
      <c r="T448" s="35" t="s">
        <v>41</v>
      </c>
      <c r="U448" s="35" t="s">
        <v>43</v>
      </c>
      <c r="V448" s="35" t="s">
        <v>230</v>
      </c>
      <c r="W448" s="35"/>
      <c r="X448" s="35" t="s">
        <v>2111</v>
      </c>
      <c r="Y448" s="35" t="n">
        <v>-7.19017</v>
      </c>
      <c r="Z448" s="35" t="n">
        <v>-48.211324</v>
      </c>
      <c r="AA448" s="49" t="s">
        <v>1603</v>
      </c>
      <c r="AB448" s="35" t="s">
        <v>2112</v>
      </c>
    </row>
    <row r="449" customFormat="false" ht="15" hidden="false" customHeight="false" outlineLevel="0" collapsed="false">
      <c r="A449" s="35" t="n">
        <v>448</v>
      </c>
      <c r="B449" s="35" t="s">
        <v>1435</v>
      </c>
      <c r="C449" s="35" t="s">
        <v>2176</v>
      </c>
      <c r="D449" s="35" t="s">
        <v>1434</v>
      </c>
      <c r="E449" s="35" t="s">
        <v>1436</v>
      </c>
      <c r="F449" s="40" t="n">
        <v>11.979962681337</v>
      </c>
      <c r="G449" s="36" t="n">
        <v>5943.96364652871</v>
      </c>
      <c r="H449" s="36" t="n">
        <v>657.605619461564</v>
      </c>
      <c r="I449" s="6" t="s">
        <v>21</v>
      </c>
      <c r="J449" s="35" t="s">
        <v>283</v>
      </c>
      <c r="K449" s="35" t="s">
        <v>487</v>
      </c>
      <c r="L449" s="35" t="n">
        <v>78</v>
      </c>
      <c r="M449" s="35" t="s">
        <v>230</v>
      </c>
      <c r="N449" s="35" t="s">
        <v>1674</v>
      </c>
      <c r="O449" s="35" t="s">
        <v>231</v>
      </c>
      <c r="P449" s="35" t="s">
        <v>50</v>
      </c>
      <c r="Q449" s="35" t="n">
        <v>0</v>
      </c>
      <c r="R449" s="35"/>
      <c r="S449" s="35" t="s">
        <v>40</v>
      </c>
      <c r="T449" s="35" t="s">
        <v>41</v>
      </c>
      <c r="U449" s="35" t="s">
        <v>43</v>
      </c>
      <c r="V449" s="35" t="s">
        <v>230</v>
      </c>
      <c r="W449" s="35"/>
      <c r="X449" s="35" t="s">
        <v>2111</v>
      </c>
      <c r="Y449" s="35" t="n">
        <v>-7.1901195</v>
      </c>
      <c r="Z449" s="35" t="n">
        <v>-48.21149</v>
      </c>
      <c r="AA449" s="49" t="s">
        <v>1603</v>
      </c>
      <c r="AB449" s="35" t="s">
        <v>2112</v>
      </c>
    </row>
    <row r="450" customFormat="false" ht="15" hidden="false" customHeight="false" outlineLevel="0" collapsed="false">
      <c r="A450" s="35" t="n">
        <v>449</v>
      </c>
      <c r="B450" s="35" t="s">
        <v>1437</v>
      </c>
      <c r="C450" s="35" t="s">
        <v>2177</v>
      </c>
      <c r="D450" s="35" t="s">
        <v>1436</v>
      </c>
      <c r="E450" s="35" t="s">
        <v>1438</v>
      </c>
      <c r="F450" s="40" t="n">
        <v>16.4096574891642</v>
      </c>
      <c r="G450" s="36" t="n">
        <v>5960.37330401787</v>
      </c>
      <c r="H450" s="36" t="n">
        <v>674.015276950729</v>
      </c>
      <c r="I450" s="6" t="s">
        <v>21</v>
      </c>
      <c r="J450" s="35" t="s">
        <v>283</v>
      </c>
      <c r="K450" s="35" t="s">
        <v>487</v>
      </c>
      <c r="L450" s="35" t="n">
        <v>78</v>
      </c>
      <c r="M450" s="35" t="s">
        <v>230</v>
      </c>
      <c r="N450" s="35" t="s">
        <v>1674</v>
      </c>
      <c r="O450" s="35" t="s">
        <v>231</v>
      </c>
      <c r="P450" s="35" t="s">
        <v>50</v>
      </c>
      <c r="Q450" s="35" t="n">
        <v>0</v>
      </c>
      <c r="R450" s="35"/>
      <c r="S450" s="35" t="s">
        <v>40</v>
      </c>
      <c r="T450" s="35" t="s">
        <v>41</v>
      </c>
      <c r="U450" s="35" t="s">
        <v>43</v>
      </c>
      <c r="V450" s="35" t="s">
        <v>230</v>
      </c>
      <c r="W450" s="35"/>
      <c r="X450" s="35" t="s">
        <v>2111</v>
      </c>
      <c r="Y450" s="35" t="n">
        <v>-7.1900805</v>
      </c>
      <c r="Z450" s="35" t="n">
        <v>-48.2116125</v>
      </c>
      <c r="AA450" s="49" t="s">
        <v>1603</v>
      </c>
      <c r="AB450" s="35" t="s">
        <v>2112</v>
      </c>
    </row>
    <row r="451" customFormat="false" ht="15" hidden="false" customHeight="false" outlineLevel="0" collapsed="false">
      <c r="A451" s="35" t="n">
        <v>450</v>
      </c>
      <c r="B451" s="35" t="s">
        <v>1439</v>
      </c>
      <c r="C451" s="35" t="s">
        <v>2178</v>
      </c>
      <c r="D451" s="35" t="s">
        <v>1434</v>
      </c>
      <c r="E451" s="35" t="s">
        <v>1440</v>
      </c>
      <c r="F451" s="40" t="n">
        <v>1.13362852754135</v>
      </c>
      <c r="G451" s="36" t="n">
        <v>5933.11731237491</v>
      </c>
      <c r="H451" s="36" t="n">
        <v>646.759285307768</v>
      </c>
      <c r="I451" s="6" t="s">
        <v>21</v>
      </c>
      <c r="J451" s="35" t="s">
        <v>283</v>
      </c>
      <c r="K451" s="35" t="s">
        <v>487</v>
      </c>
      <c r="L451" s="35" t="n">
        <v>78</v>
      </c>
      <c r="M451" s="35" t="s">
        <v>230</v>
      </c>
      <c r="N451" s="35" t="s">
        <v>1674</v>
      </c>
      <c r="O451" s="35" t="s">
        <v>231</v>
      </c>
      <c r="P451" s="35" t="s">
        <v>237</v>
      </c>
      <c r="Q451" s="35" t="n">
        <v>1</v>
      </c>
      <c r="R451" s="35"/>
      <c r="S451" s="35" t="s">
        <v>40</v>
      </c>
      <c r="T451" s="35" t="s">
        <v>41</v>
      </c>
      <c r="U451" s="35" t="s">
        <v>43</v>
      </c>
      <c r="V451" s="35" t="s">
        <v>230</v>
      </c>
      <c r="W451" s="35"/>
      <c r="X451" s="35" t="s">
        <v>2111</v>
      </c>
      <c r="Y451" s="35" t="n">
        <v>-7.19014</v>
      </c>
      <c r="Z451" s="35" t="n">
        <v>-48.211437</v>
      </c>
      <c r="AA451" s="49" t="s">
        <v>1603</v>
      </c>
      <c r="AB451" s="35" t="s">
        <v>2112</v>
      </c>
    </row>
    <row r="452" customFormat="false" ht="15" hidden="false" customHeight="false" outlineLevel="0" collapsed="false">
      <c r="A452" s="35" t="n">
        <v>451</v>
      </c>
      <c r="B452" s="35" t="s">
        <v>1441</v>
      </c>
      <c r="C452" s="35" t="s">
        <v>2179</v>
      </c>
      <c r="D452" s="35" t="s">
        <v>1432</v>
      </c>
      <c r="E452" s="35" t="s">
        <v>1442</v>
      </c>
      <c r="F452" s="40" t="n">
        <v>0.15663628271462</v>
      </c>
      <c r="G452" s="36" t="n">
        <v>5905.81044388262</v>
      </c>
      <c r="H452" s="36" t="n">
        <v>619.452416815478</v>
      </c>
      <c r="I452" s="6" t="s">
        <v>21</v>
      </c>
      <c r="J452" s="35" t="s">
        <v>283</v>
      </c>
      <c r="K452" s="35" t="s">
        <v>487</v>
      </c>
      <c r="L452" s="35" t="n">
        <v>78</v>
      </c>
      <c r="M452" s="35" t="s">
        <v>230</v>
      </c>
      <c r="N452" s="35" t="s">
        <v>1674</v>
      </c>
      <c r="O452" s="35" t="s">
        <v>231</v>
      </c>
      <c r="P452" s="35" t="s">
        <v>239</v>
      </c>
      <c r="Q452" s="35" t="n">
        <v>1</v>
      </c>
      <c r="R452" s="35"/>
      <c r="S452" s="35" t="s">
        <v>40</v>
      </c>
      <c r="T452" s="35" t="s">
        <v>41</v>
      </c>
      <c r="U452" s="35" t="s">
        <v>43</v>
      </c>
      <c r="V452" s="35" t="s">
        <v>230</v>
      </c>
      <c r="W452" s="35"/>
      <c r="X452" s="35" t="s">
        <v>2111</v>
      </c>
      <c r="Y452" s="35" t="n">
        <v>-7.1902045</v>
      </c>
      <c r="Z452" s="35" t="n">
        <v>-48.2112095</v>
      </c>
      <c r="AA452" s="49" t="s">
        <v>1603</v>
      </c>
      <c r="AB452" s="35" t="s">
        <v>2112</v>
      </c>
    </row>
    <row r="453" customFormat="false" ht="15" hidden="false" customHeight="false" outlineLevel="0" collapsed="false">
      <c r="A453" s="35" t="n">
        <v>452</v>
      </c>
      <c r="B453" s="35" t="s">
        <v>1443</v>
      </c>
      <c r="C453" s="35" t="s">
        <v>2180</v>
      </c>
      <c r="D453" s="35" t="s">
        <v>1388</v>
      </c>
      <c r="E453" s="35" t="s">
        <v>1444</v>
      </c>
      <c r="F453" s="40" t="n">
        <v>1.89353021812622</v>
      </c>
      <c r="G453" s="36" t="n">
        <v>5826.10653649613</v>
      </c>
      <c r="H453" s="36" t="n">
        <v>539.748509428989</v>
      </c>
      <c r="I453" s="6" t="s">
        <v>21</v>
      </c>
      <c r="J453" s="35" t="s">
        <v>283</v>
      </c>
      <c r="K453" s="35" t="s">
        <v>487</v>
      </c>
      <c r="L453" s="35" t="n">
        <v>78</v>
      </c>
      <c r="M453" s="35" t="s">
        <v>230</v>
      </c>
      <c r="N453" s="35" t="s">
        <v>1674</v>
      </c>
      <c r="O453" s="35" t="s">
        <v>231</v>
      </c>
      <c r="P453" s="35" t="s">
        <v>241</v>
      </c>
      <c r="Q453" s="35" t="n">
        <v>1</v>
      </c>
      <c r="R453" s="35"/>
      <c r="S453" s="35" t="s">
        <v>40</v>
      </c>
      <c r="T453" s="35" t="s">
        <v>41</v>
      </c>
      <c r="U453" s="35" t="s">
        <v>43</v>
      </c>
      <c r="V453" s="35" t="s">
        <v>230</v>
      </c>
      <c r="W453" s="35"/>
      <c r="X453" s="35" t="s">
        <v>2111</v>
      </c>
      <c r="Y453" s="35" t="n">
        <v>-7.1904105</v>
      </c>
      <c r="Z453" s="35" t="n">
        <v>-48.2105035</v>
      </c>
      <c r="AA453" s="49" t="s">
        <v>1603</v>
      </c>
      <c r="AB453" s="35" t="s">
        <v>2112</v>
      </c>
    </row>
    <row r="454" customFormat="false" ht="15" hidden="false" customHeight="false" outlineLevel="0" collapsed="false">
      <c r="A454" s="35" t="n">
        <v>453</v>
      </c>
      <c r="B454" s="35" t="s">
        <v>1445</v>
      </c>
      <c r="C454" s="35" t="s">
        <v>2181</v>
      </c>
      <c r="D454" s="35" t="s">
        <v>1378</v>
      </c>
      <c r="E454" s="35" t="s">
        <v>1446</v>
      </c>
      <c r="F454" s="40" t="n">
        <v>1.02478857112366</v>
      </c>
      <c r="G454" s="36" t="n">
        <v>5755.74476518945</v>
      </c>
      <c r="H454" s="36" t="n">
        <v>469.386738122303</v>
      </c>
      <c r="I454" s="6" t="s">
        <v>21</v>
      </c>
      <c r="J454" s="35" t="s">
        <v>283</v>
      </c>
      <c r="K454" s="35" t="s">
        <v>487</v>
      </c>
      <c r="L454" s="35" t="n">
        <v>78</v>
      </c>
      <c r="M454" s="35" t="s">
        <v>230</v>
      </c>
      <c r="N454" s="35" t="s">
        <v>1674</v>
      </c>
      <c r="O454" s="35" t="s">
        <v>231</v>
      </c>
      <c r="P454" s="35" t="s">
        <v>243</v>
      </c>
      <c r="Q454" s="35" t="n">
        <v>1</v>
      </c>
      <c r="R454" s="35"/>
      <c r="S454" s="35" t="s">
        <v>40</v>
      </c>
      <c r="T454" s="35" t="s">
        <v>41</v>
      </c>
      <c r="U454" s="35" t="s">
        <v>43</v>
      </c>
      <c r="V454" s="35" t="s">
        <v>230</v>
      </c>
      <c r="W454" s="35"/>
      <c r="X454" s="35" t="s">
        <v>2111</v>
      </c>
      <c r="Y454" s="35" t="n">
        <v>-7.1906075</v>
      </c>
      <c r="Z454" s="35" t="n">
        <v>-48.209901</v>
      </c>
      <c r="AA454" s="49" t="s">
        <v>1603</v>
      </c>
      <c r="AB454" s="35" t="s">
        <v>2112</v>
      </c>
    </row>
    <row r="455" customFormat="false" ht="15" hidden="false" customHeight="false" outlineLevel="0" collapsed="false">
      <c r="A455" s="35" t="n">
        <v>454</v>
      </c>
      <c r="B455" s="35" t="s">
        <v>1447</v>
      </c>
      <c r="C455" s="35" t="s">
        <v>2182</v>
      </c>
      <c r="D455" s="35" t="s">
        <v>1354</v>
      </c>
      <c r="E455" s="35" t="s">
        <v>1448</v>
      </c>
      <c r="F455" s="40" t="n">
        <v>1.44652754570713</v>
      </c>
      <c r="G455" s="36" t="n">
        <v>5682.47158589754</v>
      </c>
      <c r="H455" s="36" t="n">
        <v>396.113558830397</v>
      </c>
      <c r="I455" s="6" t="s">
        <v>21</v>
      </c>
      <c r="J455" s="35" t="s">
        <v>283</v>
      </c>
      <c r="K455" s="35" t="s">
        <v>487</v>
      </c>
      <c r="L455" s="35" t="n">
        <v>78</v>
      </c>
      <c r="M455" s="35" t="s">
        <v>230</v>
      </c>
      <c r="N455" s="35" t="s">
        <v>1674</v>
      </c>
      <c r="O455" s="35" t="s">
        <v>231</v>
      </c>
      <c r="P455" s="35" t="s">
        <v>245</v>
      </c>
      <c r="Q455" s="35" t="n">
        <v>1</v>
      </c>
      <c r="R455" s="35"/>
      <c r="S455" s="35" t="s">
        <v>40</v>
      </c>
      <c r="T455" s="35" t="s">
        <v>41</v>
      </c>
      <c r="U455" s="35" t="s">
        <v>43</v>
      </c>
      <c r="V455" s="35" t="s">
        <v>230</v>
      </c>
      <c r="W455" s="35"/>
      <c r="X455" s="35" t="s">
        <v>2111</v>
      </c>
      <c r="Y455" s="35" t="n">
        <v>-7.1901385</v>
      </c>
      <c r="Z455" s="35" t="n">
        <v>-48.2096215</v>
      </c>
      <c r="AA455" s="49" t="s">
        <v>1603</v>
      </c>
      <c r="AB455" s="35" t="s">
        <v>2112</v>
      </c>
    </row>
    <row r="456" customFormat="false" ht="15" hidden="false" customHeight="false" outlineLevel="0" collapsed="false">
      <c r="A456" s="35" t="n">
        <v>455</v>
      </c>
      <c r="B456" s="35" t="s">
        <v>1449</v>
      </c>
      <c r="C456" s="35" t="s">
        <v>2183</v>
      </c>
      <c r="D456" s="35" t="s">
        <v>1352</v>
      </c>
      <c r="E456" s="35" t="s">
        <v>1450</v>
      </c>
      <c r="F456" s="40" t="n">
        <v>1.58010205439812</v>
      </c>
      <c r="G456" s="36" t="n">
        <v>5651.14275918523</v>
      </c>
      <c r="H456" s="36" t="n">
        <v>364.784732118089</v>
      </c>
      <c r="I456" s="6" t="s">
        <v>21</v>
      </c>
      <c r="J456" s="35" t="s">
        <v>283</v>
      </c>
      <c r="K456" s="35" t="s">
        <v>487</v>
      </c>
      <c r="L456" s="35" t="n">
        <v>78</v>
      </c>
      <c r="M456" s="35" t="s">
        <v>230</v>
      </c>
      <c r="N456" s="35" t="s">
        <v>1674</v>
      </c>
      <c r="O456" s="35" t="s">
        <v>231</v>
      </c>
      <c r="P456" s="35" t="s">
        <v>247</v>
      </c>
      <c r="Q456" s="35" t="n">
        <v>1</v>
      </c>
      <c r="R456" s="35"/>
      <c r="S456" s="35" t="s">
        <v>40</v>
      </c>
      <c r="T456" s="35" t="s">
        <v>41</v>
      </c>
      <c r="U456" s="35" t="s">
        <v>43</v>
      </c>
      <c r="V456" s="35" t="s">
        <v>230</v>
      </c>
      <c r="W456" s="35"/>
      <c r="X456" s="35" t="s">
        <v>2111</v>
      </c>
      <c r="Y456" s="35" t="n">
        <v>-7.1898715</v>
      </c>
      <c r="Z456" s="35" t="n">
        <v>-48.209543</v>
      </c>
      <c r="AA456" s="49" t="s">
        <v>1603</v>
      </c>
      <c r="AB456" s="35" t="s">
        <v>2112</v>
      </c>
    </row>
    <row r="457" customFormat="false" ht="15" hidden="false" customHeight="false" outlineLevel="0" collapsed="false">
      <c r="A457" s="35" t="n">
        <v>456</v>
      </c>
      <c r="B457" s="35" t="s">
        <v>1451</v>
      </c>
      <c r="C457" s="35" t="s">
        <v>2184</v>
      </c>
      <c r="D457" s="35" t="s">
        <v>1348</v>
      </c>
      <c r="E457" s="35" t="s">
        <v>1452</v>
      </c>
      <c r="F457" s="40" t="n">
        <v>52.7712806715288</v>
      </c>
      <c r="G457" s="36" t="n">
        <v>5692.94604486179</v>
      </c>
      <c r="H457" s="36" t="n">
        <v>406.588017794647</v>
      </c>
      <c r="I457" s="6" t="s">
        <v>21</v>
      </c>
      <c r="J457" s="35" t="s">
        <v>283</v>
      </c>
      <c r="K457" s="35" t="s">
        <v>487</v>
      </c>
      <c r="L457" s="35" t="n">
        <v>78</v>
      </c>
      <c r="M457" s="35" t="s">
        <v>230</v>
      </c>
      <c r="N457" s="35" t="s">
        <v>1674</v>
      </c>
      <c r="O457" s="35" t="s">
        <v>231</v>
      </c>
      <c r="P457" s="35" t="s">
        <v>249</v>
      </c>
      <c r="Q457" s="35" t="n">
        <v>1</v>
      </c>
      <c r="R457" s="35"/>
      <c r="S457" s="35" t="s">
        <v>40</v>
      </c>
      <c r="T457" s="35" t="s">
        <v>41</v>
      </c>
      <c r="U457" s="35" t="s">
        <v>43</v>
      </c>
      <c r="V457" s="35" t="s">
        <v>230</v>
      </c>
      <c r="W457" s="35"/>
      <c r="X457" s="35" t="s">
        <v>2111</v>
      </c>
      <c r="Y457" s="35" t="n">
        <v>-7.1898535</v>
      </c>
      <c r="Z457" s="35" t="n">
        <v>-48.209281</v>
      </c>
      <c r="AA457" s="49" t="s">
        <v>1603</v>
      </c>
      <c r="AB457" s="35" t="s">
        <v>2112</v>
      </c>
    </row>
    <row r="458" customFormat="false" ht="15" hidden="false" customHeight="false" outlineLevel="0" collapsed="false">
      <c r="A458" s="35" t="n">
        <v>457</v>
      </c>
      <c r="B458" s="35" t="s">
        <v>1453</v>
      </c>
      <c r="C458" s="35" t="s">
        <v>2185</v>
      </c>
      <c r="D458" s="35" t="s">
        <v>1452</v>
      </c>
      <c r="E458" s="35" t="s">
        <v>1454</v>
      </c>
      <c r="F458" s="40" t="n">
        <v>25.2827774548129</v>
      </c>
      <c r="G458" s="36" t="n">
        <v>5718.22882231661</v>
      </c>
      <c r="H458" s="36" t="n">
        <v>431.870795249461</v>
      </c>
      <c r="I458" s="6" t="s">
        <v>21</v>
      </c>
      <c r="J458" s="35" t="s">
        <v>283</v>
      </c>
      <c r="K458" s="35" t="s">
        <v>487</v>
      </c>
      <c r="L458" s="35" t="n">
        <v>78</v>
      </c>
      <c r="M458" s="35" t="s">
        <v>230</v>
      </c>
      <c r="N458" s="35" t="s">
        <v>1674</v>
      </c>
      <c r="O458" s="35" t="s">
        <v>231</v>
      </c>
      <c r="P458" s="35" t="s">
        <v>50</v>
      </c>
      <c r="Q458" s="35" t="n">
        <v>0</v>
      </c>
      <c r="R458" s="35"/>
      <c r="S458" s="35" t="s">
        <v>40</v>
      </c>
      <c r="T458" s="35" t="s">
        <v>41</v>
      </c>
      <c r="U458" s="35" t="s">
        <v>43</v>
      </c>
      <c r="V458" s="35" t="s">
        <v>230</v>
      </c>
      <c r="W458" s="35"/>
      <c r="X458" s="35" t="s">
        <v>2111</v>
      </c>
      <c r="Y458" s="35" t="n">
        <v>-7.1899485</v>
      </c>
      <c r="Z458" s="35" t="n">
        <v>-48.2089405</v>
      </c>
      <c r="AA458" s="49" t="s">
        <v>1603</v>
      </c>
      <c r="AB458" s="35" t="s">
        <v>2112</v>
      </c>
    </row>
    <row r="459" customFormat="false" ht="15" hidden="false" customHeight="false" outlineLevel="0" collapsed="false">
      <c r="A459" s="35" t="n">
        <v>458</v>
      </c>
      <c r="B459" s="35" t="s">
        <v>1455</v>
      </c>
      <c r="C459" s="35" t="s">
        <v>2186</v>
      </c>
      <c r="D459" s="35" t="s">
        <v>1452</v>
      </c>
      <c r="E459" s="35" t="s">
        <v>1456</v>
      </c>
      <c r="F459" s="40" t="n">
        <v>1.48949774546007</v>
      </c>
      <c r="G459" s="36" t="n">
        <v>5694.43554260725</v>
      </c>
      <c r="H459" s="36" t="n">
        <v>408.077515540107</v>
      </c>
      <c r="I459" s="6" t="s">
        <v>21</v>
      </c>
      <c r="J459" s="35" t="s">
        <v>283</v>
      </c>
      <c r="K459" s="35" t="s">
        <v>487</v>
      </c>
      <c r="L459" s="35" t="n">
        <v>78</v>
      </c>
      <c r="M459" s="35" t="s">
        <v>230</v>
      </c>
      <c r="N459" s="35" t="s">
        <v>1674</v>
      </c>
      <c r="O459" s="35" t="s">
        <v>231</v>
      </c>
      <c r="P459" s="35" t="s">
        <v>249</v>
      </c>
      <c r="Q459" s="35" t="n">
        <v>1</v>
      </c>
      <c r="R459" s="35"/>
      <c r="S459" s="35" t="s">
        <v>40</v>
      </c>
      <c r="T459" s="35" t="s">
        <v>41</v>
      </c>
      <c r="U459" s="35" t="s">
        <v>43</v>
      </c>
      <c r="V459" s="35" t="s">
        <v>230</v>
      </c>
      <c r="W459" s="35"/>
      <c r="X459" s="35" t="s">
        <v>2111</v>
      </c>
      <c r="Y459" s="35" t="n">
        <v>-7.189909</v>
      </c>
      <c r="Z459" s="35" t="n">
        <v>-48.209047</v>
      </c>
      <c r="AA459" s="49" t="s">
        <v>1603</v>
      </c>
      <c r="AB459" s="35" t="s">
        <v>2112</v>
      </c>
    </row>
    <row r="460" customFormat="false" ht="15" hidden="false" customHeight="false" outlineLevel="0" collapsed="false">
      <c r="A460" s="35" t="n">
        <v>459</v>
      </c>
      <c r="B460" s="35" t="s">
        <v>1457</v>
      </c>
      <c r="C460" s="35" t="s">
        <v>2187</v>
      </c>
      <c r="D460" s="35" t="s">
        <v>1344</v>
      </c>
      <c r="E460" s="35" t="s">
        <v>1458</v>
      </c>
      <c r="F460" s="40" t="n">
        <v>0.34914220195775</v>
      </c>
      <c r="G460" s="36" t="n">
        <v>5581.00463497567</v>
      </c>
      <c r="H460" s="36" t="n">
        <v>294.646607908522</v>
      </c>
      <c r="I460" s="6" t="s">
        <v>21</v>
      </c>
      <c r="J460" s="35" t="s">
        <v>283</v>
      </c>
      <c r="K460" s="35" t="s">
        <v>487</v>
      </c>
      <c r="L460" s="35" t="n">
        <v>78</v>
      </c>
      <c r="M460" s="35" t="s">
        <v>230</v>
      </c>
      <c r="N460" s="35" t="s">
        <v>1674</v>
      </c>
      <c r="O460" s="35" t="s">
        <v>231</v>
      </c>
      <c r="P460" s="35" t="s">
        <v>251</v>
      </c>
      <c r="Q460" s="35" t="n">
        <v>1</v>
      </c>
      <c r="R460" s="35"/>
      <c r="S460" s="35" t="s">
        <v>40</v>
      </c>
      <c r="T460" s="35" t="s">
        <v>41</v>
      </c>
      <c r="U460" s="35" t="s">
        <v>43</v>
      </c>
      <c r="V460" s="35" t="s">
        <v>230</v>
      </c>
      <c r="W460" s="35"/>
      <c r="X460" s="35" t="s">
        <v>2111</v>
      </c>
      <c r="Y460" s="35" t="n">
        <v>-7.1892795</v>
      </c>
      <c r="Z460" s="35" t="n">
        <v>-48.2093595</v>
      </c>
      <c r="AA460" s="49" t="s">
        <v>1603</v>
      </c>
      <c r="AB460" s="35" t="s">
        <v>2112</v>
      </c>
    </row>
    <row r="461" customFormat="false" ht="15" hidden="false" customHeight="false" outlineLevel="0" collapsed="false">
      <c r="A461" s="35" t="n">
        <v>460</v>
      </c>
      <c r="B461" s="35" t="s">
        <v>1459</v>
      </c>
      <c r="C461" s="35" t="s">
        <v>2188</v>
      </c>
      <c r="D461" s="35" t="s">
        <v>1342</v>
      </c>
      <c r="E461" s="35" t="s">
        <v>1460</v>
      </c>
      <c r="F461" s="40" t="n">
        <v>9.46284508729101</v>
      </c>
      <c r="G461" s="36" t="n">
        <v>5559.55851176402</v>
      </c>
      <c r="H461" s="36" t="n">
        <v>273.200484696874</v>
      </c>
      <c r="I461" s="6" t="s">
        <v>21</v>
      </c>
      <c r="J461" s="35" t="s">
        <v>283</v>
      </c>
      <c r="K461" s="35" t="s">
        <v>487</v>
      </c>
      <c r="L461" s="35" t="n">
        <v>78</v>
      </c>
      <c r="M461" s="35" t="s">
        <v>230</v>
      </c>
      <c r="N461" s="35" t="s">
        <v>1674</v>
      </c>
      <c r="O461" s="35" t="s">
        <v>231</v>
      </c>
      <c r="P461" s="35" t="s">
        <v>2189</v>
      </c>
      <c r="Q461" s="35" t="n">
        <v>3</v>
      </c>
      <c r="R461" s="35"/>
      <c r="S461" s="35" t="s">
        <v>40</v>
      </c>
      <c r="T461" s="35" t="s">
        <v>41</v>
      </c>
      <c r="U461" s="35" t="s">
        <v>43</v>
      </c>
      <c r="V461" s="35" t="s">
        <v>230</v>
      </c>
      <c r="W461" s="35"/>
      <c r="X461" s="35" t="s">
        <v>2111</v>
      </c>
      <c r="Y461" s="35" t="n">
        <v>-7.189001</v>
      </c>
      <c r="Z461" s="35" t="n">
        <v>-48.2093215</v>
      </c>
      <c r="AA461" s="49" t="s">
        <v>1603</v>
      </c>
      <c r="AB461" s="35" t="s">
        <v>2112</v>
      </c>
    </row>
    <row r="462" customFormat="false" ht="15" hidden="false" customHeight="false" outlineLevel="0" collapsed="false">
      <c r="A462" s="35" t="n">
        <v>461</v>
      </c>
      <c r="B462" s="35" t="s">
        <v>1461</v>
      </c>
      <c r="C462" s="35" t="s">
        <v>2190</v>
      </c>
      <c r="D462" s="35" t="s">
        <v>1460</v>
      </c>
      <c r="E462" s="35" t="s">
        <v>1462</v>
      </c>
      <c r="F462" s="40" t="n">
        <v>3.70124387737861</v>
      </c>
      <c r="G462" s="36" t="n">
        <v>5563.2597556414</v>
      </c>
      <c r="H462" s="36" t="n">
        <v>276.901728574253</v>
      </c>
      <c r="I462" s="6" t="s">
        <v>21</v>
      </c>
      <c r="J462" s="35" t="s">
        <v>283</v>
      </c>
      <c r="K462" s="35" t="s">
        <v>487</v>
      </c>
      <c r="L462" s="35" t="n">
        <v>78</v>
      </c>
      <c r="M462" s="35" t="s">
        <v>230</v>
      </c>
      <c r="N462" s="35" t="s">
        <v>1674</v>
      </c>
      <c r="O462" s="35" t="s">
        <v>231</v>
      </c>
      <c r="P462" s="35" t="s">
        <v>2189</v>
      </c>
      <c r="Q462" s="35" t="n">
        <v>3</v>
      </c>
      <c r="R462" s="35" t="s">
        <v>1463</v>
      </c>
      <c r="S462" s="35" t="s">
        <v>40</v>
      </c>
      <c r="T462" s="35" t="s">
        <v>41</v>
      </c>
      <c r="U462" s="35" t="s">
        <v>43</v>
      </c>
      <c r="V462" s="35" t="s">
        <v>230</v>
      </c>
      <c r="W462" s="35"/>
      <c r="X462" s="35" t="s">
        <v>2111</v>
      </c>
      <c r="Y462" s="35" t="n">
        <v>-7.188982</v>
      </c>
      <c r="Z462" s="35" t="n">
        <v>-48.209378</v>
      </c>
      <c r="AA462" s="49" t="s">
        <v>1603</v>
      </c>
      <c r="AB462" s="35" t="s">
        <v>2112</v>
      </c>
    </row>
    <row r="463" customFormat="false" ht="15" hidden="false" customHeight="false" outlineLevel="0" collapsed="false">
      <c r="A463" s="35" t="n">
        <v>462</v>
      </c>
      <c r="B463" s="35" t="s">
        <v>1464</v>
      </c>
      <c r="C463" s="35" t="s">
        <v>2191</v>
      </c>
      <c r="D463" s="35" t="s">
        <v>1462</v>
      </c>
      <c r="E463" s="35" t="s">
        <v>1465</v>
      </c>
      <c r="F463" s="40" t="n">
        <v>32.6794754637511</v>
      </c>
      <c r="G463" s="36" t="n">
        <v>5595.93923110515</v>
      </c>
      <c r="H463" s="36" t="n">
        <v>309.581204038004</v>
      </c>
      <c r="I463" s="6" t="s">
        <v>21</v>
      </c>
      <c r="J463" s="35" t="s">
        <v>283</v>
      </c>
      <c r="K463" s="35" t="s">
        <v>487</v>
      </c>
      <c r="L463" s="35" t="n">
        <v>78</v>
      </c>
      <c r="M463" s="35" t="s">
        <v>230</v>
      </c>
      <c r="N463" s="35" t="s">
        <v>1674</v>
      </c>
      <c r="O463" s="35" t="s">
        <v>231</v>
      </c>
      <c r="P463" s="35" t="s">
        <v>2189</v>
      </c>
      <c r="Q463" s="35" t="n">
        <v>3</v>
      </c>
      <c r="R463" s="35"/>
      <c r="S463" s="35" t="s">
        <v>40</v>
      </c>
      <c r="T463" s="35" t="s">
        <v>41</v>
      </c>
      <c r="U463" s="35" t="s">
        <v>43</v>
      </c>
      <c r="V463" s="35" t="s">
        <v>230</v>
      </c>
      <c r="W463" s="35"/>
      <c r="X463" s="35" t="s">
        <v>2111</v>
      </c>
      <c r="Y463" s="35" t="n">
        <v>-7.1889305</v>
      </c>
      <c r="Z463" s="35" t="n">
        <v>-48.2095345</v>
      </c>
      <c r="AA463" s="49" t="s">
        <v>1603</v>
      </c>
      <c r="AB463" s="35" t="s">
        <v>2112</v>
      </c>
    </row>
    <row r="464" customFormat="false" ht="15" hidden="false" customHeight="false" outlineLevel="0" collapsed="false">
      <c r="A464" s="35" t="n">
        <v>463</v>
      </c>
      <c r="B464" s="35" t="s">
        <v>1466</v>
      </c>
      <c r="C464" s="35" t="s">
        <v>2192</v>
      </c>
      <c r="D464" s="35" t="s">
        <v>1465</v>
      </c>
      <c r="E464" s="35" t="s">
        <v>1467</v>
      </c>
      <c r="F464" s="40" t="n">
        <v>3.80661350400159</v>
      </c>
      <c r="G464" s="36" t="n">
        <v>5599.74584460915</v>
      </c>
      <c r="H464" s="36" t="n">
        <v>313.387817542006</v>
      </c>
      <c r="I464" s="6" t="s">
        <v>21</v>
      </c>
      <c r="J464" s="35" t="s">
        <v>283</v>
      </c>
      <c r="K464" s="35" t="s">
        <v>487</v>
      </c>
      <c r="L464" s="35" t="n">
        <v>78</v>
      </c>
      <c r="M464" s="35" t="s">
        <v>230</v>
      </c>
      <c r="N464" s="35" t="s">
        <v>1674</v>
      </c>
      <c r="O464" s="35" t="s">
        <v>231</v>
      </c>
      <c r="P464" s="35" t="s">
        <v>2193</v>
      </c>
      <c r="Q464" s="35" t="n">
        <v>2</v>
      </c>
      <c r="R464" s="35"/>
      <c r="S464" s="35" t="s">
        <v>40</v>
      </c>
      <c r="T464" s="35" t="s">
        <v>41</v>
      </c>
      <c r="U464" s="35" t="s">
        <v>43</v>
      </c>
      <c r="V464" s="35" t="s">
        <v>230</v>
      </c>
      <c r="W464" s="35"/>
      <c r="X464" s="35" t="s">
        <v>2111</v>
      </c>
      <c r="Y464" s="35" t="n">
        <v>-7.188879</v>
      </c>
      <c r="Z464" s="35" t="n">
        <v>-48.2096915</v>
      </c>
      <c r="AA464" s="49" t="s">
        <v>1603</v>
      </c>
      <c r="AB464" s="35" t="s">
        <v>2112</v>
      </c>
    </row>
    <row r="465" customFormat="false" ht="15" hidden="false" customHeight="false" outlineLevel="0" collapsed="false">
      <c r="A465" s="35" t="n">
        <v>464</v>
      </c>
      <c r="B465" s="35" t="s">
        <v>1468</v>
      </c>
      <c r="C465" s="35" t="s">
        <v>2194</v>
      </c>
      <c r="D465" s="35" t="s">
        <v>1467</v>
      </c>
      <c r="E465" s="35" t="s">
        <v>1469</v>
      </c>
      <c r="F465" s="40" t="n">
        <v>31.6793134856474</v>
      </c>
      <c r="G465" s="36" t="n">
        <v>5631.4251580948</v>
      </c>
      <c r="H465" s="36" t="n">
        <v>345.067131027653</v>
      </c>
      <c r="I465" s="6" t="s">
        <v>21</v>
      </c>
      <c r="J465" s="35" t="s">
        <v>283</v>
      </c>
      <c r="K465" s="35" t="s">
        <v>487</v>
      </c>
      <c r="L465" s="35" t="n">
        <v>78</v>
      </c>
      <c r="M465" s="35" t="s">
        <v>230</v>
      </c>
      <c r="N465" s="35" t="s">
        <v>1674</v>
      </c>
      <c r="O465" s="35" t="s">
        <v>231</v>
      </c>
      <c r="P465" s="35" t="s">
        <v>2193</v>
      </c>
      <c r="Q465" s="35" t="n">
        <v>2</v>
      </c>
      <c r="R465" s="35"/>
      <c r="S465" s="35" t="s">
        <v>40</v>
      </c>
      <c r="T465" s="35" t="s">
        <v>41</v>
      </c>
      <c r="U465" s="35" t="s">
        <v>43</v>
      </c>
      <c r="V465" s="35" t="s">
        <v>230</v>
      </c>
      <c r="W465" s="35"/>
      <c r="X465" s="35" t="s">
        <v>2111</v>
      </c>
      <c r="Y465" s="35" t="n">
        <v>-7.1888255</v>
      </c>
      <c r="Z465" s="35" t="n">
        <v>-48.209843</v>
      </c>
      <c r="AA465" s="49" t="s">
        <v>1603</v>
      </c>
      <c r="AB465" s="35" t="s">
        <v>2112</v>
      </c>
    </row>
    <row r="466" customFormat="false" ht="15" hidden="false" customHeight="false" outlineLevel="0" collapsed="false">
      <c r="A466" s="35" t="n">
        <v>465</v>
      </c>
      <c r="B466" s="35" t="s">
        <v>1470</v>
      </c>
      <c r="C466" s="35" t="s">
        <v>2195</v>
      </c>
      <c r="D466" s="35" t="s">
        <v>1469</v>
      </c>
      <c r="E466" s="35" t="s">
        <v>1471</v>
      </c>
      <c r="F466" s="40" t="n">
        <v>65.5343074755156</v>
      </c>
      <c r="G466" s="36" t="n">
        <v>5696.95946557031</v>
      </c>
      <c r="H466" s="36" t="n">
        <v>410.601438503169</v>
      </c>
      <c r="I466" s="6" t="s">
        <v>21</v>
      </c>
      <c r="J466" s="35" t="s">
        <v>283</v>
      </c>
      <c r="K466" s="35" t="s">
        <v>487</v>
      </c>
      <c r="L466" s="35" t="n">
        <v>78</v>
      </c>
      <c r="M466" s="35" t="s">
        <v>230</v>
      </c>
      <c r="N466" s="35" t="s">
        <v>1674</v>
      </c>
      <c r="O466" s="35" t="s">
        <v>231</v>
      </c>
      <c r="P466" s="35" t="s">
        <v>2193</v>
      </c>
      <c r="Q466" s="35" t="n">
        <v>2</v>
      </c>
      <c r="R466" s="35"/>
      <c r="S466" s="35" t="s">
        <v>40</v>
      </c>
      <c r="T466" s="35" t="s">
        <v>41</v>
      </c>
      <c r="U466" s="35" t="s">
        <v>43</v>
      </c>
      <c r="V466" s="35" t="s">
        <v>230</v>
      </c>
      <c r="W466" s="35"/>
      <c r="X466" s="35" t="s">
        <v>2111</v>
      </c>
      <c r="Y466" s="35" t="n">
        <v>-7.188686</v>
      </c>
      <c r="Z466" s="35" t="n">
        <v>-48.2102605</v>
      </c>
      <c r="AA466" s="49" t="s">
        <v>1603</v>
      </c>
      <c r="AB466" s="35" t="s">
        <v>2112</v>
      </c>
    </row>
    <row r="467" customFormat="false" ht="15" hidden="false" customHeight="false" outlineLevel="0" collapsed="false">
      <c r="A467" s="35" t="n">
        <v>466</v>
      </c>
      <c r="B467" s="35" t="s">
        <v>1472</v>
      </c>
      <c r="C467" s="35" t="s">
        <v>2196</v>
      </c>
      <c r="D467" s="35" t="s">
        <v>1471</v>
      </c>
      <c r="E467" s="35" t="s">
        <v>1473</v>
      </c>
      <c r="F467" s="40" t="n">
        <v>35.8786500210865</v>
      </c>
      <c r="G467" s="36" t="n">
        <v>5732.8381155914</v>
      </c>
      <c r="H467" s="36" t="n">
        <v>446.480088524255</v>
      </c>
      <c r="I467" s="6" t="s">
        <v>21</v>
      </c>
      <c r="J467" s="35" t="s">
        <v>283</v>
      </c>
      <c r="K467" s="35" t="s">
        <v>487</v>
      </c>
      <c r="L467" s="35" t="n">
        <v>78</v>
      </c>
      <c r="M467" s="35" t="s">
        <v>230</v>
      </c>
      <c r="N467" s="35" t="s">
        <v>1674</v>
      </c>
      <c r="O467" s="35" t="s">
        <v>231</v>
      </c>
      <c r="P467" s="35" t="s">
        <v>253</v>
      </c>
      <c r="Q467" s="35" t="n">
        <v>1</v>
      </c>
      <c r="R467" s="35"/>
      <c r="S467" s="35" t="s">
        <v>40</v>
      </c>
      <c r="T467" s="35" t="s">
        <v>41</v>
      </c>
      <c r="U467" s="35" t="s">
        <v>43</v>
      </c>
      <c r="V467" s="35" t="s">
        <v>230</v>
      </c>
      <c r="W467" s="35"/>
      <c r="X467" s="35" t="s">
        <v>2111</v>
      </c>
      <c r="Y467" s="35" t="n">
        <v>-7.188539</v>
      </c>
      <c r="Z467" s="35" t="n">
        <v>-48.2106955</v>
      </c>
      <c r="AA467" s="49" t="s">
        <v>1603</v>
      </c>
      <c r="AB467" s="35" t="s">
        <v>2112</v>
      </c>
    </row>
    <row r="468" customFormat="false" ht="15" hidden="false" customHeight="false" outlineLevel="0" collapsed="false">
      <c r="A468" s="35" t="n">
        <v>467</v>
      </c>
      <c r="B468" s="35" t="s">
        <v>1474</v>
      </c>
      <c r="C468" s="35" t="s">
        <v>2197</v>
      </c>
      <c r="D468" s="35" t="s">
        <v>1473</v>
      </c>
      <c r="E468" s="35" t="s">
        <v>1475</v>
      </c>
      <c r="F468" s="40" t="n">
        <v>21.9276198700961</v>
      </c>
      <c r="G468" s="36" t="n">
        <v>5754.7657354615</v>
      </c>
      <c r="H468" s="36" t="n">
        <v>468.407708394351</v>
      </c>
      <c r="I468" s="6" t="s">
        <v>21</v>
      </c>
      <c r="J468" s="35" t="s">
        <v>283</v>
      </c>
      <c r="K468" s="35" t="s">
        <v>487</v>
      </c>
      <c r="L468" s="35" t="n">
        <v>78</v>
      </c>
      <c r="M468" s="35" t="s">
        <v>230</v>
      </c>
      <c r="N468" s="35" t="s">
        <v>1674</v>
      </c>
      <c r="O468" s="35" t="s">
        <v>231</v>
      </c>
      <c r="P468" s="35" t="s">
        <v>50</v>
      </c>
      <c r="Q468" s="35" t="n">
        <v>0</v>
      </c>
      <c r="R468" s="35"/>
      <c r="S468" s="35" t="s">
        <v>40</v>
      </c>
      <c r="T468" s="35" t="s">
        <v>41</v>
      </c>
      <c r="U468" s="35" t="s">
        <v>43</v>
      </c>
      <c r="V468" s="35" t="s">
        <v>230</v>
      </c>
      <c r="W468" s="35"/>
      <c r="X468" s="35" t="s">
        <v>2111</v>
      </c>
      <c r="Y468" s="35" t="n">
        <v>-7.1884575</v>
      </c>
      <c r="Z468" s="35" t="n">
        <v>-48.210944</v>
      </c>
      <c r="AA468" s="49" t="s">
        <v>1603</v>
      </c>
      <c r="AB468" s="35" t="s">
        <v>2112</v>
      </c>
    </row>
    <row r="469" customFormat="false" ht="15" hidden="false" customHeight="false" outlineLevel="0" collapsed="false">
      <c r="A469" s="35" t="n">
        <v>468</v>
      </c>
      <c r="B469" s="35" t="s">
        <v>1476</v>
      </c>
      <c r="C469" s="35" t="s">
        <v>2198</v>
      </c>
      <c r="D469" s="35" t="s">
        <v>1473</v>
      </c>
      <c r="E469" s="35" t="s">
        <v>1477</v>
      </c>
      <c r="F469" s="40" t="n">
        <v>0.894752792444758</v>
      </c>
      <c r="G469" s="36" t="n">
        <v>5733.73286838385</v>
      </c>
      <c r="H469" s="36" t="n">
        <v>447.3748413167</v>
      </c>
      <c r="I469" s="6" t="s">
        <v>21</v>
      </c>
      <c r="J469" s="35" t="s">
        <v>283</v>
      </c>
      <c r="K469" s="35" t="s">
        <v>487</v>
      </c>
      <c r="L469" s="35" t="n">
        <v>78</v>
      </c>
      <c r="M469" s="35" t="s">
        <v>230</v>
      </c>
      <c r="N469" s="35" t="s">
        <v>1674</v>
      </c>
      <c r="O469" s="35" t="s">
        <v>231</v>
      </c>
      <c r="P469" s="35" t="s">
        <v>253</v>
      </c>
      <c r="Q469" s="35" t="n">
        <v>1</v>
      </c>
      <c r="R469" s="35"/>
      <c r="S469" s="35" t="s">
        <v>40</v>
      </c>
      <c r="T469" s="35" t="s">
        <v>41</v>
      </c>
      <c r="U469" s="35" t="s">
        <v>43</v>
      </c>
      <c r="V469" s="35" t="s">
        <v>230</v>
      </c>
      <c r="W469" s="35"/>
      <c r="X469" s="35" t="s">
        <v>2111</v>
      </c>
      <c r="Y469" s="35" t="n">
        <v>-7.1884865</v>
      </c>
      <c r="Z469" s="35" t="n">
        <v>-48.21085</v>
      </c>
      <c r="AA469" s="49" t="s">
        <v>1603</v>
      </c>
      <c r="AB469" s="35" t="s">
        <v>2112</v>
      </c>
    </row>
    <row r="470" customFormat="false" ht="15" hidden="false" customHeight="false" outlineLevel="0" collapsed="false">
      <c r="A470" s="35" t="n">
        <v>469</v>
      </c>
      <c r="B470" s="35" t="s">
        <v>1478</v>
      </c>
      <c r="C470" s="35" t="s">
        <v>2199</v>
      </c>
      <c r="D470" s="35" t="s">
        <v>1471</v>
      </c>
      <c r="E470" s="35" t="s">
        <v>1479</v>
      </c>
      <c r="F470" s="40" t="n">
        <v>0.222389853107463</v>
      </c>
      <c r="G470" s="36" t="n">
        <v>5697.18185542342</v>
      </c>
      <c r="H470" s="36" t="n">
        <v>410.823828356276</v>
      </c>
      <c r="I470" s="6" t="s">
        <v>21</v>
      </c>
      <c r="J470" s="35" t="s">
        <v>283</v>
      </c>
      <c r="K470" s="35" t="s">
        <v>487</v>
      </c>
      <c r="L470" s="35" t="n">
        <v>78</v>
      </c>
      <c r="M470" s="35" t="s">
        <v>230</v>
      </c>
      <c r="N470" s="35" t="s">
        <v>1674</v>
      </c>
      <c r="O470" s="35" t="s">
        <v>231</v>
      </c>
      <c r="P470" s="35" t="s">
        <v>255</v>
      </c>
      <c r="Q470" s="35" t="n">
        <v>1</v>
      </c>
      <c r="R470" s="35"/>
      <c r="S470" s="35" t="s">
        <v>40</v>
      </c>
      <c r="T470" s="35" t="s">
        <v>41</v>
      </c>
      <c r="U470" s="35" t="s">
        <v>43</v>
      </c>
      <c r="V470" s="35" t="s">
        <v>230</v>
      </c>
      <c r="W470" s="35"/>
      <c r="X470" s="35" t="s">
        <v>2111</v>
      </c>
      <c r="Y470" s="35" t="n">
        <v>-7.188596</v>
      </c>
      <c r="Z470" s="35" t="n">
        <v>-48.210543</v>
      </c>
      <c r="AA470" s="49" t="s">
        <v>1603</v>
      </c>
      <c r="AB470" s="35" t="s">
        <v>2112</v>
      </c>
    </row>
    <row r="471" customFormat="false" ht="15" hidden="false" customHeight="false" outlineLevel="0" collapsed="false">
      <c r="A471" s="35" t="n">
        <v>470</v>
      </c>
      <c r="B471" s="35" t="s">
        <v>1480</v>
      </c>
      <c r="C471" s="35" t="s">
        <v>2200</v>
      </c>
      <c r="D471" s="35" t="s">
        <v>1465</v>
      </c>
      <c r="E471" s="35" t="s">
        <v>1481</v>
      </c>
      <c r="F471" s="40" t="n">
        <v>1.64716425735826</v>
      </c>
      <c r="G471" s="36" t="n">
        <v>5597.58639536251</v>
      </c>
      <c r="H471" s="36" t="n">
        <v>311.228368295362</v>
      </c>
      <c r="I471" s="6" t="s">
        <v>21</v>
      </c>
      <c r="J471" s="35" t="s">
        <v>283</v>
      </c>
      <c r="K471" s="35" t="s">
        <v>487</v>
      </c>
      <c r="L471" s="35" t="n">
        <v>78</v>
      </c>
      <c r="M471" s="35" t="s">
        <v>230</v>
      </c>
      <c r="N471" s="35" t="s">
        <v>1674</v>
      </c>
      <c r="O471" s="35" t="s">
        <v>231</v>
      </c>
      <c r="P471" s="35" t="s">
        <v>257</v>
      </c>
      <c r="Q471" s="35" t="n">
        <v>1</v>
      </c>
      <c r="R471" s="35"/>
      <c r="S471" s="35" t="s">
        <v>40</v>
      </c>
      <c r="T471" s="35" t="s">
        <v>41</v>
      </c>
      <c r="U471" s="35" t="s">
        <v>43</v>
      </c>
      <c r="V471" s="35" t="s">
        <v>230</v>
      </c>
      <c r="W471" s="35"/>
      <c r="X471" s="35" t="s">
        <v>2111</v>
      </c>
      <c r="Y471" s="35" t="n">
        <v>-7.1888895</v>
      </c>
      <c r="Z471" s="35" t="n">
        <v>-48.20968</v>
      </c>
      <c r="AA471" s="49" t="s">
        <v>1603</v>
      </c>
      <c r="AB471" s="35" t="s">
        <v>2112</v>
      </c>
    </row>
    <row r="472" customFormat="false" ht="15" hidden="false" customHeight="false" outlineLevel="0" collapsed="false">
      <c r="A472" s="35" t="n">
        <v>471</v>
      </c>
      <c r="B472" s="35" t="s">
        <v>1482</v>
      </c>
      <c r="C472" s="35" t="s">
        <v>2201</v>
      </c>
      <c r="D472" s="35" t="s">
        <v>1481</v>
      </c>
      <c r="E472" s="35" t="s">
        <v>1483</v>
      </c>
      <c r="F472" s="40" t="n">
        <v>0.949132287293016</v>
      </c>
      <c r="G472" s="36" t="n">
        <v>5598.5355276498</v>
      </c>
      <c r="H472" s="36" t="n">
        <v>312.177500582655</v>
      </c>
      <c r="I472" s="6" t="s">
        <v>21</v>
      </c>
      <c r="J472" s="35" t="s">
        <v>283</v>
      </c>
      <c r="K472" s="35" t="s">
        <v>487</v>
      </c>
      <c r="L472" s="35" t="n">
        <v>78</v>
      </c>
      <c r="M472" s="35" t="s">
        <v>230</v>
      </c>
      <c r="N472" s="35" t="s">
        <v>1674</v>
      </c>
      <c r="O472" s="35" t="s">
        <v>231</v>
      </c>
      <c r="P472" s="35" t="s">
        <v>257</v>
      </c>
      <c r="Q472" s="35" t="n">
        <v>1</v>
      </c>
      <c r="R472" s="35"/>
      <c r="S472" s="35" t="s">
        <v>40</v>
      </c>
      <c r="T472" s="35" t="s">
        <v>41</v>
      </c>
      <c r="U472" s="35" t="s">
        <v>43</v>
      </c>
      <c r="V472" s="35" t="s">
        <v>230</v>
      </c>
      <c r="W472" s="35"/>
      <c r="X472" s="35" t="s">
        <v>2111</v>
      </c>
      <c r="Y472" s="35" t="n">
        <v>-7.188899</v>
      </c>
      <c r="Z472" s="35" t="n">
        <v>-48.2096865</v>
      </c>
      <c r="AA472" s="49" t="s">
        <v>1603</v>
      </c>
      <c r="AB472" s="35" t="s">
        <v>2112</v>
      </c>
    </row>
    <row r="473" customFormat="false" ht="15" hidden="false" customHeight="false" outlineLevel="0" collapsed="false">
      <c r="A473" s="35" t="n">
        <v>472</v>
      </c>
      <c r="B473" s="35" t="s">
        <v>1484</v>
      </c>
      <c r="C473" s="35" t="s">
        <v>2202</v>
      </c>
      <c r="D473" s="35" t="s">
        <v>1342</v>
      </c>
      <c r="E473" s="35" t="s">
        <v>1485</v>
      </c>
      <c r="F473" s="40" t="n">
        <v>43.35234134183</v>
      </c>
      <c r="G473" s="36" t="n">
        <v>5593.44800801856</v>
      </c>
      <c r="H473" s="36" t="n">
        <v>307.089980951413</v>
      </c>
      <c r="I473" s="6" t="s">
        <v>21</v>
      </c>
      <c r="J473" s="35" t="s">
        <v>283</v>
      </c>
      <c r="K473" s="35" t="s">
        <v>487</v>
      </c>
      <c r="L473" s="35" t="n">
        <v>78</v>
      </c>
      <c r="M473" s="35" t="s">
        <v>230</v>
      </c>
      <c r="N473" s="35" t="s">
        <v>1674</v>
      </c>
      <c r="O473" s="35" t="s">
        <v>231</v>
      </c>
      <c r="P473" s="35" t="s">
        <v>50</v>
      </c>
      <c r="Q473" s="35" t="n">
        <v>0</v>
      </c>
      <c r="R473" s="35"/>
      <c r="S473" s="35" t="s">
        <v>40</v>
      </c>
      <c r="T473" s="35" t="s">
        <v>41</v>
      </c>
      <c r="U473" s="35" t="s">
        <v>43</v>
      </c>
      <c r="V473" s="35" t="s">
        <v>230</v>
      </c>
      <c r="W473" s="35"/>
      <c r="X473" s="35" t="s">
        <v>2111</v>
      </c>
      <c r="Y473" s="35" t="n">
        <v>-7.188828</v>
      </c>
      <c r="Z473" s="35" t="n">
        <v>-48.2092255</v>
      </c>
      <c r="AA473" s="49" t="s">
        <v>1603</v>
      </c>
      <c r="AB473" s="35" t="s">
        <v>2112</v>
      </c>
    </row>
    <row r="474" customFormat="false" ht="15" hidden="false" customHeight="false" outlineLevel="0" collapsed="false">
      <c r="A474" s="35" t="n">
        <v>473</v>
      </c>
      <c r="B474" s="35" t="s">
        <v>1486</v>
      </c>
      <c r="C474" s="35" t="s">
        <v>2203</v>
      </c>
      <c r="D474" s="35" t="s">
        <v>1335</v>
      </c>
      <c r="E474" s="35" t="s">
        <v>1487</v>
      </c>
      <c r="F474" s="40" t="n">
        <v>1.0540613346973</v>
      </c>
      <c r="G474" s="36" t="n">
        <v>5520.77073745511</v>
      </c>
      <c r="H474" s="36" t="n">
        <v>234.412710387967</v>
      </c>
      <c r="I474" s="6" t="s">
        <v>21</v>
      </c>
      <c r="J474" s="35" t="s">
        <v>283</v>
      </c>
      <c r="K474" s="35" t="s">
        <v>487</v>
      </c>
      <c r="L474" s="35" t="n">
        <v>78</v>
      </c>
      <c r="M474" s="35" t="s">
        <v>230</v>
      </c>
      <c r="N474" s="35" t="s">
        <v>1674</v>
      </c>
      <c r="O474" s="35" t="s">
        <v>231</v>
      </c>
      <c r="P474" s="35" t="s">
        <v>259</v>
      </c>
      <c r="Q474" s="35" t="n">
        <v>1</v>
      </c>
      <c r="R474" s="35"/>
      <c r="S474" s="35" t="s">
        <v>40</v>
      </c>
      <c r="T474" s="35" t="s">
        <v>41</v>
      </c>
      <c r="U474" s="35" t="s">
        <v>43</v>
      </c>
      <c r="V474" s="35" t="s">
        <v>230</v>
      </c>
      <c r="W474" s="35"/>
      <c r="X474" s="35" t="s">
        <v>2111</v>
      </c>
      <c r="Y474" s="35" t="n">
        <v>-7.1891065</v>
      </c>
      <c r="Z474" s="35" t="n">
        <v>-48.2090215</v>
      </c>
      <c r="AA474" s="49" t="s">
        <v>1603</v>
      </c>
      <c r="AB474" s="35" t="s">
        <v>2112</v>
      </c>
    </row>
    <row r="475" customFormat="false" ht="15" hidden="false" customHeight="false" outlineLevel="0" collapsed="false">
      <c r="A475" s="35" t="n">
        <v>474</v>
      </c>
      <c r="B475" s="35" t="s">
        <v>1488</v>
      </c>
      <c r="C475" s="35" t="s">
        <v>2204</v>
      </c>
      <c r="D475" s="35" t="s">
        <v>1333</v>
      </c>
      <c r="E475" s="35" t="s">
        <v>1489</v>
      </c>
      <c r="F475" s="40" t="n">
        <v>8.43267657437755</v>
      </c>
      <c r="G475" s="36" t="n">
        <v>5423.03326602703</v>
      </c>
      <c r="H475" s="36" t="n">
        <v>136.675238959889</v>
      </c>
      <c r="I475" s="6" t="s">
        <v>21</v>
      </c>
      <c r="J475" s="35" t="s">
        <v>283</v>
      </c>
      <c r="K475" s="35" t="s">
        <v>487</v>
      </c>
      <c r="L475" s="35" t="n">
        <v>78</v>
      </c>
      <c r="M475" s="35" t="s">
        <v>230</v>
      </c>
      <c r="N475" s="35" t="s">
        <v>1674</v>
      </c>
      <c r="O475" s="35" t="s">
        <v>231</v>
      </c>
      <c r="P475" s="35" t="s">
        <v>50</v>
      </c>
      <c r="Q475" s="35" t="n">
        <v>0</v>
      </c>
      <c r="R475" s="35"/>
      <c r="S475" s="35" t="s">
        <v>40</v>
      </c>
      <c r="T475" s="35" t="s">
        <v>41</v>
      </c>
      <c r="U475" s="35" t="s">
        <v>43</v>
      </c>
      <c r="V475" s="35" t="s">
        <v>230</v>
      </c>
      <c r="W475" s="35"/>
      <c r="X475" s="35" t="s">
        <v>2111</v>
      </c>
      <c r="Y475" s="35" t="n">
        <v>-7.1893885</v>
      </c>
      <c r="Z475" s="35" t="n">
        <v>-48.208072</v>
      </c>
      <c r="AA475" s="49" t="s">
        <v>1603</v>
      </c>
      <c r="AB475" s="35" t="s">
        <v>2112</v>
      </c>
    </row>
    <row r="476" customFormat="false" ht="15" hidden="false" customHeight="false" outlineLevel="0" collapsed="false">
      <c r="A476" s="35" t="n">
        <v>475</v>
      </c>
      <c r="B476" s="35" t="s">
        <v>1490</v>
      </c>
      <c r="C476" s="35" t="s">
        <v>2205</v>
      </c>
      <c r="D476" s="35" t="s">
        <v>1333</v>
      </c>
      <c r="E476" s="35" t="s">
        <v>1491</v>
      </c>
      <c r="F476" s="40" t="n">
        <v>2.91661050831304</v>
      </c>
      <c r="G476" s="36" t="n">
        <v>5417.51719996097</v>
      </c>
      <c r="H476" s="36" t="n">
        <v>131.159172893825</v>
      </c>
      <c r="I476" s="6" t="s">
        <v>21</v>
      </c>
      <c r="J476" s="35" t="s">
        <v>283</v>
      </c>
      <c r="K476" s="35" t="s">
        <v>487</v>
      </c>
      <c r="L476" s="35" t="n">
        <v>78</v>
      </c>
      <c r="M476" s="35" t="s">
        <v>230</v>
      </c>
      <c r="N476" s="35" t="s">
        <v>1674</v>
      </c>
      <c r="O476" s="35" t="s">
        <v>231</v>
      </c>
      <c r="P476" s="35" t="s">
        <v>261</v>
      </c>
      <c r="Q476" s="35" t="n">
        <v>1</v>
      </c>
      <c r="R476" s="35"/>
      <c r="S476" s="35" t="s">
        <v>40</v>
      </c>
      <c r="T476" s="35" t="s">
        <v>41</v>
      </c>
      <c r="U476" s="35" t="s">
        <v>43</v>
      </c>
      <c r="V476" s="35" t="s">
        <v>230</v>
      </c>
      <c r="W476" s="35"/>
      <c r="X476" s="35" t="s">
        <v>2111</v>
      </c>
      <c r="Y476" s="35" t="n">
        <v>-7.1893915</v>
      </c>
      <c r="Z476" s="35" t="n">
        <v>-48.208113</v>
      </c>
      <c r="AA476" s="49" t="s">
        <v>1603</v>
      </c>
      <c r="AB476" s="35" t="s">
        <v>2112</v>
      </c>
    </row>
    <row r="477" customFormat="false" ht="15" hidden="false" customHeight="false" outlineLevel="0" collapsed="false">
      <c r="A477" s="35" t="n">
        <v>476</v>
      </c>
      <c r="B477" s="35" t="s">
        <v>1492</v>
      </c>
      <c r="C477" s="35" t="s">
        <v>2206</v>
      </c>
      <c r="D477" s="35" t="s">
        <v>1491</v>
      </c>
      <c r="E477" s="35" t="s">
        <v>1493</v>
      </c>
      <c r="F477" s="40" t="n">
        <v>3.4506234920786</v>
      </c>
      <c r="G477" s="36" t="n">
        <v>5420.96782345305</v>
      </c>
      <c r="H477" s="36" t="n">
        <v>134.609796385903</v>
      </c>
      <c r="I477" s="6" t="s">
        <v>21</v>
      </c>
      <c r="J477" s="35" t="s">
        <v>283</v>
      </c>
      <c r="K477" s="35" t="s">
        <v>487</v>
      </c>
      <c r="L477" s="35" t="n">
        <v>78</v>
      </c>
      <c r="M477" s="35" t="s">
        <v>230</v>
      </c>
      <c r="N477" s="35" t="s">
        <v>1674</v>
      </c>
      <c r="O477" s="35" t="s">
        <v>231</v>
      </c>
      <c r="P477" s="35" t="s">
        <v>261</v>
      </c>
      <c r="Q477" s="35" t="n">
        <v>1</v>
      </c>
      <c r="R477" s="35"/>
      <c r="S477" s="35" t="s">
        <v>40</v>
      </c>
      <c r="T477" s="35" t="s">
        <v>41</v>
      </c>
      <c r="U477" s="35" t="s">
        <v>43</v>
      </c>
      <c r="V477" s="35" t="s">
        <v>230</v>
      </c>
      <c r="W477" s="35"/>
      <c r="X477" s="35" t="s">
        <v>2111</v>
      </c>
      <c r="Y477" s="35" t="n">
        <v>-7.189419</v>
      </c>
      <c r="Z477" s="35" t="n">
        <v>-48.208121</v>
      </c>
      <c r="AA477" s="49" t="s">
        <v>1603</v>
      </c>
      <c r="AB477" s="35" t="s">
        <v>2112</v>
      </c>
    </row>
    <row r="478" customFormat="false" ht="15" hidden="false" customHeight="false" outlineLevel="0" collapsed="false">
      <c r="A478" s="35" t="n">
        <v>477</v>
      </c>
      <c r="B478" s="35" t="s">
        <v>1494</v>
      </c>
      <c r="C478" s="35" t="s">
        <v>2207</v>
      </c>
      <c r="D478" s="35" t="s">
        <v>1493</v>
      </c>
      <c r="E478" s="35" t="s">
        <v>1495</v>
      </c>
      <c r="F478" s="40" t="n">
        <v>11.4637750033534</v>
      </c>
      <c r="G478" s="36" t="n">
        <v>5432.4315984564</v>
      </c>
      <c r="H478" s="36" t="n">
        <v>146.073571389256</v>
      </c>
      <c r="I478" s="6" t="s">
        <v>21</v>
      </c>
      <c r="J478" s="35" t="s">
        <v>283</v>
      </c>
      <c r="K478" s="35" t="s">
        <v>487</v>
      </c>
      <c r="L478" s="35" t="n">
        <v>78</v>
      </c>
      <c r="M478" s="35" t="s">
        <v>230</v>
      </c>
      <c r="N478" s="35" t="s">
        <v>1674</v>
      </c>
      <c r="O478" s="35" t="s">
        <v>231</v>
      </c>
      <c r="P478" s="35" t="s">
        <v>261</v>
      </c>
      <c r="Q478" s="35" t="n">
        <v>1</v>
      </c>
      <c r="R478" s="35"/>
      <c r="S478" s="35" t="s">
        <v>40</v>
      </c>
      <c r="T478" s="35" t="s">
        <v>41</v>
      </c>
      <c r="U478" s="35" t="s">
        <v>43</v>
      </c>
      <c r="V478" s="35" t="s">
        <v>230</v>
      </c>
      <c r="W478" s="35"/>
      <c r="X478" s="35" t="s">
        <v>2111</v>
      </c>
      <c r="Y478" s="35" t="n">
        <v>-7.1894835</v>
      </c>
      <c r="Z478" s="35" t="n">
        <v>-48.2081395</v>
      </c>
      <c r="AA478" s="49" t="s">
        <v>1603</v>
      </c>
      <c r="AB478" s="35" t="s">
        <v>2112</v>
      </c>
    </row>
    <row r="479" customFormat="false" ht="15" hidden="false" customHeight="false" outlineLevel="0" collapsed="false">
      <c r="A479" s="35" t="n">
        <v>478</v>
      </c>
      <c r="B479" s="35" t="s">
        <v>1496</v>
      </c>
      <c r="C479" s="35" t="s">
        <v>2208</v>
      </c>
      <c r="D479" s="35" t="s">
        <v>1495</v>
      </c>
      <c r="E479" s="35" t="s">
        <v>1497</v>
      </c>
      <c r="F479" s="40" t="n">
        <v>11.3264573733896</v>
      </c>
      <c r="G479" s="36" t="n">
        <v>5443.75805582979</v>
      </c>
      <c r="H479" s="36" t="n">
        <v>157.400028762646</v>
      </c>
      <c r="I479" s="6" t="s">
        <v>21</v>
      </c>
      <c r="J479" s="35" t="s">
        <v>283</v>
      </c>
      <c r="K479" s="35" t="s">
        <v>487</v>
      </c>
      <c r="L479" s="35" t="n">
        <v>78</v>
      </c>
      <c r="M479" s="35" t="s">
        <v>230</v>
      </c>
      <c r="N479" s="35" t="s">
        <v>1674</v>
      </c>
      <c r="O479" s="35" t="s">
        <v>231</v>
      </c>
      <c r="P479" s="35" t="s">
        <v>50</v>
      </c>
      <c r="Q479" s="35" t="n">
        <v>0</v>
      </c>
      <c r="R479" s="35"/>
      <c r="S479" s="35" t="s">
        <v>40</v>
      </c>
      <c r="T479" s="35" t="s">
        <v>41</v>
      </c>
      <c r="U479" s="35" t="s">
        <v>43</v>
      </c>
      <c r="V479" s="35" t="s">
        <v>230</v>
      </c>
      <c r="W479" s="35"/>
      <c r="X479" s="35" t="s">
        <v>2111</v>
      </c>
      <c r="Y479" s="35" t="n">
        <v>-7.189582</v>
      </c>
      <c r="Z479" s="35" t="n">
        <v>-48.208168</v>
      </c>
      <c r="AA479" s="49" t="s">
        <v>1603</v>
      </c>
      <c r="AB479" s="35" t="s">
        <v>2112</v>
      </c>
    </row>
    <row r="480" customFormat="false" ht="15" hidden="false" customHeight="false" outlineLevel="0" collapsed="false">
      <c r="A480" s="35" t="n">
        <v>479</v>
      </c>
      <c r="B480" s="35" t="s">
        <v>1498</v>
      </c>
      <c r="C480" s="35" t="s">
        <v>2209</v>
      </c>
      <c r="D480" s="35" t="s">
        <v>1497</v>
      </c>
      <c r="E480" s="35" t="s">
        <v>1499</v>
      </c>
      <c r="F480" s="40" t="n">
        <v>9.1435189584076</v>
      </c>
      <c r="G480" s="36" t="n">
        <v>5452.9015747882</v>
      </c>
      <c r="H480" s="36" t="n">
        <v>166.543547721053</v>
      </c>
      <c r="I480" s="6" t="s">
        <v>21</v>
      </c>
      <c r="J480" s="35" t="s">
        <v>283</v>
      </c>
      <c r="K480" s="35" t="s">
        <v>487</v>
      </c>
      <c r="L480" s="35" t="n">
        <v>78</v>
      </c>
      <c r="M480" s="35" t="s">
        <v>230</v>
      </c>
      <c r="N480" s="35" t="s">
        <v>1674</v>
      </c>
      <c r="O480" s="35" t="s">
        <v>231</v>
      </c>
      <c r="P480" s="35" t="s">
        <v>50</v>
      </c>
      <c r="Q480" s="35" t="n">
        <v>0</v>
      </c>
      <c r="R480" s="35"/>
      <c r="S480" s="35" t="s">
        <v>40</v>
      </c>
      <c r="T480" s="35" t="s">
        <v>41</v>
      </c>
      <c r="U480" s="35" t="s">
        <v>43</v>
      </c>
      <c r="V480" s="35" t="s">
        <v>230</v>
      </c>
      <c r="W480" s="35"/>
      <c r="X480" s="35" t="s">
        <v>2111</v>
      </c>
      <c r="Y480" s="35" t="n">
        <v>-7.1896705</v>
      </c>
      <c r="Z480" s="35" t="n">
        <v>-48.2081935</v>
      </c>
      <c r="AA480" s="49" t="s">
        <v>1603</v>
      </c>
      <c r="AB480" s="35" t="s">
        <v>2112</v>
      </c>
    </row>
    <row r="481" customFormat="false" ht="15" hidden="false" customHeight="false" outlineLevel="0" collapsed="false">
      <c r="A481" s="35" t="n">
        <v>480</v>
      </c>
      <c r="B481" s="35" t="s">
        <v>1500</v>
      </c>
      <c r="C481" s="35" t="s">
        <v>2210</v>
      </c>
      <c r="D481" s="35" t="s">
        <v>1499</v>
      </c>
      <c r="E481" s="35" t="s">
        <v>1501</v>
      </c>
      <c r="F481" s="40" t="n">
        <v>4.65583571716799</v>
      </c>
      <c r="G481" s="36" t="n">
        <v>5457.55741050537</v>
      </c>
      <c r="H481" s="36" t="n">
        <v>171.199383438221</v>
      </c>
      <c r="I481" s="6" t="s">
        <v>21</v>
      </c>
      <c r="J481" s="35" t="s">
        <v>283</v>
      </c>
      <c r="K481" s="35" t="s">
        <v>487</v>
      </c>
      <c r="L481" s="35" t="n">
        <v>78</v>
      </c>
      <c r="M481" s="35" t="s">
        <v>230</v>
      </c>
      <c r="N481" s="35" t="s">
        <v>1674</v>
      </c>
      <c r="O481" s="35" t="s">
        <v>231</v>
      </c>
      <c r="P481" s="35" t="s">
        <v>50</v>
      </c>
      <c r="Q481" s="35" t="n">
        <v>0</v>
      </c>
      <c r="R481" s="35"/>
      <c r="S481" s="35" t="s">
        <v>40</v>
      </c>
      <c r="T481" s="35" t="s">
        <v>41</v>
      </c>
      <c r="U481" s="35" t="s">
        <v>43</v>
      </c>
      <c r="V481" s="35" t="s">
        <v>230</v>
      </c>
      <c r="W481" s="35"/>
      <c r="X481" s="35" t="s">
        <v>2111</v>
      </c>
      <c r="Y481" s="35" t="n">
        <v>-7.189718</v>
      </c>
      <c r="Z481" s="35" t="n">
        <v>-48.2082245</v>
      </c>
      <c r="AA481" s="49" t="s">
        <v>1603</v>
      </c>
      <c r="AB481" s="35" t="s">
        <v>2112</v>
      </c>
    </row>
    <row r="482" customFormat="false" ht="15" hidden="false" customHeight="false" outlineLevel="0" collapsed="false">
      <c r="A482" s="35" t="n">
        <v>481</v>
      </c>
      <c r="B482" s="35" t="s">
        <v>1502</v>
      </c>
      <c r="C482" s="35" t="s">
        <v>2211</v>
      </c>
      <c r="D482" s="35" t="s">
        <v>1499</v>
      </c>
      <c r="E482" s="35" t="s">
        <v>1503</v>
      </c>
      <c r="F482" s="40" t="n">
        <v>0.351353732124142</v>
      </c>
      <c r="G482" s="36" t="n">
        <v>5453.25292852032</v>
      </c>
      <c r="H482" s="36" t="n">
        <v>166.894901453177</v>
      </c>
      <c r="I482" s="6" t="s">
        <v>21</v>
      </c>
      <c r="J482" s="35" t="s">
        <v>283</v>
      </c>
      <c r="K482" s="35" t="s">
        <v>487</v>
      </c>
      <c r="L482" s="35" t="n">
        <v>78</v>
      </c>
      <c r="M482" s="35" t="s">
        <v>230</v>
      </c>
      <c r="N482" s="35" t="s">
        <v>1674</v>
      </c>
      <c r="O482" s="35" t="s">
        <v>231</v>
      </c>
      <c r="P482" s="35" t="s">
        <v>50</v>
      </c>
      <c r="Q482" s="35" t="n">
        <v>0</v>
      </c>
      <c r="R482" s="35"/>
      <c r="S482" s="35" t="s">
        <v>40</v>
      </c>
      <c r="T482" s="35" t="s">
        <v>41</v>
      </c>
      <c r="U482" s="35" t="s">
        <v>43</v>
      </c>
      <c r="V482" s="35" t="s">
        <v>230</v>
      </c>
      <c r="W482" s="35"/>
      <c r="X482" s="35" t="s">
        <v>2111</v>
      </c>
      <c r="Y482" s="35" t="n">
        <v>-7.1897115</v>
      </c>
      <c r="Z482" s="35" t="n">
        <v>-48.2082045</v>
      </c>
      <c r="AA482" s="49" t="s">
        <v>1603</v>
      </c>
      <c r="AB482" s="35" t="s">
        <v>2112</v>
      </c>
    </row>
    <row r="483" customFormat="false" ht="15" hidden="false" customHeight="false" outlineLevel="0" collapsed="false">
      <c r="A483" s="35" t="n">
        <v>482</v>
      </c>
      <c r="B483" s="35" t="s">
        <v>1504</v>
      </c>
      <c r="C483" s="35" t="s">
        <v>2212</v>
      </c>
      <c r="D483" s="35" t="s">
        <v>1503</v>
      </c>
      <c r="E483" s="35" t="s">
        <v>1505</v>
      </c>
      <c r="F483" s="40" t="n">
        <v>2.78152815683998</v>
      </c>
      <c r="G483" s="36" t="n">
        <v>5456.03445667716</v>
      </c>
      <c r="H483" s="36" t="n">
        <v>169.676429610017</v>
      </c>
      <c r="I483" s="6" t="s">
        <v>21</v>
      </c>
      <c r="J483" s="35" t="s">
        <v>283</v>
      </c>
      <c r="K483" s="35" t="s">
        <v>487</v>
      </c>
      <c r="L483" s="35" t="n">
        <v>78</v>
      </c>
      <c r="M483" s="35" t="s">
        <v>230</v>
      </c>
      <c r="N483" s="35" t="s">
        <v>1674</v>
      </c>
      <c r="O483" s="35" t="s">
        <v>231</v>
      </c>
      <c r="P483" s="35" t="s">
        <v>50</v>
      </c>
      <c r="Q483" s="35" t="n">
        <v>0</v>
      </c>
      <c r="R483" s="35"/>
      <c r="S483" s="35" t="s">
        <v>40</v>
      </c>
      <c r="T483" s="35" t="s">
        <v>41</v>
      </c>
      <c r="U483" s="35" t="s">
        <v>43</v>
      </c>
      <c r="V483" s="35" t="s">
        <v>230</v>
      </c>
      <c r="W483" s="35"/>
      <c r="X483" s="35" t="s">
        <v>2111</v>
      </c>
      <c r="Y483" s="35" t="n">
        <v>-7.189724</v>
      </c>
      <c r="Z483" s="35" t="n">
        <v>-48.208198</v>
      </c>
      <c r="AA483" s="49" t="s">
        <v>1603</v>
      </c>
      <c r="AB483" s="35" t="s">
        <v>2112</v>
      </c>
    </row>
    <row r="484" customFormat="false" ht="15" hidden="false" customHeight="false" outlineLevel="0" collapsed="false">
      <c r="A484" s="35" t="n">
        <v>483</v>
      </c>
      <c r="B484" s="35" t="s">
        <v>1506</v>
      </c>
      <c r="C484" s="35" t="s">
        <v>2213</v>
      </c>
      <c r="D484" s="35" t="s">
        <v>1495</v>
      </c>
      <c r="E484" s="35" t="s">
        <v>1507</v>
      </c>
      <c r="F484" s="40" t="n">
        <v>1.02176056550597</v>
      </c>
      <c r="G484" s="36" t="n">
        <v>5433.45335902191</v>
      </c>
      <c r="H484" s="36" t="n">
        <v>147.095331954763</v>
      </c>
      <c r="I484" s="6" t="s">
        <v>21</v>
      </c>
      <c r="J484" s="35" t="s">
        <v>283</v>
      </c>
      <c r="K484" s="35" t="s">
        <v>487</v>
      </c>
      <c r="L484" s="35" t="n">
        <v>78</v>
      </c>
      <c r="M484" s="35" t="s">
        <v>230</v>
      </c>
      <c r="N484" s="35" t="s">
        <v>1674</v>
      </c>
      <c r="O484" s="35" t="s">
        <v>231</v>
      </c>
      <c r="P484" s="35" t="s">
        <v>261</v>
      </c>
      <c r="Q484" s="35" t="n">
        <v>1</v>
      </c>
      <c r="R484" s="35"/>
      <c r="S484" s="35" t="s">
        <v>40</v>
      </c>
      <c r="T484" s="35" t="s">
        <v>41</v>
      </c>
      <c r="U484" s="35" t="s">
        <v>43</v>
      </c>
      <c r="V484" s="35" t="s">
        <v>230</v>
      </c>
      <c r="W484" s="35"/>
      <c r="X484" s="35" t="s">
        <v>2111</v>
      </c>
      <c r="Y484" s="35" t="n">
        <v>-7.1895295</v>
      </c>
      <c r="Z484" s="35" t="n">
        <v>-48.208157</v>
      </c>
      <c r="AA484" s="49" t="s">
        <v>1603</v>
      </c>
      <c r="AB484" s="35" t="s">
        <v>2112</v>
      </c>
    </row>
    <row r="485" customFormat="false" ht="15" hidden="false" customHeight="false" outlineLevel="0" collapsed="false">
      <c r="A485" s="35" t="n">
        <v>484</v>
      </c>
      <c r="B485" s="35" t="s">
        <v>1508</v>
      </c>
      <c r="C485" s="35" t="s">
        <v>2214</v>
      </c>
      <c r="D485" s="35" t="s">
        <v>1329</v>
      </c>
      <c r="E485" s="35" t="s">
        <v>1509</v>
      </c>
      <c r="F485" s="40" t="n">
        <v>4.10209637035242</v>
      </c>
      <c r="G485" s="36" t="n">
        <v>5295.71545460411</v>
      </c>
      <c r="H485" s="36" t="n">
        <v>9.35742753696195</v>
      </c>
      <c r="I485" s="6" t="s">
        <v>21</v>
      </c>
      <c r="J485" s="35" t="s">
        <v>283</v>
      </c>
      <c r="K485" s="35" t="s">
        <v>487</v>
      </c>
      <c r="L485" s="35" t="n">
        <v>78</v>
      </c>
      <c r="M485" s="35" t="s">
        <v>230</v>
      </c>
      <c r="N485" s="35" t="s">
        <v>1674</v>
      </c>
      <c r="O485" s="35" t="s">
        <v>231</v>
      </c>
      <c r="P485" s="35" t="s">
        <v>50</v>
      </c>
      <c r="Q485" s="35" t="n">
        <v>0</v>
      </c>
      <c r="R485" s="35"/>
      <c r="S485" s="35" t="s">
        <v>40</v>
      </c>
      <c r="T485" s="35" t="s">
        <v>41</v>
      </c>
      <c r="U485" s="35" t="s">
        <v>43</v>
      </c>
      <c r="V485" s="35" t="s">
        <v>230</v>
      </c>
      <c r="W485" s="35"/>
      <c r="X485" s="35" t="s">
        <v>2111</v>
      </c>
      <c r="Y485" s="35" t="n">
        <v>-7.1883075</v>
      </c>
      <c r="Z485" s="35" t="n">
        <v>-48.2077845</v>
      </c>
      <c r="AA485" s="49" t="s">
        <v>1603</v>
      </c>
      <c r="AB485" s="35" t="s">
        <v>2112</v>
      </c>
    </row>
    <row r="486" customFormat="false" ht="15" hidden="false" customHeight="false" outlineLevel="0" collapsed="false">
      <c r="A486" s="35" t="n">
        <v>485</v>
      </c>
      <c r="B486" s="35" t="s">
        <v>1510</v>
      </c>
      <c r="C486" s="35" t="s">
        <v>2215</v>
      </c>
      <c r="D486" s="35" t="s">
        <v>1408</v>
      </c>
      <c r="E486" s="35" t="s">
        <v>1511</v>
      </c>
      <c r="F486" s="40" t="n">
        <v>7.67275007256756</v>
      </c>
      <c r="G486" s="36" t="n">
        <v>6036.57414419178</v>
      </c>
      <c r="H486" s="36" t="n">
        <v>7.6727500725674</v>
      </c>
      <c r="I486" s="7" t="s">
        <v>22</v>
      </c>
      <c r="J486" s="35" t="s">
        <v>283</v>
      </c>
      <c r="K486" s="35" t="s">
        <v>487</v>
      </c>
      <c r="L486" s="35" t="n">
        <v>79</v>
      </c>
      <c r="M486" s="35" t="s">
        <v>233</v>
      </c>
      <c r="N486" s="35" t="s">
        <v>1794</v>
      </c>
      <c r="O486" s="35" t="s">
        <v>234</v>
      </c>
      <c r="P486" s="35" t="s">
        <v>50</v>
      </c>
      <c r="Q486" s="35" t="n">
        <v>0</v>
      </c>
      <c r="R486" s="35"/>
      <c r="S486" s="35" t="s">
        <v>40</v>
      </c>
      <c r="T486" s="35" t="s">
        <v>41</v>
      </c>
      <c r="U486" s="35" t="s">
        <v>43</v>
      </c>
      <c r="V486" s="35" t="s">
        <v>230</v>
      </c>
      <c r="W486" s="35" t="s">
        <v>233</v>
      </c>
      <c r="X486" s="35" t="s">
        <v>2216</v>
      </c>
      <c r="Y486" s="35" t="n">
        <v>-7.1892635</v>
      </c>
      <c r="Z486" s="35" t="n">
        <v>-48.211123</v>
      </c>
      <c r="AA486" s="49" t="s">
        <v>1603</v>
      </c>
      <c r="AB486" s="35" t="s">
        <v>2217</v>
      </c>
    </row>
    <row r="487" customFormat="false" ht="15" hidden="false" customHeight="false" outlineLevel="0" collapsed="false">
      <c r="A487" s="35" t="n">
        <v>486</v>
      </c>
      <c r="B487" s="35" t="s">
        <v>1512</v>
      </c>
      <c r="C487" s="35" t="s">
        <v>2218</v>
      </c>
      <c r="D487" s="35" t="s">
        <v>1428</v>
      </c>
      <c r="E487" s="35" t="s">
        <v>1513</v>
      </c>
      <c r="F487" s="40" t="n">
        <v>14.6322481297854</v>
      </c>
      <c r="G487" s="36" t="n">
        <v>5942.64582560811</v>
      </c>
      <c r="H487" s="36" t="n">
        <v>14.6322481297857</v>
      </c>
      <c r="I487" s="7" t="s">
        <v>22</v>
      </c>
      <c r="J487" s="35" t="s">
        <v>283</v>
      </c>
      <c r="K487" s="35" t="s">
        <v>487</v>
      </c>
      <c r="L487" s="35" t="n">
        <v>80</v>
      </c>
      <c r="M487" s="35" t="s">
        <v>235</v>
      </c>
      <c r="N487" s="35" t="s">
        <v>1788</v>
      </c>
      <c r="O487" s="35" t="s">
        <v>236</v>
      </c>
      <c r="P487" s="35" t="s">
        <v>50</v>
      </c>
      <c r="Q487" s="35" t="n">
        <v>0</v>
      </c>
      <c r="R487" s="35"/>
      <c r="S487" s="35" t="s">
        <v>40</v>
      </c>
      <c r="T487" s="35" t="s">
        <v>41</v>
      </c>
      <c r="U487" s="35" t="s">
        <v>43</v>
      </c>
      <c r="V487" s="35" t="s">
        <v>230</v>
      </c>
      <c r="W487" s="35" t="s">
        <v>235</v>
      </c>
      <c r="X487" s="35" t="s">
        <v>2219</v>
      </c>
      <c r="Y487" s="35" t="n">
        <v>-7.190747</v>
      </c>
      <c r="Z487" s="35" t="n">
        <v>-48.2110085</v>
      </c>
      <c r="AA487" s="49" t="s">
        <v>1603</v>
      </c>
      <c r="AB487" s="35" t="s">
        <v>2220</v>
      </c>
    </row>
    <row r="488" customFormat="false" ht="15" hidden="false" customHeight="false" outlineLevel="0" collapsed="false">
      <c r="A488" s="35" t="n">
        <v>487</v>
      </c>
      <c r="B488" s="35" t="s">
        <v>1514</v>
      </c>
      <c r="C488" s="35" t="s">
        <v>2221</v>
      </c>
      <c r="D488" s="35" t="s">
        <v>1513</v>
      </c>
      <c r="E488" s="35" t="s">
        <v>1515</v>
      </c>
      <c r="F488" s="40" t="n">
        <v>18.7627011042751</v>
      </c>
      <c r="G488" s="36" t="n">
        <v>5961.40852671239</v>
      </c>
      <c r="H488" s="36" t="n">
        <v>33.3949492340607</v>
      </c>
      <c r="I488" s="7" t="s">
        <v>22</v>
      </c>
      <c r="J488" s="35" t="s">
        <v>283</v>
      </c>
      <c r="K488" s="35" t="s">
        <v>487</v>
      </c>
      <c r="L488" s="35" t="n">
        <v>80</v>
      </c>
      <c r="M488" s="35" t="s">
        <v>235</v>
      </c>
      <c r="N488" s="35" t="s">
        <v>1788</v>
      </c>
      <c r="O488" s="35" t="s">
        <v>236</v>
      </c>
      <c r="P488" s="35" t="s">
        <v>50</v>
      </c>
      <c r="Q488" s="35" t="n">
        <v>0</v>
      </c>
      <c r="R488" s="35"/>
      <c r="S488" s="35" t="s">
        <v>40</v>
      </c>
      <c r="T488" s="35" t="s">
        <v>41</v>
      </c>
      <c r="U488" s="35" t="s">
        <v>43</v>
      </c>
      <c r="V488" s="35" t="s">
        <v>230</v>
      </c>
      <c r="W488" s="35" t="s">
        <v>235</v>
      </c>
      <c r="X488" s="35" t="s">
        <v>2219</v>
      </c>
      <c r="Y488" s="35" t="n">
        <v>-7.1907715</v>
      </c>
      <c r="Z488" s="35" t="n">
        <v>-48.210861</v>
      </c>
      <c r="AA488" s="49" t="s">
        <v>1603</v>
      </c>
      <c r="AB488" s="35" t="s">
        <v>2220</v>
      </c>
    </row>
    <row r="489" customFormat="false" ht="15" hidden="false" customHeight="false" outlineLevel="0" collapsed="false">
      <c r="A489" s="35" t="n">
        <v>488</v>
      </c>
      <c r="B489" s="35" t="s">
        <v>1516</v>
      </c>
      <c r="C489" s="35" t="s">
        <v>2222</v>
      </c>
      <c r="D489" s="35" t="s">
        <v>1440</v>
      </c>
      <c r="E489" s="35" t="s">
        <v>1517</v>
      </c>
      <c r="F489" s="40" t="n">
        <v>9.40770284558604</v>
      </c>
      <c r="G489" s="36" t="n">
        <v>5942.5250152205</v>
      </c>
      <c r="H489" s="36" t="n">
        <v>9.40770284558585</v>
      </c>
      <c r="I489" s="7" t="s">
        <v>22</v>
      </c>
      <c r="J489" s="35" t="s">
        <v>283</v>
      </c>
      <c r="K489" s="35" t="s">
        <v>487</v>
      </c>
      <c r="L489" s="35" t="n">
        <v>81</v>
      </c>
      <c r="M489" s="35" t="s">
        <v>237</v>
      </c>
      <c r="N489" s="35" t="s">
        <v>1788</v>
      </c>
      <c r="O489" s="35" t="s">
        <v>238</v>
      </c>
      <c r="P489" s="35" t="s">
        <v>50</v>
      </c>
      <c r="Q489" s="35" t="n">
        <v>0</v>
      </c>
      <c r="R489" s="35"/>
      <c r="S489" s="35" t="s">
        <v>40</v>
      </c>
      <c r="T489" s="35" t="s">
        <v>41</v>
      </c>
      <c r="U489" s="35" t="s">
        <v>43</v>
      </c>
      <c r="V489" s="35" t="s">
        <v>230</v>
      </c>
      <c r="W489" s="35" t="s">
        <v>237</v>
      </c>
      <c r="X489" s="35" t="s">
        <v>2223</v>
      </c>
      <c r="Y489" s="35" t="n">
        <v>-7.190186</v>
      </c>
      <c r="Z489" s="35" t="n">
        <v>-48.2114255</v>
      </c>
      <c r="AA489" s="49" t="s">
        <v>1603</v>
      </c>
      <c r="AB489" s="35" t="s">
        <v>2224</v>
      </c>
    </row>
    <row r="490" customFormat="false" ht="15" hidden="false" customHeight="false" outlineLevel="0" collapsed="false">
      <c r="A490" s="35" t="n">
        <v>489</v>
      </c>
      <c r="B490" s="35" t="s">
        <v>1518</v>
      </c>
      <c r="C490" s="35" t="s">
        <v>2225</v>
      </c>
      <c r="D490" s="35" t="s">
        <v>1517</v>
      </c>
      <c r="E490" s="35" t="s">
        <v>1519</v>
      </c>
      <c r="F490" s="40" t="n">
        <v>17.5000158583087</v>
      </c>
      <c r="G490" s="36" t="n">
        <v>5960.02503107881</v>
      </c>
      <c r="H490" s="36" t="n">
        <v>26.9077187038947</v>
      </c>
      <c r="I490" s="7" t="s">
        <v>22</v>
      </c>
      <c r="J490" s="35" t="s">
        <v>283</v>
      </c>
      <c r="K490" s="35" t="s">
        <v>487</v>
      </c>
      <c r="L490" s="35" t="n">
        <v>81</v>
      </c>
      <c r="M490" s="35" t="s">
        <v>237</v>
      </c>
      <c r="N490" s="35" t="s">
        <v>1788</v>
      </c>
      <c r="O490" s="35" t="s">
        <v>238</v>
      </c>
      <c r="P490" s="35" t="s">
        <v>50</v>
      </c>
      <c r="Q490" s="35" t="n">
        <v>0</v>
      </c>
      <c r="R490" s="35"/>
      <c r="S490" s="35" t="s">
        <v>40</v>
      </c>
      <c r="T490" s="35" t="s">
        <v>41</v>
      </c>
      <c r="U490" s="35" t="s">
        <v>43</v>
      </c>
      <c r="V490" s="35" t="s">
        <v>230</v>
      </c>
      <c r="W490" s="35" t="s">
        <v>237</v>
      </c>
      <c r="X490" s="35" t="s">
        <v>2223</v>
      </c>
      <c r="Y490" s="35" t="n">
        <v>-7.190234</v>
      </c>
      <c r="Z490" s="35" t="n">
        <v>-48.211336</v>
      </c>
      <c r="AA490" s="49" t="s">
        <v>1603</v>
      </c>
      <c r="AB490" s="35" t="s">
        <v>2224</v>
      </c>
    </row>
    <row r="491" customFormat="false" ht="15" hidden="false" customHeight="false" outlineLevel="0" collapsed="false">
      <c r="A491" s="35" t="n">
        <v>490</v>
      </c>
      <c r="B491" s="35" t="s">
        <v>1520</v>
      </c>
      <c r="C491" s="35" t="s">
        <v>2226</v>
      </c>
      <c r="D491" s="35" t="s">
        <v>1442</v>
      </c>
      <c r="E491" s="35" t="s">
        <v>1521</v>
      </c>
      <c r="F491" s="40" t="n">
        <v>10.5825066424304</v>
      </c>
      <c r="G491" s="36" t="n">
        <v>5916.39295052505</v>
      </c>
      <c r="H491" s="36" t="n">
        <v>10.5825066424304</v>
      </c>
      <c r="I491" s="7" t="s">
        <v>22</v>
      </c>
      <c r="J491" s="35" t="s">
        <v>283</v>
      </c>
      <c r="K491" s="35" t="s">
        <v>487</v>
      </c>
      <c r="L491" s="35" t="n">
        <v>82</v>
      </c>
      <c r="M491" s="35" t="s">
        <v>239</v>
      </c>
      <c r="N491" s="35" t="s">
        <v>1788</v>
      </c>
      <c r="O491" s="35" t="s">
        <v>240</v>
      </c>
      <c r="P491" s="35" t="s">
        <v>50</v>
      </c>
      <c r="Q491" s="35" t="n">
        <v>0</v>
      </c>
      <c r="R491" s="35"/>
      <c r="S491" s="35" t="s">
        <v>40</v>
      </c>
      <c r="T491" s="35" t="s">
        <v>41</v>
      </c>
      <c r="U491" s="35" t="s">
        <v>43</v>
      </c>
      <c r="V491" s="35" t="s">
        <v>230</v>
      </c>
      <c r="W491" s="35" t="s">
        <v>239</v>
      </c>
      <c r="X491" s="35" t="s">
        <v>2227</v>
      </c>
      <c r="Y491" s="35" t="n">
        <v>-7.190157</v>
      </c>
      <c r="Z491" s="35" t="n">
        <v>-48.2112015</v>
      </c>
      <c r="AA491" s="49" t="s">
        <v>1603</v>
      </c>
      <c r="AB491" s="35" t="s">
        <v>2228</v>
      </c>
    </row>
    <row r="492" customFormat="false" ht="15" hidden="false" customHeight="false" outlineLevel="0" collapsed="false">
      <c r="A492" s="35" t="n">
        <v>491</v>
      </c>
      <c r="B492" s="35" t="s">
        <v>1522</v>
      </c>
      <c r="C492" s="35" t="s">
        <v>2229</v>
      </c>
      <c r="D492" s="35" t="s">
        <v>1521</v>
      </c>
      <c r="E492" s="35" t="s">
        <v>1523</v>
      </c>
      <c r="F492" s="40" t="n">
        <v>16.4496586993919</v>
      </c>
      <c r="G492" s="36" t="n">
        <v>5932.84260922445</v>
      </c>
      <c r="H492" s="36" t="n">
        <v>27.0321653418223</v>
      </c>
      <c r="I492" s="7" t="s">
        <v>22</v>
      </c>
      <c r="J492" s="35" t="s">
        <v>283</v>
      </c>
      <c r="K492" s="35" t="s">
        <v>487</v>
      </c>
      <c r="L492" s="35" t="n">
        <v>82</v>
      </c>
      <c r="M492" s="35" t="s">
        <v>239</v>
      </c>
      <c r="N492" s="35" t="s">
        <v>1788</v>
      </c>
      <c r="O492" s="35" t="s">
        <v>240</v>
      </c>
      <c r="P492" s="35" t="s">
        <v>50</v>
      </c>
      <c r="Q492" s="35" t="n">
        <v>0</v>
      </c>
      <c r="R492" s="35"/>
      <c r="S492" s="35" t="s">
        <v>40</v>
      </c>
      <c r="T492" s="35" t="s">
        <v>41</v>
      </c>
      <c r="U492" s="35" t="s">
        <v>43</v>
      </c>
      <c r="V492" s="35" t="s">
        <v>230</v>
      </c>
      <c r="W492" s="35" t="s">
        <v>239</v>
      </c>
      <c r="X492" s="35" t="s">
        <v>2227</v>
      </c>
      <c r="Y492" s="35" t="n">
        <v>-7.190101</v>
      </c>
      <c r="Z492" s="35" t="n">
        <v>-48.21112</v>
      </c>
      <c r="AA492" s="49" t="s">
        <v>1603</v>
      </c>
      <c r="AB492" s="35" t="s">
        <v>2228</v>
      </c>
    </row>
    <row r="493" customFormat="false" ht="15" hidden="false" customHeight="false" outlineLevel="0" collapsed="false">
      <c r="A493" s="35" t="n">
        <v>492</v>
      </c>
      <c r="B493" s="35" t="s">
        <v>1524</v>
      </c>
      <c r="C493" s="35" t="s">
        <v>2230</v>
      </c>
      <c r="D493" s="35" t="s">
        <v>1444</v>
      </c>
      <c r="E493" s="35" t="s">
        <v>1525</v>
      </c>
      <c r="F493" s="40" t="n">
        <v>17.738066325087</v>
      </c>
      <c r="G493" s="36" t="n">
        <v>5843.84460282122</v>
      </c>
      <c r="H493" s="36" t="n">
        <v>17.738066325087</v>
      </c>
      <c r="I493" s="7" t="s">
        <v>22</v>
      </c>
      <c r="J493" s="35" t="s">
        <v>283</v>
      </c>
      <c r="K493" s="35" t="s">
        <v>487</v>
      </c>
      <c r="L493" s="35" t="n">
        <v>83</v>
      </c>
      <c r="M493" s="35" t="s">
        <v>241</v>
      </c>
      <c r="N493" s="35" t="s">
        <v>1788</v>
      </c>
      <c r="O493" s="35" t="s">
        <v>242</v>
      </c>
      <c r="P493" s="35" t="s">
        <v>50</v>
      </c>
      <c r="Q493" s="35" t="n">
        <v>0</v>
      </c>
      <c r="R493" s="35"/>
      <c r="S493" s="35" t="s">
        <v>40</v>
      </c>
      <c r="T493" s="35" t="s">
        <v>41</v>
      </c>
      <c r="U493" s="35" t="s">
        <v>43</v>
      </c>
      <c r="V493" s="35" t="s">
        <v>230</v>
      </c>
      <c r="W493" s="35" t="s">
        <v>241</v>
      </c>
      <c r="X493" s="35" t="s">
        <v>2231</v>
      </c>
      <c r="Y493" s="35" t="n">
        <v>-7.1903225</v>
      </c>
      <c r="Z493" s="35" t="n">
        <v>-48.2104965</v>
      </c>
      <c r="AA493" s="49" t="s">
        <v>1603</v>
      </c>
      <c r="AB493" s="35" t="s">
        <v>2232</v>
      </c>
    </row>
    <row r="494" customFormat="false" ht="15" hidden="false" customHeight="false" outlineLevel="0" collapsed="false">
      <c r="A494" s="35" t="n">
        <v>493</v>
      </c>
      <c r="B494" s="35" t="s">
        <v>1526</v>
      </c>
      <c r="C494" s="35" t="s">
        <v>2233</v>
      </c>
      <c r="D494" s="35" t="s">
        <v>1525</v>
      </c>
      <c r="E494" s="35" t="s">
        <v>1527</v>
      </c>
      <c r="F494" s="40" t="n">
        <v>19.6406876319542</v>
      </c>
      <c r="G494" s="36" t="n">
        <v>5863.48529045318</v>
      </c>
      <c r="H494" s="36" t="n">
        <v>37.3787539570412</v>
      </c>
      <c r="I494" s="7" t="s">
        <v>22</v>
      </c>
      <c r="J494" s="35" t="s">
        <v>283</v>
      </c>
      <c r="K494" s="35" t="s">
        <v>487</v>
      </c>
      <c r="L494" s="35" t="n">
        <v>83</v>
      </c>
      <c r="M494" s="35" t="s">
        <v>241</v>
      </c>
      <c r="N494" s="35" t="s">
        <v>1788</v>
      </c>
      <c r="O494" s="35" t="s">
        <v>242</v>
      </c>
      <c r="P494" s="35" t="s">
        <v>50</v>
      </c>
      <c r="Q494" s="35" t="n">
        <v>0</v>
      </c>
      <c r="R494" s="35"/>
      <c r="S494" s="35" t="s">
        <v>40</v>
      </c>
      <c r="T494" s="35" t="s">
        <v>41</v>
      </c>
      <c r="U494" s="35" t="s">
        <v>43</v>
      </c>
      <c r="V494" s="35" t="s">
        <v>230</v>
      </c>
      <c r="W494" s="35" t="s">
        <v>241</v>
      </c>
      <c r="X494" s="35" t="s">
        <v>2231</v>
      </c>
      <c r="Y494" s="35" t="n">
        <v>-7.1902335</v>
      </c>
      <c r="Z494" s="35" t="n">
        <v>-48.2104015</v>
      </c>
      <c r="AA494" s="49" t="s">
        <v>1603</v>
      </c>
      <c r="AB494" s="35" t="s">
        <v>2232</v>
      </c>
    </row>
    <row r="495" customFormat="false" ht="15" hidden="false" customHeight="false" outlineLevel="0" collapsed="false">
      <c r="A495" s="35" t="n">
        <v>494</v>
      </c>
      <c r="B495" s="35" t="s">
        <v>1528</v>
      </c>
      <c r="C495" s="35" t="s">
        <v>2234</v>
      </c>
      <c r="D495" s="35" t="s">
        <v>1446</v>
      </c>
      <c r="E495" s="35" t="s">
        <v>1529</v>
      </c>
      <c r="F495" s="40" t="n">
        <v>9.1021835946555</v>
      </c>
      <c r="G495" s="36" t="n">
        <v>5764.8469487841</v>
      </c>
      <c r="H495" s="36" t="n">
        <v>9.1021835946558</v>
      </c>
      <c r="I495" s="7" t="s">
        <v>22</v>
      </c>
      <c r="J495" s="35" t="s">
        <v>283</v>
      </c>
      <c r="K495" s="35" t="s">
        <v>487</v>
      </c>
      <c r="L495" s="35" t="n">
        <v>84</v>
      </c>
      <c r="M495" s="35" t="s">
        <v>243</v>
      </c>
      <c r="N495" s="35" t="s">
        <v>1788</v>
      </c>
      <c r="O495" s="35" t="s">
        <v>244</v>
      </c>
      <c r="P495" s="35" t="s">
        <v>50</v>
      </c>
      <c r="Q495" s="35" t="n">
        <v>0</v>
      </c>
      <c r="R495" s="35"/>
      <c r="S495" s="35" t="s">
        <v>40</v>
      </c>
      <c r="T495" s="35" t="s">
        <v>41</v>
      </c>
      <c r="U495" s="35" t="s">
        <v>43</v>
      </c>
      <c r="V495" s="35" t="s">
        <v>230</v>
      </c>
      <c r="W495" s="35" t="s">
        <v>243</v>
      </c>
      <c r="X495" s="35" t="s">
        <v>2235</v>
      </c>
      <c r="Y495" s="35" t="n">
        <v>-7.1906505</v>
      </c>
      <c r="Z495" s="35" t="n">
        <v>-48.209886</v>
      </c>
      <c r="AA495" s="49" t="s">
        <v>1603</v>
      </c>
      <c r="AB495" s="35" t="s">
        <v>2236</v>
      </c>
    </row>
    <row r="496" customFormat="false" ht="15" hidden="false" customHeight="false" outlineLevel="0" collapsed="false">
      <c r="A496" s="35" t="n">
        <v>495</v>
      </c>
      <c r="B496" s="35" t="s">
        <v>1530</v>
      </c>
      <c r="C496" s="35" t="s">
        <v>2237</v>
      </c>
      <c r="D496" s="35" t="s">
        <v>1529</v>
      </c>
      <c r="E496" s="35" t="s">
        <v>1531</v>
      </c>
      <c r="F496" s="40" t="n">
        <v>3.85824909793711</v>
      </c>
      <c r="G496" s="36" t="n">
        <v>5768.70519788204</v>
      </c>
      <c r="H496" s="36" t="n">
        <v>12.9604326925928</v>
      </c>
      <c r="I496" s="7" t="s">
        <v>22</v>
      </c>
      <c r="J496" s="35" t="s">
        <v>283</v>
      </c>
      <c r="K496" s="35" t="s">
        <v>487</v>
      </c>
      <c r="L496" s="35" t="n">
        <v>84</v>
      </c>
      <c r="M496" s="35" t="s">
        <v>243</v>
      </c>
      <c r="N496" s="35" t="s">
        <v>1788</v>
      </c>
      <c r="O496" s="35" t="s">
        <v>244</v>
      </c>
      <c r="P496" s="35" t="s">
        <v>50</v>
      </c>
      <c r="Q496" s="35" t="n">
        <v>0</v>
      </c>
      <c r="R496" s="35"/>
      <c r="S496" s="35" t="s">
        <v>40</v>
      </c>
      <c r="T496" s="35" t="s">
        <v>41</v>
      </c>
      <c r="U496" s="35" t="s">
        <v>43</v>
      </c>
      <c r="V496" s="35" t="s">
        <v>230</v>
      </c>
      <c r="W496" s="35" t="s">
        <v>243</v>
      </c>
      <c r="X496" s="35" t="s">
        <v>2235</v>
      </c>
      <c r="Y496" s="35" t="n">
        <v>-7.190696</v>
      </c>
      <c r="Z496" s="35" t="n">
        <v>-48.209888</v>
      </c>
      <c r="AA496" s="49" t="s">
        <v>1603</v>
      </c>
      <c r="AB496" s="35" t="s">
        <v>2236</v>
      </c>
    </row>
    <row r="497" customFormat="false" ht="15" hidden="false" customHeight="false" outlineLevel="0" collapsed="false">
      <c r="A497" s="35" t="n">
        <v>496</v>
      </c>
      <c r="B497" s="35" t="s">
        <v>1532</v>
      </c>
      <c r="C497" s="35" t="s">
        <v>2238</v>
      </c>
      <c r="D497" s="35" t="s">
        <v>1529</v>
      </c>
      <c r="E497" s="35" t="s">
        <v>1533</v>
      </c>
      <c r="F497" s="40" t="n">
        <v>17.4734832106775</v>
      </c>
      <c r="G497" s="36" t="n">
        <v>5782.32043199478</v>
      </c>
      <c r="H497" s="36" t="n">
        <v>26.5756668053336</v>
      </c>
      <c r="I497" s="7" t="s">
        <v>22</v>
      </c>
      <c r="J497" s="35" t="s">
        <v>283</v>
      </c>
      <c r="K497" s="35" t="s">
        <v>487</v>
      </c>
      <c r="L497" s="35" t="n">
        <v>84</v>
      </c>
      <c r="M497" s="35" t="s">
        <v>243</v>
      </c>
      <c r="N497" s="35" t="s">
        <v>1788</v>
      </c>
      <c r="O497" s="35" t="s">
        <v>244</v>
      </c>
      <c r="P497" s="35" t="s">
        <v>50</v>
      </c>
      <c r="Q497" s="35" t="n">
        <v>0</v>
      </c>
      <c r="R497" s="35"/>
      <c r="S497" s="35" t="s">
        <v>40</v>
      </c>
      <c r="T497" s="35" t="s">
        <v>41</v>
      </c>
      <c r="U497" s="35" t="s">
        <v>43</v>
      </c>
      <c r="V497" s="35" t="s">
        <v>230</v>
      </c>
      <c r="W497" s="35" t="s">
        <v>243</v>
      </c>
      <c r="X497" s="35" t="s">
        <v>2235</v>
      </c>
      <c r="Y497" s="35" t="n">
        <v>-7.1906945</v>
      </c>
      <c r="Z497" s="35" t="n">
        <v>-48.209793</v>
      </c>
      <c r="AA497" s="49" t="s">
        <v>1603</v>
      </c>
      <c r="AB497" s="35" t="s">
        <v>2236</v>
      </c>
    </row>
    <row r="498" customFormat="false" ht="15" hidden="false" customHeight="false" outlineLevel="0" collapsed="false">
      <c r="A498" s="35" t="n">
        <v>497</v>
      </c>
      <c r="B498" s="35" t="s">
        <v>1534</v>
      </c>
      <c r="C498" s="35" t="s">
        <v>2239</v>
      </c>
      <c r="D498" s="35" t="s">
        <v>1448</v>
      </c>
      <c r="E498" s="35" t="s">
        <v>1535</v>
      </c>
      <c r="F498" s="40" t="n">
        <v>14.330244436202</v>
      </c>
      <c r="G498" s="36" t="n">
        <v>5696.80183033374</v>
      </c>
      <c r="H498" s="36" t="n">
        <v>14.3302444362016</v>
      </c>
      <c r="I498" s="7" t="s">
        <v>22</v>
      </c>
      <c r="J498" s="35" t="s">
        <v>283</v>
      </c>
      <c r="K498" s="35" t="s">
        <v>487</v>
      </c>
      <c r="L498" s="35" t="n">
        <v>85</v>
      </c>
      <c r="M498" s="35" t="s">
        <v>245</v>
      </c>
      <c r="N498" s="35" t="s">
        <v>1788</v>
      </c>
      <c r="O498" s="35" t="s">
        <v>246</v>
      </c>
      <c r="P498" s="35" t="s">
        <v>50</v>
      </c>
      <c r="Q498" s="35" t="n">
        <v>0</v>
      </c>
      <c r="R498" s="35"/>
      <c r="S498" s="35" t="s">
        <v>40</v>
      </c>
      <c r="T498" s="35" t="s">
        <v>41</v>
      </c>
      <c r="U498" s="35" t="s">
        <v>43</v>
      </c>
      <c r="V498" s="35" t="s">
        <v>230</v>
      </c>
      <c r="W498" s="35" t="s">
        <v>245</v>
      </c>
      <c r="X498" s="35" t="s">
        <v>2240</v>
      </c>
      <c r="Y498" s="35" t="n">
        <v>-7.1900775</v>
      </c>
      <c r="Z498" s="35" t="n">
        <v>-48.209658</v>
      </c>
      <c r="AA498" s="49" t="s">
        <v>1603</v>
      </c>
      <c r="AB498" s="35" t="s">
        <v>2241</v>
      </c>
    </row>
    <row r="499" customFormat="false" ht="15" hidden="false" customHeight="false" outlineLevel="0" collapsed="false">
      <c r="A499" s="35" t="n">
        <v>498</v>
      </c>
      <c r="B499" s="35" t="s">
        <v>1536</v>
      </c>
      <c r="C499" s="35" t="s">
        <v>2242</v>
      </c>
      <c r="D499" s="35" t="s">
        <v>1535</v>
      </c>
      <c r="E499" s="35" t="s">
        <v>1537</v>
      </c>
      <c r="F499" s="40" t="n">
        <v>16.4240859802747</v>
      </c>
      <c r="G499" s="36" t="n">
        <v>5713.22591631402</v>
      </c>
      <c r="H499" s="36" t="n">
        <v>30.7543304164765</v>
      </c>
      <c r="I499" s="7" t="s">
        <v>22</v>
      </c>
      <c r="J499" s="35" t="s">
        <v>283</v>
      </c>
      <c r="K499" s="35" t="s">
        <v>487</v>
      </c>
      <c r="L499" s="35" t="n">
        <v>85</v>
      </c>
      <c r="M499" s="35" t="s">
        <v>245</v>
      </c>
      <c r="N499" s="35" t="s">
        <v>1788</v>
      </c>
      <c r="O499" s="35" t="s">
        <v>246</v>
      </c>
      <c r="P499" s="35" t="s">
        <v>50</v>
      </c>
      <c r="Q499" s="35" t="n">
        <v>0</v>
      </c>
      <c r="R499" s="35"/>
      <c r="S499" s="35" t="s">
        <v>40</v>
      </c>
      <c r="T499" s="35" t="s">
        <v>41</v>
      </c>
      <c r="U499" s="35" t="s">
        <v>43</v>
      </c>
      <c r="V499" s="35" t="s">
        <v>230</v>
      </c>
      <c r="W499" s="35" t="s">
        <v>245</v>
      </c>
      <c r="X499" s="35" t="s">
        <v>2240</v>
      </c>
      <c r="Y499" s="35" t="n">
        <v>-7.190014</v>
      </c>
      <c r="Z499" s="35" t="n">
        <v>-48.209617</v>
      </c>
      <c r="AA499" s="49" t="s">
        <v>1603</v>
      </c>
      <c r="AB499" s="35" t="s">
        <v>2241</v>
      </c>
    </row>
    <row r="500" customFormat="false" ht="15" hidden="false" customHeight="false" outlineLevel="0" collapsed="false">
      <c r="A500" s="35" t="n">
        <v>499</v>
      </c>
      <c r="B500" s="35" t="s">
        <v>1538</v>
      </c>
      <c r="C500" s="35" t="s">
        <v>2243</v>
      </c>
      <c r="D500" s="35" t="s">
        <v>1450</v>
      </c>
      <c r="E500" s="35" t="s">
        <v>1539</v>
      </c>
      <c r="F500" s="40" t="n">
        <v>14.6086061346965</v>
      </c>
      <c r="G500" s="36" t="n">
        <v>5665.75136531993</v>
      </c>
      <c r="H500" s="36" t="n">
        <v>14.6086061346969</v>
      </c>
      <c r="I500" s="7" t="s">
        <v>22</v>
      </c>
      <c r="J500" s="35" t="s">
        <v>283</v>
      </c>
      <c r="K500" s="35" t="s">
        <v>487</v>
      </c>
      <c r="L500" s="35" t="n">
        <v>86</v>
      </c>
      <c r="M500" s="35" t="s">
        <v>247</v>
      </c>
      <c r="N500" s="35" t="s">
        <v>1788</v>
      </c>
      <c r="O500" s="35" t="s">
        <v>248</v>
      </c>
      <c r="P500" s="35" t="s">
        <v>50</v>
      </c>
      <c r="Q500" s="35" t="n">
        <v>0</v>
      </c>
      <c r="R500" s="35"/>
      <c r="S500" s="35" t="s">
        <v>40</v>
      </c>
      <c r="T500" s="35" t="s">
        <v>41</v>
      </c>
      <c r="U500" s="35" t="s">
        <v>43</v>
      </c>
      <c r="V500" s="35" t="s">
        <v>230</v>
      </c>
      <c r="W500" s="35" t="s">
        <v>247</v>
      </c>
      <c r="X500" s="35" t="s">
        <v>2244</v>
      </c>
      <c r="Y500" s="35" t="n">
        <v>-7.1898575</v>
      </c>
      <c r="Z500" s="35" t="n">
        <v>-48.209615</v>
      </c>
      <c r="AA500" s="49" t="s">
        <v>1603</v>
      </c>
      <c r="AB500" s="35" t="s">
        <v>2245</v>
      </c>
    </row>
    <row r="501" customFormat="false" ht="15" hidden="false" customHeight="false" outlineLevel="0" collapsed="false">
      <c r="A501" s="35" t="n">
        <v>500</v>
      </c>
      <c r="B501" s="35" t="s">
        <v>1540</v>
      </c>
      <c r="C501" s="35" t="s">
        <v>2246</v>
      </c>
      <c r="D501" s="35" t="s">
        <v>1539</v>
      </c>
      <c r="E501" s="35" t="s">
        <v>1541</v>
      </c>
      <c r="F501" s="40" t="n">
        <v>15.1176017350404</v>
      </c>
      <c r="G501" s="36" t="n">
        <v>5680.86896705497</v>
      </c>
      <c r="H501" s="36" t="n">
        <v>29.7262078697377</v>
      </c>
      <c r="I501" s="7" t="s">
        <v>22</v>
      </c>
      <c r="J501" s="35" t="s">
        <v>283</v>
      </c>
      <c r="K501" s="35" t="s">
        <v>487</v>
      </c>
      <c r="L501" s="35" t="n">
        <v>86</v>
      </c>
      <c r="M501" s="35" t="s">
        <v>247</v>
      </c>
      <c r="N501" s="35" t="s">
        <v>1788</v>
      </c>
      <c r="O501" s="35" t="s">
        <v>248</v>
      </c>
      <c r="P501" s="35" t="s">
        <v>50</v>
      </c>
      <c r="Q501" s="35" t="n">
        <v>0</v>
      </c>
      <c r="R501" s="35"/>
      <c r="S501" s="35" t="s">
        <v>40</v>
      </c>
      <c r="T501" s="35" t="s">
        <v>41</v>
      </c>
      <c r="U501" s="35" t="s">
        <v>43</v>
      </c>
      <c r="V501" s="35" t="s">
        <v>230</v>
      </c>
      <c r="W501" s="35" t="s">
        <v>247</v>
      </c>
      <c r="X501" s="35" t="s">
        <v>2244</v>
      </c>
      <c r="Y501" s="35" t="n">
        <v>-7.1898435</v>
      </c>
      <c r="Z501" s="35" t="n">
        <v>-48.2096115</v>
      </c>
      <c r="AA501" s="49" t="s">
        <v>1603</v>
      </c>
      <c r="AB501" s="35" t="s">
        <v>2245</v>
      </c>
    </row>
    <row r="502" customFormat="false" ht="15" hidden="false" customHeight="false" outlineLevel="0" collapsed="false">
      <c r="A502" s="35" t="n">
        <v>501</v>
      </c>
      <c r="B502" s="35" t="s">
        <v>1542</v>
      </c>
      <c r="C502" s="35" t="s">
        <v>2247</v>
      </c>
      <c r="D502" s="35" t="s">
        <v>1456</v>
      </c>
      <c r="E502" s="35" t="s">
        <v>1543</v>
      </c>
      <c r="F502" s="40" t="n">
        <v>13.6050628697199</v>
      </c>
      <c r="G502" s="36" t="n">
        <v>5708.04060547697</v>
      </c>
      <c r="H502" s="36" t="n">
        <v>13.6050628697203</v>
      </c>
      <c r="I502" s="7" t="s">
        <v>22</v>
      </c>
      <c r="J502" s="35" t="s">
        <v>283</v>
      </c>
      <c r="K502" s="35" t="s">
        <v>487</v>
      </c>
      <c r="L502" s="35" t="n">
        <v>87</v>
      </c>
      <c r="M502" s="35" t="s">
        <v>249</v>
      </c>
      <c r="N502" s="35" t="s">
        <v>1788</v>
      </c>
      <c r="O502" s="35" t="s">
        <v>250</v>
      </c>
      <c r="P502" s="35" t="s">
        <v>50</v>
      </c>
      <c r="Q502" s="35" t="n">
        <v>0</v>
      </c>
      <c r="R502" s="35"/>
      <c r="S502" s="35" t="s">
        <v>40</v>
      </c>
      <c r="T502" s="35" t="s">
        <v>41</v>
      </c>
      <c r="U502" s="35" t="s">
        <v>43</v>
      </c>
      <c r="V502" s="35" t="s">
        <v>230</v>
      </c>
      <c r="W502" s="35" t="s">
        <v>249</v>
      </c>
      <c r="X502" s="35" t="s">
        <v>2248</v>
      </c>
      <c r="Y502" s="35" t="n">
        <v>-7.189848</v>
      </c>
      <c r="Z502" s="35" t="n">
        <v>-48.209017</v>
      </c>
      <c r="AA502" s="49" t="s">
        <v>1603</v>
      </c>
      <c r="AB502" s="35" t="s">
        <v>2249</v>
      </c>
    </row>
    <row r="503" customFormat="false" ht="15" hidden="false" customHeight="false" outlineLevel="0" collapsed="false">
      <c r="A503" s="35" t="n">
        <v>502</v>
      </c>
      <c r="B503" s="35" t="s">
        <v>1544</v>
      </c>
      <c r="C503" s="35" t="s">
        <v>2250</v>
      </c>
      <c r="D503" s="35" t="s">
        <v>1543</v>
      </c>
      <c r="E503" s="35" t="s">
        <v>1545</v>
      </c>
      <c r="F503" s="40" t="n">
        <v>14.0177747052886</v>
      </c>
      <c r="G503" s="36" t="n">
        <v>5722.05838018226</v>
      </c>
      <c r="H503" s="36" t="n">
        <v>27.6228375750088</v>
      </c>
      <c r="I503" s="7" t="s">
        <v>22</v>
      </c>
      <c r="J503" s="35" t="s">
        <v>283</v>
      </c>
      <c r="K503" s="35" t="s">
        <v>487</v>
      </c>
      <c r="L503" s="35" t="n">
        <v>87</v>
      </c>
      <c r="M503" s="35" t="s">
        <v>249</v>
      </c>
      <c r="N503" s="35" t="s">
        <v>1788</v>
      </c>
      <c r="O503" s="35" t="s">
        <v>250</v>
      </c>
      <c r="P503" s="35" t="s">
        <v>50</v>
      </c>
      <c r="Q503" s="35" t="n">
        <v>0</v>
      </c>
      <c r="R503" s="35"/>
      <c r="S503" s="35" t="s">
        <v>40</v>
      </c>
      <c r="T503" s="35" t="s">
        <v>41</v>
      </c>
      <c r="U503" s="35" t="s">
        <v>43</v>
      </c>
      <c r="V503" s="35" t="s">
        <v>230</v>
      </c>
      <c r="W503" s="35" t="s">
        <v>249</v>
      </c>
      <c r="X503" s="35" t="s">
        <v>2248</v>
      </c>
      <c r="Y503" s="35" t="n">
        <v>-7.189791</v>
      </c>
      <c r="Z503" s="35" t="n">
        <v>-48.2089265</v>
      </c>
      <c r="AA503" s="49" t="s">
        <v>1603</v>
      </c>
      <c r="AB503" s="35" t="s">
        <v>2249</v>
      </c>
    </row>
    <row r="504" customFormat="false" ht="15" hidden="false" customHeight="false" outlineLevel="0" collapsed="false">
      <c r="A504" s="35" t="n">
        <v>503</v>
      </c>
      <c r="B504" s="35" t="s">
        <v>1546</v>
      </c>
      <c r="C504" s="35" t="s">
        <v>2251</v>
      </c>
      <c r="D504" s="35" t="s">
        <v>1458</v>
      </c>
      <c r="E504" s="35" t="s">
        <v>1547</v>
      </c>
      <c r="F504" s="40" t="n">
        <v>2.33224710537229</v>
      </c>
      <c r="G504" s="36" t="n">
        <v>5583.33688208104</v>
      </c>
      <c r="H504" s="36" t="n">
        <v>2.33224710537252</v>
      </c>
      <c r="I504" s="7" t="s">
        <v>22</v>
      </c>
      <c r="J504" s="35" t="s">
        <v>283</v>
      </c>
      <c r="K504" s="35" t="s">
        <v>487</v>
      </c>
      <c r="L504" s="35" t="n">
        <v>88</v>
      </c>
      <c r="M504" s="35" t="s">
        <v>251</v>
      </c>
      <c r="N504" s="35" t="s">
        <v>1788</v>
      </c>
      <c r="O504" s="35" t="s">
        <v>252</v>
      </c>
      <c r="P504" s="35" t="s">
        <v>50</v>
      </c>
      <c r="Q504" s="35" t="n">
        <v>0</v>
      </c>
      <c r="R504" s="35"/>
      <c r="S504" s="35" t="s">
        <v>40</v>
      </c>
      <c r="T504" s="35" t="s">
        <v>41</v>
      </c>
      <c r="U504" s="35" t="s">
        <v>43</v>
      </c>
      <c r="V504" s="35" t="s">
        <v>230</v>
      </c>
      <c r="W504" s="35" t="s">
        <v>251</v>
      </c>
      <c r="X504" s="35" t="s">
        <v>2252</v>
      </c>
      <c r="Y504" s="35" t="n">
        <v>-7.1892745</v>
      </c>
      <c r="Z504" s="35" t="n">
        <v>-48.20937</v>
      </c>
      <c r="AA504" s="49" t="s">
        <v>1603</v>
      </c>
      <c r="AB504" s="35" t="s">
        <v>2253</v>
      </c>
    </row>
    <row r="505" customFormat="false" ht="15" hidden="false" customHeight="false" outlineLevel="0" collapsed="false">
      <c r="A505" s="35" t="n">
        <v>504</v>
      </c>
      <c r="B505" s="35" t="s">
        <v>1548</v>
      </c>
      <c r="C505" s="35" t="s">
        <v>2254</v>
      </c>
      <c r="D505" s="35" t="s">
        <v>1547</v>
      </c>
      <c r="E505" s="35" t="s">
        <v>1549</v>
      </c>
      <c r="F505" s="40" t="n">
        <v>21.5183324916085</v>
      </c>
      <c r="G505" s="36" t="n">
        <v>5604.85521457265</v>
      </c>
      <c r="H505" s="36" t="n">
        <v>23.8505795969813</v>
      </c>
      <c r="I505" s="7" t="s">
        <v>22</v>
      </c>
      <c r="J505" s="35" t="s">
        <v>283</v>
      </c>
      <c r="K505" s="35" t="s">
        <v>487</v>
      </c>
      <c r="L505" s="35" t="n">
        <v>88</v>
      </c>
      <c r="M505" s="35" t="s">
        <v>251</v>
      </c>
      <c r="N505" s="35" t="s">
        <v>1788</v>
      </c>
      <c r="O505" s="35" t="s">
        <v>252</v>
      </c>
      <c r="P505" s="35" t="s">
        <v>50</v>
      </c>
      <c r="Q505" s="35" t="n">
        <v>0</v>
      </c>
      <c r="R505" s="35"/>
      <c r="S505" s="35" t="s">
        <v>40</v>
      </c>
      <c r="T505" s="35" t="s">
        <v>41</v>
      </c>
      <c r="U505" s="35" t="s">
        <v>43</v>
      </c>
      <c r="V505" s="35" t="s">
        <v>230</v>
      </c>
      <c r="W505" s="35" t="s">
        <v>251</v>
      </c>
      <c r="X505" s="35" t="s">
        <v>2252</v>
      </c>
      <c r="Y505" s="35" t="n">
        <v>-7.189283</v>
      </c>
      <c r="Z505" s="35" t="n">
        <v>-48.2092825</v>
      </c>
      <c r="AA505" s="49" t="s">
        <v>1603</v>
      </c>
      <c r="AB505" s="35" t="s">
        <v>2253</v>
      </c>
    </row>
    <row r="506" customFormat="false" ht="15" hidden="false" customHeight="false" outlineLevel="0" collapsed="false">
      <c r="A506" s="35" t="n">
        <v>505</v>
      </c>
      <c r="B506" s="35" t="s">
        <v>1550</v>
      </c>
      <c r="C506" s="35" t="s">
        <v>2255</v>
      </c>
      <c r="D506" s="35" t="s">
        <v>1477</v>
      </c>
      <c r="E506" s="35" t="s">
        <v>1551</v>
      </c>
      <c r="F506" s="40" t="n">
        <v>7.25134474813969</v>
      </c>
      <c r="G506" s="36" t="n">
        <v>5740.98421313199</v>
      </c>
      <c r="H506" s="36" t="n">
        <v>7.25134474813967</v>
      </c>
      <c r="I506" s="7" t="s">
        <v>22</v>
      </c>
      <c r="J506" s="35" t="s">
        <v>283</v>
      </c>
      <c r="K506" s="35" t="s">
        <v>487</v>
      </c>
      <c r="L506" s="35" t="n">
        <v>89</v>
      </c>
      <c r="M506" s="35" t="s">
        <v>253</v>
      </c>
      <c r="N506" s="35" t="s">
        <v>1788</v>
      </c>
      <c r="O506" s="35" t="s">
        <v>254</v>
      </c>
      <c r="P506" s="35" t="s">
        <v>50</v>
      </c>
      <c r="Q506" s="35" t="n">
        <v>0</v>
      </c>
      <c r="R506" s="35"/>
      <c r="S506" s="35" t="s">
        <v>40</v>
      </c>
      <c r="T506" s="35" t="s">
        <v>41</v>
      </c>
      <c r="U506" s="35" t="s">
        <v>43</v>
      </c>
      <c r="V506" s="35" t="s">
        <v>230</v>
      </c>
      <c r="W506" s="35" t="s">
        <v>253</v>
      </c>
      <c r="X506" s="35" t="s">
        <v>2256</v>
      </c>
      <c r="Y506" s="35" t="n">
        <v>-7.1885195</v>
      </c>
      <c r="Z506" s="35" t="n">
        <v>-48.210866</v>
      </c>
      <c r="AA506" s="49" t="s">
        <v>1603</v>
      </c>
      <c r="AB506" s="35" t="s">
        <v>2257</v>
      </c>
    </row>
    <row r="507" customFormat="false" ht="15" hidden="false" customHeight="false" outlineLevel="0" collapsed="false">
      <c r="A507" s="35" t="n">
        <v>506</v>
      </c>
      <c r="B507" s="35" t="s">
        <v>1552</v>
      </c>
      <c r="C507" s="35" t="s">
        <v>2258</v>
      </c>
      <c r="D507" s="35" t="s">
        <v>1551</v>
      </c>
      <c r="E507" s="35" t="s">
        <v>1553</v>
      </c>
      <c r="F507" s="40" t="n">
        <v>16.18190595827</v>
      </c>
      <c r="G507" s="36" t="n">
        <v>5757.16611909026</v>
      </c>
      <c r="H507" s="36" t="n">
        <v>23.43325070641</v>
      </c>
      <c r="I507" s="7" t="s">
        <v>22</v>
      </c>
      <c r="J507" s="35" t="s">
        <v>283</v>
      </c>
      <c r="K507" s="35" t="s">
        <v>487</v>
      </c>
      <c r="L507" s="35" t="n">
        <v>89</v>
      </c>
      <c r="M507" s="35" t="s">
        <v>253</v>
      </c>
      <c r="N507" s="35" t="s">
        <v>1788</v>
      </c>
      <c r="O507" s="35" t="s">
        <v>254</v>
      </c>
      <c r="P507" s="35" t="s">
        <v>50</v>
      </c>
      <c r="Q507" s="35" t="n">
        <v>0</v>
      </c>
      <c r="R507" s="35"/>
      <c r="S507" s="35" t="s">
        <v>40</v>
      </c>
      <c r="T507" s="35" t="s">
        <v>41</v>
      </c>
      <c r="U507" s="35" t="s">
        <v>43</v>
      </c>
      <c r="V507" s="35" t="s">
        <v>230</v>
      </c>
      <c r="W507" s="35" t="s">
        <v>253</v>
      </c>
      <c r="X507" s="35" t="s">
        <v>2256</v>
      </c>
      <c r="Y507" s="35" t="n">
        <v>-7.188556</v>
      </c>
      <c r="Z507" s="35" t="n">
        <v>-48.210807</v>
      </c>
      <c r="AA507" s="49" t="s">
        <v>1603</v>
      </c>
      <c r="AB507" s="35" t="s">
        <v>2257</v>
      </c>
    </row>
    <row r="508" customFormat="false" ht="15" hidden="false" customHeight="false" outlineLevel="0" collapsed="false">
      <c r="A508" s="35" t="n">
        <v>507</v>
      </c>
      <c r="B508" s="35" t="s">
        <v>1554</v>
      </c>
      <c r="C508" s="35" t="s">
        <v>2259</v>
      </c>
      <c r="D508" s="35" t="s">
        <v>1551</v>
      </c>
      <c r="E508" s="35" t="s">
        <v>1555</v>
      </c>
      <c r="F508" s="40" t="n">
        <v>3.7738041497866</v>
      </c>
      <c r="G508" s="36" t="n">
        <v>5744.75801728177</v>
      </c>
      <c r="H508" s="36" t="n">
        <v>11.0251488979266</v>
      </c>
      <c r="I508" s="7" t="s">
        <v>22</v>
      </c>
      <c r="J508" s="35" t="s">
        <v>283</v>
      </c>
      <c r="K508" s="35" t="s">
        <v>487</v>
      </c>
      <c r="L508" s="35" t="n">
        <v>89</v>
      </c>
      <c r="M508" s="35" t="s">
        <v>253</v>
      </c>
      <c r="N508" s="35" t="s">
        <v>1788</v>
      </c>
      <c r="O508" s="35" t="s">
        <v>254</v>
      </c>
      <c r="P508" s="35" t="s">
        <v>50</v>
      </c>
      <c r="Q508" s="35" t="n">
        <v>0</v>
      </c>
      <c r="R508" s="35"/>
      <c r="S508" s="35" t="s">
        <v>40</v>
      </c>
      <c r="T508" s="35" t="s">
        <v>41</v>
      </c>
      <c r="U508" s="35" t="s">
        <v>43</v>
      </c>
      <c r="V508" s="35" t="s">
        <v>230</v>
      </c>
      <c r="W508" s="35" t="s">
        <v>253</v>
      </c>
      <c r="X508" s="35" t="s">
        <v>2256</v>
      </c>
      <c r="Y508" s="35" t="n">
        <v>-7.18854</v>
      </c>
      <c r="Z508" s="35" t="n">
        <v>-48.2108945</v>
      </c>
      <c r="AA508" s="49" t="s">
        <v>1603</v>
      </c>
      <c r="AB508" s="35" t="s">
        <v>2257</v>
      </c>
    </row>
    <row r="509" customFormat="false" ht="15" hidden="false" customHeight="false" outlineLevel="0" collapsed="false">
      <c r="A509" s="35" t="n">
        <v>508</v>
      </c>
      <c r="B509" s="35" t="s">
        <v>1556</v>
      </c>
      <c r="C509" s="35" t="s">
        <v>2260</v>
      </c>
      <c r="D509" s="35" t="s">
        <v>1479</v>
      </c>
      <c r="E509" s="35" t="s">
        <v>1557</v>
      </c>
      <c r="F509" s="40" t="n">
        <v>1.88703335202875</v>
      </c>
      <c r="G509" s="36" t="n">
        <v>5699.06888877545</v>
      </c>
      <c r="H509" s="36" t="n">
        <v>1.88703335202899</v>
      </c>
      <c r="I509" s="7" t="s">
        <v>22</v>
      </c>
      <c r="J509" s="35" t="s">
        <v>283</v>
      </c>
      <c r="K509" s="35" t="s">
        <v>487</v>
      </c>
      <c r="L509" s="35" t="n">
        <v>90</v>
      </c>
      <c r="M509" s="35" t="s">
        <v>255</v>
      </c>
      <c r="N509" s="35" t="s">
        <v>1794</v>
      </c>
      <c r="O509" s="35" t="s">
        <v>256</v>
      </c>
      <c r="P509" s="35" t="s">
        <v>50</v>
      </c>
      <c r="Q509" s="35" t="n">
        <v>0</v>
      </c>
      <c r="R509" s="35"/>
      <c r="S509" s="35" t="s">
        <v>40</v>
      </c>
      <c r="T509" s="35" t="s">
        <v>41</v>
      </c>
      <c r="U509" s="35" t="s">
        <v>43</v>
      </c>
      <c r="V509" s="35" t="s">
        <v>230</v>
      </c>
      <c r="W509" s="35" t="s">
        <v>255</v>
      </c>
      <c r="X509" s="35" t="s">
        <v>2261</v>
      </c>
      <c r="Y509" s="35" t="n">
        <v>-7.1886045</v>
      </c>
      <c r="Z509" s="35" t="n">
        <v>-48.210539</v>
      </c>
      <c r="AA509" s="49" t="s">
        <v>1603</v>
      </c>
      <c r="AB509" s="35" t="s">
        <v>2262</v>
      </c>
    </row>
    <row r="510" customFormat="false" ht="15" hidden="false" customHeight="false" outlineLevel="0" collapsed="false">
      <c r="A510" s="35" t="n">
        <v>509</v>
      </c>
      <c r="B510" s="35" t="s">
        <v>1558</v>
      </c>
      <c r="C510" s="35" t="s">
        <v>2263</v>
      </c>
      <c r="D510" s="35" t="s">
        <v>1483</v>
      </c>
      <c r="E510" s="35" t="s">
        <v>1559</v>
      </c>
      <c r="F510" s="40" t="n">
        <v>8.54219049312292</v>
      </c>
      <c r="G510" s="36" t="n">
        <v>5607.07771814292</v>
      </c>
      <c r="H510" s="36" t="n">
        <v>8.54219049312269</v>
      </c>
      <c r="I510" s="7" t="s">
        <v>22</v>
      </c>
      <c r="J510" s="35" t="s">
        <v>283</v>
      </c>
      <c r="K510" s="35" t="s">
        <v>487</v>
      </c>
      <c r="L510" s="35" t="n">
        <v>91</v>
      </c>
      <c r="M510" s="35" t="s">
        <v>257</v>
      </c>
      <c r="N510" s="35" t="s">
        <v>1788</v>
      </c>
      <c r="O510" s="35" t="s">
        <v>258</v>
      </c>
      <c r="P510" s="35" t="s">
        <v>50</v>
      </c>
      <c r="Q510" s="35" t="n">
        <v>0</v>
      </c>
      <c r="R510" s="35"/>
      <c r="S510" s="35" t="s">
        <v>40</v>
      </c>
      <c r="T510" s="35" t="s">
        <v>41</v>
      </c>
      <c r="U510" s="35" t="s">
        <v>43</v>
      </c>
      <c r="V510" s="35" t="s">
        <v>230</v>
      </c>
      <c r="W510" s="35" t="s">
        <v>257</v>
      </c>
      <c r="X510" s="35" t="s">
        <v>2264</v>
      </c>
      <c r="Y510" s="35" t="n">
        <v>-7.188939</v>
      </c>
      <c r="Z510" s="35" t="n">
        <v>-48.2097015</v>
      </c>
      <c r="AA510" s="49" t="s">
        <v>1603</v>
      </c>
      <c r="AB510" s="35" t="s">
        <v>2265</v>
      </c>
    </row>
    <row r="511" customFormat="false" ht="15" hidden="false" customHeight="false" outlineLevel="0" collapsed="false">
      <c r="A511" s="35" t="n">
        <v>510</v>
      </c>
      <c r="B511" s="35" t="s">
        <v>1560</v>
      </c>
      <c r="C511" s="35" t="s">
        <v>2266</v>
      </c>
      <c r="D511" s="35" t="s">
        <v>1559</v>
      </c>
      <c r="E511" s="35" t="s">
        <v>1561</v>
      </c>
      <c r="F511" s="40" t="n">
        <v>3.84056657645055</v>
      </c>
      <c r="G511" s="36" t="n">
        <v>5610.91828471937</v>
      </c>
      <c r="H511" s="36" t="n">
        <v>12.382757069573</v>
      </c>
      <c r="I511" s="7" t="s">
        <v>22</v>
      </c>
      <c r="J511" s="35" t="s">
        <v>283</v>
      </c>
      <c r="K511" s="35" t="s">
        <v>487</v>
      </c>
      <c r="L511" s="35" t="n">
        <v>91</v>
      </c>
      <c r="M511" s="35" t="s">
        <v>257</v>
      </c>
      <c r="N511" s="35" t="s">
        <v>1788</v>
      </c>
      <c r="O511" s="35" t="s">
        <v>258</v>
      </c>
      <c r="P511" s="35" t="s">
        <v>50</v>
      </c>
      <c r="Q511" s="35" t="n">
        <v>0</v>
      </c>
      <c r="R511" s="35"/>
      <c r="S511" s="35" t="s">
        <v>40</v>
      </c>
      <c r="T511" s="35" t="s">
        <v>41</v>
      </c>
      <c r="U511" s="35" t="s">
        <v>43</v>
      </c>
      <c r="V511" s="35" t="s">
        <v>230</v>
      </c>
      <c r="W511" s="35" t="s">
        <v>257</v>
      </c>
      <c r="X511" s="35" t="s">
        <v>2264</v>
      </c>
      <c r="Y511" s="35" t="n">
        <v>-7.1889695</v>
      </c>
      <c r="Z511" s="35" t="n">
        <v>-48.2097315</v>
      </c>
      <c r="AA511" s="49" t="s">
        <v>1603</v>
      </c>
      <c r="AB511" s="35" t="s">
        <v>2265</v>
      </c>
    </row>
    <row r="512" customFormat="false" ht="15" hidden="false" customHeight="false" outlineLevel="0" collapsed="false">
      <c r="A512" s="35" t="n">
        <v>511</v>
      </c>
      <c r="B512" s="35" t="s">
        <v>1562</v>
      </c>
      <c r="C512" s="35" t="s">
        <v>2267</v>
      </c>
      <c r="D512" s="35" t="s">
        <v>1559</v>
      </c>
      <c r="E512" s="35" t="s">
        <v>1563</v>
      </c>
      <c r="F512" s="40" t="n">
        <v>16.6434832604347</v>
      </c>
      <c r="G512" s="36" t="n">
        <v>5623.72120140336</v>
      </c>
      <c r="H512" s="36" t="n">
        <v>25.1856737535572</v>
      </c>
      <c r="I512" s="7" t="s">
        <v>22</v>
      </c>
      <c r="J512" s="35" t="s">
        <v>283</v>
      </c>
      <c r="K512" s="35" t="s">
        <v>487</v>
      </c>
      <c r="L512" s="35" t="n">
        <v>91</v>
      </c>
      <c r="M512" s="35" t="s">
        <v>257</v>
      </c>
      <c r="N512" s="35" t="s">
        <v>1788</v>
      </c>
      <c r="O512" s="35" t="s">
        <v>258</v>
      </c>
      <c r="P512" s="35" t="s">
        <v>50</v>
      </c>
      <c r="Q512" s="35" t="n">
        <v>0</v>
      </c>
      <c r="R512" s="35"/>
      <c r="S512" s="35" t="s">
        <v>40</v>
      </c>
      <c r="T512" s="35" t="s">
        <v>41</v>
      </c>
      <c r="U512" s="35" t="s">
        <v>43</v>
      </c>
      <c r="V512" s="35" t="s">
        <v>230</v>
      </c>
      <c r="W512" s="35" t="s">
        <v>257</v>
      </c>
      <c r="X512" s="35" t="s">
        <v>2264</v>
      </c>
      <c r="Y512" s="35" t="n">
        <v>-7.188983</v>
      </c>
      <c r="Z512" s="35" t="n">
        <v>-48.20964</v>
      </c>
      <c r="AA512" s="49" t="s">
        <v>1603</v>
      </c>
      <c r="AB512" s="35" t="s">
        <v>2265</v>
      </c>
    </row>
    <row r="513" customFormat="false" ht="15" hidden="false" customHeight="false" outlineLevel="0" collapsed="false">
      <c r="A513" s="35" t="n">
        <v>512</v>
      </c>
      <c r="B513" s="35" t="s">
        <v>1564</v>
      </c>
      <c r="C513" s="35" t="s">
        <v>2268</v>
      </c>
      <c r="D513" s="35" t="s">
        <v>1487</v>
      </c>
      <c r="E513" s="35" t="s">
        <v>1565</v>
      </c>
      <c r="F513" s="40" t="n">
        <v>9.13921258765121</v>
      </c>
      <c r="G513" s="36" t="n">
        <v>5529.90995004276</v>
      </c>
      <c r="H513" s="36" t="n">
        <v>9.13921258765095</v>
      </c>
      <c r="I513" s="7" t="s">
        <v>22</v>
      </c>
      <c r="J513" s="35" t="s">
        <v>283</v>
      </c>
      <c r="K513" s="35" t="s">
        <v>487</v>
      </c>
      <c r="L513" s="35" t="n">
        <v>92</v>
      </c>
      <c r="M513" s="35" t="s">
        <v>259</v>
      </c>
      <c r="N513" s="35" t="s">
        <v>1788</v>
      </c>
      <c r="O513" s="35" t="s">
        <v>260</v>
      </c>
      <c r="P513" s="35" t="s">
        <v>50</v>
      </c>
      <c r="Q513" s="35" t="n">
        <v>0</v>
      </c>
      <c r="R513" s="35"/>
      <c r="S513" s="35" t="s">
        <v>40</v>
      </c>
      <c r="T513" s="35" t="s">
        <v>41</v>
      </c>
      <c r="U513" s="35" t="s">
        <v>43</v>
      </c>
      <c r="V513" s="35" t="s">
        <v>230</v>
      </c>
      <c r="W513" s="35" t="s">
        <v>259</v>
      </c>
      <c r="X513" s="35" t="s">
        <v>2269</v>
      </c>
      <c r="Y513" s="35" t="n">
        <v>-7.189151</v>
      </c>
      <c r="Z513" s="35" t="n">
        <v>-48.2090325</v>
      </c>
      <c r="AA513" s="49" t="s">
        <v>1603</v>
      </c>
      <c r="AB513" s="35" t="s">
        <v>2270</v>
      </c>
    </row>
    <row r="514" customFormat="false" ht="15" hidden="false" customHeight="false" outlineLevel="0" collapsed="false">
      <c r="A514" s="35" t="n">
        <v>513</v>
      </c>
      <c r="B514" s="35" t="s">
        <v>1566</v>
      </c>
      <c r="C514" s="35" t="s">
        <v>2271</v>
      </c>
      <c r="D514" s="35" t="s">
        <v>1565</v>
      </c>
      <c r="E514" s="35" t="s">
        <v>1567</v>
      </c>
      <c r="F514" s="40" t="n">
        <v>16.8628691966882</v>
      </c>
      <c r="G514" s="36" t="n">
        <v>5546.77281923945</v>
      </c>
      <c r="H514" s="36" t="n">
        <v>26.0020817843388</v>
      </c>
      <c r="I514" s="7" t="s">
        <v>22</v>
      </c>
      <c r="J514" s="35" t="s">
        <v>283</v>
      </c>
      <c r="K514" s="35" t="s">
        <v>487</v>
      </c>
      <c r="L514" s="35" t="n">
        <v>92</v>
      </c>
      <c r="M514" s="35" t="s">
        <v>259</v>
      </c>
      <c r="N514" s="35" t="s">
        <v>1788</v>
      </c>
      <c r="O514" s="35" t="s">
        <v>260</v>
      </c>
      <c r="P514" s="35" t="s">
        <v>50</v>
      </c>
      <c r="Q514" s="35" t="n">
        <v>0</v>
      </c>
      <c r="R514" s="35"/>
      <c r="S514" s="35" t="s">
        <v>40</v>
      </c>
      <c r="T514" s="35" t="s">
        <v>41</v>
      </c>
      <c r="U514" s="35" t="s">
        <v>43</v>
      </c>
      <c r="V514" s="35" t="s">
        <v>230</v>
      </c>
      <c r="W514" s="35" t="s">
        <v>259</v>
      </c>
      <c r="X514" s="35" t="s">
        <v>2269</v>
      </c>
      <c r="Y514" s="35" t="n">
        <v>-7.189199</v>
      </c>
      <c r="Z514" s="35" t="n">
        <v>-48.208966</v>
      </c>
      <c r="AA514" s="49" t="s">
        <v>1603</v>
      </c>
      <c r="AB514" s="35" t="s">
        <v>2270</v>
      </c>
    </row>
    <row r="515" customFormat="false" ht="15" hidden="false" customHeight="false" outlineLevel="0" collapsed="false">
      <c r="A515" s="35" t="n">
        <v>514</v>
      </c>
      <c r="B515" s="35" t="s">
        <v>1568</v>
      </c>
      <c r="C515" s="35" t="s">
        <v>2272</v>
      </c>
      <c r="D515" s="35" t="s">
        <v>1507</v>
      </c>
      <c r="E515" s="35" t="s">
        <v>1569</v>
      </c>
      <c r="F515" s="40" t="n">
        <v>8.2459817408769</v>
      </c>
      <c r="G515" s="36" t="n">
        <v>5441.69934076279</v>
      </c>
      <c r="H515" s="36" t="n">
        <v>8.24598174087714</v>
      </c>
      <c r="I515" s="7" t="s">
        <v>22</v>
      </c>
      <c r="J515" s="35" t="s">
        <v>283</v>
      </c>
      <c r="K515" s="35" t="s">
        <v>487</v>
      </c>
      <c r="L515" s="35" t="n">
        <v>93</v>
      </c>
      <c r="M515" s="35" t="s">
        <v>261</v>
      </c>
      <c r="N515" s="35" t="s">
        <v>1788</v>
      </c>
      <c r="O515" s="35" t="s">
        <v>262</v>
      </c>
      <c r="P515" s="35" t="s">
        <v>50</v>
      </c>
      <c r="Q515" s="35" t="n">
        <v>0</v>
      </c>
      <c r="R515" s="35"/>
      <c r="S515" s="35" t="s">
        <v>40</v>
      </c>
      <c r="T515" s="35" t="s">
        <v>41</v>
      </c>
      <c r="U515" s="35" t="s">
        <v>43</v>
      </c>
      <c r="V515" s="35" t="s">
        <v>230</v>
      </c>
      <c r="W515" s="35" t="s">
        <v>261</v>
      </c>
      <c r="X515" s="35" t="s">
        <v>2273</v>
      </c>
      <c r="Y515" s="35" t="n">
        <v>-7.189498</v>
      </c>
      <c r="Z515" s="35" t="n">
        <v>-48.2081845</v>
      </c>
      <c r="AA515" s="49" t="s">
        <v>1603</v>
      </c>
      <c r="AB515" s="35" t="s">
        <v>2274</v>
      </c>
    </row>
    <row r="516" customFormat="false" ht="15" hidden="false" customHeight="false" outlineLevel="0" collapsed="false">
      <c r="A516" s="35" t="n">
        <v>515</v>
      </c>
      <c r="B516" s="35" t="s">
        <v>1570</v>
      </c>
      <c r="C516" s="35" t="s">
        <v>2275</v>
      </c>
      <c r="D516" s="35" t="s">
        <v>794</v>
      </c>
      <c r="E516" s="35" t="s">
        <v>1571</v>
      </c>
      <c r="F516" s="40" t="n">
        <v>29.4163240943626</v>
      </c>
      <c r="G516" s="36" t="n">
        <v>5531.6028994651</v>
      </c>
      <c r="H516" s="36" t="n">
        <v>1492.3817557574</v>
      </c>
      <c r="I516" s="6" t="s">
        <v>21</v>
      </c>
      <c r="J516" s="35" t="s">
        <v>283</v>
      </c>
      <c r="K516" s="35" t="s">
        <v>511</v>
      </c>
      <c r="L516" s="35" t="n">
        <v>94</v>
      </c>
      <c r="M516" s="35" t="s">
        <v>43</v>
      </c>
      <c r="N516" s="35" t="s">
        <v>1674</v>
      </c>
      <c r="O516" s="35" t="s">
        <v>265</v>
      </c>
      <c r="P516" s="35" t="s">
        <v>50</v>
      </c>
      <c r="Q516" s="35" t="n">
        <v>0</v>
      </c>
      <c r="R516" s="35"/>
      <c r="S516" s="35" t="s">
        <v>40</v>
      </c>
      <c r="T516" s="35" t="s">
        <v>41</v>
      </c>
      <c r="U516" s="35" t="s">
        <v>43</v>
      </c>
      <c r="V516" s="35"/>
      <c r="W516" s="35"/>
      <c r="X516" s="35" t="s">
        <v>1718</v>
      </c>
      <c r="Y516" s="35" t="n">
        <v>-7.188634</v>
      </c>
      <c r="Z516" s="35" t="n">
        <v>-48.205377</v>
      </c>
      <c r="AA516" s="49" t="s">
        <v>1603</v>
      </c>
      <c r="AB516" s="35" t="s">
        <v>1719</v>
      </c>
    </row>
    <row r="517" customFormat="false" ht="15" hidden="false" customHeight="false" outlineLevel="0" collapsed="false">
      <c r="A517" s="35" t="n">
        <v>516</v>
      </c>
      <c r="B517" s="35" t="s">
        <v>1572</v>
      </c>
      <c r="C517" s="35" t="s">
        <v>2276</v>
      </c>
      <c r="D517" s="35" t="s">
        <v>1571</v>
      </c>
      <c r="E517" s="35" t="s">
        <v>1573</v>
      </c>
      <c r="F517" s="40" t="n">
        <v>3.81475555738846</v>
      </c>
      <c r="G517" s="36" t="n">
        <v>5535.41765502249</v>
      </c>
      <c r="H517" s="36" t="n">
        <v>1496.19651131479</v>
      </c>
      <c r="I517" s="6" t="s">
        <v>21</v>
      </c>
      <c r="J517" s="35" t="s">
        <v>283</v>
      </c>
      <c r="K517" s="35" t="s">
        <v>511</v>
      </c>
      <c r="L517" s="35" t="n">
        <v>94</v>
      </c>
      <c r="M517" s="35" t="s">
        <v>43</v>
      </c>
      <c r="N517" s="35" t="s">
        <v>1674</v>
      </c>
      <c r="O517" s="35" t="s">
        <v>265</v>
      </c>
      <c r="P517" s="35" t="s">
        <v>50</v>
      </c>
      <c r="Q517" s="35" t="n">
        <v>0</v>
      </c>
      <c r="R517" s="35"/>
      <c r="S517" s="35" t="s">
        <v>40</v>
      </c>
      <c r="T517" s="35" t="s">
        <v>41</v>
      </c>
      <c r="U517" s="35" t="s">
        <v>43</v>
      </c>
      <c r="V517" s="35"/>
      <c r="W517" s="35"/>
      <c r="X517" s="35" t="s">
        <v>1718</v>
      </c>
      <c r="Y517" s="35" t="n">
        <v>-7.1886865</v>
      </c>
      <c r="Z517" s="35" t="n">
        <v>-48.205236</v>
      </c>
      <c r="AA517" s="49" t="s">
        <v>1603</v>
      </c>
      <c r="AB517" s="35" t="s">
        <v>1719</v>
      </c>
    </row>
    <row r="518" customFormat="false" ht="15" hidden="false" customHeight="false" outlineLevel="0" collapsed="false">
      <c r="A518" s="35" t="n">
        <v>517</v>
      </c>
      <c r="B518" s="35" t="s">
        <v>1574</v>
      </c>
      <c r="C518" s="35" t="s">
        <v>2277</v>
      </c>
      <c r="D518" s="35" t="s">
        <v>1573</v>
      </c>
      <c r="E518" s="35" t="s">
        <v>1575</v>
      </c>
      <c r="F518" s="40" t="n">
        <v>30.8477077741338</v>
      </c>
      <c r="G518" s="36" t="n">
        <v>5566.26536279663</v>
      </c>
      <c r="H518" s="36" t="n">
        <v>1527.04421908892</v>
      </c>
      <c r="I518" s="6" t="s">
        <v>21</v>
      </c>
      <c r="J518" s="35" t="s">
        <v>283</v>
      </c>
      <c r="K518" s="35" t="s">
        <v>511</v>
      </c>
      <c r="L518" s="35" t="n">
        <v>94</v>
      </c>
      <c r="M518" s="35" t="s">
        <v>43</v>
      </c>
      <c r="N518" s="35" t="s">
        <v>1674</v>
      </c>
      <c r="O518" s="35" t="s">
        <v>265</v>
      </c>
      <c r="P518" s="35" t="s">
        <v>50</v>
      </c>
      <c r="Q518" s="35" t="n">
        <v>0</v>
      </c>
      <c r="R518" s="35"/>
      <c r="S518" s="35" t="s">
        <v>40</v>
      </c>
      <c r="T518" s="35" t="s">
        <v>41</v>
      </c>
      <c r="U518" s="35" t="s">
        <v>43</v>
      </c>
      <c r="V518" s="35"/>
      <c r="W518" s="35"/>
      <c r="X518" s="35" t="s">
        <v>1718</v>
      </c>
      <c r="Y518" s="35" t="n">
        <v>-7.188723</v>
      </c>
      <c r="Z518" s="35" t="n">
        <v>-48.2050835</v>
      </c>
      <c r="AA518" s="49" t="s">
        <v>1603</v>
      </c>
      <c r="AB518" s="35" t="s">
        <v>1719</v>
      </c>
    </row>
    <row r="519" customFormat="false" ht="15" hidden="false" customHeight="false" outlineLevel="0" collapsed="false">
      <c r="A519" s="35" t="n">
        <v>518</v>
      </c>
      <c r="B519" s="35" t="s">
        <v>1576</v>
      </c>
      <c r="C519" s="35" t="s">
        <v>2278</v>
      </c>
      <c r="D519" s="35" t="s">
        <v>1575</v>
      </c>
      <c r="E519" s="35" t="s">
        <v>1577</v>
      </c>
      <c r="F519" s="40" t="n">
        <v>5.40340587098869</v>
      </c>
      <c r="G519" s="36" t="n">
        <v>5571.66876866762</v>
      </c>
      <c r="H519" s="36" t="n">
        <v>1532.44762495991</v>
      </c>
      <c r="I519" s="6" t="s">
        <v>21</v>
      </c>
      <c r="J519" s="35" t="s">
        <v>283</v>
      </c>
      <c r="K519" s="35" t="s">
        <v>511</v>
      </c>
      <c r="L519" s="35" t="n">
        <v>94</v>
      </c>
      <c r="M519" s="35" t="s">
        <v>43</v>
      </c>
      <c r="N519" s="35" t="s">
        <v>1674</v>
      </c>
      <c r="O519" s="35" t="s">
        <v>265</v>
      </c>
      <c r="P519" s="35" t="s">
        <v>50</v>
      </c>
      <c r="Q519" s="35" t="n">
        <v>0</v>
      </c>
      <c r="R519" s="35"/>
      <c r="S519" s="35" t="s">
        <v>40</v>
      </c>
      <c r="T519" s="35" t="s">
        <v>41</v>
      </c>
      <c r="U519" s="35" t="s">
        <v>43</v>
      </c>
      <c r="V519" s="35"/>
      <c r="W519" s="35"/>
      <c r="X519" s="35" t="s">
        <v>1718</v>
      </c>
      <c r="Y519" s="35" t="n">
        <v>-7.1887405</v>
      </c>
      <c r="Z519" s="35" t="n">
        <v>-48.204926</v>
      </c>
      <c r="AA519" s="49" t="s">
        <v>1603</v>
      </c>
      <c r="AB519" s="35" t="s">
        <v>1719</v>
      </c>
    </row>
    <row r="520" customFormat="false" ht="15" hidden="false" customHeight="false" outlineLevel="0" collapsed="false">
      <c r="A520" s="35" t="n">
        <v>519</v>
      </c>
      <c r="B520" s="35" t="s">
        <v>1578</v>
      </c>
      <c r="C520" s="35" t="s">
        <v>2279</v>
      </c>
      <c r="D520" s="35" t="s">
        <v>1575</v>
      </c>
      <c r="E520" s="35" t="s">
        <v>1579</v>
      </c>
      <c r="F520" s="40" t="n">
        <v>0.351353804936706</v>
      </c>
      <c r="G520" s="36" t="n">
        <v>5566.61671660156</v>
      </c>
      <c r="H520" s="36" t="n">
        <v>1527.39557289386</v>
      </c>
      <c r="I520" s="6" t="s">
        <v>21</v>
      </c>
      <c r="J520" s="35" t="s">
        <v>283</v>
      </c>
      <c r="K520" s="35" t="s">
        <v>511</v>
      </c>
      <c r="L520" s="35" t="n">
        <v>94</v>
      </c>
      <c r="M520" s="35" t="s">
        <v>43</v>
      </c>
      <c r="N520" s="35" t="s">
        <v>1674</v>
      </c>
      <c r="O520" s="35" t="s">
        <v>265</v>
      </c>
      <c r="P520" s="35" t="s">
        <v>50</v>
      </c>
      <c r="Q520" s="35" t="n">
        <v>0</v>
      </c>
      <c r="R520" s="35"/>
      <c r="S520" s="35" t="s">
        <v>40</v>
      </c>
      <c r="T520" s="35" t="s">
        <v>41</v>
      </c>
      <c r="U520" s="35" t="s">
        <v>43</v>
      </c>
      <c r="V520" s="35"/>
      <c r="W520" s="35"/>
      <c r="X520" s="35" t="s">
        <v>1718</v>
      </c>
      <c r="Y520" s="35" t="n">
        <v>-7.1887545</v>
      </c>
      <c r="Z520" s="35" t="n">
        <v>-48.2049465</v>
      </c>
      <c r="AA520" s="49" t="s">
        <v>1603</v>
      </c>
      <c r="AB520" s="35" t="s">
        <v>1719</v>
      </c>
    </row>
    <row r="521" customFormat="false" ht="15" hidden="false" customHeight="false" outlineLevel="0" collapsed="false">
      <c r="A521" s="35" t="n">
        <v>520</v>
      </c>
      <c r="B521" s="35" t="s">
        <v>1580</v>
      </c>
      <c r="C521" s="35" t="s">
        <v>2280</v>
      </c>
      <c r="D521" s="35" t="s">
        <v>1579</v>
      </c>
      <c r="E521" s="35" t="s">
        <v>1581</v>
      </c>
      <c r="F521" s="40" t="n">
        <v>2.75303709839501</v>
      </c>
      <c r="G521" s="36" t="n">
        <v>5569.36975369996</v>
      </c>
      <c r="H521" s="36" t="n">
        <v>1530.14860999226</v>
      </c>
      <c r="I521" s="6" t="s">
        <v>21</v>
      </c>
      <c r="J521" s="35" t="s">
        <v>283</v>
      </c>
      <c r="K521" s="35" t="s">
        <v>511</v>
      </c>
      <c r="L521" s="35" t="n">
        <v>94</v>
      </c>
      <c r="M521" s="35" t="s">
        <v>43</v>
      </c>
      <c r="N521" s="35" t="s">
        <v>1674</v>
      </c>
      <c r="O521" s="35" t="s">
        <v>265</v>
      </c>
      <c r="P521" s="35" t="s">
        <v>50</v>
      </c>
      <c r="Q521" s="35" t="n">
        <v>0</v>
      </c>
      <c r="R521" s="35"/>
      <c r="S521" s="35" t="s">
        <v>40</v>
      </c>
      <c r="T521" s="35" t="s">
        <v>41</v>
      </c>
      <c r="U521" s="35" t="s">
        <v>43</v>
      </c>
      <c r="V521" s="35"/>
      <c r="W521" s="35"/>
      <c r="X521" s="35" t="s">
        <v>1718</v>
      </c>
      <c r="Y521" s="35" t="n">
        <v>-7.1887655</v>
      </c>
      <c r="Z521" s="35" t="n">
        <v>-48.204938</v>
      </c>
      <c r="AA521" s="49" t="s">
        <v>1603</v>
      </c>
      <c r="AB521" s="35" t="s">
        <v>1719</v>
      </c>
    </row>
    <row r="522" customFormat="false" ht="15" hidden="false" customHeight="false" outlineLevel="0" collapsed="false">
      <c r="A522" s="35" t="n">
        <v>521</v>
      </c>
      <c r="B522" s="35" t="s">
        <v>1582</v>
      </c>
      <c r="C522" s="35" t="s">
        <v>2281</v>
      </c>
      <c r="D522" s="35" t="s">
        <v>794</v>
      </c>
      <c r="E522" s="35" t="s">
        <v>1583</v>
      </c>
      <c r="F522" s="40" t="n">
        <v>10.3020391140967</v>
      </c>
      <c r="G522" s="36" t="n">
        <v>5512.48861448484</v>
      </c>
      <c r="H522" s="36" t="n">
        <v>1473.26747077714</v>
      </c>
      <c r="I522" s="6" t="s">
        <v>21</v>
      </c>
      <c r="J522" s="35" t="s">
        <v>283</v>
      </c>
      <c r="K522" s="35" t="s">
        <v>511</v>
      </c>
      <c r="L522" s="35" t="n">
        <v>94</v>
      </c>
      <c r="M522" s="35" t="s">
        <v>43</v>
      </c>
      <c r="N522" s="35" t="s">
        <v>1674</v>
      </c>
      <c r="O522" s="35" t="s">
        <v>265</v>
      </c>
      <c r="P522" s="35" t="s">
        <v>50</v>
      </c>
      <c r="Q522" s="35" t="n">
        <v>0</v>
      </c>
      <c r="R522" s="35"/>
      <c r="S522" s="35" t="s">
        <v>40</v>
      </c>
      <c r="T522" s="35" t="s">
        <v>41</v>
      </c>
      <c r="U522" s="35" t="s">
        <v>43</v>
      </c>
      <c r="V522" s="35"/>
      <c r="W522" s="35"/>
      <c r="X522" s="35" t="s">
        <v>1718</v>
      </c>
      <c r="Y522" s="35" t="n">
        <v>-7.1885725</v>
      </c>
      <c r="Z522" s="35" t="n">
        <v>-48.205546</v>
      </c>
      <c r="AA522" s="49" t="s">
        <v>1603</v>
      </c>
      <c r="AB522" s="35" t="s">
        <v>1719</v>
      </c>
    </row>
    <row r="523" customFormat="false" ht="15" hidden="false" customHeight="false" outlineLevel="0" collapsed="false">
      <c r="A523" s="35" t="n">
        <v>522</v>
      </c>
      <c r="B523" s="35" t="s">
        <v>1584</v>
      </c>
      <c r="C523" s="35" t="s">
        <v>2282</v>
      </c>
      <c r="D523" s="35" t="s">
        <v>800</v>
      </c>
      <c r="E523" s="35" t="s">
        <v>1585</v>
      </c>
      <c r="F523" s="40" t="n">
        <v>19.9927998700289</v>
      </c>
      <c r="G523" s="36" t="n">
        <v>5586.56120508387</v>
      </c>
      <c r="H523" s="36" t="n">
        <v>1547.34006137617</v>
      </c>
      <c r="I523" s="6" t="s">
        <v>21</v>
      </c>
      <c r="J523" s="35" t="s">
        <v>283</v>
      </c>
      <c r="K523" s="35" t="s">
        <v>515</v>
      </c>
      <c r="L523" s="35" t="n">
        <v>95</v>
      </c>
      <c r="M523" s="35" t="s">
        <v>43</v>
      </c>
      <c r="N523" s="35" t="s">
        <v>1674</v>
      </c>
      <c r="O523" s="35" t="s">
        <v>268</v>
      </c>
      <c r="P523" s="35" t="s">
        <v>50</v>
      </c>
      <c r="Q523" s="35" t="n">
        <v>0</v>
      </c>
      <c r="R523" s="35"/>
      <c r="S523" s="35" t="s">
        <v>40</v>
      </c>
      <c r="T523" s="35" t="s">
        <v>41</v>
      </c>
      <c r="U523" s="35" t="s">
        <v>43</v>
      </c>
      <c r="V523" s="35"/>
      <c r="W523" s="35"/>
      <c r="X523" s="35" t="s">
        <v>1718</v>
      </c>
      <c r="Y523" s="35" t="n">
        <v>-7.1892245</v>
      </c>
      <c r="Z523" s="35" t="n">
        <v>-48.205709</v>
      </c>
      <c r="AA523" s="49" t="s">
        <v>1603</v>
      </c>
      <c r="AB523" s="35" t="s">
        <v>1719</v>
      </c>
    </row>
    <row r="524" customFormat="false" ht="15" hidden="false" customHeight="false" outlineLevel="0" collapsed="false">
      <c r="A524" s="35" t="n">
        <v>523</v>
      </c>
      <c r="B524" s="35" t="s">
        <v>1586</v>
      </c>
      <c r="C524" s="35" t="s">
        <v>2283</v>
      </c>
      <c r="D524" s="35" t="s">
        <v>1585</v>
      </c>
      <c r="E524" s="35" t="s">
        <v>1587</v>
      </c>
      <c r="F524" s="40" t="n">
        <v>38.4792799775428</v>
      </c>
      <c r="G524" s="36" t="n">
        <v>5625.04048506141</v>
      </c>
      <c r="H524" s="36" t="n">
        <v>1585.81934135371</v>
      </c>
      <c r="I524" s="6" t="s">
        <v>21</v>
      </c>
      <c r="J524" s="35" t="s">
        <v>283</v>
      </c>
      <c r="K524" s="35" t="s">
        <v>515</v>
      </c>
      <c r="L524" s="35" t="n">
        <v>95</v>
      </c>
      <c r="M524" s="35" t="s">
        <v>43</v>
      </c>
      <c r="N524" s="35" t="s">
        <v>1674</v>
      </c>
      <c r="O524" s="35" t="s">
        <v>268</v>
      </c>
      <c r="P524" s="35" t="s">
        <v>50</v>
      </c>
      <c r="Q524" s="35" t="n">
        <v>0</v>
      </c>
      <c r="R524" s="35"/>
      <c r="S524" s="35" t="s">
        <v>40</v>
      </c>
      <c r="T524" s="35" t="s">
        <v>41</v>
      </c>
      <c r="U524" s="35" t="s">
        <v>43</v>
      </c>
      <c r="V524" s="35"/>
      <c r="W524" s="35"/>
      <c r="X524" s="35" t="s">
        <v>1718</v>
      </c>
      <c r="Y524" s="35" t="n">
        <v>-7.189475</v>
      </c>
      <c r="Z524" s="35" t="n">
        <v>-48.2057895</v>
      </c>
      <c r="AA524" s="49" t="s">
        <v>1603</v>
      </c>
      <c r="AB524" s="35" t="s">
        <v>1719</v>
      </c>
    </row>
    <row r="525" customFormat="false" ht="15" hidden="false" customHeight="false" outlineLevel="0" collapsed="false">
      <c r="A525" s="35" t="n">
        <v>524</v>
      </c>
      <c r="B525" s="35" t="s">
        <v>1588</v>
      </c>
      <c r="C525" s="35" t="s">
        <v>2284</v>
      </c>
      <c r="D525" s="35" t="s">
        <v>804</v>
      </c>
      <c r="E525" s="35" t="s">
        <v>1589</v>
      </c>
      <c r="F525" s="40" t="n">
        <v>30.0082558648023</v>
      </c>
      <c r="G525" s="36" t="n">
        <v>5692.80902702734</v>
      </c>
      <c r="H525" s="36" t="n">
        <v>1653.58788331963</v>
      </c>
      <c r="I525" s="6" t="s">
        <v>21</v>
      </c>
      <c r="J525" s="35" t="s">
        <v>283</v>
      </c>
      <c r="K525" s="35" t="s">
        <v>516</v>
      </c>
      <c r="L525" s="35" t="n">
        <v>96</v>
      </c>
      <c r="M525" s="35" t="s">
        <v>43</v>
      </c>
      <c r="N525" s="35" t="s">
        <v>1674</v>
      </c>
      <c r="O525" s="35" t="s">
        <v>271</v>
      </c>
      <c r="P525" s="35" t="s">
        <v>50</v>
      </c>
      <c r="Q525" s="35" t="n">
        <v>0</v>
      </c>
      <c r="R525" s="35"/>
      <c r="S525" s="35" t="s">
        <v>40</v>
      </c>
      <c r="T525" s="35" t="s">
        <v>41</v>
      </c>
      <c r="U525" s="35" t="s">
        <v>43</v>
      </c>
      <c r="V525" s="35"/>
      <c r="W525" s="35"/>
      <c r="X525" s="35" t="s">
        <v>1718</v>
      </c>
      <c r="Y525" s="35" t="n">
        <v>-7.188887</v>
      </c>
      <c r="Z525" s="35" t="n">
        <v>-48.2066555</v>
      </c>
      <c r="AA525" s="49" t="s">
        <v>1603</v>
      </c>
      <c r="AB525" s="35" t="s">
        <v>1719</v>
      </c>
    </row>
    <row r="526" customFormat="false" ht="15" hidden="false" customHeight="false" outlineLevel="0" collapsed="false">
      <c r="A526" s="35" t="n">
        <v>525</v>
      </c>
      <c r="B526" s="35" t="s">
        <v>1590</v>
      </c>
      <c r="C526" s="35" t="s">
        <v>2285</v>
      </c>
      <c r="D526" s="35" t="s">
        <v>806</v>
      </c>
      <c r="E526" s="35" t="s">
        <v>278</v>
      </c>
      <c r="F526" s="40" t="n">
        <v>20.6350272599065</v>
      </c>
      <c r="G526" s="36" t="n">
        <v>5685.8731601182</v>
      </c>
      <c r="H526" s="36" t="n">
        <v>20.6350272599066</v>
      </c>
      <c r="I526" s="7" t="s">
        <v>22</v>
      </c>
      <c r="J526" s="35" t="s">
        <v>283</v>
      </c>
      <c r="K526" s="35" t="s">
        <v>517</v>
      </c>
      <c r="L526" s="35" t="n">
        <v>97</v>
      </c>
      <c r="M526" s="35" t="s">
        <v>273</v>
      </c>
      <c r="N526" s="35" t="s">
        <v>1794</v>
      </c>
      <c r="O526" s="35" t="s">
        <v>274</v>
      </c>
      <c r="P526" s="35" t="s">
        <v>50</v>
      </c>
      <c r="Q526" s="35" t="n">
        <v>0</v>
      </c>
      <c r="R526" s="35"/>
      <c r="S526" s="35" t="s">
        <v>40</v>
      </c>
      <c r="T526" s="35" t="s">
        <v>41</v>
      </c>
      <c r="U526" s="35" t="s">
        <v>43</v>
      </c>
      <c r="V526" s="35" t="s">
        <v>273</v>
      </c>
      <c r="W526" s="35"/>
      <c r="X526" s="35" t="s">
        <v>2286</v>
      </c>
      <c r="Y526" s="35" t="n">
        <v>-7.188997</v>
      </c>
      <c r="Z526" s="35" t="n">
        <v>-48.206615</v>
      </c>
      <c r="AA526" s="49" t="s">
        <v>1603</v>
      </c>
      <c r="AB526" s="35" t="s">
        <v>2287</v>
      </c>
    </row>
  </sheetData>
  <hyperlinks>
    <hyperlink ref="AA2" r:id="rId2" display="abrir"/>
    <hyperlink ref="AA3" r:id="rId3" display="abrir"/>
    <hyperlink ref="AA4" r:id="rId4" display="abrir"/>
    <hyperlink ref="AA5" r:id="rId5" display="abrir"/>
    <hyperlink ref="AA6" r:id="rId6" display="abrir"/>
    <hyperlink ref="AA7" r:id="rId7" display="abrir"/>
    <hyperlink ref="AA8" r:id="rId8" display="abrir"/>
    <hyperlink ref="AA9" r:id="rId9" display="abrir"/>
    <hyperlink ref="AA10" r:id="rId10" display="abrir"/>
    <hyperlink ref="AA11" r:id="rId11" display="abrir"/>
    <hyperlink ref="AA12" r:id="rId12" display="abrir"/>
    <hyperlink ref="AA13" r:id="rId13" display="abrir"/>
    <hyperlink ref="AA14" r:id="rId14" display="abrir"/>
    <hyperlink ref="AA15" r:id="rId15" display="abrir"/>
    <hyperlink ref="AA16" r:id="rId16" display="abrir"/>
    <hyperlink ref="AA17" r:id="rId17" display="abrir"/>
    <hyperlink ref="AA18" r:id="rId18" display="abrir"/>
    <hyperlink ref="AA19" r:id="rId19" display="abrir"/>
    <hyperlink ref="AA20" r:id="rId20" display="abrir"/>
    <hyperlink ref="AA21" r:id="rId21" display="abrir"/>
    <hyperlink ref="AA22" r:id="rId22" display="abrir"/>
    <hyperlink ref="AA23" r:id="rId23" display="abrir"/>
    <hyperlink ref="AA24" r:id="rId24" display="abrir"/>
    <hyperlink ref="AA25" r:id="rId25" display="abrir"/>
    <hyperlink ref="AA26" r:id="rId26" display="abrir"/>
    <hyperlink ref="AA27" r:id="rId27" display="abrir"/>
    <hyperlink ref="AA28" r:id="rId28" display="abrir"/>
    <hyperlink ref="AA29" r:id="rId29" display="abrir"/>
    <hyperlink ref="AA30" r:id="rId30" display="abrir"/>
    <hyperlink ref="AA31" r:id="rId31" display="abrir"/>
    <hyperlink ref="AA32" r:id="rId32" display="abrir"/>
    <hyperlink ref="AA33" r:id="rId33" display="abrir"/>
    <hyperlink ref="AA34" r:id="rId34" display="abrir"/>
    <hyperlink ref="AA35" r:id="rId35" display="abrir"/>
    <hyperlink ref="AA36" r:id="rId36" display="abrir"/>
    <hyperlink ref="AA37" r:id="rId37" display="abrir"/>
    <hyperlink ref="AA38" r:id="rId38" display="abrir"/>
    <hyperlink ref="AA39" r:id="rId39" display="abrir"/>
    <hyperlink ref="AA40" r:id="rId40" display="abrir"/>
    <hyperlink ref="AA41" r:id="rId41" display="abrir"/>
    <hyperlink ref="AA42" r:id="rId42" display="abrir"/>
    <hyperlink ref="AA43" r:id="rId43" display="abrir"/>
    <hyperlink ref="AA44" r:id="rId44" display="abrir"/>
    <hyperlink ref="AA45" r:id="rId45" display="abrir"/>
    <hyperlink ref="AA46" r:id="rId46" display="abrir"/>
    <hyperlink ref="AA47" r:id="rId47" display="abrir"/>
    <hyperlink ref="AA48" r:id="rId48" display="abrir"/>
    <hyperlink ref="AA49" r:id="rId49" display="abrir"/>
    <hyperlink ref="AA50" r:id="rId50" display="abrir"/>
    <hyperlink ref="AA51" r:id="rId51" display="abrir"/>
    <hyperlink ref="AA52" r:id="rId52" display="abrir"/>
    <hyperlink ref="AA53" r:id="rId53" display="abrir"/>
    <hyperlink ref="AA54" r:id="rId54" display="abrir"/>
    <hyperlink ref="AA55" r:id="rId55" display="abrir"/>
    <hyperlink ref="AA56" r:id="rId56" display="abrir"/>
    <hyperlink ref="AA57" r:id="rId57" display="abrir"/>
    <hyperlink ref="AA58" r:id="rId58" display="abrir"/>
    <hyperlink ref="AA59" r:id="rId59" display="abrir"/>
    <hyperlink ref="AA60" r:id="rId60" display="abrir"/>
    <hyperlink ref="AA61" r:id="rId61" display="abrir"/>
    <hyperlink ref="AA62" r:id="rId62" display="abrir"/>
    <hyperlink ref="AA63" r:id="rId63" display="abrir"/>
    <hyperlink ref="AA64" r:id="rId64" display="abrir"/>
    <hyperlink ref="AA65" r:id="rId65" display="abrir"/>
    <hyperlink ref="AA66" r:id="rId66" display="abrir"/>
    <hyperlink ref="AA67" r:id="rId67" display="abrir"/>
    <hyperlink ref="AA68" r:id="rId68" display="abrir"/>
    <hyperlink ref="AA69" r:id="rId69" display="abrir"/>
    <hyperlink ref="AA70" r:id="rId70" display="abrir"/>
    <hyperlink ref="AA71" r:id="rId71" display="abrir"/>
    <hyperlink ref="AA72" r:id="rId72" display="abrir"/>
    <hyperlink ref="AA73" r:id="rId73" display="abrir"/>
    <hyperlink ref="AA74" r:id="rId74" display="abrir"/>
    <hyperlink ref="AA75" r:id="rId75" display="abrir"/>
    <hyperlink ref="AA76" r:id="rId76" display="abrir"/>
    <hyperlink ref="AA77" r:id="rId77" display="abrir"/>
    <hyperlink ref="AA78" r:id="rId78" display="abrir"/>
    <hyperlink ref="AA79" r:id="rId79" display="abrir"/>
    <hyperlink ref="AA80" r:id="rId80" display="abrir"/>
    <hyperlink ref="AA81" r:id="rId81" display="abrir"/>
    <hyperlink ref="AA82" r:id="rId82" display="abrir"/>
    <hyperlink ref="AA83" r:id="rId83" display="abrir"/>
    <hyperlink ref="AA84" r:id="rId84" display="abrir"/>
    <hyperlink ref="AA85" r:id="rId85" display="abrir"/>
    <hyperlink ref="AA86" r:id="rId86" display="abrir"/>
    <hyperlink ref="AA87" r:id="rId87" display="abrir"/>
    <hyperlink ref="AA88" r:id="rId88" display="abrir"/>
    <hyperlink ref="AA89" r:id="rId89" display="abrir"/>
    <hyperlink ref="AA90" r:id="rId90" display="abrir"/>
    <hyperlink ref="AA91" r:id="rId91" display="abrir"/>
    <hyperlink ref="AA92" r:id="rId92" display="abrir"/>
    <hyperlink ref="AA93" r:id="rId93" display="abrir"/>
    <hyperlink ref="AA94" r:id="rId94" display="abrir"/>
    <hyperlink ref="AA95" r:id="rId95" display="abrir"/>
    <hyperlink ref="AA96" r:id="rId96" display="abrir"/>
    <hyperlink ref="AA97" r:id="rId97" display="abrir"/>
    <hyperlink ref="AA98" r:id="rId98" display="abrir"/>
    <hyperlink ref="AA99" r:id="rId99" display="abrir"/>
    <hyperlink ref="AA100" r:id="rId100" display="abrir"/>
    <hyperlink ref="AA101" r:id="rId101" display="abrir"/>
    <hyperlink ref="AA102" r:id="rId102" display="abrir"/>
    <hyperlink ref="AA103" r:id="rId103" display="abrir"/>
    <hyperlink ref="AA104" r:id="rId104" display="abrir"/>
    <hyperlink ref="AA105" r:id="rId105" display="abrir"/>
    <hyperlink ref="AA106" r:id="rId106" display="abrir"/>
    <hyperlink ref="AA107" r:id="rId107" display="abrir"/>
    <hyperlink ref="AA108" r:id="rId108" display="abrir"/>
    <hyperlink ref="AA109" r:id="rId109" display="abrir"/>
    <hyperlink ref="AA110" r:id="rId110" display="abrir"/>
    <hyperlink ref="AA111" r:id="rId111" display="abrir"/>
    <hyperlink ref="AA112" r:id="rId112" display="abrir"/>
    <hyperlink ref="AA113" r:id="rId113" display="abrir"/>
    <hyperlink ref="AA114" r:id="rId114" display="abrir"/>
    <hyperlink ref="AA115" r:id="rId115" display="abrir"/>
    <hyperlink ref="AA116" r:id="rId116" display="abrir"/>
    <hyperlink ref="AA117" r:id="rId117" display="abrir"/>
    <hyperlink ref="AA118" r:id="rId118" display="abrir"/>
    <hyperlink ref="AA119" r:id="rId119" display="abrir"/>
    <hyperlink ref="AA120" r:id="rId120" display="abrir"/>
    <hyperlink ref="AA121" r:id="rId121" display="abrir"/>
    <hyperlink ref="AA122" r:id="rId122" display="abrir"/>
    <hyperlink ref="AA123" r:id="rId123" display="abrir"/>
    <hyperlink ref="AA124" r:id="rId124" display="abrir"/>
    <hyperlink ref="AA125" r:id="rId125" display="abrir"/>
    <hyperlink ref="AA126" r:id="rId126" display="abrir"/>
    <hyperlink ref="AA127" r:id="rId127" display="abrir"/>
    <hyperlink ref="AA128" r:id="rId128" display="abrir"/>
    <hyperlink ref="AA129" r:id="rId129" display="abrir"/>
    <hyperlink ref="AA130" r:id="rId130" display="abrir"/>
    <hyperlink ref="AA131" r:id="rId131" display="abrir"/>
    <hyperlink ref="AA132" r:id="rId132" display="abrir"/>
    <hyperlink ref="AA133" r:id="rId133" display="abrir"/>
    <hyperlink ref="AA134" r:id="rId134" display="abrir"/>
    <hyperlink ref="AA135" r:id="rId135" display="abrir"/>
    <hyperlink ref="AA136" r:id="rId136" display="abrir"/>
    <hyperlink ref="AA137" r:id="rId137" display="abrir"/>
    <hyperlink ref="AA138" r:id="rId138" display="abrir"/>
    <hyperlink ref="AA139" r:id="rId139" display="abrir"/>
    <hyperlink ref="AA140" r:id="rId140" display="abrir"/>
    <hyperlink ref="AA141" r:id="rId141" display="abrir"/>
    <hyperlink ref="AA142" r:id="rId142" display="abrir"/>
    <hyperlink ref="AA143" r:id="rId143" display="abrir"/>
    <hyperlink ref="AA144" r:id="rId144" display="abrir"/>
    <hyperlink ref="AA145" r:id="rId145" display="abrir"/>
    <hyperlink ref="AA146" r:id="rId146" display="abrir"/>
    <hyperlink ref="AA147" r:id="rId147" display="abrir"/>
    <hyperlink ref="AA148" r:id="rId148" display="abrir"/>
    <hyperlink ref="AA149" r:id="rId149" display="abrir"/>
    <hyperlink ref="AA150" r:id="rId150" display="abrir"/>
    <hyperlink ref="AA151" r:id="rId151" display="abrir"/>
    <hyperlink ref="AA152" r:id="rId152" display="abrir"/>
    <hyperlink ref="AA153" r:id="rId153" display="abrir"/>
    <hyperlink ref="AA154" r:id="rId154" display="abrir"/>
    <hyperlink ref="AA155" r:id="rId155" display="abrir"/>
    <hyperlink ref="AA156" r:id="rId156" display="abrir"/>
    <hyperlink ref="AA157" r:id="rId157" display="abrir"/>
    <hyperlink ref="AA158" r:id="rId158" display="abrir"/>
    <hyperlink ref="AA159" r:id="rId159" display="abrir"/>
    <hyperlink ref="AA160" r:id="rId160" display="abrir"/>
    <hyperlink ref="AA161" r:id="rId161" display="abrir"/>
    <hyperlink ref="AA162" r:id="rId162" display="abrir"/>
    <hyperlink ref="AA163" r:id="rId163" display="abrir"/>
    <hyperlink ref="AA164" r:id="rId164" display="abrir"/>
    <hyperlink ref="AA165" r:id="rId165" display="abrir"/>
    <hyperlink ref="AA166" r:id="rId166" display="abrir"/>
    <hyperlink ref="AA167" r:id="rId167" display="abrir"/>
    <hyperlink ref="AA168" r:id="rId168" display="abrir"/>
    <hyperlink ref="AA169" r:id="rId169" display="abrir"/>
    <hyperlink ref="AA170" r:id="rId170" display="abrir"/>
    <hyperlink ref="AA171" r:id="rId171" display="abrir"/>
    <hyperlink ref="AA172" r:id="rId172" display="abrir"/>
    <hyperlink ref="AA173" r:id="rId173" display="abrir"/>
    <hyperlink ref="AA174" r:id="rId174" display="abrir"/>
    <hyperlink ref="AA175" r:id="rId175" display="abrir"/>
    <hyperlink ref="AA176" r:id="rId176" display="abrir"/>
    <hyperlink ref="AA177" r:id="rId177" display="abrir"/>
    <hyperlink ref="AA178" r:id="rId178" display="abrir"/>
    <hyperlink ref="AA179" r:id="rId179" display="abrir"/>
    <hyperlink ref="AA180" r:id="rId180" display="abrir"/>
    <hyperlink ref="AA181" r:id="rId181" display="abrir"/>
    <hyperlink ref="AA182" r:id="rId182" display="abrir"/>
    <hyperlink ref="AA183" r:id="rId183" display="abrir"/>
    <hyperlink ref="AA184" r:id="rId184" display="abrir"/>
    <hyperlink ref="AA185" r:id="rId185" display="abrir"/>
    <hyperlink ref="AA186" r:id="rId186" display="abrir"/>
    <hyperlink ref="AA187" r:id="rId187" display="abrir"/>
    <hyperlink ref="AA188" r:id="rId188" display="abrir"/>
    <hyperlink ref="AA189" r:id="rId189" display="abrir"/>
    <hyperlink ref="AA190" r:id="rId190" display="abrir"/>
    <hyperlink ref="AA191" r:id="rId191" display="abrir"/>
    <hyperlink ref="AA192" r:id="rId192" display="abrir"/>
    <hyperlink ref="AA193" r:id="rId193" display="abrir"/>
    <hyperlink ref="AA194" r:id="rId194" display="abrir"/>
    <hyperlink ref="AA195" r:id="rId195" display="abrir"/>
    <hyperlink ref="AA196" r:id="rId196" display="abrir"/>
    <hyperlink ref="AA197" r:id="rId197" display="abrir"/>
    <hyperlink ref="AA198" r:id="rId198" display="abrir"/>
    <hyperlink ref="AA199" r:id="rId199" display="abrir"/>
    <hyperlink ref="AA200" r:id="rId200" display="abrir"/>
    <hyperlink ref="AA201" r:id="rId201" display="abrir"/>
    <hyperlink ref="AA202" r:id="rId202" display="abrir"/>
    <hyperlink ref="AA203" r:id="rId203" display="abrir"/>
    <hyperlink ref="AA204" r:id="rId204" display="abrir"/>
    <hyperlink ref="AA205" r:id="rId205" display="abrir"/>
    <hyperlink ref="AA206" r:id="rId206" display="abrir"/>
    <hyperlink ref="AA207" r:id="rId207" display="abrir"/>
    <hyperlink ref="AA208" r:id="rId208" display="abrir"/>
    <hyperlink ref="AA209" r:id="rId209" display="abrir"/>
    <hyperlink ref="AA210" r:id="rId210" display="abrir"/>
    <hyperlink ref="AA211" r:id="rId211" display="abrir"/>
    <hyperlink ref="AA212" r:id="rId212" display="abrir"/>
    <hyperlink ref="AA213" r:id="rId213" display="abrir"/>
    <hyperlink ref="AA214" r:id="rId214" display="abrir"/>
    <hyperlink ref="AA215" r:id="rId215" display="abrir"/>
    <hyperlink ref="AA216" r:id="rId216" display="abrir"/>
    <hyperlink ref="AA217" r:id="rId217" display="abrir"/>
    <hyperlink ref="AA218" r:id="rId218" display="abrir"/>
    <hyperlink ref="AA219" r:id="rId219" display="abrir"/>
    <hyperlink ref="AA220" r:id="rId220" display="abrir"/>
    <hyperlink ref="AA221" r:id="rId221" display="abrir"/>
    <hyperlink ref="AA222" r:id="rId222" display="abrir"/>
    <hyperlink ref="AA223" r:id="rId223" display="abrir"/>
    <hyperlink ref="AA224" r:id="rId224" display="abrir"/>
    <hyperlink ref="AA225" r:id="rId225" display="abrir"/>
    <hyperlink ref="AA226" r:id="rId226" display="abrir"/>
    <hyperlink ref="AA227" r:id="rId227" display="abrir"/>
    <hyperlink ref="AA228" r:id="rId228" display="abrir"/>
    <hyperlink ref="AA229" r:id="rId229" display="abrir"/>
    <hyperlink ref="AA230" r:id="rId230" display="abrir"/>
    <hyperlink ref="AA231" r:id="rId231" display="abrir"/>
    <hyperlink ref="AA232" r:id="rId232" display="abrir"/>
    <hyperlink ref="AA233" r:id="rId233" display="abrir"/>
    <hyperlink ref="AA234" r:id="rId234" display="abrir"/>
    <hyperlink ref="AA235" r:id="rId235" display="abrir"/>
    <hyperlink ref="AA236" r:id="rId236" display="abrir"/>
    <hyperlink ref="AA237" r:id="rId237" display="abrir"/>
    <hyperlink ref="AA238" r:id="rId238" display="abrir"/>
    <hyperlink ref="AA239" r:id="rId239" display="abrir"/>
    <hyperlink ref="AA240" r:id="rId240" display="abrir"/>
    <hyperlink ref="AA241" r:id="rId241" display="abrir"/>
    <hyperlink ref="AA242" r:id="rId242" display="abrir"/>
    <hyperlink ref="AA243" r:id="rId243" display="abrir"/>
    <hyperlink ref="AA244" r:id="rId244" display="abrir"/>
    <hyperlink ref="AA245" r:id="rId245" display="abrir"/>
    <hyperlink ref="AA246" r:id="rId246" display="abrir"/>
    <hyperlink ref="AA247" r:id="rId247" display="abrir"/>
    <hyperlink ref="AA248" r:id="rId248" display="abrir"/>
    <hyperlink ref="AA249" r:id="rId249" display="abrir"/>
    <hyperlink ref="AA250" r:id="rId250" display="abrir"/>
    <hyperlink ref="AA251" r:id="rId251" display="abrir"/>
    <hyperlink ref="AA252" r:id="rId252" display="abrir"/>
    <hyperlink ref="AA253" r:id="rId253" display="abrir"/>
    <hyperlink ref="AA254" r:id="rId254" display="abrir"/>
    <hyperlink ref="AA255" r:id="rId255" display="abrir"/>
    <hyperlink ref="AA256" r:id="rId256" display="abrir"/>
    <hyperlink ref="AA257" r:id="rId257" display="abrir"/>
    <hyperlink ref="AA258" r:id="rId258" display="abrir"/>
    <hyperlink ref="AA259" r:id="rId259" display="abrir"/>
    <hyperlink ref="AA260" r:id="rId260" display="abrir"/>
    <hyperlink ref="AA261" r:id="rId261" display="abrir"/>
    <hyperlink ref="AA262" r:id="rId262" display="abrir"/>
    <hyperlink ref="AA263" r:id="rId263" display="abrir"/>
    <hyperlink ref="AA264" r:id="rId264" display="abrir"/>
    <hyperlink ref="AA265" r:id="rId265" display="abrir"/>
    <hyperlink ref="AA266" r:id="rId266" display="abrir"/>
    <hyperlink ref="AA267" r:id="rId267" display="abrir"/>
    <hyperlink ref="AA268" r:id="rId268" display="abrir"/>
    <hyperlink ref="AA269" r:id="rId269" display="abrir"/>
    <hyperlink ref="AA270" r:id="rId270" display="abrir"/>
    <hyperlink ref="AA271" r:id="rId271" display="abrir"/>
    <hyperlink ref="AA272" r:id="rId272" display="abrir"/>
    <hyperlink ref="AA273" r:id="rId273" display="abrir"/>
    <hyperlink ref="AA274" r:id="rId274" display="abrir"/>
    <hyperlink ref="AA275" r:id="rId275" display="abrir"/>
    <hyperlink ref="AA276" r:id="rId276" display="abrir"/>
    <hyperlink ref="AA277" r:id="rId277" display="abrir"/>
    <hyperlink ref="AA278" r:id="rId278" display="abrir"/>
    <hyperlink ref="AA279" r:id="rId279" display="abrir"/>
    <hyperlink ref="AA280" r:id="rId280" display="abrir"/>
    <hyperlink ref="AA281" r:id="rId281" display="abrir"/>
    <hyperlink ref="AA282" r:id="rId282" display="abrir"/>
    <hyperlink ref="AA283" r:id="rId283" display="abrir"/>
    <hyperlink ref="AA284" r:id="rId284" display="abrir"/>
    <hyperlink ref="AA285" r:id="rId285" display="abrir"/>
    <hyperlink ref="AA286" r:id="rId286" display="abrir"/>
    <hyperlink ref="AA287" r:id="rId287" display="abrir"/>
    <hyperlink ref="AA288" r:id="rId288" display="abrir"/>
    <hyperlink ref="AA289" r:id="rId289" display="abrir"/>
    <hyperlink ref="AA290" r:id="rId290" display="abrir"/>
    <hyperlink ref="AA291" r:id="rId291" display="abrir"/>
    <hyperlink ref="AA292" r:id="rId292" display="abrir"/>
    <hyperlink ref="AA293" r:id="rId293" display="abrir"/>
    <hyperlink ref="AA294" r:id="rId294" display="abrir"/>
    <hyperlink ref="AA295" r:id="rId295" display="abrir"/>
    <hyperlink ref="AA296" r:id="rId296" display="abrir"/>
    <hyperlink ref="AA297" r:id="rId297" display="abrir"/>
    <hyperlink ref="AA298" r:id="rId298" display="abrir"/>
    <hyperlink ref="AA299" r:id="rId299" display="abrir"/>
    <hyperlink ref="AA300" r:id="rId300" display="abrir"/>
    <hyperlink ref="AA301" r:id="rId301" display="abrir"/>
    <hyperlink ref="AA302" r:id="rId302" display="abrir"/>
    <hyperlink ref="AA303" r:id="rId303" display="abrir"/>
    <hyperlink ref="AA304" r:id="rId304" display="abrir"/>
    <hyperlink ref="AA305" r:id="rId305" display="abrir"/>
    <hyperlink ref="AA306" r:id="rId306" display="abrir"/>
    <hyperlink ref="AA307" r:id="rId307" display="abrir"/>
    <hyperlink ref="AA308" r:id="rId308" display="abrir"/>
    <hyperlink ref="AA309" r:id="rId309" display="abrir"/>
    <hyperlink ref="AA310" r:id="rId310" display="abrir"/>
    <hyperlink ref="AA311" r:id="rId311" display="abrir"/>
    <hyperlink ref="AA312" r:id="rId312" display="abrir"/>
    <hyperlink ref="AA313" r:id="rId313" display="abrir"/>
    <hyperlink ref="AA314" r:id="rId314" display="abrir"/>
    <hyperlink ref="AA315" r:id="rId315" display="abrir"/>
    <hyperlink ref="AA316" r:id="rId316" display="abrir"/>
    <hyperlink ref="AA317" r:id="rId317" display="abrir"/>
    <hyperlink ref="AA318" r:id="rId318" display="abrir"/>
    <hyperlink ref="AA319" r:id="rId319" display="abrir"/>
    <hyperlink ref="AA320" r:id="rId320" display="abrir"/>
    <hyperlink ref="AA321" r:id="rId321" display="abrir"/>
    <hyperlink ref="AA322" r:id="rId322" display="abrir"/>
    <hyperlink ref="AA323" r:id="rId323" display="abrir"/>
    <hyperlink ref="AA324" r:id="rId324" display="abrir"/>
    <hyperlink ref="AA325" r:id="rId325" display="abrir"/>
    <hyperlink ref="AA326" r:id="rId326" display="abrir"/>
    <hyperlink ref="AA327" r:id="rId327" display="abrir"/>
    <hyperlink ref="AA328" r:id="rId328" display="abrir"/>
    <hyperlink ref="AA329" r:id="rId329" display="abrir"/>
    <hyperlink ref="AA330" r:id="rId330" display="abrir"/>
    <hyperlink ref="AA331" r:id="rId331" display="abrir"/>
    <hyperlink ref="AA332" r:id="rId332" display="abrir"/>
    <hyperlink ref="AA333" r:id="rId333" display="abrir"/>
    <hyperlink ref="AA334" r:id="rId334" display="abrir"/>
    <hyperlink ref="AA335" r:id="rId335" display="abrir"/>
    <hyperlink ref="AA336" r:id="rId336" display="abrir"/>
    <hyperlink ref="AA337" r:id="rId337" display="abrir"/>
    <hyperlink ref="AA338" r:id="rId338" display="abrir"/>
    <hyperlink ref="AA339" r:id="rId339" display="abrir"/>
    <hyperlink ref="AA340" r:id="rId340" display="abrir"/>
    <hyperlink ref="AA341" r:id="rId341" display="abrir"/>
    <hyperlink ref="AA342" r:id="rId342" display="abrir"/>
    <hyperlink ref="AA343" r:id="rId343" display="abrir"/>
    <hyperlink ref="AA344" r:id="rId344" display="abrir"/>
    <hyperlink ref="AA345" r:id="rId345" display="abrir"/>
    <hyperlink ref="AA346" r:id="rId346" display="abrir"/>
    <hyperlink ref="AA347" r:id="rId347" display="abrir"/>
    <hyperlink ref="AA348" r:id="rId348" display="abrir"/>
    <hyperlink ref="AA349" r:id="rId349" display="abrir"/>
    <hyperlink ref="AA350" r:id="rId350" display="abrir"/>
    <hyperlink ref="AA351" r:id="rId351" display="abrir"/>
    <hyperlink ref="AA352" r:id="rId352" display="abrir"/>
    <hyperlink ref="AA353" r:id="rId353" display="abrir"/>
    <hyperlink ref="AA354" r:id="rId354" display="abrir"/>
    <hyperlink ref="AA355" r:id="rId355" display="abrir"/>
    <hyperlink ref="AA356" r:id="rId356" display="abrir"/>
    <hyperlink ref="AA357" r:id="rId357" display="abrir"/>
    <hyperlink ref="AA358" r:id="rId358" display="abrir"/>
    <hyperlink ref="AA359" r:id="rId359" display="abrir"/>
    <hyperlink ref="AA360" r:id="rId360" display="abrir"/>
    <hyperlink ref="AA361" r:id="rId361" display="abrir"/>
    <hyperlink ref="AA362" r:id="rId362" display="abrir"/>
    <hyperlink ref="AA363" r:id="rId363" display="abrir"/>
    <hyperlink ref="AA364" r:id="rId364" display="abrir"/>
    <hyperlink ref="AA365" r:id="rId365" display="abrir"/>
    <hyperlink ref="AA366" r:id="rId366" display="abrir"/>
    <hyperlink ref="AA367" r:id="rId367" display="abrir"/>
    <hyperlink ref="AA368" r:id="rId368" display="abrir"/>
    <hyperlink ref="AA369" r:id="rId369" display="abrir"/>
    <hyperlink ref="AA370" r:id="rId370" display="abrir"/>
    <hyperlink ref="AA371" r:id="rId371" display="abrir"/>
    <hyperlink ref="AA372" r:id="rId372" display="abrir"/>
    <hyperlink ref="AA373" r:id="rId373" display="abrir"/>
    <hyperlink ref="AA374" r:id="rId374" display="abrir"/>
    <hyperlink ref="AA375" r:id="rId375" display="abrir"/>
    <hyperlink ref="AA376" r:id="rId376" display="abrir"/>
    <hyperlink ref="AA377" r:id="rId377" display="abrir"/>
    <hyperlink ref="AA378" r:id="rId378" display="abrir"/>
    <hyperlink ref="AA379" r:id="rId379" display="abrir"/>
    <hyperlink ref="AA380" r:id="rId380" display="abrir"/>
    <hyperlink ref="AA381" r:id="rId381" display="abrir"/>
    <hyperlink ref="AA382" r:id="rId382" display="abrir"/>
    <hyperlink ref="AA383" r:id="rId383" display="abrir"/>
    <hyperlink ref="AA384" r:id="rId384" display="abrir"/>
    <hyperlink ref="AA385" r:id="rId385" display="abrir"/>
    <hyperlink ref="AA386" r:id="rId386" display="abrir"/>
    <hyperlink ref="AA387" r:id="rId387" display="abrir"/>
    <hyperlink ref="AA388" r:id="rId388" display="abrir"/>
    <hyperlink ref="AA389" r:id="rId389" display="abrir"/>
    <hyperlink ref="AA390" r:id="rId390" display="abrir"/>
    <hyperlink ref="AA391" r:id="rId391" display="abrir"/>
    <hyperlink ref="AA392" r:id="rId392" display="abrir"/>
    <hyperlink ref="AA393" r:id="rId393" display="abrir"/>
    <hyperlink ref="AA394" r:id="rId394" display="abrir"/>
    <hyperlink ref="AA395" r:id="rId395" display="abrir"/>
    <hyperlink ref="AA396" r:id="rId396" display="abrir"/>
    <hyperlink ref="AA397" r:id="rId397" display="abrir"/>
    <hyperlink ref="AA398" r:id="rId398" display="abrir"/>
    <hyperlink ref="AA399" r:id="rId399" display="abrir"/>
    <hyperlink ref="AA400" r:id="rId400" display="abrir"/>
    <hyperlink ref="AA401" r:id="rId401" display="abrir"/>
    <hyperlink ref="AA402" r:id="rId402" display="abrir"/>
    <hyperlink ref="AA403" r:id="rId403" display="abrir"/>
    <hyperlink ref="AA404" r:id="rId404" display="abrir"/>
    <hyperlink ref="AA405" r:id="rId405" display="abrir"/>
    <hyperlink ref="AA406" r:id="rId406" display="abrir"/>
    <hyperlink ref="AA407" r:id="rId407" display="abrir"/>
    <hyperlink ref="AA408" r:id="rId408" display="abrir"/>
    <hyperlink ref="AA409" r:id="rId409" display="abrir"/>
    <hyperlink ref="AA410" r:id="rId410" display="abrir"/>
    <hyperlink ref="AA411" r:id="rId411" display="abrir"/>
    <hyperlink ref="AA412" r:id="rId412" display="abrir"/>
    <hyperlink ref="AA413" r:id="rId413" display="abrir"/>
    <hyperlink ref="AA414" r:id="rId414" display="abrir"/>
    <hyperlink ref="AA415" r:id="rId415" display="abrir"/>
    <hyperlink ref="AA416" r:id="rId416" display="abrir"/>
    <hyperlink ref="AA417" r:id="rId417" display="abrir"/>
    <hyperlink ref="AA418" r:id="rId418" display="abrir"/>
    <hyperlink ref="AA419" r:id="rId419" display="abrir"/>
    <hyperlink ref="AA420" r:id="rId420" display="abrir"/>
    <hyperlink ref="AA421" r:id="rId421" display="abrir"/>
    <hyperlink ref="AA422" r:id="rId422" display="abrir"/>
    <hyperlink ref="AA423" r:id="rId423" display="abrir"/>
    <hyperlink ref="AA424" r:id="rId424" display="abrir"/>
    <hyperlink ref="AA425" r:id="rId425" display="abrir"/>
    <hyperlink ref="AA426" r:id="rId426" display="abrir"/>
    <hyperlink ref="AA427" r:id="rId427" display="abrir"/>
    <hyperlink ref="AA428" r:id="rId428" display="abrir"/>
    <hyperlink ref="AA429" r:id="rId429" display="abrir"/>
    <hyperlink ref="AA430" r:id="rId430" display="abrir"/>
    <hyperlink ref="AA431" r:id="rId431" display="abrir"/>
    <hyperlink ref="AA432" r:id="rId432" display="abrir"/>
    <hyperlink ref="AA433" r:id="rId433" display="abrir"/>
    <hyperlink ref="AA434" r:id="rId434" display="abrir"/>
    <hyperlink ref="AA435" r:id="rId435" display="abrir"/>
    <hyperlink ref="AA436" r:id="rId436" display="abrir"/>
    <hyperlink ref="AA437" r:id="rId437" display="abrir"/>
    <hyperlink ref="AA438" r:id="rId438" display="abrir"/>
    <hyperlink ref="AA439" r:id="rId439" display="abrir"/>
    <hyperlink ref="AA440" r:id="rId440" display="abrir"/>
    <hyperlink ref="AA441" r:id="rId441" display="abrir"/>
    <hyperlink ref="AA442" r:id="rId442" display="abrir"/>
    <hyperlink ref="AA443" r:id="rId443" display="abrir"/>
    <hyperlink ref="AA444" r:id="rId444" display="abrir"/>
    <hyperlink ref="AA445" r:id="rId445" display="abrir"/>
    <hyperlink ref="AA446" r:id="rId446" display="abrir"/>
    <hyperlink ref="AA447" r:id="rId447" display="abrir"/>
    <hyperlink ref="AA448" r:id="rId448" display="abrir"/>
    <hyperlink ref="AA449" r:id="rId449" display="abrir"/>
    <hyperlink ref="AA450" r:id="rId450" display="abrir"/>
    <hyperlink ref="AA451" r:id="rId451" display="abrir"/>
    <hyperlink ref="AA452" r:id="rId452" display="abrir"/>
    <hyperlink ref="AA453" r:id="rId453" display="abrir"/>
    <hyperlink ref="AA454" r:id="rId454" display="abrir"/>
    <hyperlink ref="AA455" r:id="rId455" display="abrir"/>
    <hyperlink ref="AA456" r:id="rId456" display="abrir"/>
    <hyperlink ref="AA457" r:id="rId457" display="abrir"/>
    <hyperlink ref="AA458" r:id="rId458" display="abrir"/>
    <hyperlink ref="AA459" r:id="rId459" display="abrir"/>
    <hyperlink ref="AA460" r:id="rId460" display="abrir"/>
    <hyperlink ref="AA461" r:id="rId461" display="abrir"/>
    <hyperlink ref="AA462" r:id="rId462" display="abrir"/>
    <hyperlink ref="AA463" r:id="rId463" display="abrir"/>
    <hyperlink ref="AA464" r:id="rId464" display="abrir"/>
    <hyperlink ref="AA465" r:id="rId465" display="abrir"/>
    <hyperlink ref="AA466" r:id="rId466" display="abrir"/>
    <hyperlink ref="AA467" r:id="rId467" display="abrir"/>
    <hyperlink ref="AA468" r:id="rId468" display="abrir"/>
    <hyperlink ref="AA469" r:id="rId469" display="abrir"/>
    <hyperlink ref="AA470" r:id="rId470" display="abrir"/>
    <hyperlink ref="AA471" r:id="rId471" display="abrir"/>
    <hyperlink ref="AA472" r:id="rId472" display="abrir"/>
    <hyperlink ref="AA473" r:id="rId473" display="abrir"/>
    <hyperlink ref="AA474" r:id="rId474" display="abrir"/>
    <hyperlink ref="AA475" r:id="rId475" display="abrir"/>
    <hyperlink ref="AA476" r:id="rId476" display="abrir"/>
    <hyperlink ref="AA477" r:id="rId477" display="abrir"/>
    <hyperlink ref="AA478" r:id="rId478" display="abrir"/>
    <hyperlink ref="AA479" r:id="rId479" display="abrir"/>
    <hyperlink ref="AA480" r:id="rId480" display="abrir"/>
    <hyperlink ref="AA481" r:id="rId481" display="abrir"/>
    <hyperlink ref="AA482" r:id="rId482" display="abrir"/>
    <hyperlink ref="AA483" r:id="rId483" display="abrir"/>
    <hyperlink ref="AA484" r:id="rId484" display="abrir"/>
    <hyperlink ref="AA485" r:id="rId485" display="abrir"/>
    <hyperlink ref="AA486" r:id="rId486" display="abrir"/>
    <hyperlink ref="AA487" r:id="rId487" display="abrir"/>
    <hyperlink ref="AA488" r:id="rId488" display="abrir"/>
    <hyperlink ref="AA489" r:id="rId489" display="abrir"/>
    <hyperlink ref="AA490" r:id="rId490" display="abrir"/>
    <hyperlink ref="AA491" r:id="rId491" display="abrir"/>
    <hyperlink ref="AA492" r:id="rId492" display="abrir"/>
    <hyperlink ref="AA493" r:id="rId493" display="abrir"/>
    <hyperlink ref="AA494" r:id="rId494" display="abrir"/>
    <hyperlink ref="AA495" r:id="rId495" display="abrir"/>
    <hyperlink ref="AA496" r:id="rId496" display="abrir"/>
    <hyperlink ref="AA497" r:id="rId497" display="abrir"/>
    <hyperlink ref="AA498" r:id="rId498" display="abrir"/>
    <hyperlink ref="AA499" r:id="rId499" display="abrir"/>
    <hyperlink ref="AA500" r:id="rId500" display="abrir"/>
    <hyperlink ref="AA501" r:id="rId501" display="abrir"/>
    <hyperlink ref="AA502" r:id="rId502" display="abrir"/>
    <hyperlink ref="AA503" r:id="rId503" display="abrir"/>
    <hyperlink ref="AA504" r:id="rId504" display="abrir"/>
    <hyperlink ref="AA505" r:id="rId505" display="abrir"/>
    <hyperlink ref="AA506" r:id="rId506" display="abrir"/>
    <hyperlink ref="AA507" r:id="rId507" display="abrir"/>
    <hyperlink ref="AA508" r:id="rId508" display="abrir"/>
    <hyperlink ref="AA509" r:id="rId509" display="abrir"/>
    <hyperlink ref="AA510" r:id="rId510" display="abrir"/>
    <hyperlink ref="AA511" r:id="rId511" display="abrir"/>
    <hyperlink ref="AA512" r:id="rId512" display="abrir"/>
    <hyperlink ref="AA513" r:id="rId513" display="abrir"/>
    <hyperlink ref="AA514" r:id="rId514" display="abrir"/>
    <hyperlink ref="AA515" r:id="rId515" display="abrir"/>
    <hyperlink ref="AA516" r:id="rId516" display="abrir"/>
    <hyperlink ref="AA517" r:id="rId517" display="abrir"/>
    <hyperlink ref="AA518" r:id="rId518" display="abrir"/>
    <hyperlink ref="AA519" r:id="rId519" display="abrir"/>
    <hyperlink ref="AA520" r:id="rId520" display="abrir"/>
    <hyperlink ref="AA521" r:id="rId521" display="abrir"/>
    <hyperlink ref="AA522" r:id="rId522" display="abrir"/>
    <hyperlink ref="AA523" r:id="rId523" display="abrir"/>
    <hyperlink ref="AA524" r:id="rId524" display="abrir"/>
    <hyperlink ref="AA525" r:id="rId525" display="abrir"/>
    <hyperlink ref="AA526" r:id="rId526" display="abri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527"/>
  <tableParts>
    <tablePart r:id="rId52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11"/>
    <col collapsed="false" customWidth="true" hidden="false" outlineLevel="0" max="13" min="11" style="0" width="14"/>
    <col collapsed="false" customWidth="true" hidden="false" outlineLevel="0" max="14" min="14" style="0" width="40"/>
    <col collapsed="false" customWidth="true" hidden="false" outlineLevel="0" max="16" min="15" style="0" width="12"/>
    <col collapsed="false" customWidth="true" hidden="false" outlineLevel="0" max="17" min="17" style="0" width="8"/>
  </cols>
  <sheetData>
    <row r="1" customFormat="false" ht="31.5" hidden="false" customHeight="true" outlineLevel="0" collapsed="false">
      <c r="A1" s="16" t="s">
        <v>2288</v>
      </c>
      <c r="B1" s="16" t="s">
        <v>2289</v>
      </c>
      <c r="C1" s="16" t="s">
        <v>277</v>
      </c>
      <c r="D1" s="16" t="s">
        <v>2290</v>
      </c>
      <c r="E1" s="16" t="s">
        <v>2291</v>
      </c>
      <c r="F1" s="16" t="s">
        <v>2292</v>
      </c>
      <c r="G1" s="16" t="s">
        <v>2293</v>
      </c>
      <c r="H1" s="16" t="s">
        <v>2294</v>
      </c>
      <c r="I1" s="16" t="s">
        <v>287</v>
      </c>
      <c r="J1" s="16" t="s">
        <v>2295</v>
      </c>
      <c r="K1" s="16" t="s">
        <v>2296</v>
      </c>
      <c r="L1" s="16" t="s">
        <v>2297</v>
      </c>
      <c r="M1" s="16" t="s">
        <v>2298</v>
      </c>
      <c r="N1" s="16" t="s">
        <v>9</v>
      </c>
      <c r="O1" s="16" t="s">
        <v>288</v>
      </c>
      <c r="P1" s="16" t="s">
        <v>289</v>
      </c>
      <c r="Q1" s="16" t="s">
        <v>1598</v>
      </c>
    </row>
    <row r="2" customFormat="false" ht="15" hidden="false" customHeight="false" outlineLevel="0" collapsed="false">
      <c r="A2" s="35" t="s">
        <v>40</v>
      </c>
      <c r="B2" s="35" t="s">
        <v>1601</v>
      </c>
      <c r="C2" s="35" t="s">
        <v>525</v>
      </c>
      <c r="D2" s="35" t="s">
        <v>2299</v>
      </c>
      <c r="E2" s="35" t="s">
        <v>50</v>
      </c>
      <c r="F2" s="35" t="s">
        <v>20</v>
      </c>
      <c r="G2" s="35" t="s">
        <v>50</v>
      </c>
      <c r="H2" s="35" t="s">
        <v>2300</v>
      </c>
      <c r="I2" s="35" t="s">
        <v>40</v>
      </c>
      <c r="J2" s="35" t="n">
        <f aca="false">COUNTIFS(Trechos!$M$2:$M$526,A2)</f>
        <v>114</v>
      </c>
      <c r="K2" s="36" t="n">
        <f aca="false">SUMIFS(Trechos!$F$2:$F$526,Trechos!$M$2:$M$526,A2)</f>
        <v>4733.56257103684</v>
      </c>
      <c r="L2" s="35" t="n">
        <f aca="false">SUMPRODUCT(--ISNUMBER(SEARCH("|"&amp;A2&amp;"|",Trechos!$AB$2:$AB$526)))</f>
        <v>525</v>
      </c>
      <c r="M2" s="36" t="n">
        <f aca="false">SUMPRODUCT(ISNUMBER(SEARCH("|"&amp;A2&amp;"|",Trechos!$AB$2:$AB$526))*Trechos!$F$2:$F$526)</f>
        <v>14856.080409622</v>
      </c>
      <c r="N2" s="35" t="s">
        <v>1602</v>
      </c>
      <c r="O2" s="35" t="n">
        <v>-7.195312</v>
      </c>
      <c r="P2" s="35" t="n">
        <v>-48.237903</v>
      </c>
      <c r="Q2" s="49" t="s">
        <v>1603</v>
      </c>
    </row>
    <row r="3" customFormat="false" ht="15" hidden="false" customHeight="false" outlineLevel="0" collapsed="false">
      <c r="A3" s="35" t="s">
        <v>529</v>
      </c>
      <c r="B3" s="35" t="s">
        <v>2301</v>
      </c>
      <c r="C3" s="35" t="s">
        <v>528</v>
      </c>
      <c r="D3" s="35" t="s">
        <v>2299</v>
      </c>
      <c r="E3" s="35" t="s">
        <v>20</v>
      </c>
      <c r="F3" s="35" t="s">
        <v>20</v>
      </c>
      <c r="G3" s="35" t="n">
        <v>1</v>
      </c>
      <c r="H3" s="35" t="s">
        <v>50</v>
      </c>
      <c r="I3" s="35" t="s">
        <v>40</v>
      </c>
      <c r="J3" s="35"/>
      <c r="K3" s="35"/>
      <c r="L3" s="35"/>
      <c r="M3" s="35"/>
      <c r="N3" s="35" t="s">
        <v>1602</v>
      </c>
      <c r="O3" s="35" t="n">
        <v>-7.19558</v>
      </c>
      <c r="P3" s="35" t="n">
        <v>-48.238179</v>
      </c>
      <c r="Q3" s="49" t="s">
        <v>1603</v>
      </c>
    </row>
    <row r="4" customFormat="false" ht="15" hidden="false" customHeight="false" outlineLevel="0" collapsed="false">
      <c r="A4" s="35" t="s">
        <v>534</v>
      </c>
      <c r="B4" s="35" t="s">
        <v>2301</v>
      </c>
      <c r="C4" s="35" t="s">
        <v>533</v>
      </c>
      <c r="D4" s="35" t="s">
        <v>2299</v>
      </c>
      <c r="E4" s="35" t="s">
        <v>20</v>
      </c>
      <c r="F4" s="35" t="s">
        <v>20</v>
      </c>
      <c r="G4" s="35" t="n">
        <v>1</v>
      </c>
      <c r="H4" s="35" t="s">
        <v>50</v>
      </c>
      <c r="I4" s="35" t="s">
        <v>40</v>
      </c>
      <c r="J4" s="35"/>
      <c r="K4" s="35"/>
      <c r="L4" s="35"/>
      <c r="M4" s="35"/>
      <c r="N4" s="35" t="s">
        <v>1602</v>
      </c>
      <c r="O4" s="35" t="n">
        <v>-7.195681</v>
      </c>
      <c r="P4" s="35" t="n">
        <v>-48.23822</v>
      </c>
      <c r="Q4" s="49" t="s">
        <v>1603</v>
      </c>
    </row>
    <row r="5" customFormat="false" ht="15" hidden="false" customHeight="false" outlineLevel="0" collapsed="false">
      <c r="A5" s="35" t="s">
        <v>555</v>
      </c>
      <c r="B5" s="35" t="s">
        <v>2301</v>
      </c>
      <c r="C5" s="35" t="s">
        <v>554</v>
      </c>
      <c r="D5" s="35" t="s">
        <v>2299</v>
      </c>
      <c r="E5" s="35" t="s">
        <v>20</v>
      </c>
      <c r="F5" s="35" t="s">
        <v>20</v>
      </c>
      <c r="G5" s="35" t="n">
        <v>1</v>
      </c>
      <c r="H5" s="35" t="s">
        <v>50</v>
      </c>
      <c r="I5" s="35" t="s">
        <v>40</v>
      </c>
      <c r="J5" s="35"/>
      <c r="K5" s="35"/>
      <c r="L5" s="35"/>
      <c r="M5" s="35"/>
      <c r="N5" s="35" t="s">
        <v>1602</v>
      </c>
      <c r="O5" s="35" t="n">
        <v>-7.196207</v>
      </c>
      <c r="P5" s="35" t="n">
        <v>-48.236619</v>
      </c>
      <c r="Q5" s="49" t="s">
        <v>1603</v>
      </c>
    </row>
    <row r="6" customFormat="false" ht="15" hidden="false" customHeight="false" outlineLevel="0" collapsed="false">
      <c r="A6" s="35" t="s">
        <v>582</v>
      </c>
      <c r="B6" s="35" t="s">
        <v>2301</v>
      </c>
      <c r="C6" s="35" t="s">
        <v>581</v>
      </c>
      <c r="D6" s="35" t="s">
        <v>2299</v>
      </c>
      <c r="E6" s="35" t="s">
        <v>20</v>
      </c>
      <c r="F6" s="35" t="s">
        <v>20</v>
      </c>
      <c r="G6" s="35" t="n">
        <v>1</v>
      </c>
      <c r="H6" s="35" t="s">
        <v>50</v>
      </c>
      <c r="I6" s="35" t="s">
        <v>40</v>
      </c>
      <c r="J6" s="35"/>
      <c r="K6" s="35"/>
      <c r="L6" s="35"/>
      <c r="M6" s="35"/>
      <c r="N6" s="35" t="s">
        <v>1602</v>
      </c>
      <c r="O6" s="35" t="n">
        <v>-7.190246</v>
      </c>
      <c r="P6" s="35" t="n">
        <v>-48.232961</v>
      </c>
      <c r="Q6" s="49" t="s">
        <v>1603</v>
      </c>
    </row>
    <row r="7" customFormat="false" ht="15" hidden="false" customHeight="false" outlineLevel="0" collapsed="false">
      <c r="A7" s="35" t="s">
        <v>595</v>
      </c>
      <c r="B7" s="35" t="s">
        <v>2301</v>
      </c>
      <c r="C7" s="35" t="s">
        <v>594</v>
      </c>
      <c r="D7" s="35" t="s">
        <v>2299</v>
      </c>
      <c r="E7" s="35" t="s">
        <v>20</v>
      </c>
      <c r="F7" s="35" t="s">
        <v>20</v>
      </c>
      <c r="G7" s="35" t="n">
        <v>1</v>
      </c>
      <c r="H7" s="35" t="s">
        <v>50</v>
      </c>
      <c r="I7" s="35" t="s">
        <v>40</v>
      </c>
      <c r="J7" s="35"/>
      <c r="K7" s="35"/>
      <c r="L7" s="35"/>
      <c r="M7" s="35"/>
      <c r="N7" s="35" t="s">
        <v>1602</v>
      </c>
      <c r="O7" s="35" t="n">
        <v>-7.18795</v>
      </c>
      <c r="P7" s="35" t="n">
        <v>-48.23093</v>
      </c>
      <c r="Q7" s="49" t="s">
        <v>1603</v>
      </c>
    </row>
    <row r="8" customFormat="false" ht="15" hidden="false" customHeight="false" outlineLevel="0" collapsed="false">
      <c r="A8" s="35" t="s">
        <v>636</v>
      </c>
      <c r="B8" s="35" t="s">
        <v>2301</v>
      </c>
      <c r="C8" s="35" t="s">
        <v>635</v>
      </c>
      <c r="D8" s="35" t="s">
        <v>2299</v>
      </c>
      <c r="E8" s="35" t="s">
        <v>20</v>
      </c>
      <c r="F8" s="35" t="s">
        <v>20</v>
      </c>
      <c r="G8" s="35" t="n">
        <v>1</v>
      </c>
      <c r="H8" s="35" t="s">
        <v>50</v>
      </c>
      <c r="I8" s="35" t="s">
        <v>40</v>
      </c>
      <c r="J8" s="35"/>
      <c r="K8" s="35"/>
      <c r="L8" s="35"/>
      <c r="M8" s="35"/>
      <c r="N8" s="35" t="s">
        <v>1657</v>
      </c>
      <c r="O8" s="35" t="n">
        <v>-7.179221</v>
      </c>
      <c r="P8" s="35" t="n">
        <v>-48.222312</v>
      </c>
      <c r="Q8" s="49" t="s">
        <v>1603</v>
      </c>
    </row>
    <row r="9" customFormat="false" ht="15" hidden="false" customHeight="false" outlineLevel="0" collapsed="false">
      <c r="A9" s="35" t="s">
        <v>647</v>
      </c>
      <c r="B9" s="35" t="s">
        <v>2301</v>
      </c>
      <c r="C9" s="35" t="s">
        <v>646</v>
      </c>
      <c r="D9" s="35" t="s">
        <v>2299</v>
      </c>
      <c r="E9" s="35" t="s">
        <v>20</v>
      </c>
      <c r="F9" s="35" t="s">
        <v>20</v>
      </c>
      <c r="G9" s="35" t="n">
        <v>1</v>
      </c>
      <c r="H9" s="35" t="s">
        <v>50</v>
      </c>
      <c r="I9" s="35" t="s">
        <v>40</v>
      </c>
      <c r="J9" s="35"/>
      <c r="K9" s="35"/>
      <c r="L9" s="35"/>
      <c r="M9" s="35"/>
      <c r="N9" s="35" t="s">
        <v>1657</v>
      </c>
      <c r="O9" s="35" t="n">
        <v>-7.179096</v>
      </c>
      <c r="P9" s="35" t="n">
        <v>-48.221871</v>
      </c>
      <c r="Q9" s="49" t="s">
        <v>1603</v>
      </c>
    </row>
    <row r="10" customFormat="false" ht="15" hidden="false" customHeight="false" outlineLevel="0" collapsed="false">
      <c r="A10" s="35" t="s">
        <v>41</v>
      </c>
      <c r="B10" s="35" t="s">
        <v>1674</v>
      </c>
      <c r="C10" s="35" t="s">
        <v>655</v>
      </c>
      <c r="D10" s="35" t="s">
        <v>2299</v>
      </c>
      <c r="E10" s="35" t="s">
        <v>20</v>
      </c>
      <c r="F10" s="35" t="s">
        <v>21</v>
      </c>
      <c r="G10" s="35" t="n">
        <v>1</v>
      </c>
      <c r="H10" s="35" t="s">
        <v>2302</v>
      </c>
      <c r="I10" s="35" t="s">
        <v>1676</v>
      </c>
      <c r="J10" s="35" t="n">
        <f aca="false">COUNTIFS(Trechos!$M$2:$M$526,A10)</f>
        <v>84</v>
      </c>
      <c r="K10" s="36" t="n">
        <f aca="false">SUMIFS(Trechos!$F$2:$F$526,Trechos!$M$2:$M$526,A10)</f>
        <v>2204.19475519732</v>
      </c>
      <c r="L10" s="35" t="n">
        <f aca="false">SUMPRODUCT(--ISNUMBER(SEARCH("|"&amp;A10&amp;"|",Trechos!$AB$2:$AB$526)))</f>
        <v>401</v>
      </c>
      <c r="M10" s="36" t="n">
        <f aca="false">SUMPRODUCT(ISNUMBER(SEARCH("|"&amp;A10&amp;"|",Trechos!$AB$2:$AB$526))*Trechos!$F$2:$F$526)</f>
        <v>10014.491816779</v>
      </c>
      <c r="N10" s="35" t="s">
        <v>1675</v>
      </c>
      <c r="O10" s="35" t="n">
        <v>-7.179534</v>
      </c>
      <c r="P10" s="35" t="n">
        <v>-48.221636</v>
      </c>
      <c r="Q10" s="49" t="s">
        <v>1603</v>
      </c>
    </row>
    <row r="11" customFormat="false" ht="15" hidden="false" customHeight="false" outlineLevel="0" collapsed="false">
      <c r="A11" s="35" t="s">
        <v>44</v>
      </c>
      <c r="B11" s="35" t="s">
        <v>2301</v>
      </c>
      <c r="C11" s="35" t="s">
        <v>693</v>
      </c>
      <c r="D11" s="35" t="s">
        <v>2299</v>
      </c>
      <c r="E11" s="35" t="s">
        <v>21</v>
      </c>
      <c r="F11" s="35" t="s">
        <v>21</v>
      </c>
      <c r="G11" s="35" t="n">
        <v>2</v>
      </c>
      <c r="H11" s="35" t="s">
        <v>50</v>
      </c>
      <c r="I11" s="35" t="s">
        <v>1676</v>
      </c>
      <c r="J11" s="35"/>
      <c r="K11" s="35"/>
      <c r="L11" s="35"/>
      <c r="M11" s="35"/>
      <c r="N11" s="35" t="s">
        <v>1702</v>
      </c>
      <c r="O11" s="35" t="n">
        <v>-7.185534</v>
      </c>
      <c r="P11" s="35" t="n">
        <v>-48.218617</v>
      </c>
      <c r="Q11" s="49" t="s">
        <v>1603</v>
      </c>
    </row>
    <row r="12" customFormat="false" ht="15" hidden="false" customHeight="false" outlineLevel="0" collapsed="false">
      <c r="A12" s="35" t="s">
        <v>43</v>
      </c>
      <c r="B12" s="35" t="s">
        <v>1674</v>
      </c>
      <c r="C12" s="35" t="s">
        <v>711</v>
      </c>
      <c r="D12" s="35" t="s">
        <v>2299</v>
      </c>
      <c r="E12" s="35" t="s">
        <v>21</v>
      </c>
      <c r="F12" s="35" t="s">
        <v>21</v>
      </c>
      <c r="G12" s="35" t="n">
        <v>2</v>
      </c>
      <c r="H12" s="35" t="s">
        <v>2303</v>
      </c>
      <c r="I12" s="35" t="s">
        <v>1718</v>
      </c>
      <c r="J12" s="35" t="n">
        <f aca="false">COUNTIFS(Trechos!$M$2:$M$526,A12)</f>
        <v>91</v>
      </c>
      <c r="K12" s="36" t="n">
        <f aca="false">SUMIFS(Trechos!$F$2:$F$526,Trechos!$M$2:$M$526,A12)</f>
        <v>2677.26782843944</v>
      </c>
      <c r="L12" s="35" t="n">
        <f aca="false">SUMPRODUCT(--ISNUMBER(SEARCH("|"&amp;A12&amp;"|",Trechos!$AB$2:$AB$526)))</f>
        <v>225</v>
      </c>
      <c r="M12" s="36" t="n">
        <f aca="false">SUMPRODUCT(ISNUMBER(SEARCH("|"&amp;A12&amp;"|",Trechos!$AB$2:$AB$526))*Trechos!$F$2:$F$526)</f>
        <v>4903.04278551614</v>
      </c>
      <c r="N12" s="35" t="s">
        <v>1717</v>
      </c>
      <c r="O12" s="35" t="n">
        <v>-7.187599</v>
      </c>
      <c r="P12" s="35" t="n">
        <v>-48.216601</v>
      </c>
      <c r="Q12" s="49" t="s">
        <v>1603</v>
      </c>
    </row>
    <row r="13" customFormat="false" ht="15" hidden="false" customHeight="false" outlineLevel="0" collapsed="false">
      <c r="A13" s="35" t="s">
        <v>744</v>
      </c>
      <c r="B13" s="35" t="s">
        <v>2301</v>
      </c>
      <c r="C13" s="35" t="s">
        <v>743</v>
      </c>
      <c r="D13" s="35" t="s">
        <v>2299</v>
      </c>
      <c r="E13" s="35" t="s">
        <v>21</v>
      </c>
      <c r="F13" s="35" t="s">
        <v>21</v>
      </c>
      <c r="G13" s="35" t="n">
        <v>3</v>
      </c>
      <c r="H13" s="35" t="s">
        <v>50</v>
      </c>
      <c r="I13" s="35" t="s">
        <v>1718</v>
      </c>
      <c r="J13" s="35"/>
      <c r="K13" s="35"/>
      <c r="L13" s="35"/>
      <c r="M13" s="35"/>
      <c r="N13" s="35" t="s">
        <v>1735</v>
      </c>
      <c r="O13" s="35" t="n">
        <v>-7.188485</v>
      </c>
      <c r="P13" s="35" t="n">
        <v>-48.21374</v>
      </c>
      <c r="Q13" s="49" t="s">
        <v>1603</v>
      </c>
    </row>
    <row r="14" customFormat="false" ht="15" hidden="false" customHeight="false" outlineLevel="0" collapsed="false">
      <c r="A14" s="35" t="s">
        <v>767</v>
      </c>
      <c r="B14" s="35" t="s">
        <v>2301</v>
      </c>
      <c r="C14" s="35" t="s">
        <v>766</v>
      </c>
      <c r="D14" s="35" t="s">
        <v>2299</v>
      </c>
      <c r="E14" s="35" t="s">
        <v>21</v>
      </c>
      <c r="F14" s="35" t="s">
        <v>21</v>
      </c>
      <c r="G14" s="35" t="n">
        <v>3</v>
      </c>
      <c r="H14" s="35" t="s">
        <v>50</v>
      </c>
      <c r="I14" s="35" t="s">
        <v>1718</v>
      </c>
      <c r="J14" s="35"/>
      <c r="K14" s="35"/>
      <c r="L14" s="35"/>
      <c r="M14" s="35"/>
      <c r="N14" s="35" t="s">
        <v>1741</v>
      </c>
      <c r="O14" s="35" t="n">
        <v>-7.187652</v>
      </c>
      <c r="P14" s="35" t="n">
        <v>-48.20806</v>
      </c>
      <c r="Q14" s="49" t="s">
        <v>1603</v>
      </c>
    </row>
    <row r="15" customFormat="false" ht="15" hidden="false" customHeight="false" outlineLevel="0" collapsed="false">
      <c r="A15" s="35" t="s">
        <v>230</v>
      </c>
      <c r="B15" s="35" t="s">
        <v>1674</v>
      </c>
      <c r="C15" s="35" t="s">
        <v>781</v>
      </c>
      <c r="D15" s="35" t="s">
        <v>2299</v>
      </c>
      <c r="E15" s="35" t="s">
        <v>21</v>
      </c>
      <c r="F15" s="35" t="s">
        <v>21</v>
      </c>
      <c r="G15" s="35" t="n">
        <v>3</v>
      </c>
      <c r="H15" s="35" t="s">
        <v>2304</v>
      </c>
      <c r="I15" s="35" t="s">
        <v>2111</v>
      </c>
      <c r="J15" s="35" t="n">
        <f aca="false">COUNTIFS(Trechos!$M$2:$M$526,A15)</f>
        <v>91</v>
      </c>
      <c r="K15" s="36" t="n">
        <f aca="false">SUMIFS(Trechos!$F$2:$F$526,Trechos!$M$2:$M$526,A15)</f>
        <v>1736.31371865627</v>
      </c>
      <c r="L15" s="35" t="n">
        <f aca="false">SUMPRODUCT(--ISNUMBER(SEARCH("|"&amp;A15&amp;"|",Trechos!$AB$2:$AB$526)))</f>
        <v>121</v>
      </c>
      <c r="M15" s="36" t="n">
        <f aca="false">SUMPRODUCT(ISNUMBER(SEARCH("|"&amp;A15&amp;"|",Trechos!$AB$2:$AB$526))*Trechos!$F$2:$F$526)</f>
        <v>2103.45631939058</v>
      </c>
      <c r="N15" s="35" t="s">
        <v>2110</v>
      </c>
      <c r="O15" s="35" t="n">
        <v>-7.188275</v>
      </c>
      <c r="P15" s="35" t="n">
        <v>-48.20781</v>
      </c>
      <c r="Q15" s="49" t="s">
        <v>1603</v>
      </c>
    </row>
    <row r="16" customFormat="false" ht="15" hidden="false" customHeight="false" outlineLevel="0" collapsed="false">
      <c r="A16" s="35" t="s">
        <v>788</v>
      </c>
      <c r="B16" s="35" t="s">
        <v>2301</v>
      </c>
      <c r="C16" s="35" t="s">
        <v>787</v>
      </c>
      <c r="D16" s="35" t="s">
        <v>2299</v>
      </c>
      <c r="E16" s="35" t="s">
        <v>21</v>
      </c>
      <c r="F16" s="35" t="s">
        <v>21</v>
      </c>
      <c r="G16" s="35" t="n">
        <v>3</v>
      </c>
      <c r="H16" s="35" t="s">
        <v>50</v>
      </c>
      <c r="I16" s="35" t="s">
        <v>1718</v>
      </c>
      <c r="J16" s="35"/>
      <c r="K16" s="35"/>
      <c r="L16" s="35"/>
      <c r="M16" s="35"/>
      <c r="N16" s="35" t="s">
        <v>273</v>
      </c>
      <c r="O16" s="35" t="n">
        <v>-7.188213</v>
      </c>
      <c r="P16" s="35" t="n">
        <v>-48.206236</v>
      </c>
      <c r="Q16" s="49" t="s">
        <v>1603</v>
      </c>
    </row>
    <row r="17" customFormat="false" ht="15" hidden="false" customHeight="false" outlineLevel="0" collapsed="false">
      <c r="A17" s="35" t="s">
        <v>273</v>
      </c>
      <c r="B17" s="35" t="s">
        <v>1794</v>
      </c>
      <c r="C17" s="35" t="s">
        <v>806</v>
      </c>
      <c r="D17" s="35" t="s">
        <v>2299</v>
      </c>
      <c r="E17" s="35" t="s">
        <v>21</v>
      </c>
      <c r="F17" s="35" t="s">
        <v>22</v>
      </c>
      <c r="G17" s="35" t="n">
        <v>3</v>
      </c>
      <c r="H17" s="35" t="s">
        <v>2305</v>
      </c>
      <c r="I17" s="35" t="s">
        <v>2286</v>
      </c>
      <c r="J17" s="35" t="n">
        <f aca="false">COUNTIFS(Trechos!$M$2:$M$526,A17)</f>
        <v>1</v>
      </c>
      <c r="K17" s="36" t="n">
        <f aca="false">SUMIFS(Trechos!$F$2:$F$526,Trechos!$M$2:$M$526,A17)</f>
        <v>20.6350272599065</v>
      </c>
      <c r="L17" s="35" t="n">
        <f aca="false">SUMPRODUCT(--ISNUMBER(SEARCH("|"&amp;A17&amp;"|",Trechos!$AB$2:$AB$526)))</f>
        <v>1</v>
      </c>
      <c r="M17" s="36" t="n">
        <f aca="false">SUMPRODUCT(ISNUMBER(SEARCH("|"&amp;A17&amp;"|",Trechos!$AB$2:$AB$526))*Trechos!$F$2:$F$526)</f>
        <v>20.6350272599065</v>
      </c>
      <c r="N17" s="35" t="s">
        <v>50</v>
      </c>
      <c r="O17" s="35" t="n">
        <v>-7.188939</v>
      </c>
      <c r="P17" s="35" t="n">
        <v>-48.206542</v>
      </c>
      <c r="Q17" s="49" t="s">
        <v>1603</v>
      </c>
    </row>
    <row r="18" customFormat="false" ht="15" hidden="false" customHeight="false" outlineLevel="0" collapsed="false">
      <c r="A18" s="35" t="s">
        <v>209</v>
      </c>
      <c r="B18" s="35" t="s">
        <v>1794</v>
      </c>
      <c r="C18" s="35" t="s">
        <v>810</v>
      </c>
      <c r="D18" s="35" t="s">
        <v>2299</v>
      </c>
      <c r="E18" s="35" t="s">
        <v>21</v>
      </c>
      <c r="F18" s="35" t="s">
        <v>22</v>
      </c>
      <c r="G18" s="35" t="n">
        <v>3</v>
      </c>
      <c r="H18" s="35" t="s">
        <v>2306</v>
      </c>
      <c r="I18" s="35" t="s">
        <v>2092</v>
      </c>
      <c r="J18" s="35" t="n">
        <f aca="false">COUNTIFS(Trechos!$M$2:$M$526,A18)</f>
        <v>2</v>
      </c>
      <c r="K18" s="36" t="n">
        <f aca="false">SUMIFS(Trechos!$F$2:$F$526,Trechos!$M$2:$M$526,A18)</f>
        <v>18.6658749697057</v>
      </c>
      <c r="L18" s="35" t="n">
        <f aca="false">SUMPRODUCT(--ISNUMBER(SEARCH("|"&amp;A18&amp;"|",Trechos!$AB$2:$AB$526)))</f>
        <v>2</v>
      </c>
      <c r="M18" s="36" t="n">
        <f aca="false">SUMPRODUCT(ISNUMBER(SEARCH("|"&amp;A18&amp;"|",Trechos!$AB$2:$AB$526))*Trechos!$F$2:$F$526)</f>
        <v>18.6658749697057</v>
      </c>
      <c r="N18" s="35" t="s">
        <v>50</v>
      </c>
      <c r="O18" s="35" t="n">
        <v>-7.189044</v>
      </c>
      <c r="P18" s="35" t="n">
        <v>-48.211854</v>
      </c>
      <c r="Q18" s="49" t="s">
        <v>1603</v>
      </c>
    </row>
    <row r="19" customFormat="false" ht="15" hidden="false" customHeight="false" outlineLevel="0" collapsed="false">
      <c r="A19" s="35" t="s">
        <v>203</v>
      </c>
      <c r="B19" s="35" t="s">
        <v>1788</v>
      </c>
      <c r="C19" s="35" t="s">
        <v>812</v>
      </c>
      <c r="D19" s="35" t="s">
        <v>2299</v>
      </c>
      <c r="E19" s="35" t="s">
        <v>21</v>
      </c>
      <c r="F19" s="35" t="s">
        <v>22</v>
      </c>
      <c r="G19" s="35" t="n">
        <v>3</v>
      </c>
      <c r="H19" s="35" t="s">
        <v>2307</v>
      </c>
      <c r="I19" s="35" t="s">
        <v>2086</v>
      </c>
      <c r="J19" s="35" t="n">
        <f aca="false">COUNTIFS(Trechos!$M$2:$M$526,A19)</f>
        <v>3</v>
      </c>
      <c r="K19" s="36" t="n">
        <f aca="false">SUMIFS(Trechos!$F$2:$F$526,Trechos!$M$2:$M$526,A19)</f>
        <v>36.909617539634</v>
      </c>
      <c r="L19" s="35" t="n">
        <f aca="false">SUMPRODUCT(--ISNUMBER(SEARCH("|"&amp;A19&amp;"|",Trechos!$AB$2:$AB$526)))</f>
        <v>3</v>
      </c>
      <c r="M19" s="36" t="n">
        <f aca="false">SUMPRODUCT(ISNUMBER(SEARCH("|"&amp;A19&amp;"|",Trechos!$AB$2:$AB$526))*Trechos!$F$2:$F$526)</f>
        <v>36.909617539634</v>
      </c>
      <c r="N19" s="35" t="s">
        <v>50</v>
      </c>
      <c r="O19" s="35" t="n">
        <v>-7.188347</v>
      </c>
      <c r="P19" s="35" t="n">
        <v>-48.214162</v>
      </c>
      <c r="Q19" s="49" t="s">
        <v>1603</v>
      </c>
    </row>
    <row r="20" customFormat="false" ht="15" hidden="false" customHeight="false" outlineLevel="0" collapsed="false">
      <c r="A20" s="35" t="s">
        <v>197</v>
      </c>
      <c r="B20" s="35" t="s">
        <v>1788</v>
      </c>
      <c r="C20" s="35" t="s">
        <v>816</v>
      </c>
      <c r="D20" s="35" t="s">
        <v>2299</v>
      </c>
      <c r="E20" s="35" t="s">
        <v>21</v>
      </c>
      <c r="F20" s="35" t="s">
        <v>22</v>
      </c>
      <c r="G20" s="35" t="n">
        <v>3</v>
      </c>
      <c r="H20" s="35" t="s">
        <v>2308</v>
      </c>
      <c r="I20" s="35" t="s">
        <v>2074</v>
      </c>
      <c r="J20" s="35" t="n">
        <f aca="false">COUNTIFS(Trechos!$M$2:$M$526,A20)</f>
        <v>3</v>
      </c>
      <c r="K20" s="36" t="n">
        <f aca="false">SUMIFS(Trechos!$F$2:$F$526,Trechos!$M$2:$M$526,A20)</f>
        <v>34.6699893134304</v>
      </c>
      <c r="L20" s="35" t="n">
        <f aca="false">SUMPRODUCT(--ISNUMBER(SEARCH("|"&amp;A20&amp;"|",Trechos!$AB$2:$AB$526)))</f>
        <v>3</v>
      </c>
      <c r="M20" s="36" t="n">
        <f aca="false">SUMPRODUCT(ISNUMBER(SEARCH("|"&amp;A20&amp;"|",Trechos!$AB$2:$AB$526))*Trechos!$F$2:$F$526)</f>
        <v>34.6699893134304</v>
      </c>
      <c r="N20" s="35" t="s">
        <v>50</v>
      </c>
      <c r="O20" s="35" t="n">
        <v>-7.188082</v>
      </c>
      <c r="P20" s="35" t="n">
        <v>-48.215308</v>
      </c>
      <c r="Q20" s="49" t="s">
        <v>1603</v>
      </c>
    </row>
    <row r="21" customFormat="false" ht="15" hidden="false" customHeight="false" outlineLevel="0" collapsed="false">
      <c r="A21" s="35" t="s">
        <v>821</v>
      </c>
      <c r="B21" s="35" t="s">
        <v>2301</v>
      </c>
      <c r="C21" s="35" t="s">
        <v>820</v>
      </c>
      <c r="D21" s="35" t="s">
        <v>2299</v>
      </c>
      <c r="E21" s="35" t="s">
        <v>21</v>
      </c>
      <c r="F21" s="35" t="s">
        <v>21</v>
      </c>
      <c r="G21" s="35" t="n">
        <v>3</v>
      </c>
      <c r="H21" s="35" t="s">
        <v>50</v>
      </c>
      <c r="I21" s="35" t="s">
        <v>1718</v>
      </c>
      <c r="J21" s="35"/>
      <c r="K21" s="35"/>
      <c r="L21" s="35"/>
      <c r="M21" s="35"/>
      <c r="N21" s="35" t="s">
        <v>191</v>
      </c>
      <c r="O21" s="35" t="n">
        <v>-7.187107</v>
      </c>
      <c r="P21" s="35" t="n">
        <v>-48.215553</v>
      </c>
      <c r="Q21" s="49" t="s">
        <v>1603</v>
      </c>
    </row>
    <row r="22" customFormat="false" ht="15" hidden="false" customHeight="false" outlineLevel="0" collapsed="false">
      <c r="A22" s="35" t="s">
        <v>191</v>
      </c>
      <c r="B22" s="35" t="s">
        <v>1794</v>
      </c>
      <c r="C22" s="35" t="s">
        <v>825</v>
      </c>
      <c r="D22" s="35" t="s">
        <v>2299</v>
      </c>
      <c r="E22" s="35" t="s">
        <v>21</v>
      </c>
      <c r="F22" s="35" t="s">
        <v>22</v>
      </c>
      <c r="G22" s="35" t="n">
        <v>3</v>
      </c>
      <c r="H22" s="35" t="s">
        <v>2309</v>
      </c>
      <c r="I22" s="35" t="s">
        <v>2067</v>
      </c>
      <c r="J22" s="35" t="n">
        <f aca="false">COUNTIFS(Trechos!$M$2:$M$526,A22)</f>
        <v>4</v>
      </c>
      <c r="K22" s="36" t="n">
        <f aca="false">SUMIFS(Trechos!$F$2:$F$526,Trechos!$M$2:$M$526,A22)</f>
        <v>11.4381286034407</v>
      </c>
      <c r="L22" s="35" t="n">
        <f aca="false">SUMPRODUCT(--ISNUMBER(SEARCH("|"&amp;A22&amp;"|",Trechos!$AB$2:$AB$526)))</f>
        <v>4</v>
      </c>
      <c r="M22" s="36" t="n">
        <f aca="false">SUMPRODUCT(ISNUMBER(SEARCH("|"&amp;A22&amp;"|",Trechos!$AB$2:$AB$526))*Trechos!$F$2:$F$526)</f>
        <v>11.4381286034407</v>
      </c>
      <c r="N22" s="35" t="s">
        <v>50</v>
      </c>
      <c r="O22" s="35" t="n">
        <v>-7.186973</v>
      </c>
      <c r="P22" s="35" t="n">
        <v>-48.215688</v>
      </c>
      <c r="Q22" s="49" t="s">
        <v>1603</v>
      </c>
    </row>
    <row r="23" customFormat="false" ht="15" hidden="false" customHeight="false" outlineLevel="0" collapsed="false">
      <c r="A23" s="35" t="s">
        <v>56</v>
      </c>
      <c r="B23" s="35" t="s">
        <v>1788</v>
      </c>
      <c r="C23" s="35" t="s">
        <v>841</v>
      </c>
      <c r="D23" s="35" t="s">
        <v>2310</v>
      </c>
      <c r="E23" s="35" t="s">
        <v>20</v>
      </c>
      <c r="F23" s="35" t="s">
        <v>22</v>
      </c>
      <c r="G23" s="35" t="n">
        <v>6</v>
      </c>
      <c r="H23" s="35" t="s">
        <v>2311</v>
      </c>
      <c r="I23" s="35" t="s">
        <v>1789</v>
      </c>
      <c r="J23" s="35" t="n">
        <f aca="false">COUNTIFS(Trechos!$M$2:$M$526,A23)</f>
        <v>2</v>
      </c>
      <c r="K23" s="36" t="n">
        <f aca="false">SUMIFS(Trechos!$F$2:$F$526,Trechos!$M$2:$M$526,A23)</f>
        <v>22.3235248267574</v>
      </c>
      <c r="L23" s="35" t="n">
        <f aca="false">SUMPRODUCT(--ISNUMBER(SEARCH("|"&amp;A23&amp;"|",Trechos!$AB$2:$AB$526)))</f>
        <v>2</v>
      </c>
      <c r="M23" s="36" t="n">
        <f aca="false">SUMPRODUCT(ISNUMBER(SEARCH("|"&amp;A23&amp;"|",Trechos!$AB$2:$AB$526))*Trechos!$F$2:$F$526)</f>
        <v>22.3235248267574</v>
      </c>
      <c r="N23" s="35" t="s">
        <v>50</v>
      </c>
      <c r="O23" s="35" t="n">
        <v>-7.187519</v>
      </c>
      <c r="P23" s="35" t="n">
        <v>-48.230461</v>
      </c>
      <c r="Q23" s="49" t="s">
        <v>1603</v>
      </c>
    </row>
    <row r="24" customFormat="false" ht="15" hidden="false" customHeight="false" outlineLevel="0" collapsed="false">
      <c r="A24" s="35" t="s">
        <v>60</v>
      </c>
      <c r="B24" s="35" t="s">
        <v>1794</v>
      </c>
      <c r="C24" s="35" t="s">
        <v>847</v>
      </c>
      <c r="D24" s="35" t="s">
        <v>2310</v>
      </c>
      <c r="E24" s="35" t="s">
        <v>20</v>
      </c>
      <c r="F24" s="35" t="s">
        <v>22</v>
      </c>
      <c r="G24" s="35" t="n">
        <v>8</v>
      </c>
      <c r="H24" s="35" t="s">
        <v>2312</v>
      </c>
      <c r="I24" s="35" t="s">
        <v>1795</v>
      </c>
      <c r="J24" s="35" t="n">
        <f aca="false">COUNTIFS(Trechos!$M$2:$M$526,A24)</f>
        <v>1</v>
      </c>
      <c r="K24" s="36" t="n">
        <f aca="false">SUMIFS(Trechos!$F$2:$F$526,Trechos!$M$2:$M$526,A24)</f>
        <v>8.54997721921965</v>
      </c>
      <c r="L24" s="35" t="n">
        <f aca="false">SUMPRODUCT(--ISNUMBER(SEARCH("|"&amp;A24&amp;"|",Trechos!$AB$2:$AB$526)))</f>
        <v>1</v>
      </c>
      <c r="M24" s="36" t="n">
        <f aca="false">SUMPRODUCT(ISNUMBER(SEARCH("|"&amp;A24&amp;"|",Trechos!$AB$2:$AB$526))*Trechos!$F$2:$F$526)</f>
        <v>8.54997721921965</v>
      </c>
      <c r="N24" s="35" t="s">
        <v>50</v>
      </c>
      <c r="O24" s="35" t="n">
        <v>-7.186891</v>
      </c>
      <c r="P24" s="35" t="n">
        <v>-48.229832</v>
      </c>
      <c r="Q24" s="49" t="s">
        <v>1603</v>
      </c>
    </row>
    <row r="25" customFormat="false" ht="15" hidden="false" customHeight="false" outlineLevel="0" collapsed="false">
      <c r="A25" s="35" t="s">
        <v>64</v>
      </c>
      <c r="B25" s="35" t="s">
        <v>1788</v>
      </c>
      <c r="C25" s="35" t="s">
        <v>851</v>
      </c>
      <c r="D25" s="35" t="s">
        <v>2310</v>
      </c>
      <c r="E25" s="35" t="s">
        <v>20</v>
      </c>
      <c r="F25" s="35" t="s">
        <v>22</v>
      </c>
      <c r="G25" s="35" t="n">
        <v>10</v>
      </c>
      <c r="H25" s="35" t="s">
        <v>2313</v>
      </c>
      <c r="I25" s="35" t="s">
        <v>1799</v>
      </c>
      <c r="J25" s="35" t="n">
        <f aca="false">COUNTIFS(Trechos!$M$2:$M$526,A25)</f>
        <v>1</v>
      </c>
      <c r="K25" s="36" t="n">
        <f aca="false">SUMIFS(Trechos!$F$2:$F$526,Trechos!$M$2:$M$526,A25)</f>
        <v>3.83902037096225</v>
      </c>
      <c r="L25" s="35" t="n">
        <f aca="false">SUMPRODUCT(--ISNUMBER(SEARCH("|"&amp;A25&amp;"|",Trechos!$AB$2:$AB$526)))</f>
        <v>1</v>
      </c>
      <c r="M25" s="36" t="n">
        <f aca="false">SUMPRODUCT(ISNUMBER(SEARCH("|"&amp;A25&amp;"|",Trechos!$AB$2:$AB$526))*Trechos!$F$2:$F$526)</f>
        <v>3.83902037096225</v>
      </c>
      <c r="N25" s="35" t="s">
        <v>50</v>
      </c>
      <c r="O25" s="35" t="n">
        <v>-7.186649</v>
      </c>
      <c r="P25" s="35" t="n">
        <v>-48.229607</v>
      </c>
      <c r="Q25" s="49" t="s">
        <v>1603</v>
      </c>
    </row>
    <row r="26" customFormat="false" ht="15" hidden="false" customHeight="false" outlineLevel="0" collapsed="false">
      <c r="A26" s="35" t="s">
        <v>68</v>
      </c>
      <c r="B26" s="35" t="s">
        <v>1788</v>
      </c>
      <c r="C26" s="35" t="s">
        <v>855</v>
      </c>
      <c r="D26" s="35" t="s">
        <v>2310</v>
      </c>
      <c r="E26" s="35" t="s">
        <v>20</v>
      </c>
      <c r="F26" s="35" t="s">
        <v>22</v>
      </c>
      <c r="G26" s="35" t="n">
        <v>12</v>
      </c>
      <c r="H26" s="35" t="s">
        <v>2314</v>
      </c>
      <c r="I26" s="35" t="s">
        <v>1803</v>
      </c>
      <c r="J26" s="35" t="n">
        <f aca="false">COUNTIFS(Trechos!$M$2:$M$526,A26)</f>
        <v>1</v>
      </c>
      <c r="K26" s="36" t="n">
        <f aca="false">SUMIFS(Trechos!$F$2:$F$526,Trechos!$M$2:$M$526,A26)</f>
        <v>8.8549610425365</v>
      </c>
      <c r="L26" s="35" t="n">
        <f aca="false">SUMPRODUCT(--ISNUMBER(SEARCH("|"&amp;A26&amp;"|",Trechos!$AB$2:$AB$526)))</f>
        <v>1</v>
      </c>
      <c r="M26" s="36" t="n">
        <f aca="false">SUMPRODUCT(ISNUMBER(SEARCH("|"&amp;A26&amp;"|",Trechos!$AB$2:$AB$526))*Trechos!$F$2:$F$526)</f>
        <v>8.8549610425365</v>
      </c>
      <c r="N26" s="35" t="s">
        <v>50</v>
      </c>
      <c r="O26" s="35" t="n">
        <v>-7.185947</v>
      </c>
      <c r="P26" s="35" t="n">
        <v>-48.22894</v>
      </c>
      <c r="Q26" s="49" t="s">
        <v>1603</v>
      </c>
    </row>
    <row r="27" customFormat="false" ht="15" hidden="false" customHeight="false" outlineLevel="0" collapsed="false">
      <c r="A27" s="35" t="s">
        <v>72</v>
      </c>
      <c r="B27" s="35" t="s">
        <v>1788</v>
      </c>
      <c r="C27" s="35" t="s">
        <v>859</v>
      </c>
      <c r="D27" s="35" t="s">
        <v>2310</v>
      </c>
      <c r="E27" s="35" t="s">
        <v>20</v>
      </c>
      <c r="F27" s="35" t="s">
        <v>22</v>
      </c>
      <c r="G27" s="35" t="n">
        <v>14</v>
      </c>
      <c r="H27" s="35" t="s">
        <v>2315</v>
      </c>
      <c r="I27" s="35" t="s">
        <v>1807</v>
      </c>
      <c r="J27" s="35" t="n">
        <f aca="false">COUNTIFS(Trechos!$M$2:$M$526,A27)</f>
        <v>1</v>
      </c>
      <c r="K27" s="36" t="n">
        <f aca="false">SUMIFS(Trechos!$F$2:$F$526,Trechos!$M$2:$M$526,A27)</f>
        <v>9.06301259230931</v>
      </c>
      <c r="L27" s="35" t="n">
        <f aca="false">SUMPRODUCT(--ISNUMBER(SEARCH("|"&amp;A27&amp;"|",Trechos!$AB$2:$AB$526)))</f>
        <v>1</v>
      </c>
      <c r="M27" s="36" t="n">
        <f aca="false">SUMPRODUCT(ISNUMBER(SEARCH("|"&amp;A27&amp;"|",Trechos!$AB$2:$AB$526))*Trechos!$F$2:$F$526)</f>
        <v>9.06301259230931</v>
      </c>
      <c r="N27" s="35" t="s">
        <v>50</v>
      </c>
      <c r="O27" s="35" t="n">
        <v>-7.183786</v>
      </c>
      <c r="P27" s="35" t="n">
        <v>-48.22677</v>
      </c>
      <c r="Q27" s="49" t="s">
        <v>1603</v>
      </c>
    </row>
    <row r="28" customFormat="false" ht="15" hidden="false" customHeight="false" outlineLevel="0" collapsed="false">
      <c r="A28" s="35" t="s">
        <v>79</v>
      </c>
      <c r="B28" s="35" t="s">
        <v>1788</v>
      </c>
      <c r="C28" s="35" t="s">
        <v>867</v>
      </c>
      <c r="D28" s="35" t="s">
        <v>2310</v>
      </c>
      <c r="E28" s="35" t="s">
        <v>20</v>
      </c>
      <c r="F28" s="35" t="s">
        <v>22</v>
      </c>
      <c r="G28" s="35" t="n">
        <v>17</v>
      </c>
      <c r="H28" s="35" t="s">
        <v>2316</v>
      </c>
      <c r="I28" s="35" t="s">
        <v>1813</v>
      </c>
      <c r="J28" s="35" t="n">
        <f aca="false">COUNTIFS(Trechos!$M$2:$M$526,A28)</f>
        <v>1</v>
      </c>
      <c r="K28" s="36" t="n">
        <f aca="false">SUMIFS(Trechos!$F$2:$F$526,Trechos!$M$2:$M$526,A28)</f>
        <v>8.68446749532155</v>
      </c>
      <c r="L28" s="35" t="n">
        <f aca="false">SUMPRODUCT(--ISNUMBER(SEARCH("|"&amp;A28&amp;"|",Trechos!$AB$2:$AB$526)))</f>
        <v>1</v>
      </c>
      <c r="M28" s="36" t="n">
        <f aca="false">SUMPRODUCT(ISNUMBER(SEARCH("|"&amp;A28&amp;"|",Trechos!$AB$2:$AB$526))*Trechos!$F$2:$F$526)</f>
        <v>8.68446749532155</v>
      </c>
      <c r="N28" s="35" t="s">
        <v>50</v>
      </c>
      <c r="O28" s="35" t="n">
        <v>-7.183178</v>
      </c>
      <c r="P28" s="35" t="n">
        <v>-48.226205</v>
      </c>
      <c r="Q28" s="49" t="s">
        <v>1603</v>
      </c>
    </row>
    <row r="29" customFormat="false" ht="15" hidden="false" customHeight="false" outlineLevel="0" collapsed="false">
      <c r="A29" s="35" t="s">
        <v>83</v>
      </c>
      <c r="B29" s="35" t="s">
        <v>1788</v>
      </c>
      <c r="C29" s="35" t="s">
        <v>871</v>
      </c>
      <c r="D29" s="35" t="s">
        <v>2310</v>
      </c>
      <c r="E29" s="35" t="s">
        <v>20</v>
      </c>
      <c r="F29" s="35" t="s">
        <v>22</v>
      </c>
      <c r="G29" s="35" t="n">
        <v>19</v>
      </c>
      <c r="H29" s="35" t="s">
        <v>2317</v>
      </c>
      <c r="I29" s="35" t="s">
        <v>1817</v>
      </c>
      <c r="J29" s="35" t="n">
        <f aca="false">COUNTIFS(Trechos!$M$2:$M$526,A29)</f>
        <v>3</v>
      </c>
      <c r="K29" s="36" t="n">
        <f aca="false">SUMIFS(Trechos!$F$2:$F$526,Trechos!$M$2:$M$526,A29)</f>
        <v>46.71105825906</v>
      </c>
      <c r="L29" s="35" t="n">
        <f aca="false">SUMPRODUCT(--ISNUMBER(SEARCH("|"&amp;A29&amp;"|",Trechos!$AB$2:$AB$526)))</f>
        <v>3</v>
      </c>
      <c r="M29" s="36" t="n">
        <f aca="false">SUMPRODUCT(ISNUMBER(SEARCH("|"&amp;A29&amp;"|",Trechos!$AB$2:$AB$526))*Trechos!$F$2:$F$526)</f>
        <v>46.71105825906</v>
      </c>
      <c r="N29" s="35" t="s">
        <v>50</v>
      </c>
      <c r="O29" s="35" t="n">
        <v>-7.183124</v>
      </c>
      <c r="P29" s="35" t="n">
        <v>-48.226156</v>
      </c>
      <c r="Q29" s="49" t="s">
        <v>1603</v>
      </c>
    </row>
    <row r="30" customFormat="false" ht="15" hidden="false" customHeight="false" outlineLevel="0" collapsed="false">
      <c r="A30" s="35" t="s">
        <v>103</v>
      </c>
      <c r="B30" s="35" t="s">
        <v>2301</v>
      </c>
      <c r="C30" s="35" t="s">
        <v>957</v>
      </c>
      <c r="D30" s="35" t="s">
        <v>2310</v>
      </c>
      <c r="E30" s="35" t="s">
        <v>21</v>
      </c>
      <c r="F30" s="35" t="s">
        <v>21</v>
      </c>
      <c r="G30" s="35" t="n">
        <v>26</v>
      </c>
      <c r="H30" s="35" t="s">
        <v>50</v>
      </c>
      <c r="I30" s="35" t="s">
        <v>1676</v>
      </c>
      <c r="J30" s="35"/>
      <c r="K30" s="35"/>
      <c r="L30" s="35"/>
      <c r="M30" s="35"/>
      <c r="N30" s="35" t="s">
        <v>104</v>
      </c>
      <c r="O30" s="35" t="n">
        <v>-7.180434</v>
      </c>
      <c r="P30" s="35" t="n">
        <v>-48.221442</v>
      </c>
      <c r="Q30" s="49" t="s">
        <v>1603</v>
      </c>
    </row>
    <row r="31" customFormat="false" ht="15" hidden="false" customHeight="false" outlineLevel="0" collapsed="false">
      <c r="A31" s="35" t="s">
        <v>104</v>
      </c>
      <c r="B31" s="35" t="s">
        <v>1794</v>
      </c>
      <c r="C31" s="35" t="s">
        <v>965</v>
      </c>
      <c r="D31" s="35" t="s">
        <v>2310</v>
      </c>
      <c r="E31" s="35" t="s">
        <v>21</v>
      </c>
      <c r="F31" s="35" t="s">
        <v>22</v>
      </c>
      <c r="G31" s="35" t="n">
        <v>26</v>
      </c>
      <c r="H31" s="35" t="s">
        <v>2318</v>
      </c>
      <c r="I31" s="35" t="s">
        <v>1867</v>
      </c>
      <c r="J31" s="35" t="n">
        <f aca="false">COUNTIFS(Trechos!$M$2:$M$526,A31)</f>
        <v>2</v>
      </c>
      <c r="K31" s="36" t="n">
        <f aca="false">SUMIFS(Trechos!$F$2:$F$526,Trechos!$M$2:$M$526,A31)</f>
        <v>34.304619589084</v>
      </c>
      <c r="L31" s="35" t="n">
        <f aca="false">SUMPRODUCT(--ISNUMBER(SEARCH("|"&amp;A31&amp;"|",Trechos!$AB$2:$AB$526)))</f>
        <v>2</v>
      </c>
      <c r="M31" s="36" t="n">
        <f aca="false">SUMPRODUCT(ISNUMBER(SEARCH("|"&amp;A31&amp;"|",Trechos!$AB$2:$AB$526))*Trechos!$F$2:$F$526)</f>
        <v>34.304619589084</v>
      </c>
      <c r="N31" s="35" t="s">
        <v>50</v>
      </c>
      <c r="O31" s="35" t="n">
        <v>-7.181022</v>
      </c>
      <c r="P31" s="35" t="n">
        <v>-48.221738</v>
      </c>
      <c r="Q31" s="49" t="s">
        <v>1603</v>
      </c>
    </row>
    <row r="32" customFormat="false" ht="15" hidden="false" customHeight="false" outlineLevel="0" collapsed="false">
      <c r="A32" s="35" t="s">
        <v>108</v>
      </c>
      <c r="B32" s="35" t="s">
        <v>1788</v>
      </c>
      <c r="C32" s="35" t="s">
        <v>973</v>
      </c>
      <c r="D32" s="35" t="s">
        <v>2310</v>
      </c>
      <c r="E32" s="35" t="s">
        <v>21</v>
      </c>
      <c r="F32" s="35" t="s">
        <v>22</v>
      </c>
      <c r="G32" s="35" t="n">
        <v>28</v>
      </c>
      <c r="H32" s="35" t="s">
        <v>2319</v>
      </c>
      <c r="I32" s="35" t="s">
        <v>1872</v>
      </c>
      <c r="J32" s="35" t="n">
        <f aca="false">COUNTIFS(Trechos!$M$2:$M$526,A32)</f>
        <v>2</v>
      </c>
      <c r="K32" s="36" t="n">
        <f aca="false">SUMIFS(Trechos!$F$2:$F$526,Trechos!$M$2:$M$526,A32)</f>
        <v>41.7066066538754</v>
      </c>
      <c r="L32" s="35" t="n">
        <f aca="false">SUMPRODUCT(--ISNUMBER(SEARCH("|"&amp;A32&amp;"|",Trechos!$AB$2:$AB$526)))</f>
        <v>2</v>
      </c>
      <c r="M32" s="36" t="n">
        <f aca="false">SUMPRODUCT(ISNUMBER(SEARCH("|"&amp;A32&amp;"|",Trechos!$AB$2:$AB$526))*Trechos!$F$2:$F$526)</f>
        <v>41.7066066538754</v>
      </c>
      <c r="N32" s="35" t="s">
        <v>50</v>
      </c>
      <c r="O32" s="35" t="n">
        <v>-7.1806</v>
      </c>
      <c r="P32" s="35" t="n">
        <v>-48.221127</v>
      </c>
      <c r="Q32" s="49" t="s">
        <v>1603</v>
      </c>
    </row>
    <row r="33" customFormat="false" ht="15" hidden="false" customHeight="false" outlineLevel="0" collapsed="false">
      <c r="A33" s="35" t="s">
        <v>115</v>
      </c>
      <c r="B33" s="35" t="s">
        <v>1794</v>
      </c>
      <c r="C33" s="35" t="s">
        <v>985</v>
      </c>
      <c r="D33" s="35" t="s">
        <v>2310</v>
      </c>
      <c r="E33" s="35" t="s">
        <v>21</v>
      </c>
      <c r="F33" s="35" t="s">
        <v>22</v>
      </c>
      <c r="G33" s="35" t="n">
        <v>31</v>
      </c>
      <c r="H33" s="35" t="s">
        <v>2320</v>
      </c>
      <c r="I33" s="35" t="s">
        <v>1880</v>
      </c>
      <c r="J33" s="35" t="n">
        <f aca="false">COUNTIFS(Trechos!$M$2:$M$526,A33)</f>
        <v>5</v>
      </c>
      <c r="K33" s="36" t="n">
        <f aca="false">SUMIFS(Trechos!$F$2:$F$526,Trechos!$M$2:$M$526,A33)</f>
        <v>167.983510119199</v>
      </c>
      <c r="L33" s="35" t="n">
        <f aca="false">SUMPRODUCT(--ISNUMBER(SEARCH("|"&amp;A33&amp;"|",Trechos!$AB$2:$AB$526)))</f>
        <v>5</v>
      </c>
      <c r="M33" s="36" t="n">
        <f aca="false">SUMPRODUCT(ISNUMBER(SEARCH("|"&amp;A33&amp;"|",Trechos!$AB$2:$AB$526))*Trechos!$F$2:$F$526)</f>
        <v>167.983510119199</v>
      </c>
      <c r="N33" s="35" t="s">
        <v>50</v>
      </c>
      <c r="O33" s="35" t="n">
        <v>-7.182205</v>
      </c>
      <c r="P33" s="35" t="n">
        <v>-48.220379</v>
      </c>
      <c r="Q33" s="49" t="s">
        <v>1603</v>
      </c>
    </row>
    <row r="34" customFormat="false" ht="15" hidden="false" customHeight="false" outlineLevel="0" collapsed="false">
      <c r="A34" s="35" t="s">
        <v>119</v>
      </c>
      <c r="B34" s="35" t="s">
        <v>1788</v>
      </c>
      <c r="C34" s="35" t="s">
        <v>997</v>
      </c>
      <c r="D34" s="35" t="s">
        <v>2310</v>
      </c>
      <c r="E34" s="35" t="s">
        <v>21</v>
      </c>
      <c r="F34" s="35" t="s">
        <v>22</v>
      </c>
      <c r="G34" s="35" t="n">
        <v>33</v>
      </c>
      <c r="H34" s="35" t="s">
        <v>2321</v>
      </c>
      <c r="I34" s="35" t="s">
        <v>1888</v>
      </c>
      <c r="J34" s="35" t="n">
        <f aca="false">COUNTIFS(Trechos!$M$2:$M$526,A34)</f>
        <v>2</v>
      </c>
      <c r="K34" s="36" t="n">
        <f aca="false">SUMIFS(Trechos!$F$2:$F$526,Trechos!$M$2:$M$526,A34)</f>
        <v>24.7345047606341</v>
      </c>
      <c r="L34" s="35" t="n">
        <f aca="false">SUMPRODUCT(--ISNUMBER(SEARCH("|"&amp;A34&amp;"|",Trechos!$AB$2:$AB$526)))</f>
        <v>2</v>
      </c>
      <c r="M34" s="36" t="n">
        <f aca="false">SUMPRODUCT(ISNUMBER(SEARCH("|"&amp;A34&amp;"|",Trechos!$AB$2:$AB$526))*Trechos!$F$2:$F$526)</f>
        <v>24.7345047606341</v>
      </c>
      <c r="N34" s="35" t="s">
        <v>50</v>
      </c>
      <c r="O34" s="35" t="n">
        <v>-7.183208</v>
      </c>
      <c r="P34" s="35" t="n">
        <v>-48.219853</v>
      </c>
      <c r="Q34" s="49" t="s">
        <v>1603</v>
      </c>
    </row>
    <row r="35" customFormat="false" ht="15" hidden="false" customHeight="false" outlineLevel="0" collapsed="false">
      <c r="A35" s="35" t="s">
        <v>123</v>
      </c>
      <c r="B35" s="35" t="s">
        <v>1788</v>
      </c>
      <c r="C35" s="35" t="s">
        <v>1003</v>
      </c>
      <c r="D35" s="35" t="s">
        <v>2310</v>
      </c>
      <c r="E35" s="35" t="s">
        <v>21</v>
      </c>
      <c r="F35" s="35" t="s">
        <v>22</v>
      </c>
      <c r="G35" s="35" t="n">
        <v>35</v>
      </c>
      <c r="H35" s="35" t="s">
        <v>2322</v>
      </c>
      <c r="I35" s="35" t="s">
        <v>1893</v>
      </c>
      <c r="J35" s="35" t="n">
        <f aca="false">COUNTIFS(Trechos!$M$2:$M$526,A35)</f>
        <v>1</v>
      </c>
      <c r="K35" s="36" t="n">
        <f aca="false">SUMIFS(Trechos!$F$2:$F$526,Trechos!$M$2:$M$526,A35)</f>
        <v>25.0307742012439</v>
      </c>
      <c r="L35" s="35" t="n">
        <f aca="false">SUMPRODUCT(--ISNUMBER(SEARCH("|"&amp;A35&amp;"|",Trechos!$AB$2:$AB$526)))</f>
        <v>1</v>
      </c>
      <c r="M35" s="36" t="n">
        <f aca="false">SUMPRODUCT(ISNUMBER(SEARCH("|"&amp;A35&amp;"|",Trechos!$AB$2:$AB$526))*Trechos!$F$2:$F$526)</f>
        <v>25.0307742012439</v>
      </c>
      <c r="N35" s="35" t="s">
        <v>50</v>
      </c>
      <c r="O35" s="35" t="n">
        <v>-7.18374</v>
      </c>
      <c r="P35" s="35" t="n">
        <v>-48.219603</v>
      </c>
      <c r="Q35" s="49" t="s">
        <v>1603</v>
      </c>
    </row>
    <row r="36" customFormat="false" ht="15" hidden="false" customHeight="false" outlineLevel="0" collapsed="false">
      <c r="A36" s="35" t="s">
        <v>128</v>
      </c>
      <c r="B36" s="35" t="s">
        <v>1788</v>
      </c>
      <c r="C36" s="35" t="s">
        <v>1011</v>
      </c>
      <c r="D36" s="35" t="s">
        <v>2310</v>
      </c>
      <c r="E36" s="35" t="s">
        <v>21</v>
      </c>
      <c r="F36" s="35" t="s">
        <v>22</v>
      </c>
      <c r="G36" s="35" t="n">
        <v>37</v>
      </c>
      <c r="H36" s="35" t="s">
        <v>2323</v>
      </c>
      <c r="I36" s="35" t="s">
        <v>1899</v>
      </c>
      <c r="J36" s="35" t="n">
        <f aca="false">COUNTIFS(Trechos!$M$2:$M$526,A36)</f>
        <v>1</v>
      </c>
      <c r="K36" s="36" t="n">
        <f aca="false">SUMIFS(Trechos!$F$2:$F$526,Trechos!$M$2:$M$526,A36)</f>
        <v>22.7054848493459</v>
      </c>
      <c r="L36" s="35" t="n">
        <f aca="false">SUMPRODUCT(--ISNUMBER(SEARCH("|"&amp;A36&amp;"|",Trechos!$AB$2:$AB$526)))</f>
        <v>1</v>
      </c>
      <c r="M36" s="36" t="n">
        <f aca="false">SUMPRODUCT(ISNUMBER(SEARCH("|"&amp;A36&amp;"|",Trechos!$AB$2:$AB$526))*Trechos!$F$2:$F$526)</f>
        <v>22.7054848493459</v>
      </c>
      <c r="N36" s="35" t="s">
        <v>50</v>
      </c>
      <c r="O36" s="35" t="n">
        <v>-7.184023</v>
      </c>
      <c r="P36" s="35" t="n">
        <v>-48.219458</v>
      </c>
      <c r="Q36" s="49" t="s">
        <v>1603</v>
      </c>
    </row>
    <row r="37" customFormat="false" ht="15" hidden="false" customHeight="false" outlineLevel="0" collapsed="false">
      <c r="A37" s="35" t="s">
        <v>132</v>
      </c>
      <c r="B37" s="35" t="s">
        <v>1788</v>
      </c>
      <c r="C37" s="35" t="s">
        <v>1015</v>
      </c>
      <c r="D37" s="35" t="s">
        <v>2310</v>
      </c>
      <c r="E37" s="35" t="s">
        <v>21</v>
      </c>
      <c r="F37" s="35" t="s">
        <v>22</v>
      </c>
      <c r="G37" s="35" t="n">
        <v>39</v>
      </c>
      <c r="H37" s="35" t="s">
        <v>2324</v>
      </c>
      <c r="I37" s="35" t="s">
        <v>1903</v>
      </c>
      <c r="J37" s="35" t="n">
        <f aca="false">COUNTIFS(Trechos!$M$2:$M$526,A37)</f>
        <v>1</v>
      </c>
      <c r="K37" s="36" t="n">
        <f aca="false">SUMIFS(Trechos!$F$2:$F$526,Trechos!$M$2:$M$526,A37)</f>
        <v>12.9405754106841</v>
      </c>
      <c r="L37" s="35" t="n">
        <f aca="false">SUMPRODUCT(--ISNUMBER(SEARCH("|"&amp;A37&amp;"|",Trechos!$AB$2:$AB$526)))</f>
        <v>1</v>
      </c>
      <c r="M37" s="36" t="n">
        <f aca="false">SUMPRODUCT(ISNUMBER(SEARCH("|"&amp;A37&amp;"|",Trechos!$AB$2:$AB$526))*Trechos!$F$2:$F$526)</f>
        <v>12.9405754106841</v>
      </c>
      <c r="N37" s="35" t="s">
        <v>50</v>
      </c>
      <c r="O37" s="35" t="n">
        <v>-7.184203</v>
      </c>
      <c r="P37" s="35" t="n">
        <v>-48.219344</v>
      </c>
      <c r="Q37" s="49" t="s">
        <v>1603</v>
      </c>
    </row>
    <row r="38" customFormat="false" ht="15" hidden="false" customHeight="false" outlineLevel="0" collapsed="false">
      <c r="A38" s="35" t="s">
        <v>1020</v>
      </c>
      <c r="B38" s="35" t="s">
        <v>2301</v>
      </c>
      <c r="C38" s="35" t="s">
        <v>1019</v>
      </c>
      <c r="D38" s="35" t="s">
        <v>2310</v>
      </c>
      <c r="E38" s="35" t="s">
        <v>21</v>
      </c>
      <c r="F38" s="35" t="s">
        <v>21</v>
      </c>
      <c r="G38" s="35" t="n">
        <v>41</v>
      </c>
      <c r="H38" s="35" t="s">
        <v>50</v>
      </c>
      <c r="I38" s="35" t="s">
        <v>1676</v>
      </c>
      <c r="J38" s="35"/>
      <c r="K38" s="35"/>
      <c r="L38" s="35"/>
      <c r="M38" s="35"/>
      <c r="N38" s="35" t="s">
        <v>1906</v>
      </c>
      <c r="O38" s="35" t="n">
        <v>-7.184621</v>
      </c>
      <c r="P38" s="35" t="n">
        <v>-48.219168</v>
      </c>
      <c r="Q38" s="49" t="s">
        <v>1603</v>
      </c>
    </row>
    <row r="39" customFormat="false" ht="15" hidden="false" customHeight="false" outlineLevel="0" collapsed="false">
      <c r="A39" s="35" t="s">
        <v>1043</v>
      </c>
      <c r="B39" s="35" t="s">
        <v>2301</v>
      </c>
      <c r="C39" s="35" t="s">
        <v>1042</v>
      </c>
      <c r="D39" s="35" t="s">
        <v>2310</v>
      </c>
      <c r="E39" s="35" t="s">
        <v>21</v>
      </c>
      <c r="F39" s="35" t="s">
        <v>21</v>
      </c>
      <c r="G39" s="35" t="n">
        <v>41</v>
      </c>
      <c r="H39" s="35" t="s">
        <v>50</v>
      </c>
      <c r="I39" s="35" t="s">
        <v>1676</v>
      </c>
      <c r="J39" s="35"/>
      <c r="K39" s="35"/>
      <c r="L39" s="35"/>
      <c r="M39" s="35"/>
      <c r="N39" s="35" t="s">
        <v>1919</v>
      </c>
      <c r="O39" s="35" t="n">
        <v>-7.186539</v>
      </c>
      <c r="P39" s="35" t="n">
        <v>-48.222491</v>
      </c>
      <c r="Q39" s="49" t="s">
        <v>1603</v>
      </c>
    </row>
    <row r="40" customFormat="false" ht="15" hidden="false" customHeight="false" outlineLevel="0" collapsed="false">
      <c r="A40" s="35" t="s">
        <v>138</v>
      </c>
      <c r="B40" s="35" t="s">
        <v>1788</v>
      </c>
      <c r="C40" s="35" t="s">
        <v>1051</v>
      </c>
      <c r="D40" s="35" t="s">
        <v>2310</v>
      </c>
      <c r="E40" s="35" t="s">
        <v>21</v>
      </c>
      <c r="F40" s="35" t="s">
        <v>22</v>
      </c>
      <c r="G40" s="35" t="n">
        <v>41</v>
      </c>
      <c r="H40" s="35" t="s">
        <v>2325</v>
      </c>
      <c r="I40" s="35" t="s">
        <v>1941</v>
      </c>
      <c r="J40" s="35" t="n">
        <f aca="false">COUNTIFS(Trechos!$M$2:$M$526,A40)</f>
        <v>4</v>
      </c>
      <c r="K40" s="36" t="n">
        <f aca="false">SUMIFS(Trechos!$F$2:$F$526,Trechos!$M$2:$M$526,A40)</f>
        <v>43.8731354215516</v>
      </c>
      <c r="L40" s="35" t="n">
        <f aca="false">SUMPRODUCT(--ISNUMBER(SEARCH("|"&amp;A40&amp;"|",Trechos!$AB$2:$AB$526)))</f>
        <v>4</v>
      </c>
      <c r="M40" s="36" t="n">
        <f aca="false">SUMPRODUCT(ISNUMBER(SEARCH("|"&amp;A40&amp;"|",Trechos!$AB$2:$AB$526))*Trechos!$F$2:$F$526)</f>
        <v>43.8731354215516</v>
      </c>
      <c r="N40" s="35" t="s">
        <v>50</v>
      </c>
      <c r="O40" s="35" t="n">
        <v>-7.187717</v>
      </c>
      <c r="P40" s="35" t="n">
        <v>-48.223162</v>
      </c>
      <c r="Q40" s="49" t="s">
        <v>1603</v>
      </c>
    </row>
    <row r="41" customFormat="false" ht="15" hidden="false" customHeight="false" outlineLevel="0" collapsed="false">
      <c r="A41" s="35" t="s">
        <v>140</v>
      </c>
      <c r="B41" s="35" t="s">
        <v>1794</v>
      </c>
      <c r="C41" s="35" t="s">
        <v>1057</v>
      </c>
      <c r="D41" s="35" t="s">
        <v>2310</v>
      </c>
      <c r="E41" s="35" t="s">
        <v>21</v>
      </c>
      <c r="F41" s="35" t="s">
        <v>22</v>
      </c>
      <c r="G41" s="35" t="n">
        <v>41</v>
      </c>
      <c r="H41" s="35" t="s">
        <v>2326</v>
      </c>
      <c r="I41" s="35" t="s">
        <v>1947</v>
      </c>
      <c r="J41" s="35" t="n">
        <f aca="false">COUNTIFS(Trechos!$M$2:$M$526,A41)</f>
        <v>22</v>
      </c>
      <c r="K41" s="36" t="n">
        <f aca="false">SUMIFS(Trechos!$F$2:$F$526,Trechos!$M$2:$M$526,A41)</f>
        <v>610.208030074514</v>
      </c>
      <c r="L41" s="35" t="n">
        <f aca="false">SUMPRODUCT(--ISNUMBER(SEARCH("|"&amp;A41&amp;"|",Trechos!$AB$2:$AB$526)))</f>
        <v>23</v>
      </c>
      <c r="M41" s="36" t="n">
        <f aca="false">SUMPRODUCT(ISNUMBER(SEARCH("|"&amp;A41&amp;"|",Trechos!$AB$2:$AB$526))*Trechos!$F$2:$F$526)</f>
        <v>621.449984163385</v>
      </c>
      <c r="N41" s="35" t="s">
        <v>142</v>
      </c>
      <c r="O41" s="35" t="n">
        <v>-7.187399</v>
      </c>
      <c r="P41" s="35" t="n">
        <v>-48.222809</v>
      </c>
      <c r="Q41" s="49" t="s">
        <v>1603</v>
      </c>
    </row>
    <row r="42" customFormat="false" ht="15" hidden="false" customHeight="false" outlineLevel="0" collapsed="false">
      <c r="A42" s="35" t="s">
        <v>144</v>
      </c>
      <c r="B42" s="35" t="s">
        <v>1794</v>
      </c>
      <c r="C42" s="35" t="s">
        <v>1063</v>
      </c>
      <c r="D42" s="35" t="s">
        <v>2310</v>
      </c>
      <c r="E42" s="35" t="s">
        <v>21</v>
      </c>
      <c r="F42" s="35" t="s">
        <v>22</v>
      </c>
      <c r="G42" s="35" t="n">
        <v>41</v>
      </c>
      <c r="H42" s="35" t="s">
        <v>2327</v>
      </c>
      <c r="I42" s="35" t="s">
        <v>1974</v>
      </c>
      <c r="J42" s="35" t="n">
        <f aca="false">COUNTIFS(Trechos!$M$2:$M$526,A42)</f>
        <v>3</v>
      </c>
      <c r="K42" s="36" t="n">
        <f aca="false">SUMIFS(Trechos!$F$2:$F$526,Trechos!$M$2:$M$526,A42)</f>
        <v>234.703286837545</v>
      </c>
      <c r="L42" s="35" t="n">
        <f aca="false">SUMPRODUCT(--ISNUMBER(SEARCH("|"&amp;A42&amp;"|",Trechos!$AB$2:$AB$526)))</f>
        <v>3</v>
      </c>
      <c r="M42" s="36" t="n">
        <f aca="false">SUMPRODUCT(ISNUMBER(SEARCH("|"&amp;A42&amp;"|",Trechos!$AB$2:$AB$526))*Trechos!$F$2:$F$526)</f>
        <v>234.703286837545</v>
      </c>
      <c r="N42" s="35" t="s">
        <v>50</v>
      </c>
      <c r="O42" s="35" t="n">
        <v>-7.187232</v>
      </c>
      <c r="P42" s="35" t="n">
        <v>-48.223044</v>
      </c>
      <c r="Q42" s="49" t="s">
        <v>1603</v>
      </c>
    </row>
    <row r="43" customFormat="false" ht="15" hidden="false" customHeight="false" outlineLevel="0" collapsed="false">
      <c r="A43" s="35" t="s">
        <v>146</v>
      </c>
      <c r="B43" s="35" t="s">
        <v>1788</v>
      </c>
      <c r="C43" s="35" t="s">
        <v>1065</v>
      </c>
      <c r="D43" s="35" t="s">
        <v>2310</v>
      </c>
      <c r="E43" s="35" t="s">
        <v>21</v>
      </c>
      <c r="F43" s="35" t="s">
        <v>22</v>
      </c>
      <c r="G43" s="35" t="n">
        <v>41</v>
      </c>
      <c r="H43" s="35" t="s">
        <v>2328</v>
      </c>
      <c r="I43" s="35" t="s">
        <v>1979</v>
      </c>
      <c r="J43" s="35" t="n">
        <f aca="false">COUNTIFS(Trechos!$M$2:$M$526,A43)</f>
        <v>2</v>
      </c>
      <c r="K43" s="36" t="n">
        <f aca="false">SUMIFS(Trechos!$F$2:$F$526,Trechos!$M$2:$M$526,A43)</f>
        <v>11.1909128468482</v>
      </c>
      <c r="L43" s="35" t="n">
        <f aca="false">SUMPRODUCT(--ISNUMBER(SEARCH("|"&amp;A43&amp;"|",Trechos!$AB$2:$AB$526)))</f>
        <v>2</v>
      </c>
      <c r="M43" s="36" t="n">
        <f aca="false">SUMPRODUCT(ISNUMBER(SEARCH("|"&amp;A43&amp;"|",Trechos!$AB$2:$AB$526))*Trechos!$F$2:$F$526)</f>
        <v>11.1909128468482</v>
      </c>
      <c r="N43" s="35" t="s">
        <v>50</v>
      </c>
      <c r="O43" s="35" t="n">
        <v>-7.186055</v>
      </c>
      <c r="P43" s="35" t="n">
        <v>-48.222231</v>
      </c>
      <c r="Q43" s="49" t="s">
        <v>1603</v>
      </c>
    </row>
    <row r="44" customFormat="false" ht="15" hidden="false" customHeight="false" outlineLevel="0" collapsed="false">
      <c r="A44" s="35" t="s">
        <v>148</v>
      </c>
      <c r="B44" s="35" t="s">
        <v>1794</v>
      </c>
      <c r="C44" s="35" t="s">
        <v>1069</v>
      </c>
      <c r="D44" s="35" t="s">
        <v>2310</v>
      </c>
      <c r="E44" s="35" t="s">
        <v>21</v>
      </c>
      <c r="F44" s="35" t="s">
        <v>22</v>
      </c>
      <c r="G44" s="35" t="n">
        <v>41</v>
      </c>
      <c r="H44" s="35" t="s">
        <v>2329</v>
      </c>
      <c r="I44" s="35" t="s">
        <v>1984</v>
      </c>
      <c r="J44" s="35" t="n">
        <f aca="false">COUNTIFS(Trechos!$M$2:$M$526,A44)</f>
        <v>12</v>
      </c>
      <c r="K44" s="36" t="n">
        <f aca="false">SUMIFS(Trechos!$F$2:$F$526,Trechos!$M$2:$M$526,A44)</f>
        <v>364.461040747831</v>
      </c>
      <c r="L44" s="35" t="n">
        <f aca="false">SUMPRODUCT(--ISNUMBER(SEARCH("|"&amp;A44&amp;"|",Trechos!$AB$2:$AB$526)))</f>
        <v>15</v>
      </c>
      <c r="M44" s="36" t="n">
        <f aca="false">SUMPRODUCT(ISNUMBER(SEARCH("|"&amp;A44&amp;"|",Trechos!$AB$2:$AB$526))*Trechos!$F$2:$F$526)</f>
        <v>403.863786797493</v>
      </c>
      <c r="N44" s="35" t="s">
        <v>1983</v>
      </c>
      <c r="O44" s="35" t="n">
        <v>-7.184874</v>
      </c>
      <c r="P44" s="35" t="n">
        <v>-48.221325</v>
      </c>
      <c r="Q44" s="49" t="s">
        <v>1603</v>
      </c>
    </row>
    <row r="45" customFormat="false" ht="15" hidden="false" customHeight="false" outlineLevel="0" collapsed="false">
      <c r="A45" s="35" t="s">
        <v>154</v>
      </c>
      <c r="B45" s="35" t="s">
        <v>1788</v>
      </c>
      <c r="C45" s="35" t="s">
        <v>1071</v>
      </c>
      <c r="D45" s="35" t="s">
        <v>2310</v>
      </c>
      <c r="E45" s="35" t="s">
        <v>21</v>
      </c>
      <c r="F45" s="35" t="s">
        <v>22</v>
      </c>
      <c r="G45" s="35" t="n">
        <v>41</v>
      </c>
      <c r="H45" s="35" t="s">
        <v>2330</v>
      </c>
      <c r="I45" s="35" t="s">
        <v>2005</v>
      </c>
      <c r="J45" s="35" t="n">
        <f aca="false">COUNTIFS(Trechos!$M$2:$M$526,A45)</f>
        <v>3</v>
      </c>
      <c r="K45" s="36" t="n">
        <f aca="false">SUMIFS(Trechos!$F$2:$F$526,Trechos!$M$2:$M$526,A45)</f>
        <v>45.9204251135986</v>
      </c>
      <c r="L45" s="35" t="n">
        <f aca="false">SUMPRODUCT(--ISNUMBER(SEARCH("|"&amp;A45&amp;"|",Trechos!$AB$2:$AB$526)))</f>
        <v>3</v>
      </c>
      <c r="M45" s="36" t="n">
        <f aca="false">SUMPRODUCT(ISNUMBER(SEARCH("|"&amp;A45&amp;"|",Trechos!$AB$2:$AB$526))*Trechos!$F$2:$F$526)</f>
        <v>45.9204251135986</v>
      </c>
      <c r="N45" s="35" t="s">
        <v>50</v>
      </c>
      <c r="O45" s="35" t="n">
        <v>-7.18482</v>
      </c>
      <c r="P45" s="35" t="n">
        <v>-48.220628</v>
      </c>
      <c r="Q45" s="49" t="s">
        <v>1603</v>
      </c>
    </row>
    <row r="46" customFormat="false" ht="15" hidden="false" customHeight="false" outlineLevel="0" collapsed="false">
      <c r="A46" s="35" t="s">
        <v>156</v>
      </c>
      <c r="B46" s="35" t="s">
        <v>1788</v>
      </c>
      <c r="C46" s="35" t="s">
        <v>1073</v>
      </c>
      <c r="D46" s="35" t="s">
        <v>2310</v>
      </c>
      <c r="E46" s="35" t="s">
        <v>21</v>
      </c>
      <c r="F46" s="35" t="s">
        <v>22</v>
      </c>
      <c r="G46" s="35" t="n">
        <v>41</v>
      </c>
      <c r="H46" s="35" t="s">
        <v>2331</v>
      </c>
      <c r="I46" s="35" t="s">
        <v>2010</v>
      </c>
      <c r="J46" s="35" t="n">
        <f aca="false">COUNTIFS(Trechos!$M$2:$M$526,A46)</f>
        <v>1</v>
      </c>
      <c r="K46" s="36" t="n">
        <f aca="false">SUMIFS(Trechos!$F$2:$F$526,Trechos!$M$2:$M$526,A46)</f>
        <v>28.3500989681362</v>
      </c>
      <c r="L46" s="35" t="n">
        <f aca="false">SUMPRODUCT(--ISNUMBER(SEARCH("|"&amp;A46&amp;"|",Trechos!$AB$2:$AB$526)))</f>
        <v>1</v>
      </c>
      <c r="M46" s="36" t="n">
        <f aca="false">SUMPRODUCT(ISNUMBER(SEARCH("|"&amp;A46&amp;"|",Trechos!$AB$2:$AB$526))*Trechos!$F$2:$F$526)</f>
        <v>28.3500989681362</v>
      </c>
      <c r="N46" s="35" t="s">
        <v>50</v>
      </c>
      <c r="O46" s="35" t="n">
        <v>-7.18468</v>
      </c>
      <c r="P46" s="35" t="n">
        <v>-48.219931</v>
      </c>
      <c r="Q46" s="49" t="s">
        <v>1603</v>
      </c>
    </row>
    <row r="47" customFormat="false" ht="15" hidden="false" customHeight="false" outlineLevel="0" collapsed="false">
      <c r="A47" s="35" t="s">
        <v>142</v>
      </c>
      <c r="B47" s="35" t="s">
        <v>1794</v>
      </c>
      <c r="C47" s="35" t="s">
        <v>1125</v>
      </c>
      <c r="D47" s="35" t="s">
        <v>2310</v>
      </c>
      <c r="E47" s="35" t="s">
        <v>22</v>
      </c>
      <c r="F47" s="35" t="s">
        <v>23</v>
      </c>
      <c r="G47" s="35" t="n">
        <v>43</v>
      </c>
      <c r="H47" s="35" t="s">
        <v>2332</v>
      </c>
      <c r="I47" s="35" t="s">
        <v>1971</v>
      </c>
      <c r="J47" s="35" t="n">
        <f aca="false">COUNTIFS(Trechos!$M$2:$M$526,A47)</f>
        <v>1</v>
      </c>
      <c r="K47" s="36" t="n">
        <f aca="false">SUMIFS(Trechos!$F$2:$F$526,Trechos!$M$2:$M$526,A47)</f>
        <v>11.2419540888715</v>
      </c>
      <c r="L47" s="35" t="n">
        <f aca="false">SUMPRODUCT(--ISNUMBER(SEARCH("|"&amp;A47&amp;"|",Trechos!$AB$2:$AB$526)))</f>
        <v>1</v>
      </c>
      <c r="M47" s="36" t="n">
        <f aca="false">SUMPRODUCT(ISNUMBER(SEARCH("|"&amp;A47&amp;"|",Trechos!$AB$2:$AB$526))*Trechos!$F$2:$F$526)</f>
        <v>11.2419540888715</v>
      </c>
      <c r="N47" s="35" t="s">
        <v>50</v>
      </c>
      <c r="O47" s="35" t="n">
        <v>-7.188045</v>
      </c>
      <c r="P47" s="35" t="n">
        <v>-48.222515</v>
      </c>
      <c r="Q47" s="49" t="s">
        <v>1603</v>
      </c>
    </row>
    <row r="48" customFormat="false" ht="15" hidden="false" customHeight="false" outlineLevel="0" collapsed="false">
      <c r="A48" s="35" t="s">
        <v>150</v>
      </c>
      <c r="B48" s="35" t="s">
        <v>1788</v>
      </c>
      <c r="C48" s="35" t="s">
        <v>1151</v>
      </c>
      <c r="D48" s="35" t="s">
        <v>2310</v>
      </c>
      <c r="E48" s="35" t="s">
        <v>22</v>
      </c>
      <c r="F48" s="35" t="s">
        <v>23</v>
      </c>
      <c r="G48" s="35" t="n">
        <v>47</v>
      </c>
      <c r="H48" s="35" t="s">
        <v>2333</v>
      </c>
      <c r="I48" s="35" t="s">
        <v>1998</v>
      </c>
      <c r="J48" s="35" t="n">
        <f aca="false">COUNTIFS(Trechos!$M$2:$M$526,A48)</f>
        <v>2</v>
      </c>
      <c r="K48" s="36" t="n">
        <f aca="false">SUMIFS(Trechos!$F$2:$F$526,Trechos!$M$2:$M$526,A48)</f>
        <v>25.1227917714589</v>
      </c>
      <c r="L48" s="35" t="n">
        <f aca="false">SUMPRODUCT(--ISNUMBER(SEARCH("|"&amp;A48&amp;"|",Trechos!$AB$2:$AB$526)))</f>
        <v>2</v>
      </c>
      <c r="M48" s="36" t="n">
        <f aca="false">SUMPRODUCT(ISNUMBER(SEARCH("|"&amp;A48&amp;"|",Trechos!$AB$2:$AB$526))*Trechos!$F$2:$F$526)</f>
        <v>25.1227917714589</v>
      </c>
      <c r="N48" s="35" t="s">
        <v>50</v>
      </c>
      <c r="O48" s="35" t="n">
        <v>-7.183062</v>
      </c>
      <c r="P48" s="35" t="n">
        <v>-48.220856</v>
      </c>
      <c r="Q48" s="49" t="s">
        <v>1603</v>
      </c>
    </row>
    <row r="49" customFormat="false" ht="15" hidden="false" customHeight="false" outlineLevel="0" collapsed="false">
      <c r="A49" s="35" t="s">
        <v>152</v>
      </c>
      <c r="B49" s="35" t="s">
        <v>1788</v>
      </c>
      <c r="C49" s="35" t="s">
        <v>1161</v>
      </c>
      <c r="D49" s="35" t="s">
        <v>2310</v>
      </c>
      <c r="E49" s="35" t="s">
        <v>22</v>
      </c>
      <c r="F49" s="35" t="s">
        <v>23</v>
      </c>
      <c r="G49" s="35" t="n">
        <v>47</v>
      </c>
      <c r="H49" s="35" t="s">
        <v>2334</v>
      </c>
      <c r="I49" s="35" t="s">
        <v>2002</v>
      </c>
      <c r="J49" s="35" t="n">
        <f aca="false">COUNTIFS(Trechos!$M$2:$M$526,A49)</f>
        <v>1</v>
      </c>
      <c r="K49" s="36" t="n">
        <f aca="false">SUMIFS(Trechos!$F$2:$F$526,Trechos!$M$2:$M$526,A49)</f>
        <v>14.2799542782028</v>
      </c>
      <c r="L49" s="35" t="n">
        <f aca="false">SUMPRODUCT(--ISNUMBER(SEARCH("|"&amp;A49&amp;"|",Trechos!$AB$2:$AB$526)))</f>
        <v>1</v>
      </c>
      <c r="M49" s="36" t="n">
        <f aca="false">SUMPRODUCT(ISNUMBER(SEARCH("|"&amp;A49&amp;"|",Trechos!$AB$2:$AB$526))*Trechos!$F$2:$F$526)</f>
        <v>14.2799542782028</v>
      </c>
      <c r="N49" s="35" t="s">
        <v>50</v>
      </c>
      <c r="O49" s="35" t="n">
        <v>-7.184071</v>
      </c>
      <c r="P49" s="35" t="n">
        <v>-48.222246</v>
      </c>
      <c r="Q49" s="49" t="s">
        <v>1603</v>
      </c>
    </row>
    <row r="50" customFormat="false" ht="15" hidden="false" customHeight="false" outlineLevel="0" collapsed="false">
      <c r="A50" s="35" t="s">
        <v>161</v>
      </c>
      <c r="B50" s="35" t="s">
        <v>2301</v>
      </c>
      <c r="C50" s="35" t="s">
        <v>1179</v>
      </c>
      <c r="D50" s="35" t="s">
        <v>2310</v>
      </c>
      <c r="E50" s="35" t="s">
        <v>21</v>
      </c>
      <c r="F50" s="35" t="s">
        <v>21</v>
      </c>
      <c r="G50" s="35" t="n">
        <v>52</v>
      </c>
      <c r="H50" s="35" t="s">
        <v>50</v>
      </c>
      <c r="I50" s="35" t="s">
        <v>1676</v>
      </c>
      <c r="J50" s="35"/>
      <c r="K50" s="35"/>
      <c r="L50" s="35"/>
      <c r="M50" s="35"/>
      <c r="N50" s="35" t="s">
        <v>50</v>
      </c>
      <c r="O50" s="35" t="n">
        <v>-7.185771</v>
      </c>
      <c r="P50" s="35" t="n">
        <v>-48.21859</v>
      </c>
      <c r="Q50" s="49" t="s">
        <v>1603</v>
      </c>
    </row>
    <row r="51" customFormat="false" ht="15" hidden="false" customHeight="false" outlineLevel="0" collapsed="false">
      <c r="A51" s="35" t="s">
        <v>162</v>
      </c>
      <c r="B51" s="35" t="s">
        <v>1794</v>
      </c>
      <c r="C51" s="35" t="s">
        <v>1187</v>
      </c>
      <c r="D51" s="35" t="s">
        <v>2310</v>
      </c>
      <c r="E51" s="35" t="s">
        <v>21</v>
      </c>
      <c r="F51" s="35" t="s">
        <v>22</v>
      </c>
      <c r="G51" s="35" t="n">
        <v>52</v>
      </c>
      <c r="H51" s="35" t="s">
        <v>2335</v>
      </c>
      <c r="I51" s="35" t="s">
        <v>2021</v>
      </c>
      <c r="J51" s="35" t="n">
        <f aca="false">COUNTIFS(Trechos!$M$2:$M$526,A51)</f>
        <v>6</v>
      </c>
      <c r="K51" s="36" t="n">
        <f aca="false">SUMIFS(Trechos!$F$2:$F$526,Trechos!$M$2:$M$526,A51)</f>
        <v>246.326895394835</v>
      </c>
      <c r="L51" s="35" t="n">
        <f aca="false">SUMPRODUCT(--ISNUMBER(SEARCH("|"&amp;A51&amp;"|",Trechos!$AB$2:$AB$526)))</f>
        <v>25</v>
      </c>
      <c r="M51" s="36" t="n">
        <f aca="false">SUMPRODUCT(ISNUMBER(SEARCH("|"&amp;A51&amp;"|",Trechos!$AB$2:$AB$526))*Trechos!$F$2:$F$526)</f>
        <v>1167.43153438663</v>
      </c>
      <c r="N51" s="35" t="s">
        <v>2020</v>
      </c>
      <c r="O51" s="35" t="n">
        <v>-7.185541</v>
      </c>
      <c r="P51" s="35" t="n">
        <v>-48.218351</v>
      </c>
      <c r="Q51" s="49" t="s">
        <v>1603</v>
      </c>
    </row>
    <row r="52" customFormat="false" ht="15" hidden="false" customHeight="false" outlineLevel="0" collapsed="false">
      <c r="A52" s="35" t="s">
        <v>164</v>
      </c>
      <c r="B52" s="35" t="s">
        <v>1794</v>
      </c>
      <c r="C52" s="35" t="s">
        <v>1195</v>
      </c>
      <c r="D52" s="35" t="s">
        <v>2310</v>
      </c>
      <c r="E52" s="35" t="s">
        <v>22</v>
      </c>
      <c r="F52" s="35" t="s">
        <v>23</v>
      </c>
      <c r="G52" s="35" t="n">
        <v>53</v>
      </c>
      <c r="H52" s="35" t="s">
        <v>2336</v>
      </c>
      <c r="I52" s="35" t="s">
        <v>2030</v>
      </c>
      <c r="J52" s="35" t="n">
        <f aca="false">COUNTIFS(Trechos!$M$2:$M$526,A52)</f>
        <v>16</v>
      </c>
      <c r="K52" s="36" t="n">
        <f aca="false">SUMIFS(Trechos!$F$2:$F$526,Trechos!$M$2:$M$526,A52)</f>
        <v>884.115852375793</v>
      </c>
      <c r="L52" s="35" t="n">
        <f aca="false">SUMPRODUCT(--ISNUMBER(SEARCH("|"&amp;A52&amp;"|",Trechos!$AB$2:$AB$526)))</f>
        <v>19</v>
      </c>
      <c r="M52" s="36" t="n">
        <f aca="false">SUMPRODUCT(ISNUMBER(SEARCH("|"&amp;A52&amp;"|",Trechos!$AB$2:$AB$526))*Trechos!$F$2:$F$526)</f>
        <v>921.104638991799</v>
      </c>
      <c r="N52" s="35" t="s">
        <v>2029</v>
      </c>
      <c r="O52" s="35" t="n">
        <v>-7.184645</v>
      </c>
      <c r="P52" s="35" t="n">
        <v>-48.217087</v>
      </c>
      <c r="Q52" s="49" t="s">
        <v>1603</v>
      </c>
    </row>
    <row r="53" customFormat="false" ht="15" hidden="false" customHeight="false" outlineLevel="0" collapsed="false">
      <c r="A53" s="35" t="s">
        <v>166</v>
      </c>
      <c r="B53" s="35" t="s">
        <v>1788</v>
      </c>
      <c r="C53" s="35" t="s">
        <v>1215</v>
      </c>
      <c r="D53" s="35" t="s">
        <v>2310</v>
      </c>
      <c r="E53" s="35" t="s">
        <v>23</v>
      </c>
      <c r="F53" s="35" t="s">
        <v>24</v>
      </c>
      <c r="G53" s="35" t="n">
        <v>54</v>
      </c>
      <c r="H53" s="35" t="s">
        <v>2337</v>
      </c>
      <c r="I53" s="35" t="s">
        <v>2048</v>
      </c>
      <c r="J53" s="35" t="n">
        <f aca="false">COUNTIFS(Trechos!$M$2:$M$526,A53)</f>
        <v>1</v>
      </c>
      <c r="K53" s="36" t="n">
        <f aca="false">SUMIFS(Trechos!$F$2:$F$526,Trechos!$M$2:$M$526,A53)</f>
        <v>8.080333236384</v>
      </c>
      <c r="L53" s="35" t="n">
        <f aca="false">SUMPRODUCT(--ISNUMBER(SEARCH("|"&amp;A53&amp;"|",Trechos!$AB$2:$AB$526)))</f>
        <v>1</v>
      </c>
      <c r="M53" s="36" t="n">
        <f aca="false">SUMPRODUCT(ISNUMBER(SEARCH("|"&amp;A53&amp;"|",Trechos!$AB$2:$AB$526))*Trechos!$F$2:$F$526)</f>
        <v>8.080333236384</v>
      </c>
      <c r="N53" s="35" t="s">
        <v>50</v>
      </c>
      <c r="O53" s="35" t="n">
        <v>-7.185026</v>
      </c>
      <c r="P53" s="35" t="n">
        <v>-48.215954</v>
      </c>
      <c r="Q53" s="49" t="s">
        <v>1603</v>
      </c>
    </row>
    <row r="54" customFormat="false" ht="15" hidden="false" customHeight="false" outlineLevel="0" collapsed="false">
      <c r="A54" s="35" t="s">
        <v>168</v>
      </c>
      <c r="B54" s="35" t="s">
        <v>1788</v>
      </c>
      <c r="C54" s="35" t="s">
        <v>1229</v>
      </c>
      <c r="D54" s="35" t="s">
        <v>2310</v>
      </c>
      <c r="E54" s="35" t="s">
        <v>23</v>
      </c>
      <c r="F54" s="35" t="s">
        <v>24</v>
      </c>
      <c r="G54" s="35" t="n">
        <v>54</v>
      </c>
      <c r="H54" s="35" t="s">
        <v>2338</v>
      </c>
      <c r="I54" s="35" t="s">
        <v>2051</v>
      </c>
      <c r="J54" s="35" t="n">
        <f aca="false">COUNTIFS(Trechos!$M$2:$M$526,A54)</f>
        <v>2</v>
      </c>
      <c r="K54" s="36" t="n">
        <f aca="false">SUMIFS(Trechos!$F$2:$F$526,Trechos!$M$2:$M$526,A54)</f>
        <v>28.9084533796218</v>
      </c>
      <c r="L54" s="35" t="n">
        <f aca="false">SUMPRODUCT(--ISNUMBER(SEARCH("|"&amp;A54&amp;"|",Trechos!$AB$2:$AB$526)))</f>
        <v>2</v>
      </c>
      <c r="M54" s="36" t="n">
        <f aca="false">SUMPRODUCT(ISNUMBER(SEARCH("|"&amp;A54&amp;"|",Trechos!$AB$2:$AB$526))*Trechos!$F$2:$F$526)</f>
        <v>28.9084533796218</v>
      </c>
      <c r="N54" s="35" t="s">
        <v>50</v>
      </c>
      <c r="O54" s="35" t="n">
        <v>-7.185678</v>
      </c>
      <c r="P54" s="35" t="n">
        <v>-48.215575</v>
      </c>
      <c r="Q54" s="49" t="s">
        <v>1603</v>
      </c>
    </row>
    <row r="55" customFormat="false" ht="15" hidden="false" customHeight="false" outlineLevel="0" collapsed="false">
      <c r="A55" s="35" t="s">
        <v>172</v>
      </c>
      <c r="B55" s="35" t="s">
        <v>1794</v>
      </c>
      <c r="C55" s="35" t="s">
        <v>1239</v>
      </c>
      <c r="D55" s="35" t="s">
        <v>2310</v>
      </c>
      <c r="E55" s="35" t="s">
        <v>21</v>
      </c>
      <c r="F55" s="35" t="s">
        <v>22</v>
      </c>
      <c r="G55" s="35" t="n">
        <v>57</v>
      </c>
      <c r="H55" s="35" t="s">
        <v>2339</v>
      </c>
      <c r="I55" s="35" t="s">
        <v>2056</v>
      </c>
      <c r="J55" s="35" t="n">
        <f aca="false">COUNTIFS(Trechos!$M$2:$M$526,A55)</f>
        <v>1</v>
      </c>
      <c r="K55" s="36" t="n">
        <f aca="false">SUMIFS(Trechos!$F$2:$F$526,Trechos!$M$2:$M$526,A55)</f>
        <v>7.84550519134476</v>
      </c>
      <c r="L55" s="35" t="n">
        <f aca="false">SUMPRODUCT(--ISNUMBER(SEARCH("|"&amp;A55&amp;"|",Trechos!$AB$2:$AB$526)))</f>
        <v>1</v>
      </c>
      <c r="M55" s="36" t="n">
        <f aca="false">SUMPRODUCT(ISNUMBER(SEARCH("|"&amp;A55&amp;"|",Trechos!$AB$2:$AB$526))*Trechos!$F$2:$F$526)</f>
        <v>7.84550519134476</v>
      </c>
      <c r="N55" s="35" t="s">
        <v>50</v>
      </c>
      <c r="O55" s="35" t="n">
        <v>-7.186741</v>
      </c>
      <c r="P55" s="35" t="n">
        <v>-48.217496</v>
      </c>
      <c r="Q55" s="49" t="s">
        <v>1603</v>
      </c>
    </row>
    <row r="56" customFormat="false" ht="15" hidden="false" customHeight="false" outlineLevel="0" collapsed="false">
      <c r="A56" s="35" t="s">
        <v>176</v>
      </c>
      <c r="B56" s="35" t="s">
        <v>1788</v>
      </c>
      <c r="C56" s="35" t="s">
        <v>1243</v>
      </c>
      <c r="D56" s="35" t="s">
        <v>2310</v>
      </c>
      <c r="E56" s="35" t="s">
        <v>21</v>
      </c>
      <c r="F56" s="35" t="s">
        <v>22</v>
      </c>
      <c r="G56" s="35" t="n">
        <v>59</v>
      </c>
      <c r="H56" s="35" t="s">
        <v>2340</v>
      </c>
      <c r="I56" s="35" t="s">
        <v>2060</v>
      </c>
      <c r="J56" s="35" t="n">
        <f aca="false">COUNTIFS(Trechos!$M$2:$M$526,A56)</f>
        <v>1</v>
      </c>
      <c r="K56" s="36" t="n">
        <f aca="false">SUMIFS(Trechos!$F$2:$F$526,Trechos!$M$2:$M$526,A56)</f>
        <v>13.2195307549832</v>
      </c>
      <c r="L56" s="35" t="n">
        <f aca="false">SUMPRODUCT(--ISNUMBER(SEARCH("|"&amp;A56&amp;"|",Trechos!$AB$2:$AB$526)))</f>
        <v>1</v>
      </c>
      <c r="M56" s="36" t="n">
        <f aca="false">SUMPRODUCT(ISNUMBER(SEARCH("|"&amp;A56&amp;"|",Trechos!$AB$2:$AB$526))*Trechos!$F$2:$F$526)</f>
        <v>13.2195307549832</v>
      </c>
      <c r="N56" s="35" t="s">
        <v>50</v>
      </c>
      <c r="O56" s="35" t="n">
        <v>-7.187412</v>
      </c>
      <c r="P56" s="35" t="n">
        <v>-48.216829</v>
      </c>
      <c r="Q56" s="49" t="s">
        <v>1603</v>
      </c>
    </row>
    <row r="57" customFormat="false" ht="15" hidden="false" customHeight="false" outlineLevel="0" collapsed="false">
      <c r="A57" s="35" t="s">
        <v>1340</v>
      </c>
      <c r="B57" s="35" t="s">
        <v>2301</v>
      </c>
      <c r="C57" s="35" t="s">
        <v>1339</v>
      </c>
      <c r="D57" s="35" t="s">
        <v>2310</v>
      </c>
      <c r="E57" s="35" t="s">
        <v>21</v>
      </c>
      <c r="F57" s="35" t="s">
        <v>21</v>
      </c>
      <c r="G57" s="35" t="n">
        <v>78</v>
      </c>
      <c r="H57" s="35" t="s">
        <v>50</v>
      </c>
      <c r="I57" s="35" t="s">
        <v>2111</v>
      </c>
      <c r="J57" s="35"/>
      <c r="K57" s="35"/>
      <c r="L57" s="35"/>
      <c r="M57" s="35"/>
      <c r="N57" s="35" t="s">
        <v>2120</v>
      </c>
      <c r="O57" s="35" t="n">
        <v>-7.18906</v>
      </c>
      <c r="P57" s="35" t="n">
        <v>-48.209149</v>
      </c>
      <c r="Q57" s="49" t="s">
        <v>1603</v>
      </c>
    </row>
    <row r="58" customFormat="false" ht="15" hidden="false" customHeight="false" outlineLevel="0" collapsed="false">
      <c r="A58" s="35" t="s">
        <v>1359</v>
      </c>
      <c r="B58" s="35" t="s">
        <v>2301</v>
      </c>
      <c r="C58" s="35" t="s">
        <v>1358</v>
      </c>
      <c r="D58" s="35" t="s">
        <v>2310</v>
      </c>
      <c r="E58" s="35" t="s">
        <v>21</v>
      </c>
      <c r="F58" s="35" t="s">
        <v>21</v>
      </c>
      <c r="G58" s="35" t="n">
        <v>78</v>
      </c>
      <c r="H58" s="35" t="s">
        <v>50</v>
      </c>
      <c r="I58" s="35" t="s">
        <v>2111</v>
      </c>
      <c r="J58" s="35"/>
      <c r="K58" s="35"/>
      <c r="L58" s="35"/>
      <c r="M58" s="35"/>
      <c r="N58" s="35" t="s">
        <v>2134</v>
      </c>
      <c r="O58" s="35" t="n">
        <v>-7.190422</v>
      </c>
      <c r="P58" s="35" t="n">
        <v>-48.209701</v>
      </c>
      <c r="Q58" s="49" t="s">
        <v>1603</v>
      </c>
    </row>
    <row r="59" customFormat="false" ht="15" hidden="false" customHeight="false" outlineLevel="0" collapsed="false">
      <c r="A59" s="35" t="s">
        <v>1376</v>
      </c>
      <c r="B59" s="35" t="s">
        <v>2301</v>
      </c>
      <c r="C59" s="35" t="s">
        <v>1375</v>
      </c>
      <c r="D59" s="35" t="s">
        <v>2310</v>
      </c>
      <c r="E59" s="35" t="s">
        <v>21</v>
      </c>
      <c r="F59" s="35" t="s">
        <v>21</v>
      </c>
      <c r="G59" s="35" t="n">
        <v>78</v>
      </c>
      <c r="H59" s="35" t="s">
        <v>50</v>
      </c>
      <c r="I59" s="35" t="s">
        <v>2111</v>
      </c>
      <c r="J59" s="35"/>
      <c r="K59" s="35"/>
      <c r="L59" s="35"/>
      <c r="M59" s="35"/>
      <c r="N59" s="35" t="s">
        <v>2134</v>
      </c>
      <c r="O59" s="35" t="n">
        <v>-7.190641</v>
      </c>
      <c r="P59" s="35" t="n">
        <v>-48.209781</v>
      </c>
      <c r="Q59" s="49" t="s">
        <v>1603</v>
      </c>
    </row>
    <row r="60" customFormat="false" ht="15" hidden="false" customHeight="false" outlineLevel="0" collapsed="false">
      <c r="A60" s="35" t="s">
        <v>233</v>
      </c>
      <c r="B60" s="35" t="s">
        <v>1794</v>
      </c>
      <c r="C60" s="35" t="s">
        <v>1408</v>
      </c>
      <c r="D60" s="35" t="s">
        <v>2310</v>
      </c>
      <c r="E60" s="35" t="s">
        <v>21</v>
      </c>
      <c r="F60" s="35" t="s">
        <v>22</v>
      </c>
      <c r="G60" s="35" t="n">
        <v>78</v>
      </c>
      <c r="H60" s="35" t="s">
        <v>2341</v>
      </c>
      <c r="I60" s="35" t="s">
        <v>2216</v>
      </c>
      <c r="J60" s="35" t="n">
        <f aca="false">COUNTIFS(Trechos!$M$2:$M$526,A60)</f>
        <v>1</v>
      </c>
      <c r="K60" s="36" t="n">
        <f aca="false">SUMIFS(Trechos!$F$2:$F$526,Trechos!$M$2:$M$526,A60)</f>
        <v>7.67275007256756</v>
      </c>
      <c r="L60" s="35" t="n">
        <f aca="false">SUMPRODUCT(--ISNUMBER(SEARCH("|"&amp;A60&amp;"|",Trechos!$AB$2:$AB$526)))</f>
        <v>1</v>
      </c>
      <c r="M60" s="36" t="n">
        <f aca="false">SUMPRODUCT(ISNUMBER(SEARCH("|"&amp;A60&amp;"|",Trechos!$AB$2:$AB$526))*Trechos!$F$2:$F$526)</f>
        <v>7.67275007256756</v>
      </c>
      <c r="N60" s="35" t="s">
        <v>50</v>
      </c>
      <c r="O60" s="35" t="n">
        <v>-7.189291</v>
      </c>
      <c r="P60" s="35" t="n">
        <v>-48.211144</v>
      </c>
      <c r="Q60" s="49" t="s">
        <v>1603</v>
      </c>
    </row>
    <row r="61" customFormat="false" ht="15" hidden="false" customHeight="false" outlineLevel="0" collapsed="false">
      <c r="A61" s="35" t="s">
        <v>235</v>
      </c>
      <c r="B61" s="35" t="s">
        <v>1788</v>
      </c>
      <c r="C61" s="35" t="s">
        <v>1428</v>
      </c>
      <c r="D61" s="35" t="s">
        <v>2310</v>
      </c>
      <c r="E61" s="35" t="s">
        <v>21</v>
      </c>
      <c r="F61" s="35" t="s">
        <v>22</v>
      </c>
      <c r="G61" s="35" t="n">
        <v>78</v>
      </c>
      <c r="H61" s="35" t="s">
        <v>2342</v>
      </c>
      <c r="I61" s="35" t="s">
        <v>2219</v>
      </c>
      <c r="J61" s="35" t="n">
        <f aca="false">COUNTIFS(Trechos!$M$2:$M$526,A61)</f>
        <v>2</v>
      </c>
      <c r="K61" s="36" t="n">
        <f aca="false">SUMIFS(Trechos!$F$2:$F$526,Trechos!$M$2:$M$526,A61)</f>
        <v>33.3949492340605</v>
      </c>
      <c r="L61" s="35" t="n">
        <f aca="false">SUMPRODUCT(--ISNUMBER(SEARCH("|"&amp;A61&amp;"|",Trechos!$AB$2:$AB$526)))</f>
        <v>2</v>
      </c>
      <c r="M61" s="36" t="n">
        <f aca="false">SUMPRODUCT(ISNUMBER(SEARCH("|"&amp;A61&amp;"|",Trechos!$AB$2:$AB$526))*Trechos!$F$2:$F$526)</f>
        <v>33.3949492340605</v>
      </c>
      <c r="N61" s="35" t="s">
        <v>50</v>
      </c>
      <c r="O61" s="35" t="n">
        <v>-7.190725</v>
      </c>
      <c r="P61" s="35" t="n">
        <v>-48.211071</v>
      </c>
      <c r="Q61" s="49" t="s">
        <v>1603</v>
      </c>
    </row>
    <row r="62" customFormat="false" ht="15" hidden="false" customHeight="false" outlineLevel="0" collapsed="false">
      <c r="A62" s="35" t="s">
        <v>237</v>
      </c>
      <c r="B62" s="35" t="s">
        <v>1788</v>
      </c>
      <c r="C62" s="35" t="s">
        <v>1440</v>
      </c>
      <c r="D62" s="35" t="s">
        <v>2310</v>
      </c>
      <c r="E62" s="35" t="s">
        <v>21</v>
      </c>
      <c r="F62" s="35" t="s">
        <v>22</v>
      </c>
      <c r="G62" s="35" t="n">
        <v>78</v>
      </c>
      <c r="H62" s="35" t="s">
        <v>2343</v>
      </c>
      <c r="I62" s="35" t="s">
        <v>2223</v>
      </c>
      <c r="J62" s="35" t="n">
        <f aca="false">COUNTIFS(Trechos!$M$2:$M$526,A62)</f>
        <v>2</v>
      </c>
      <c r="K62" s="36" t="n">
        <f aca="false">SUMIFS(Trechos!$F$2:$F$526,Trechos!$M$2:$M$526,A62)</f>
        <v>26.9077187038947</v>
      </c>
      <c r="L62" s="35" t="n">
        <f aca="false">SUMPRODUCT(--ISNUMBER(SEARCH("|"&amp;A62&amp;"|",Trechos!$AB$2:$AB$526)))</f>
        <v>2</v>
      </c>
      <c r="M62" s="36" t="n">
        <f aca="false">SUMPRODUCT(ISNUMBER(SEARCH("|"&amp;A62&amp;"|",Trechos!$AB$2:$AB$526))*Trechos!$F$2:$F$526)</f>
        <v>26.9077187038947</v>
      </c>
      <c r="N62" s="35" t="s">
        <v>50</v>
      </c>
      <c r="O62" s="35" t="n">
        <v>-7.190145</v>
      </c>
      <c r="P62" s="35" t="n">
        <v>-48.211436</v>
      </c>
      <c r="Q62" s="49" t="s">
        <v>1603</v>
      </c>
    </row>
    <row r="63" customFormat="false" ht="15" hidden="false" customHeight="false" outlineLevel="0" collapsed="false">
      <c r="A63" s="35" t="s">
        <v>239</v>
      </c>
      <c r="B63" s="35" t="s">
        <v>1788</v>
      </c>
      <c r="C63" s="35" t="s">
        <v>1442</v>
      </c>
      <c r="D63" s="35" t="s">
        <v>2310</v>
      </c>
      <c r="E63" s="35" t="s">
        <v>21</v>
      </c>
      <c r="F63" s="35" t="s">
        <v>22</v>
      </c>
      <c r="G63" s="35" t="n">
        <v>78</v>
      </c>
      <c r="H63" s="35" t="s">
        <v>2344</v>
      </c>
      <c r="I63" s="35" t="s">
        <v>2227</v>
      </c>
      <c r="J63" s="35" t="n">
        <f aca="false">COUNTIFS(Trechos!$M$2:$M$526,A63)</f>
        <v>2</v>
      </c>
      <c r="K63" s="36" t="n">
        <f aca="false">SUMIFS(Trechos!$F$2:$F$526,Trechos!$M$2:$M$526,A63)</f>
        <v>27.0321653418223</v>
      </c>
      <c r="L63" s="35" t="n">
        <f aca="false">SUMPRODUCT(--ISNUMBER(SEARCH("|"&amp;A63&amp;"|",Trechos!$AB$2:$AB$526)))</f>
        <v>2</v>
      </c>
      <c r="M63" s="36" t="n">
        <f aca="false">SUMPRODUCT(ISNUMBER(SEARCH("|"&amp;A63&amp;"|",Trechos!$AB$2:$AB$526))*Trechos!$F$2:$F$526)</f>
        <v>27.0321653418223</v>
      </c>
      <c r="N63" s="35" t="s">
        <v>50</v>
      </c>
      <c r="O63" s="35" t="n">
        <v>-7.190204</v>
      </c>
      <c r="P63" s="35" t="n">
        <v>-48.211209</v>
      </c>
      <c r="Q63" s="49" t="s">
        <v>1603</v>
      </c>
    </row>
    <row r="64" customFormat="false" ht="15" hidden="false" customHeight="false" outlineLevel="0" collapsed="false">
      <c r="A64" s="35" t="s">
        <v>241</v>
      </c>
      <c r="B64" s="35" t="s">
        <v>1788</v>
      </c>
      <c r="C64" s="35" t="s">
        <v>1444</v>
      </c>
      <c r="D64" s="35" t="s">
        <v>2310</v>
      </c>
      <c r="E64" s="35" t="s">
        <v>21</v>
      </c>
      <c r="F64" s="35" t="s">
        <v>22</v>
      </c>
      <c r="G64" s="35" t="n">
        <v>78</v>
      </c>
      <c r="H64" s="35" t="s">
        <v>2345</v>
      </c>
      <c r="I64" s="35" t="s">
        <v>2231</v>
      </c>
      <c r="J64" s="35" t="n">
        <f aca="false">COUNTIFS(Trechos!$M$2:$M$526,A64)</f>
        <v>2</v>
      </c>
      <c r="K64" s="36" t="n">
        <f aca="false">SUMIFS(Trechos!$F$2:$F$526,Trechos!$M$2:$M$526,A64)</f>
        <v>37.3787539570412</v>
      </c>
      <c r="L64" s="35" t="n">
        <f aca="false">SUMPRODUCT(--ISNUMBER(SEARCH("|"&amp;A64&amp;"|",Trechos!$AB$2:$AB$526)))</f>
        <v>2</v>
      </c>
      <c r="M64" s="36" t="n">
        <f aca="false">SUMPRODUCT(ISNUMBER(SEARCH("|"&amp;A64&amp;"|",Trechos!$AB$2:$AB$526))*Trechos!$F$2:$F$526)</f>
        <v>37.3787539570412</v>
      </c>
      <c r="N64" s="35" t="s">
        <v>50</v>
      </c>
      <c r="O64" s="35" t="n">
        <v>-7.190402</v>
      </c>
      <c r="P64" s="35" t="n">
        <v>-48.210503</v>
      </c>
      <c r="Q64" s="49" t="s">
        <v>1603</v>
      </c>
    </row>
    <row r="65" customFormat="false" ht="15" hidden="false" customHeight="false" outlineLevel="0" collapsed="false">
      <c r="A65" s="35" t="s">
        <v>243</v>
      </c>
      <c r="B65" s="35" t="s">
        <v>1788</v>
      </c>
      <c r="C65" s="35" t="s">
        <v>1446</v>
      </c>
      <c r="D65" s="35" t="s">
        <v>2310</v>
      </c>
      <c r="E65" s="35" t="s">
        <v>21</v>
      </c>
      <c r="F65" s="35" t="s">
        <v>22</v>
      </c>
      <c r="G65" s="35" t="n">
        <v>78</v>
      </c>
      <c r="H65" s="35" t="s">
        <v>2346</v>
      </c>
      <c r="I65" s="35" t="s">
        <v>2235</v>
      </c>
      <c r="J65" s="35" t="n">
        <f aca="false">COUNTIFS(Trechos!$M$2:$M$526,A65)</f>
        <v>3</v>
      </c>
      <c r="K65" s="36" t="n">
        <f aca="false">SUMIFS(Trechos!$F$2:$F$526,Trechos!$M$2:$M$526,A65)</f>
        <v>30.4339159032701</v>
      </c>
      <c r="L65" s="35" t="n">
        <f aca="false">SUMPRODUCT(--ISNUMBER(SEARCH("|"&amp;A65&amp;"|",Trechos!$AB$2:$AB$526)))</f>
        <v>3</v>
      </c>
      <c r="M65" s="36" t="n">
        <f aca="false">SUMPRODUCT(ISNUMBER(SEARCH("|"&amp;A65&amp;"|",Trechos!$AB$2:$AB$526))*Trechos!$F$2:$F$526)</f>
        <v>30.4339159032701</v>
      </c>
      <c r="N65" s="35" t="s">
        <v>50</v>
      </c>
      <c r="O65" s="35" t="n">
        <v>-7.190612</v>
      </c>
      <c r="P65" s="35" t="n">
        <v>-48.2099</v>
      </c>
      <c r="Q65" s="49" t="s">
        <v>1603</v>
      </c>
    </row>
    <row r="66" customFormat="false" ht="15" hidden="false" customHeight="false" outlineLevel="0" collapsed="false">
      <c r="A66" s="35" t="s">
        <v>245</v>
      </c>
      <c r="B66" s="35" t="s">
        <v>1788</v>
      </c>
      <c r="C66" s="35" t="s">
        <v>1448</v>
      </c>
      <c r="D66" s="35" t="s">
        <v>2310</v>
      </c>
      <c r="E66" s="35" t="s">
        <v>21</v>
      </c>
      <c r="F66" s="35" t="s">
        <v>22</v>
      </c>
      <c r="G66" s="35" t="n">
        <v>78</v>
      </c>
      <c r="H66" s="35" t="s">
        <v>2347</v>
      </c>
      <c r="I66" s="35" t="s">
        <v>2240</v>
      </c>
      <c r="J66" s="35" t="n">
        <f aca="false">COUNTIFS(Trechos!$M$2:$M$526,A66)</f>
        <v>2</v>
      </c>
      <c r="K66" s="36" t="n">
        <f aca="false">SUMIFS(Trechos!$F$2:$F$526,Trechos!$M$2:$M$526,A66)</f>
        <v>30.7543304164767</v>
      </c>
      <c r="L66" s="35" t="n">
        <f aca="false">SUMPRODUCT(--ISNUMBER(SEARCH("|"&amp;A66&amp;"|",Trechos!$AB$2:$AB$526)))</f>
        <v>2</v>
      </c>
      <c r="M66" s="36" t="n">
        <f aca="false">SUMPRODUCT(ISNUMBER(SEARCH("|"&amp;A66&amp;"|",Trechos!$AB$2:$AB$526))*Trechos!$F$2:$F$526)</f>
        <v>30.7543304164767</v>
      </c>
      <c r="N66" s="35" t="s">
        <v>50</v>
      </c>
      <c r="O66" s="35" t="n">
        <v>-7.190133</v>
      </c>
      <c r="P66" s="35" t="n">
        <v>-48.209625</v>
      </c>
      <c r="Q66" s="49" t="s">
        <v>1603</v>
      </c>
    </row>
    <row r="67" customFormat="false" ht="15" hidden="false" customHeight="false" outlineLevel="0" collapsed="false">
      <c r="A67" s="35" t="s">
        <v>247</v>
      </c>
      <c r="B67" s="35" t="s">
        <v>1788</v>
      </c>
      <c r="C67" s="35" t="s">
        <v>1450</v>
      </c>
      <c r="D67" s="35" t="s">
        <v>2310</v>
      </c>
      <c r="E67" s="35" t="s">
        <v>21</v>
      </c>
      <c r="F67" s="35" t="s">
        <v>22</v>
      </c>
      <c r="G67" s="35" t="n">
        <v>78</v>
      </c>
      <c r="H67" s="35" t="s">
        <v>2348</v>
      </c>
      <c r="I67" s="35" t="s">
        <v>2244</v>
      </c>
      <c r="J67" s="35" t="n">
        <f aca="false">COUNTIFS(Trechos!$M$2:$M$526,A67)</f>
        <v>2</v>
      </c>
      <c r="K67" s="36" t="n">
        <f aca="false">SUMIFS(Trechos!$F$2:$F$526,Trechos!$M$2:$M$526,A67)</f>
        <v>29.7262078697369</v>
      </c>
      <c r="L67" s="35" t="n">
        <f aca="false">SUMPRODUCT(--ISNUMBER(SEARCH("|"&amp;A67&amp;"|",Trechos!$AB$2:$AB$526)))</f>
        <v>2</v>
      </c>
      <c r="M67" s="36" t="n">
        <f aca="false">SUMPRODUCT(ISNUMBER(SEARCH("|"&amp;A67&amp;"|",Trechos!$AB$2:$AB$526))*Trechos!$F$2:$F$526)</f>
        <v>29.7262078697369</v>
      </c>
      <c r="N67" s="35" t="s">
        <v>50</v>
      </c>
      <c r="O67" s="35" t="n">
        <v>-7.18987</v>
      </c>
      <c r="P67" s="35" t="n">
        <v>-48.20955</v>
      </c>
      <c r="Q67" s="49" t="s">
        <v>1603</v>
      </c>
    </row>
    <row r="68" customFormat="false" ht="15" hidden="false" customHeight="false" outlineLevel="0" collapsed="false">
      <c r="A68" s="35" t="s">
        <v>249</v>
      </c>
      <c r="B68" s="35" t="s">
        <v>1788</v>
      </c>
      <c r="C68" s="35" t="s">
        <v>1456</v>
      </c>
      <c r="D68" s="35" t="s">
        <v>2310</v>
      </c>
      <c r="E68" s="35" t="s">
        <v>21</v>
      </c>
      <c r="F68" s="35" t="s">
        <v>22</v>
      </c>
      <c r="G68" s="35" t="n">
        <v>78</v>
      </c>
      <c r="H68" s="35" t="s">
        <v>2349</v>
      </c>
      <c r="I68" s="35" t="s">
        <v>2248</v>
      </c>
      <c r="J68" s="35" t="n">
        <f aca="false">COUNTIFS(Trechos!$M$2:$M$526,A68)</f>
        <v>2</v>
      </c>
      <c r="K68" s="36" t="n">
        <f aca="false">SUMIFS(Trechos!$F$2:$F$526,Trechos!$M$2:$M$526,A68)</f>
        <v>27.6228375750084</v>
      </c>
      <c r="L68" s="35" t="n">
        <f aca="false">SUMPRODUCT(--ISNUMBER(SEARCH("|"&amp;A68&amp;"|",Trechos!$AB$2:$AB$526)))</f>
        <v>2</v>
      </c>
      <c r="M68" s="36" t="n">
        <f aca="false">SUMPRODUCT(ISNUMBER(SEARCH("|"&amp;A68&amp;"|",Trechos!$AB$2:$AB$526))*Trechos!$F$2:$F$526)</f>
        <v>27.6228375750084</v>
      </c>
      <c r="N68" s="35" t="s">
        <v>50</v>
      </c>
      <c r="O68" s="35" t="n">
        <v>-7.189903</v>
      </c>
      <c r="P68" s="35" t="n">
        <v>-48.209044</v>
      </c>
      <c r="Q68" s="49" t="s">
        <v>1603</v>
      </c>
    </row>
    <row r="69" customFormat="false" ht="15" hidden="false" customHeight="false" outlineLevel="0" collapsed="false">
      <c r="A69" s="35" t="s">
        <v>251</v>
      </c>
      <c r="B69" s="35" t="s">
        <v>1788</v>
      </c>
      <c r="C69" s="35" t="s">
        <v>1458</v>
      </c>
      <c r="D69" s="35" t="s">
        <v>2310</v>
      </c>
      <c r="E69" s="35" t="s">
        <v>21</v>
      </c>
      <c r="F69" s="35" t="s">
        <v>22</v>
      </c>
      <c r="G69" s="35" t="n">
        <v>78</v>
      </c>
      <c r="H69" s="35" t="s">
        <v>2350</v>
      </c>
      <c r="I69" s="35" t="s">
        <v>2252</v>
      </c>
      <c r="J69" s="35" t="n">
        <f aca="false">COUNTIFS(Trechos!$M$2:$M$526,A69)</f>
        <v>2</v>
      </c>
      <c r="K69" s="36" t="n">
        <f aca="false">SUMIFS(Trechos!$F$2:$F$526,Trechos!$M$2:$M$526,A69)</f>
        <v>23.8505795969808</v>
      </c>
      <c r="L69" s="35" t="n">
        <f aca="false">SUMPRODUCT(--ISNUMBER(SEARCH("|"&amp;A69&amp;"|",Trechos!$AB$2:$AB$526)))</f>
        <v>2</v>
      </c>
      <c r="M69" s="36" t="n">
        <f aca="false">SUMPRODUCT(ISNUMBER(SEARCH("|"&amp;A69&amp;"|",Trechos!$AB$2:$AB$526))*Trechos!$F$2:$F$526)</f>
        <v>23.8505795969808</v>
      </c>
      <c r="N69" s="35" t="s">
        <v>50</v>
      </c>
      <c r="O69" s="35" t="n">
        <v>-7.18928</v>
      </c>
      <c r="P69" s="35" t="n">
        <v>-48.209361</v>
      </c>
      <c r="Q69" s="49" t="s">
        <v>1603</v>
      </c>
    </row>
    <row r="70" customFormat="false" ht="15" hidden="false" customHeight="false" outlineLevel="0" collapsed="false">
      <c r="A70" s="35" t="s">
        <v>1463</v>
      </c>
      <c r="B70" s="35" t="s">
        <v>2301</v>
      </c>
      <c r="C70" s="35" t="s">
        <v>1462</v>
      </c>
      <c r="D70" s="35" t="s">
        <v>2310</v>
      </c>
      <c r="E70" s="35" t="s">
        <v>21</v>
      </c>
      <c r="F70" s="35" t="s">
        <v>21</v>
      </c>
      <c r="G70" s="35" t="n">
        <v>78</v>
      </c>
      <c r="H70" s="35" t="s">
        <v>50</v>
      </c>
      <c r="I70" s="35" t="s">
        <v>2111</v>
      </c>
      <c r="J70" s="35"/>
      <c r="K70" s="35"/>
      <c r="L70" s="35"/>
      <c r="M70" s="35"/>
      <c r="N70" s="35" t="s">
        <v>2189</v>
      </c>
      <c r="O70" s="35" t="n">
        <v>-7.188977</v>
      </c>
      <c r="P70" s="35" t="n">
        <v>-48.209394</v>
      </c>
      <c r="Q70" s="49" t="s">
        <v>1603</v>
      </c>
    </row>
    <row r="71" customFormat="false" ht="15" hidden="false" customHeight="false" outlineLevel="0" collapsed="false">
      <c r="A71" s="35" t="s">
        <v>253</v>
      </c>
      <c r="B71" s="35" t="s">
        <v>1788</v>
      </c>
      <c r="C71" s="35" t="s">
        <v>1477</v>
      </c>
      <c r="D71" s="35" t="s">
        <v>2310</v>
      </c>
      <c r="E71" s="35" t="s">
        <v>21</v>
      </c>
      <c r="F71" s="35" t="s">
        <v>22</v>
      </c>
      <c r="G71" s="35" t="n">
        <v>78</v>
      </c>
      <c r="H71" s="35" t="s">
        <v>2351</v>
      </c>
      <c r="I71" s="35" t="s">
        <v>2256</v>
      </c>
      <c r="J71" s="35" t="n">
        <f aca="false">COUNTIFS(Trechos!$M$2:$M$526,A71)</f>
        <v>3</v>
      </c>
      <c r="K71" s="36" t="n">
        <f aca="false">SUMIFS(Trechos!$F$2:$F$526,Trechos!$M$2:$M$526,A71)</f>
        <v>27.2070548561962</v>
      </c>
      <c r="L71" s="35" t="n">
        <f aca="false">SUMPRODUCT(--ISNUMBER(SEARCH("|"&amp;A71&amp;"|",Trechos!$AB$2:$AB$526)))</f>
        <v>3</v>
      </c>
      <c r="M71" s="36" t="n">
        <f aca="false">SUMPRODUCT(ISNUMBER(SEARCH("|"&amp;A71&amp;"|",Trechos!$AB$2:$AB$526))*Trechos!$F$2:$F$526)</f>
        <v>27.2070548561962</v>
      </c>
      <c r="N71" s="35" t="s">
        <v>50</v>
      </c>
      <c r="O71" s="35" t="n">
        <v>-7.18849</v>
      </c>
      <c r="P71" s="35" t="n">
        <v>-48.210852</v>
      </c>
      <c r="Q71" s="49" t="s">
        <v>1603</v>
      </c>
    </row>
    <row r="72" customFormat="false" ht="15" hidden="false" customHeight="false" outlineLevel="0" collapsed="false">
      <c r="A72" s="35" t="s">
        <v>255</v>
      </c>
      <c r="B72" s="35" t="s">
        <v>1794</v>
      </c>
      <c r="C72" s="35" t="s">
        <v>1479</v>
      </c>
      <c r="D72" s="35" t="s">
        <v>2310</v>
      </c>
      <c r="E72" s="35" t="s">
        <v>21</v>
      </c>
      <c r="F72" s="35" t="s">
        <v>22</v>
      </c>
      <c r="G72" s="35" t="n">
        <v>78</v>
      </c>
      <c r="H72" s="35" t="s">
        <v>2352</v>
      </c>
      <c r="I72" s="35" t="s">
        <v>2261</v>
      </c>
      <c r="J72" s="35" t="n">
        <f aca="false">COUNTIFS(Trechos!$M$2:$M$526,A72)</f>
        <v>1</v>
      </c>
      <c r="K72" s="36" t="n">
        <f aca="false">SUMIFS(Trechos!$F$2:$F$526,Trechos!$M$2:$M$526,A72)</f>
        <v>1.88703335202875</v>
      </c>
      <c r="L72" s="35" t="n">
        <f aca="false">SUMPRODUCT(--ISNUMBER(SEARCH("|"&amp;A72&amp;"|",Trechos!$AB$2:$AB$526)))</f>
        <v>1</v>
      </c>
      <c r="M72" s="36" t="n">
        <f aca="false">SUMPRODUCT(ISNUMBER(SEARCH("|"&amp;A72&amp;"|",Trechos!$AB$2:$AB$526))*Trechos!$F$2:$F$526)</f>
        <v>1.88703335202875</v>
      </c>
      <c r="N72" s="35" t="s">
        <v>50</v>
      </c>
      <c r="O72" s="35" t="n">
        <v>-7.188597</v>
      </c>
      <c r="P72" s="35" t="n">
        <v>-48.210543</v>
      </c>
      <c r="Q72" s="49" t="s">
        <v>1603</v>
      </c>
    </row>
    <row r="73" customFormat="false" ht="15" hidden="false" customHeight="false" outlineLevel="0" collapsed="false">
      <c r="A73" s="35" t="s">
        <v>257</v>
      </c>
      <c r="B73" s="35" t="s">
        <v>1788</v>
      </c>
      <c r="C73" s="35" t="s">
        <v>1483</v>
      </c>
      <c r="D73" s="35" t="s">
        <v>2310</v>
      </c>
      <c r="E73" s="35" t="s">
        <v>21</v>
      </c>
      <c r="F73" s="35" t="s">
        <v>22</v>
      </c>
      <c r="G73" s="35" t="n">
        <v>78</v>
      </c>
      <c r="H73" s="35" t="s">
        <v>2353</v>
      </c>
      <c r="I73" s="35" t="s">
        <v>2264</v>
      </c>
      <c r="J73" s="35" t="n">
        <f aca="false">COUNTIFS(Trechos!$M$2:$M$526,A73)</f>
        <v>3</v>
      </c>
      <c r="K73" s="36" t="n">
        <f aca="false">SUMIFS(Trechos!$F$2:$F$526,Trechos!$M$2:$M$526,A73)</f>
        <v>29.0262403300082</v>
      </c>
      <c r="L73" s="35" t="n">
        <f aca="false">SUMPRODUCT(--ISNUMBER(SEARCH("|"&amp;A73&amp;"|",Trechos!$AB$2:$AB$526)))</f>
        <v>3</v>
      </c>
      <c r="M73" s="36" t="n">
        <f aca="false">SUMPRODUCT(ISNUMBER(SEARCH("|"&amp;A73&amp;"|",Trechos!$AB$2:$AB$526))*Trechos!$F$2:$F$526)</f>
        <v>29.0262403300082</v>
      </c>
      <c r="N73" s="35" t="s">
        <v>50</v>
      </c>
      <c r="O73" s="35" t="n">
        <v>-7.188903</v>
      </c>
      <c r="P73" s="35" t="n">
        <v>-48.209688</v>
      </c>
      <c r="Q73" s="49" t="s">
        <v>1603</v>
      </c>
    </row>
    <row r="74" customFormat="false" ht="15" hidden="false" customHeight="false" outlineLevel="0" collapsed="false">
      <c r="A74" s="35" t="s">
        <v>259</v>
      </c>
      <c r="B74" s="35" t="s">
        <v>1788</v>
      </c>
      <c r="C74" s="35" t="s">
        <v>1487</v>
      </c>
      <c r="D74" s="35" t="s">
        <v>2310</v>
      </c>
      <c r="E74" s="35" t="s">
        <v>21</v>
      </c>
      <c r="F74" s="35" t="s">
        <v>22</v>
      </c>
      <c r="G74" s="35" t="n">
        <v>78</v>
      </c>
      <c r="H74" s="35" t="s">
        <v>2354</v>
      </c>
      <c r="I74" s="35" t="s">
        <v>2269</v>
      </c>
      <c r="J74" s="35" t="n">
        <f aca="false">COUNTIFS(Trechos!$M$2:$M$526,A74)</f>
        <v>2</v>
      </c>
      <c r="K74" s="36" t="n">
        <f aca="false">SUMIFS(Trechos!$F$2:$F$526,Trechos!$M$2:$M$526,A74)</f>
        <v>26.0020817843394</v>
      </c>
      <c r="L74" s="35" t="n">
        <f aca="false">SUMPRODUCT(--ISNUMBER(SEARCH("|"&amp;A74&amp;"|",Trechos!$AB$2:$AB$526)))</f>
        <v>2</v>
      </c>
      <c r="M74" s="36" t="n">
        <f aca="false">SUMPRODUCT(ISNUMBER(SEARCH("|"&amp;A74&amp;"|",Trechos!$AB$2:$AB$526))*Trechos!$F$2:$F$526)</f>
        <v>26.0020817843394</v>
      </c>
      <c r="N74" s="35" t="s">
        <v>50</v>
      </c>
      <c r="O74" s="35" t="n">
        <v>-7.189111</v>
      </c>
      <c r="P74" s="35" t="n">
        <v>-48.209023</v>
      </c>
      <c r="Q74" s="49" t="s">
        <v>1603</v>
      </c>
    </row>
    <row r="75" customFormat="false" ht="15" hidden="false" customHeight="false" outlineLevel="0" collapsed="false">
      <c r="A75" s="35" t="s">
        <v>261</v>
      </c>
      <c r="B75" s="35" t="s">
        <v>1788</v>
      </c>
      <c r="C75" s="35" t="s">
        <v>1507</v>
      </c>
      <c r="D75" s="35" t="s">
        <v>2310</v>
      </c>
      <c r="E75" s="35" t="s">
        <v>21</v>
      </c>
      <c r="F75" s="35" t="s">
        <v>22</v>
      </c>
      <c r="G75" s="35" t="n">
        <v>78</v>
      </c>
      <c r="H75" s="35" t="s">
        <v>2355</v>
      </c>
      <c r="I75" s="35" t="s">
        <v>2273</v>
      </c>
      <c r="J75" s="35" t="n">
        <f aca="false">COUNTIFS(Trechos!$M$2:$M$526,A75)</f>
        <v>1</v>
      </c>
      <c r="K75" s="36" t="n">
        <f aca="false">SUMIFS(Trechos!$F$2:$F$526,Trechos!$M$2:$M$526,A75)</f>
        <v>8.2459817408769</v>
      </c>
      <c r="L75" s="35" t="n">
        <f aca="false">SUMPRODUCT(--ISNUMBER(SEARCH("|"&amp;A75&amp;"|",Trechos!$AB$2:$AB$526)))</f>
        <v>1</v>
      </c>
      <c r="M75" s="36" t="n">
        <f aca="false">SUMPRODUCT(ISNUMBER(SEARCH("|"&amp;A75&amp;"|",Trechos!$AB$2:$AB$526))*Trechos!$F$2:$F$526)</f>
        <v>8.2459817408769</v>
      </c>
      <c r="N75" s="35" t="s">
        <v>50</v>
      </c>
      <c r="O75" s="35" t="n">
        <v>-7.189526</v>
      </c>
      <c r="P75" s="35" t="n">
        <v>-48.20816</v>
      </c>
      <c r="Q75" s="49" t="s">
        <v>1603</v>
      </c>
    </row>
  </sheetData>
  <hyperlinks>
    <hyperlink ref="Q2" r:id="rId2" display="abrir"/>
    <hyperlink ref="Q3" r:id="rId3" display="abrir"/>
    <hyperlink ref="Q4" r:id="rId4" display="abrir"/>
    <hyperlink ref="Q5" r:id="rId5" display="abrir"/>
    <hyperlink ref="Q6" r:id="rId6" display="abrir"/>
    <hyperlink ref="Q7" r:id="rId7" display="abrir"/>
    <hyperlink ref="Q8" r:id="rId8" display="abrir"/>
    <hyperlink ref="Q9" r:id="rId9" display="abrir"/>
    <hyperlink ref="Q10" r:id="rId10" display="abrir"/>
    <hyperlink ref="Q11" r:id="rId11" display="abrir"/>
    <hyperlink ref="Q12" r:id="rId12" display="abrir"/>
    <hyperlink ref="Q13" r:id="rId13" display="abrir"/>
    <hyperlink ref="Q14" r:id="rId14" display="abrir"/>
    <hyperlink ref="Q15" r:id="rId15" display="abrir"/>
    <hyperlink ref="Q16" r:id="rId16" display="abrir"/>
    <hyperlink ref="Q17" r:id="rId17" display="abrir"/>
    <hyperlink ref="Q18" r:id="rId18" display="abrir"/>
    <hyperlink ref="Q19" r:id="rId19" display="abrir"/>
    <hyperlink ref="Q20" r:id="rId20" display="abrir"/>
    <hyperlink ref="Q21" r:id="rId21" display="abrir"/>
    <hyperlink ref="Q22" r:id="rId22" display="abrir"/>
    <hyperlink ref="Q23" r:id="rId23" display="abrir"/>
    <hyperlink ref="Q24" r:id="rId24" display="abrir"/>
    <hyperlink ref="Q25" r:id="rId25" display="abrir"/>
    <hyperlink ref="Q26" r:id="rId26" display="abrir"/>
    <hyperlink ref="Q27" r:id="rId27" display="abrir"/>
    <hyperlink ref="Q28" r:id="rId28" display="abrir"/>
    <hyperlink ref="Q29" r:id="rId29" display="abrir"/>
    <hyperlink ref="Q30" r:id="rId30" display="abrir"/>
    <hyperlink ref="Q31" r:id="rId31" display="abrir"/>
    <hyperlink ref="Q32" r:id="rId32" display="abrir"/>
    <hyperlink ref="Q33" r:id="rId33" display="abrir"/>
    <hyperlink ref="Q34" r:id="rId34" display="abrir"/>
    <hyperlink ref="Q35" r:id="rId35" display="abrir"/>
    <hyperlink ref="Q36" r:id="rId36" display="abrir"/>
    <hyperlink ref="Q37" r:id="rId37" display="abrir"/>
    <hyperlink ref="Q38" r:id="rId38" display="abrir"/>
    <hyperlink ref="Q39" r:id="rId39" display="abrir"/>
    <hyperlink ref="Q40" r:id="rId40" display="abrir"/>
    <hyperlink ref="Q41" r:id="rId41" display="abrir"/>
    <hyperlink ref="Q42" r:id="rId42" display="abrir"/>
    <hyperlink ref="Q43" r:id="rId43" display="abrir"/>
    <hyperlink ref="Q44" r:id="rId44" display="abrir"/>
    <hyperlink ref="Q45" r:id="rId45" display="abrir"/>
    <hyperlink ref="Q46" r:id="rId46" display="abrir"/>
    <hyperlink ref="Q47" r:id="rId47" display="abrir"/>
    <hyperlink ref="Q48" r:id="rId48" display="abrir"/>
    <hyperlink ref="Q49" r:id="rId49" display="abrir"/>
    <hyperlink ref="Q50" r:id="rId50" display="abrir"/>
    <hyperlink ref="Q51" r:id="rId51" display="abrir"/>
    <hyperlink ref="Q52" r:id="rId52" display="abrir"/>
    <hyperlink ref="Q53" r:id="rId53" display="abrir"/>
    <hyperlink ref="Q54" r:id="rId54" display="abrir"/>
    <hyperlink ref="Q55" r:id="rId55" display="abrir"/>
    <hyperlink ref="Q56" r:id="rId56" display="abrir"/>
    <hyperlink ref="Q57" r:id="rId57" display="abrir"/>
    <hyperlink ref="Q58" r:id="rId58" display="abrir"/>
    <hyperlink ref="Q59" r:id="rId59" display="abrir"/>
    <hyperlink ref="Q60" r:id="rId60" display="abrir"/>
    <hyperlink ref="Q61" r:id="rId61" display="abrir"/>
    <hyperlink ref="Q62" r:id="rId62" display="abrir"/>
    <hyperlink ref="Q63" r:id="rId63" display="abrir"/>
    <hyperlink ref="Q64" r:id="rId64" display="abrir"/>
    <hyperlink ref="Q65" r:id="rId65" display="abrir"/>
    <hyperlink ref="Q66" r:id="rId66" display="abrir"/>
    <hyperlink ref="Q67" r:id="rId67" display="abrir"/>
    <hyperlink ref="Q68" r:id="rId68" display="abrir"/>
    <hyperlink ref="Q69" r:id="rId69" display="abrir"/>
    <hyperlink ref="Q70" r:id="rId70" display="abrir"/>
    <hyperlink ref="Q71" r:id="rId71" display="abrir"/>
    <hyperlink ref="Q72" r:id="rId72" display="abrir"/>
    <hyperlink ref="Q73" r:id="rId73" display="abrir"/>
    <hyperlink ref="Q74" r:id="rId74" display="abrir"/>
    <hyperlink ref="Q75" r:id="rId75" display="abri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76"/>
  <tableParts>
    <tablePart r:id="rId7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2026-10-01T22:08:37Z</dcterms:created>
  <dc:creator>openpyxl</dc:creator>
  <dc:description/>
  <dc:language>en-US</dc:language>
  <cp:lastModifiedBy/>
  <dcterms:modified xsi:type="dcterms:W3CDTF">2026-10-01T22:08:37Z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